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90" windowWidth="24720" windowHeight="11820" activeTab="1"/>
  </bookViews>
  <sheets>
    <sheet name="EXP lvls" sheetId="1" r:id="rId1"/>
    <sheet name="Drop analityka" sheetId="3" r:id="rId2"/>
    <sheet name="Location features" sheetId="4" r:id="rId3"/>
    <sheet name="Fusion" sheetId="9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25725"/>
  <pivotCaches>
    <pivotCache cacheId="160" r:id="rId10"/>
  </pivotCaches>
</workbook>
</file>

<file path=xl/calcChain.xml><?xml version="1.0" encoding="utf-8"?>
<calcChain xmlns="http://schemas.openxmlformats.org/spreadsheetml/2006/main">
  <c r="J26" i="5"/>
  <c r="J753" i="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7"/>
  <c r="K858"/>
  <c r="K859"/>
  <c r="K860"/>
  <c r="K861"/>
  <c r="K862"/>
  <c r="K863"/>
  <c r="K864"/>
  <c r="K865"/>
  <c r="K866"/>
  <c r="K867"/>
  <c r="K868"/>
  <c r="K869"/>
  <c r="K870"/>
  <c r="K871"/>
  <c r="K872"/>
  <c r="K873"/>
  <c r="K874"/>
  <c r="K875"/>
  <c r="K876"/>
  <c r="K877"/>
  <c r="K878"/>
  <c r="K879"/>
  <c r="K880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7"/>
  <c r="L858"/>
  <c r="L859"/>
  <c r="L860"/>
  <c r="L861"/>
  <c r="L862"/>
  <c r="L863"/>
  <c r="L864"/>
  <c r="L865"/>
  <c r="L866"/>
  <c r="L867"/>
  <c r="L868"/>
  <c r="L869"/>
  <c r="L870"/>
  <c r="L871"/>
  <c r="L872"/>
  <c r="L873"/>
  <c r="L874"/>
  <c r="L875"/>
  <c r="L876"/>
  <c r="L877"/>
  <c r="L878"/>
  <c r="L879"/>
  <c r="L880"/>
  <c r="L881"/>
  <c r="L882"/>
  <c r="L883"/>
  <c r="L884"/>
  <c r="L885"/>
  <c r="L886"/>
  <c r="L887"/>
  <c r="L888"/>
  <c r="L889"/>
  <c r="L890"/>
  <c r="L891"/>
  <c r="L892"/>
  <c r="L893"/>
  <c r="L894"/>
  <c r="L895"/>
  <c r="L896"/>
  <c r="L897"/>
  <c r="L898"/>
  <c r="L899"/>
  <c r="L900"/>
  <c r="L901"/>
  <c r="L902"/>
  <c r="L903"/>
  <c r="L904"/>
  <c r="L905"/>
  <c r="L906"/>
  <c r="L907"/>
  <c r="L908"/>
  <c r="L909"/>
  <c r="L910"/>
  <c r="L911"/>
  <c r="L912"/>
  <c r="L913"/>
  <c r="L914"/>
  <c r="L915"/>
  <c r="L916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7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J740"/>
  <c r="J741"/>
  <c r="J742"/>
  <c r="J743"/>
  <c r="J744"/>
  <c r="J745"/>
  <c r="J746"/>
  <c r="J747"/>
  <c r="J748"/>
  <c r="J749"/>
  <c r="J750"/>
  <c r="J751"/>
  <c r="J752"/>
  <c r="K740"/>
  <c r="K741"/>
  <c r="K742"/>
  <c r="K743"/>
  <c r="K744"/>
  <c r="K745"/>
  <c r="K746"/>
  <c r="K747"/>
  <c r="K748"/>
  <c r="K749"/>
  <c r="K750"/>
  <c r="K751"/>
  <c r="K752"/>
  <c r="L740"/>
  <c r="L741"/>
  <c r="L742"/>
  <c r="L743"/>
  <c r="L744"/>
  <c r="L745"/>
  <c r="L746"/>
  <c r="L747"/>
  <c r="L748"/>
  <c r="L749"/>
  <c r="L750"/>
  <c r="L751"/>
  <c r="L752"/>
  <c r="Q21" i="4"/>
  <c r="L21"/>
  <c r="K21"/>
  <c r="J21"/>
  <c r="J2"/>
  <c r="K28" i="5"/>
  <c r="J28"/>
  <c r="R21" i="4" l="1"/>
  <c r="O21"/>
  <c r="M10" i="1"/>
  <c r="M30"/>
  <c r="K2" i="4" l="1"/>
  <c r="Q2"/>
  <c r="L2"/>
  <c r="O2" l="1"/>
  <c r="R2" s="1"/>
  <c r="T38" i="9"/>
  <c r="S38"/>
  <c r="R38"/>
  <c r="Q38"/>
  <c r="P38"/>
  <c r="O38"/>
  <c r="N38"/>
  <c r="M38"/>
  <c r="L38"/>
  <c r="K38"/>
  <c r="J38"/>
  <c r="I38"/>
  <c r="H38"/>
  <c r="G38"/>
  <c r="F38"/>
  <c r="M31" i="1"/>
  <c r="M29"/>
  <c r="T36" i="9"/>
  <c r="S36"/>
  <c r="R36"/>
  <c r="Q36"/>
  <c r="P36"/>
  <c r="O36"/>
  <c r="N36"/>
  <c r="M36"/>
  <c r="L36"/>
  <c r="K36"/>
  <c r="J36"/>
  <c r="I36"/>
  <c r="H36"/>
  <c r="G36"/>
  <c r="F36"/>
  <c r="M32" i="1" l="1"/>
  <c r="M33" s="1"/>
  <c r="Q4" i="4"/>
  <c r="L4"/>
  <c r="K4"/>
  <c r="J4"/>
  <c r="O4" l="1"/>
  <c r="R4" s="1"/>
  <c r="Q3"/>
  <c r="Q5"/>
  <c r="Q6"/>
  <c r="Q7"/>
  <c r="Q8"/>
  <c r="Q9"/>
  <c r="Q10"/>
  <c r="Q11"/>
  <c r="Q12"/>
  <c r="Q13"/>
  <c r="Q14"/>
  <c r="Q15"/>
  <c r="Q16"/>
  <c r="Q18"/>
  <c r="Q19"/>
  <c r="Q20"/>
  <c r="Q17"/>
  <c r="O29" i="1"/>
  <c r="M17"/>
  <c r="M18"/>
  <c r="J6" i="4"/>
  <c r="J3"/>
  <c r="J5"/>
  <c r="J13"/>
  <c r="J9"/>
  <c r="J8"/>
  <c r="J10"/>
  <c r="J11"/>
  <c r="J14"/>
  <c r="J7"/>
  <c r="J15"/>
  <c r="J18"/>
  <c r="J16"/>
  <c r="J19"/>
  <c r="J20"/>
  <c r="J12"/>
  <c r="J17"/>
  <c r="L6"/>
  <c r="L3"/>
  <c r="L5"/>
  <c r="L13"/>
  <c r="L9"/>
  <c r="L8"/>
  <c r="L10"/>
  <c r="L11"/>
  <c r="L14"/>
  <c r="L7"/>
  <c r="L15"/>
  <c r="L18"/>
  <c r="L16"/>
  <c r="L19"/>
  <c r="L20"/>
  <c r="L12"/>
  <c r="L17"/>
  <c r="J27" i="5"/>
  <c r="K27"/>
  <c r="O6" i="4" l="1"/>
  <c r="R6" s="1"/>
  <c r="O14"/>
  <c r="R14" s="1"/>
  <c r="O9"/>
  <c r="R9" s="1"/>
  <c r="M34" i="1"/>
  <c r="O16" i="4"/>
  <c r="R16" s="1"/>
  <c r="O17"/>
  <c r="R17" s="1"/>
  <c r="O19"/>
  <c r="R19" s="1"/>
  <c r="O8"/>
  <c r="R8" s="1"/>
  <c r="O3"/>
  <c r="R3" s="1"/>
  <c r="O7"/>
  <c r="R7" s="1"/>
  <c r="O20"/>
  <c r="R20" s="1"/>
  <c r="O15"/>
  <c r="R15" s="1"/>
  <c r="O10"/>
  <c r="R10" s="1"/>
  <c r="O5"/>
  <c r="R5" s="1"/>
  <c r="O12"/>
  <c r="R12" s="1"/>
  <c r="O18"/>
  <c r="R18" s="1"/>
  <c r="O11"/>
  <c r="R11" s="1"/>
  <c r="O13"/>
  <c r="R13" s="1"/>
  <c r="K5"/>
  <c r="O31" i="1" l="1"/>
  <c r="O33"/>
  <c r="K17" i="4"/>
  <c r="O37" i="1" l="1"/>
  <c r="O35"/>
  <c r="J543" i="3"/>
  <c r="M36" i="1" l="1"/>
  <c r="K15" i="4"/>
  <c r="K16" i="8" l="1"/>
  <c r="J16"/>
  <c r="I16"/>
  <c r="H16"/>
  <c r="G16"/>
  <c r="F16"/>
  <c r="E16"/>
  <c r="D16"/>
  <c r="K12"/>
  <c r="J12"/>
  <c r="I12"/>
  <c r="H12"/>
  <c r="G12"/>
  <c r="E12"/>
  <c r="F12"/>
  <c r="D12"/>
  <c r="K2" i="3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I8" i="4" s="1"/>
  <c r="N8" s="1"/>
  <c r="K179" i="3"/>
  <c r="K180"/>
  <c r="K181"/>
  <c r="K182"/>
  <c r="K183"/>
  <c r="K184"/>
  <c r="K185"/>
  <c r="K186"/>
  <c r="K187"/>
  <c r="K188"/>
  <c r="K189"/>
  <c r="I14" i="4" s="1"/>
  <c r="N14" s="1"/>
  <c r="K190" i="3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2" i="4" s="1"/>
  <c r="P12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8" i="4" s="1"/>
  <c r="P8" s="1"/>
  <c r="L179" i="3"/>
  <c r="L180"/>
  <c r="L181"/>
  <c r="L182"/>
  <c r="L183"/>
  <c r="L184"/>
  <c r="L185"/>
  <c r="L186"/>
  <c r="L187"/>
  <c r="L188"/>
  <c r="L189"/>
  <c r="M14" i="4" s="1"/>
  <c r="P1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5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39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M2" i="4" l="1"/>
  <c r="P2" s="1"/>
  <c r="I13"/>
  <c r="N13" s="1"/>
  <c r="M21"/>
  <c r="P21" s="1"/>
  <c r="M16"/>
  <c r="P16" s="1"/>
  <c r="M5"/>
  <c r="P5" s="1"/>
  <c r="M11"/>
  <c r="P11" s="1"/>
  <c r="M20"/>
  <c r="P20" s="1"/>
  <c r="M13"/>
  <c r="P13" s="1"/>
  <c r="M10"/>
  <c r="P10" s="1"/>
  <c r="M17"/>
  <c r="P17" s="1"/>
  <c r="M3"/>
  <c r="P3" s="1"/>
  <c r="M18"/>
  <c r="P18" s="1"/>
  <c r="M15"/>
  <c r="P15" s="1"/>
  <c r="M6"/>
  <c r="P6" s="1"/>
  <c r="M19"/>
  <c r="P19" s="1"/>
  <c r="M4"/>
  <c r="P4" s="1"/>
  <c r="M7"/>
  <c r="P7" s="1"/>
  <c r="M9"/>
  <c r="P9" s="1"/>
  <c r="J739" i="3"/>
  <c r="J738"/>
  <c r="J737"/>
  <c r="J736"/>
  <c r="J735"/>
  <c r="J734"/>
  <c r="J733"/>
  <c r="J732"/>
  <c r="J731"/>
  <c r="J730"/>
  <c r="J729"/>
  <c r="J728"/>
  <c r="J727"/>
  <c r="J726"/>
  <c r="J725"/>
  <c r="J724"/>
  <c r="J723"/>
  <c r="J722"/>
  <c r="J721"/>
  <c r="J720"/>
  <c r="J719"/>
  <c r="J718"/>
  <c r="J717"/>
  <c r="J716"/>
  <c r="J715"/>
  <c r="J714"/>
  <c r="J713"/>
  <c r="J712"/>
  <c r="J711"/>
  <c r="J710"/>
  <c r="J709"/>
  <c r="J708"/>
  <c r="J707"/>
  <c r="J706"/>
  <c r="J705"/>
  <c r="J704"/>
  <c r="J703"/>
  <c r="J702"/>
  <c r="J701"/>
  <c r="J700"/>
  <c r="J699"/>
  <c r="J698"/>
  <c r="J697"/>
  <c r="J696"/>
  <c r="J695"/>
  <c r="J694"/>
  <c r="J693"/>
  <c r="J692"/>
  <c r="J691"/>
  <c r="J690"/>
  <c r="J689"/>
  <c r="J688"/>
  <c r="J687"/>
  <c r="J686"/>
  <c r="J685"/>
  <c r="J684"/>
  <c r="J683"/>
  <c r="J682"/>
  <c r="J681"/>
  <c r="J680"/>
  <c r="I2" i="4" s="1"/>
  <c r="N2" s="1"/>
  <c r="J679" i="3"/>
  <c r="J678"/>
  <c r="J677"/>
  <c r="J676"/>
  <c r="J675"/>
  <c r="J674"/>
  <c r="J673"/>
  <c r="J672"/>
  <c r="J671"/>
  <c r="J670"/>
  <c r="J669"/>
  <c r="J668"/>
  <c r="J667"/>
  <c r="J666"/>
  <c r="J665"/>
  <c r="J664"/>
  <c r="J663"/>
  <c r="J662"/>
  <c r="J661"/>
  <c r="J660"/>
  <c r="J659"/>
  <c r="J658"/>
  <c r="J657"/>
  <c r="J656"/>
  <c r="J655"/>
  <c r="J654"/>
  <c r="J653"/>
  <c r="J652"/>
  <c r="J651"/>
  <c r="J650"/>
  <c r="J649"/>
  <c r="J648"/>
  <c r="J647"/>
  <c r="J646"/>
  <c r="J645"/>
  <c r="J644"/>
  <c r="J643"/>
  <c r="J642"/>
  <c r="J641"/>
  <c r="J640"/>
  <c r="J639"/>
  <c r="J638"/>
  <c r="J637"/>
  <c r="J636"/>
  <c r="J635"/>
  <c r="J634"/>
  <c r="J633"/>
  <c r="J632"/>
  <c r="J631"/>
  <c r="J630"/>
  <c r="J629"/>
  <c r="J628"/>
  <c r="J627"/>
  <c r="J626"/>
  <c r="J625"/>
  <c r="J624"/>
  <c r="J623"/>
  <c r="J622"/>
  <c r="J621"/>
  <c r="J620"/>
  <c r="J619"/>
  <c r="J618"/>
  <c r="J617"/>
  <c r="J616"/>
  <c r="J615"/>
  <c r="J614"/>
  <c r="J613"/>
  <c r="J612"/>
  <c r="J611"/>
  <c r="J610"/>
  <c r="J609"/>
  <c r="J608"/>
  <c r="J607"/>
  <c r="J606"/>
  <c r="J605"/>
  <c r="J604"/>
  <c r="J603"/>
  <c r="J602"/>
  <c r="J601"/>
  <c r="J600"/>
  <c r="J599"/>
  <c r="J598"/>
  <c r="J597"/>
  <c r="J596"/>
  <c r="J595"/>
  <c r="J594"/>
  <c r="J593"/>
  <c r="J592"/>
  <c r="J591"/>
  <c r="J590"/>
  <c r="J589"/>
  <c r="J588"/>
  <c r="J587"/>
  <c r="J586"/>
  <c r="J585"/>
  <c r="J584"/>
  <c r="J583"/>
  <c r="J582"/>
  <c r="J581"/>
  <c r="J580"/>
  <c r="J579"/>
  <c r="J578"/>
  <c r="J577"/>
  <c r="J576"/>
  <c r="J575"/>
  <c r="J574"/>
  <c r="J573"/>
  <c r="J572"/>
  <c r="J571"/>
  <c r="J570"/>
  <c r="J569"/>
  <c r="J568"/>
  <c r="J567"/>
  <c r="J566"/>
  <c r="J565"/>
  <c r="J564"/>
  <c r="J563"/>
  <c r="J562"/>
  <c r="J561"/>
  <c r="J560"/>
  <c r="J559"/>
  <c r="J558"/>
  <c r="J557"/>
  <c r="J556"/>
  <c r="J555"/>
  <c r="J554"/>
  <c r="J553"/>
  <c r="J552"/>
  <c r="J551"/>
  <c r="J550"/>
  <c r="J549"/>
  <c r="J548"/>
  <c r="J547"/>
  <c r="J546"/>
  <c r="J545"/>
  <c r="J544"/>
  <c r="J542"/>
  <c r="J541"/>
  <c r="J540"/>
  <c r="J539"/>
  <c r="J538"/>
  <c r="J537"/>
  <c r="J536"/>
  <c r="J535"/>
  <c r="J534"/>
  <c r="J533"/>
  <c r="J532"/>
  <c r="J531"/>
  <c r="J530"/>
  <c r="J529"/>
  <c r="J528"/>
  <c r="J527"/>
  <c r="J526"/>
  <c r="J525"/>
  <c r="J524"/>
  <c r="J523"/>
  <c r="J522"/>
  <c r="J521"/>
  <c r="J520"/>
  <c r="J519"/>
  <c r="J518"/>
  <c r="J517"/>
  <c r="J516"/>
  <c r="J515"/>
  <c r="J514"/>
  <c r="J513"/>
  <c r="J512"/>
  <c r="J511"/>
  <c r="J510"/>
  <c r="J509"/>
  <c r="J508"/>
  <c r="J507"/>
  <c r="J506"/>
  <c r="J505"/>
  <c r="J504"/>
  <c r="J503"/>
  <c r="J502"/>
  <c r="J501"/>
  <c r="J500"/>
  <c r="J499"/>
  <c r="J498"/>
  <c r="J497"/>
  <c r="J496"/>
  <c r="J495"/>
  <c r="J494"/>
  <c r="J493"/>
  <c r="J492"/>
  <c r="J491"/>
  <c r="J490"/>
  <c r="J489"/>
  <c r="J488"/>
  <c r="J487"/>
  <c r="J486"/>
  <c r="J485"/>
  <c r="J484"/>
  <c r="J483"/>
  <c r="J482"/>
  <c r="J481"/>
  <c r="J480"/>
  <c r="J479"/>
  <c r="J478"/>
  <c r="J477"/>
  <c r="J476"/>
  <c r="J475"/>
  <c r="J474"/>
  <c r="J473"/>
  <c r="J472"/>
  <c r="J471"/>
  <c r="J470"/>
  <c r="J469"/>
  <c r="J468"/>
  <c r="J467"/>
  <c r="J466"/>
  <c r="J465"/>
  <c r="J464"/>
  <c r="J463"/>
  <c r="J462"/>
  <c r="J461"/>
  <c r="J460"/>
  <c r="J459"/>
  <c r="J458"/>
  <c r="J457"/>
  <c r="J456"/>
  <c r="J455"/>
  <c r="J454"/>
  <c r="J453"/>
  <c r="J452"/>
  <c r="J451"/>
  <c r="J450"/>
  <c r="J449"/>
  <c r="J448"/>
  <c r="J447"/>
  <c r="J446"/>
  <c r="J445"/>
  <c r="J444"/>
  <c r="J443"/>
  <c r="J442"/>
  <c r="J441"/>
  <c r="J440"/>
  <c r="J439"/>
  <c r="J438"/>
  <c r="J437"/>
  <c r="J436"/>
  <c r="J435"/>
  <c r="J434"/>
  <c r="J433"/>
  <c r="J432"/>
  <c r="J431"/>
  <c r="J430"/>
  <c r="J429"/>
  <c r="J428"/>
  <c r="J427"/>
  <c r="J426"/>
  <c r="J425"/>
  <c r="J424"/>
  <c r="J423"/>
  <c r="J422"/>
  <c r="J421"/>
  <c r="J420"/>
  <c r="J419"/>
  <c r="J418"/>
  <c r="J417"/>
  <c r="J416"/>
  <c r="J415"/>
  <c r="J414"/>
  <c r="J413"/>
  <c r="J412"/>
  <c r="J411"/>
  <c r="J410"/>
  <c r="J409"/>
  <c r="J408"/>
  <c r="J407"/>
  <c r="J406"/>
  <c r="J405"/>
  <c r="J404"/>
  <c r="J403"/>
  <c r="J402"/>
  <c r="J401"/>
  <c r="J400"/>
  <c r="J399"/>
  <c r="J398"/>
  <c r="J397"/>
  <c r="J396"/>
  <c r="J395"/>
  <c r="J394"/>
  <c r="J393"/>
  <c r="J392"/>
  <c r="J391"/>
  <c r="J390"/>
  <c r="J389"/>
  <c r="J388"/>
  <c r="J387"/>
  <c r="J386"/>
  <c r="J385"/>
  <c r="J384"/>
  <c r="J383"/>
  <c r="J382"/>
  <c r="J381"/>
  <c r="J379"/>
  <c r="J372"/>
  <c r="J371"/>
  <c r="J364"/>
  <c r="J360"/>
  <c r="J354"/>
  <c r="J349"/>
  <c r="J343"/>
  <c r="J324"/>
  <c r="J319"/>
  <c r="J314"/>
  <c r="J307"/>
  <c r="J299"/>
  <c r="J296"/>
  <c r="J294"/>
  <c r="J283"/>
  <c r="J276"/>
  <c r="J273"/>
  <c r="J271"/>
  <c r="J269"/>
  <c r="J267"/>
  <c r="J253"/>
  <c r="J252"/>
  <c r="J249"/>
  <c r="J248"/>
  <c r="J240"/>
  <c r="J234"/>
  <c r="J233"/>
  <c r="J232"/>
  <c r="J221"/>
  <c r="J216"/>
  <c r="J201"/>
  <c r="J200"/>
  <c r="J197"/>
  <c r="J185"/>
  <c r="J181"/>
  <c r="J175"/>
  <c r="J173"/>
  <c r="J172"/>
  <c r="J171"/>
  <c r="J169"/>
  <c r="J167"/>
  <c r="J166"/>
  <c r="J162"/>
  <c r="J161"/>
  <c r="J160"/>
  <c r="J157"/>
  <c r="J154"/>
  <c r="J152"/>
  <c r="J15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I12" i="4" s="1"/>
  <c r="N12" s="1"/>
  <c r="J59" i="3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2"/>
  <c r="K16" i="4"/>
  <c r="M16" i="1"/>
  <c r="M19" s="1"/>
  <c r="I21" i="4" l="1"/>
  <c r="N21" s="1"/>
  <c r="I18"/>
  <c r="N18" s="1"/>
  <c r="I16"/>
  <c r="N16" s="1"/>
  <c r="I15"/>
  <c r="N15" s="1"/>
  <c r="I4"/>
  <c r="N4" s="1"/>
  <c r="I20"/>
  <c r="N20" s="1"/>
  <c r="I11"/>
  <c r="N11" s="1"/>
  <c r="I19"/>
  <c r="N19" s="1"/>
  <c r="I17"/>
  <c r="N17" s="1"/>
  <c r="I5"/>
  <c r="N5" s="1"/>
  <c r="I10"/>
  <c r="N10" s="1"/>
  <c r="I6"/>
  <c r="N6" s="1"/>
  <c r="I3"/>
  <c r="N3" s="1"/>
  <c r="I9"/>
  <c r="N9" s="1"/>
  <c r="I7"/>
  <c r="N7" s="1"/>
  <c r="O16" i="1"/>
  <c r="M20"/>
  <c r="O18"/>
  <c r="M21" l="1"/>
  <c r="M22" s="1"/>
  <c r="M23" s="1"/>
  <c r="O20"/>
  <c r="U4"/>
  <c r="V4" s="1"/>
  <c r="U5"/>
  <c r="V5" s="1"/>
  <c r="U6"/>
  <c r="V6" s="1"/>
  <c r="U7"/>
  <c r="V7" s="1"/>
  <c r="U8"/>
  <c r="V8" s="1"/>
  <c r="K11" i="4"/>
  <c r="K20"/>
  <c r="K10"/>
  <c r="K9"/>
  <c r="K12"/>
  <c r="K3"/>
  <c r="K18"/>
  <c r="K8"/>
  <c r="K7"/>
  <c r="K14"/>
  <c r="K13"/>
  <c r="K6"/>
  <c r="K19"/>
  <c r="Y8" i="1" l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4"/>
  <c r="AD2" i="6"/>
  <c r="Y2" s="1"/>
  <c r="O2" s="1"/>
  <c r="P2" s="1"/>
  <c r="R2" s="1"/>
  <c r="AC2"/>
  <c r="X2" s="1"/>
  <c r="AB2"/>
  <c r="W2" s="1"/>
  <c r="E3"/>
  <c r="E4" s="1"/>
  <c r="F3"/>
  <c r="G4"/>
  <c r="G5" s="1"/>
  <c r="G6" s="1"/>
  <c r="N4"/>
  <c r="N7" s="1"/>
  <c r="U3" i="1"/>
  <c r="V3" s="1"/>
  <c r="U2"/>
  <c r="M7" l="1"/>
  <c r="O4"/>
  <c r="M6"/>
  <c r="L38" i="2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O27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M9" i="1" l="1"/>
  <c r="M8"/>
  <c r="N27" i="2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M11" i="1" l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O10" i="1" l="1"/>
  <c r="O12" s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O17"/>
  <c r="C45"/>
  <c r="B45"/>
  <c r="C44"/>
  <c r="B44"/>
  <c r="O13"/>
  <c r="O12"/>
  <c r="O16"/>
  <c r="L39" l="1"/>
  <c r="L40"/>
  <c r="N39"/>
  <c r="N40"/>
  <c r="N3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U33" l="1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A3"/>
  <c r="B3" s="1"/>
  <c r="M40" l="1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C33"/>
  <c r="B36"/>
  <c r="H37"/>
  <c r="F38"/>
  <c r="B34"/>
  <c r="C34"/>
  <c r="B31"/>
  <c r="C31"/>
  <c r="C32"/>
  <c r="B32"/>
  <c r="B35"/>
  <c r="C35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H10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<sst xmlns="http://schemas.openxmlformats.org/spreadsheetml/2006/main" count="2604" uniqueCount="320">
  <si>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</si>
  <si>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</si>
  <si>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</si>
  <si>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</si>
  <si>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</si>
  <si>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</si>
  <si>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</si>
  <si>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</si>
  <si>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</si>
  <si>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</si>
  <si>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</si>
  <si>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</si>
  <si>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</si>
  <si>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</si>
  <si>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</si>
  <si>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</si>
  <si>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</si>
  <si>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</si>
  <si>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</si>
  <si>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</si>
  <si>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</si>
  <si>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</si>
  <si>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</si>
  <si>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</si>
  <si>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</si>
  <si>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</si>
  <si>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</si>
  <si>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</si>
  <si>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</si>
  <si>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</si>
  <si>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</si>
  <si>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</si>
  <si>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</si>
  <si>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</si>
  <si>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</si>
  <si>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</si>
  <si>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</si>
  <si>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</si>
  <si>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</si>
  <si>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</si>
  <si>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</si>
  <si>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</si>
  <si>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</si>
  <si>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</si>
  <si>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</si>
  <si>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</si>
  <si>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</si>
  <si>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</si>
  <si>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</si>
  <si>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</si>
  <si>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</si>
  <si>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</si>
  <si>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</si>
  <si>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</si>
  <si>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</si>
  <si>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</si>
  <si>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</si>
  <si>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</si>
  <si>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</si>
  <si>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</si>
  <si>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</si>
  <si>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</si>
  <si>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</si>
  <si>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</si>
  <si>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</si>
  <si>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</si>
  <si>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</si>
  <si>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</si>
  <si>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</si>
  <si>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</si>
  <si>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</si>
  <si>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</si>
  <si>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</si>
  <si>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</si>
  <si>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</si>
  <si>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</si>
  <si>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</si>
  <si>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</si>
  <si>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</si>
  <si>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</si>
  <si>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</si>
  <si>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</si>
  <si>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</si>
  <si>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</si>
  <si>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</si>
  <si>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</si>
  <si>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</si>
  <si>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</si>
  <si>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</si>
  <si>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</si>
  <si>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</si>
  <si>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</si>
  <si>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</si>
  <si>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</si>
  <si>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</si>
  <si>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</si>
  <si>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</si>
  <si>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</si>
  <si>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</si>
  <si>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</si>
  <si>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</si>
  <si>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</si>
  <si>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</si>
  <si>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</si>
  <si>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</si>
  <si>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</si>
  <si>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</si>
  <si>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</si>
  <si>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</si>
  <si>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</si>
  <si>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</si>
  <si>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</si>
  <si>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</si>
  <si>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</si>
  <si>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</si>
  <si>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</si>
  <si>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</si>
  <si>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</si>
  <si>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</si>
  <si>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</si>
  <si>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</si>
  <si>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</si>
  <si>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</si>
  <si>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</si>
  <si>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</si>
  <si>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</si>
  <si>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</si>
  <si>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</si>
  <si>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</si>
  <si>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</si>
  <si>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</si>
  <si>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</si>
  <si>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</si>
  <si>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</si>
  <si>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</si>
  <si>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</si>
  <si>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</si>
  <si>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</si>
  <si>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</si>
  <si>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</si>
  <si>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</si>
  <si>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</si>
  <si>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</si>
  <si>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</si>
  <si>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</si>
  <si>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</si>
  <si>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</si>
  <si>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</si>
  <si>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</si>
  <si>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</si>
  <si>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</si>
  <si>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</si>
  <si>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</si>
  <si>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</si>
  <si>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</si>
  <si>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</si>
  <si>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</si>
  <si>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</si>
  <si>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</si>
  <si>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</si>
  <si>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</si>
  <si>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</si>
  <si>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</si>
  <si>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</si>
  <si>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</si>
  <si>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</si>
  <si>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</si>
  <si>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</si>
  <si>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</si>
  <si>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</si>
  <si>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</si>
  <si>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</si>
  <si>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</si>
  <si>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</si>
  <si>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</si>
  <si>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</si>
  <si>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</si>
  <si>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</si>
  <si>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</si>
  <si>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</si>
  <si>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</si>
  <si>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</si>
  <si>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</si>
  <si>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</si>
  <si>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</si>
  <si>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</si>
  <si>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</si>
  <si>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</si>
  <si>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</si>
  <si>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</si>
  <si>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</si>
  <si>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</si>
  <si>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</si>
  <si>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</si>
  <si>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</si>
  <si>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</si>
  <si>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</si>
  <si>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</si>
  <si>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</si>
  <si>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</si>
  <si>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</si>
  <si>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</si>
  <si>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</si>
  <si>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</si>
  <si>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</si>
  <si>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</si>
  <si>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</si>
  <si>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</si>
  <si>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</si>
  <si>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</si>
  <si>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</si>
  <si>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</si>
  <si>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</si>
  <si>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</si>
  <si>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</si>
  <si>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</si>
  <si>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</si>
  <si>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</si>
  <si>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</si>
  <si>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</si>
  <si>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</si>
  <si>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</si>
  <si>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</si>
  <si>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</si>
  <si>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</si>
  <si>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</si>
  <si>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</si>
  <si>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</si>
  <si>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</si>
  <si>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</si>
  <si>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</si>
  <si>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</si>
  <si>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</si>
  <si>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</si>
  <si>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</si>
  <si>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</si>
  <si>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</si>
  <si>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</si>
  <si>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</si>
  <si>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</si>
  <si>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</si>
  <si>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</si>
  <si>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</si>
  <si>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</si>
  <si>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</si>
  <si>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</si>
  <si>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</si>
  <si>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</si>
  <si>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</si>
  <si>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</si>
  <si>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</si>
  <si>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</si>
  <si>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</si>
  <si>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</si>
  <si>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</si>
  <si>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</si>
  <si>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</si>
  <si>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</si>
  <si>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</si>
  <si>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</si>
  <si>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</si>
  <si>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</si>
  <si>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</si>
  <si>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</si>
  <si>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</si>
  <si>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</si>
  <si>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</si>
  <si>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</si>
  <si>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</si>
  <si>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</si>
  <si>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</si>
  <si>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</si>
  <si>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</si>
  <si>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</si>
  <si>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</si>
  <si>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</si>
  <si>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</si>
  <si>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</si>
  <si>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</si>
  <si>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</si>
  <si>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</si>
  <si>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</si>
  <si>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</si>
  <si>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</si>
  <si>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</si>
  <si>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</si>
  <si>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</si>
  <si>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</si>
  <si>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</si>
  <si>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</si>
  <si>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</si>
  <si>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</si>
  <si>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</si>
  <si>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</si>
  <si>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</si>
  <si>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</si>
  <si>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</si>
  <si>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</si>
  <si>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</si>
  <si>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</si>
  <si>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Mid</t>
  </si>
  <si>
    <t>High</t>
  </si>
  <si>
    <t>Tot. Need</t>
  </si>
  <si>
    <t>Tot.got</t>
  </si>
  <si>
    <t>4* 1</t>
  </si>
  <si>
    <t>3* 30</t>
  </si>
  <si>
    <t>Pure Cash to XP + XP Train/Energy</t>
  </si>
  <si>
    <t>s</t>
  </si>
  <si>
    <t>EoWind(Mid)</t>
  </si>
  <si>
    <t>EoFire(High)</t>
  </si>
  <si>
    <t>Blue</t>
  </si>
  <si>
    <t>EoDark(Mid)</t>
  </si>
  <si>
    <t>EoDark(High)</t>
  </si>
  <si>
    <t>Suma z Quality/Quantity</t>
  </si>
  <si>
    <t>Licznik z LVL</t>
  </si>
  <si>
    <t>Energy for MID lvl 7</t>
  </si>
  <si>
    <t>Energy for MID lvl 9</t>
  </si>
  <si>
    <t>Fail</t>
  </si>
  <si>
    <t>MID</t>
  </si>
  <si>
    <t>HIGH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</si>
</sst>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8" xfId="0" applyFont="1" applyBorder="1"/>
    <xf numFmtId="0" fontId="3" fillId="0" borderId="9" xfId="0" applyFont="1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0" borderId="0" xfId="0" applyNumberFormat="1" applyBorder="1"/>
  </cellXfs>
  <cellStyles count="1">
    <cellStyle name="Normalny" xfId="0" builtinId="0"/>
  </cellStyles>
  <dxfs count="13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6.529734490738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2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13" count="13">
        <n v="1"/>
        <n v="3"/>
        <n v="6"/>
        <n v="5"/>
        <n v="4"/>
        <n v="2"/>
        <n v="7"/>
        <n v="8"/>
        <n v="11"/>
        <n v="13"/>
        <n v="9"/>
        <n v="10"/>
        <m/>
      </sharedItems>
    </cacheField>
    <cacheField name="Mana drop" numFmtId="0">
      <sharedItems containsString="0" containsBlank="1" containsNumber="1" containsInteger="1" minValue="0" maxValue="368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6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EoDark(low)"/>
        <s v="EoWat(Mid)"/>
        <s v="SumStone"/>
        <s v="EoWat(High)"/>
        <s v="SD(Bearman)"/>
        <s v="Angelmon"/>
        <s v="EoMag(High)"/>
        <s v="Fatal"/>
        <s v="EoWind(Mid)"/>
        <s v="EoFire(High)"/>
        <s v="Blue"/>
        <s v="EoDark(Mid)"/>
        <s v="EoDark(High)"/>
        <s v="Lowx2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/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containsInteger="1" minValue="0" maxValue="34500"/>
    </cacheField>
    <cacheField name="Exp Gain" numFmtId="0">
      <sharedItems containsSemiMixedTypes="0" containsString="0" containsNumber="1" containsInteg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m/>
    <n v="912"/>
    <n v="912"/>
    <n v="0"/>
    <n v="0"/>
    <m/>
  </r>
  <r>
    <x v="0"/>
    <x v="0"/>
    <x v="1"/>
    <n v="1255"/>
    <n v="0"/>
    <x v="0"/>
    <m/>
    <m/>
    <n v="325"/>
    <n v="325"/>
    <n v="0"/>
    <n v="0"/>
    <m/>
  </r>
  <r>
    <x v="0"/>
    <x v="0"/>
    <x v="1"/>
    <n v="1668"/>
    <n v="1"/>
    <x v="1"/>
    <s v="2*"/>
    <m/>
    <n v="0"/>
    <n v="0"/>
    <n v="11500"/>
    <n v="15120"/>
    <m/>
  </r>
  <r>
    <x v="0"/>
    <x v="0"/>
    <x v="1"/>
    <n v="1008"/>
    <n v="0"/>
    <x v="0"/>
    <m/>
    <m/>
    <n v="325"/>
    <n v="325"/>
    <n v="0"/>
    <n v="0"/>
    <m/>
  </r>
  <r>
    <x v="0"/>
    <x v="0"/>
    <x v="1"/>
    <n v="1619"/>
    <n v="1"/>
    <x v="0"/>
    <m/>
    <m/>
    <n v="325"/>
    <n v="325"/>
    <n v="0"/>
    <n v="0"/>
    <m/>
  </r>
  <r>
    <x v="0"/>
    <x v="0"/>
    <x v="1"/>
    <n v="1152"/>
    <n v="1"/>
    <x v="0"/>
    <m/>
    <m/>
    <n v="720"/>
    <n v="720"/>
    <n v="0"/>
    <n v="0"/>
    <m/>
  </r>
  <r>
    <x v="0"/>
    <x v="0"/>
    <x v="1"/>
    <n v="1007"/>
    <n v="0"/>
    <x v="2"/>
    <n v="1"/>
    <m/>
    <n v="0"/>
    <n v="2000"/>
    <n v="0"/>
    <n v="0"/>
    <m/>
  </r>
  <r>
    <x v="0"/>
    <x v="0"/>
    <x v="1"/>
    <n v="1401"/>
    <n v="0"/>
    <x v="1"/>
    <s v="2*"/>
    <m/>
    <n v="0"/>
    <n v="0"/>
    <n v="11500"/>
    <n v="15120"/>
    <m/>
  </r>
  <r>
    <x v="0"/>
    <x v="0"/>
    <x v="1"/>
    <n v="1705"/>
    <n v="1"/>
    <x v="2"/>
    <n v="1"/>
    <m/>
    <n v="0"/>
    <n v="2000"/>
    <n v="0"/>
    <n v="0"/>
    <m/>
  </r>
  <r>
    <x v="0"/>
    <x v="0"/>
    <x v="1"/>
    <n v="1033"/>
    <n v="0"/>
    <x v="0"/>
    <m/>
    <m/>
    <n v="720"/>
    <n v="720"/>
    <n v="0"/>
    <n v="0"/>
    <m/>
  </r>
  <r>
    <x v="0"/>
    <x v="0"/>
    <x v="1"/>
    <n v="645"/>
    <n v="0"/>
    <x v="1"/>
    <s v="2*"/>
    <m/>
    <n v="0"/>
    <n v="0"/>
    <n v="11500"/>
    <n v="15120"/>
    <m/>
  </r>
  <r>
    <x v="0"/>
    <x v="0"/>
    <x v="1"/>
    <n v="1091"/>
    <n v="4"/>
    <x v="0"/>
    <m/>
    <m/>
    <n v="325"/>
    <n v="325"/>
    <n v="0"/>
    <n v="0"/>
    <m/>
  </r>
  <r>
    <x v="0"/>
    <x v="0"/>
    <x v="1"/>
    <n v="519"/>
    <n v="2"/>
    <x v="0"/>
    <m/>
    <m/>
    <n v="487"/>
    <n v="487"/>
    <n v="0"/>
    <n v="0"/>
    <m/>
  </r>
  <r>
    <x v="0"/>
    <x v="0"/>
    <x v="1"/>
    <n v="1378"/>
    <n v="1"/>
    <x v="0"/>
    <m/>
    <m/>
    <n v="325"/>
    <n v="325"/>
    <n v="0"/>
    <n v="0"/>
    <m/>
  </r>
  <r>
    <x v="0"/>
    <x v="0"/>
    <x v="1"/>
    <n v="1455"/>
    <n v="1"/>
    <x v="0"/>
    <m/>
    <m/>
    <n v="325"/>
    <n v="325"/>
    <n v="0"/>
    <n v="0"/>
    <m/>
  </r>
  <r>
    <x v="0"/>
    <x v="0"/>
    <x v="1"/>
    <n v="790"/>
    <n v="2"/>
    <x v="1"/>
    <s v="1*"/>
    <m/>
    <n v="0"/>
    <n v="0"/>
    <n v="0"/>
    <n v="0"/>
    <m/>
  </r>
  <r>
    <x v="0"/>
    <x v="0"/>
    <x v="1"/>
    <n v="1881"/>
    <n v="2"/>
    <x v="2"/>
    <n v="1"/>
    <m/>
    <n v="0"/>
    <n v="2000"/>
    <n v="0"/>
    <n v="0"/>
    <m/>
  </r>
  <r>
    <x v="0"/>
    <x v="0"/>
    <x v="1"/>
    <n v="1508"/>
    <n v="0"/>
    <x v="0"/>
    <m/>
    <m/>
    <n v="325"/>
    <n v="325"/>
    <n v="0"/>
    <n v="0"/>
    <m/>
  </r>
  <r>
    <x v="0"/>
    <x v="0"/>
    <x v="1"/>
    <n v="970"/>
    <n v="0"/>
    <x v="0"/>
    <m/>
    <m/>
    <n v="433"/>
    <n v="433"/>
    <n v="0"/>
    <n v="0"/>
    <m/>
  </r>
  <r>
    <x v="0"/>
    <x v="0"/>
    <x v="1"/>
    <n v="1863"/>
    <n v="0"/>
    <x v="0"/>
    <m/>
    <m/>
    <n v="379"/>
    <n v="379"/>
    <n v="0"/>
    <n v="0"/>
    <m/>
  </r>
  <r>
    <x v="0"/>
    <x v="0"/>
    <x v="1"/>
    <n v="1298"/>
    <n v="1"/>
    <x v="1"/>
    <s v="1*"/>
    <m/>
    <n v="0"/>
    <n v="0"/>
    <n v="0"/>
    <n v="0"/>
    <m/>
  </r>
  <r>
    <x v="0"/>
    <x v="0"/>
    <x v="1"/>
    <n v="867"/>
    <n v="2"/>
    <x v="0"/>
    <m/>
    <m/>
    <n v="325"/>
    <n v="325"/>
    <n v="0"/>
    <n v="0"/>
    <m/>
  </r>
  <r>
    <x v="0"/>
    <x v="0"/>
    <x v="1"/>
    <n v="1453"/>
    <n v="1"/>
    <x v="0"/>
    <m/>
    <m/>
    <n v="325"/>
    <n v="325"/>
    <n v="0"/>
    <n v="0"/>
    <m/>
  </r>
  <r>
    <x v="0"/>
    <x v="0"/>
    <x v="1"/>
    <n v="1293"/>
    <n v="0"/>
    <x v="2"/>
    <n v="1"/>
    <m/>
    <n v="0"/>
    <n v="2000"/>
    <n v="0"/>
    <n v="0"/>
    <m/>
  </r>
  <r>
    <x v="0"/>
    <x v="0"/>
    <x v="1"/>
    <n v="1406"/>
    <n v="0"/>
    <x v="0"/>
    <m/>
    <m/>
    <n v="325"/>
    <n v="325"/>
    <n v="0"/>
    <n v="0"/>
    <m/>
  </r>
  <r>
    <x v="0"/>
    <x v="0"/>
    <x v="1"/>
    <n v="1172"/>
    <n v="1"/>
    <x v="2"/>
    <n v="1"/>
    <m/>
    <n v="0"/>
    <n v="2000"/>
    <n v="0"/>
    <n v="0"/>
    <m/>
  </r>
  <r>
    <x v="0"/>
    <x v="0"/>
    <x v="1"/>
    <n v="1517"/>
    <n v="2"/>
    <x v="0"/>
    <m/>
    <m/>
    <n v="325"/>
    <n v="325"/>
    <n v="0"/>
    <n v="0"/>
    <m/>
  </r>
  <r>
    <x v="0"/>
    <x v="0"/>
    <x v="1"/>
    <n v="679"/>
    <n v="0"/>
    <x v="0"/>
    <m/>
    <m/>
    <n v="379"/>
    <n v="379"/>
    <n v="0"/>
    <n v="0"/>
    <m/>
  </r>
  <r>
    <x v="0"/>
    <x v="0"/>
    <x v="1"/>
    <n v="1263"/>
    <n v="0"/>
    <x v="0"/>
    <m/>
    <m/>
    <n v="487"/>
    <n v="487"/>
    <n v="0"/>
    <n v="0"/>
    <m/>
  </r>
  <r>
    <x v="0"/>
    <x v="0"/>
    <x v="1"/>
    <n v="497"/>
    <n v="1"/>
    <x v="2"/>
    <n v="1"/>
    <m/>
    <n v="0"/>
    <n v="2000"/>
    <n v="0"/>
    <n v="0"/>
    <m/>
  </r>
  <r>
    <x v="0"/>
    <x v="0"/>
    <x v="1"/>
    <n v="621"/>
    <n v="1"/>
    <x v="0"/>
    <m/>
    <m/>
    <n v="720"/>
    <n v="720"/>
    <n v="0"/>
    <n v="0"/>
    <m/>
  </r>
  <r>
    <x v="0"/>
    <x v="0"/>
    <x v="1"/>
    <n v="1165"/>
    <n v="1"/>
    <x v="0"/>
    <m/>
    <m/>
    <n v="325"/>
    <n v="325"/>
    <n v="0"/>
    <n v="0"/>
    <m/>
  </r>
  <r>
    <x v="0"/>
    <x v="0"/>
    <x v="1"/>
    <n v="1390"/>
    <n v="1"/>
    <x v="2"/>
    <n v="1"/>
    <m/>
    <n v="0"/>
    <n v="2000"/>
    <n v="0"/>
    <n v="0"/>
    <m/>
  </r>
  <r>
    <x v="0"/>
    <x v="0"/>
    <x v="1"/>
    <n v="999"/>
    <n v="1"/>
    <x v="2"/>
    <n v="1"/>
    <m/>
    <n v="0"/>
    <n v="2000"/>
    <n v="0"/>
    <n v="0"/>
    <m/>
  </r>
  <r>
    <x v="0"/>
    <x v="0"/>
    <x v="1"/>
    <n v="1117"/>
    <n v="2"/>
    <x v="0"/>
    <m/>
    <m/>
    <n v="325"/>
    <n v="325"/>
    <n v="0"/>
    <n v="0"/>
    <m/>
  </r>
  <r>
    <x v="0"/>
    <x v="0"/>
    <x v="1"/>
    <n v="794"/>
    <n v="1"/>
    <x v="0"/>
    <m/>
    <m/>
    <n v="325"/>
    <n v="325"/>
    <n v="0"/>
    <n v="0"/>
    <m/>
  </r>
  <r>
    <x v="0"/>
    <x v="0"/>
    <x v="1"/>
    <n v="1432"/>
    <n v="1"/>
    <x v="0"/>
    <m/>
    <m/>
    <n v="325"/>
    <n v="325"/>
    <n v="0"/>
    <n v="0"/>
    <m/>
  </r>
  <r>
    <x v="0"/>
    <x v="0"/>
    <x v="1"/>
    <n v="1485"/>
    <n v="0"/>
    <x v="0"/>
    <m/>
    <m/>
    <n v="433"/>
    <n v="433"/>
    <n v="0"/>
    <n v="0"/>
    <m/>
  </r>
  <r>
    <x v="0"/>
    <x v="0"/>
    <x v="1"/>
    <n v="1301"/>
    <n v="1"/>
    <x v="0"/>
    <m/>
    <m/>
    <n v="379"/>
    <n v="379"/>
    <n v="0"/>
    <n v="0"/>
    <m/>
  </r>
  <r>
    <x v="0"/>
    <x v="0"/>
    <x v="1"/>
    <n v="1501"/>
    <n v="0"/>
    <x v="0"/>
    <m/>
    <m/>
    <n v="720"/>
    <n v="720"/>
    <n v="0"/>
    <n v="0"/>
    <m/>
  </r>
  <r>
    <x v="0"/>
    <x v="1"/>
    <x v="1"/>
    <n v="1470"/>
    <n v="0"/>
    <x v="0"/>
    <m/>
    <m/>
    <n v="1080"/>
    <n v="1080"/>
    <n v="0"/>
    <n v="0"/>
    <m/>
  </r>
  <r>
    <x v="0"/>
    <x v="1"/>
    <x v="1"/>
    <n v="1058"/>
    <n v="1"/>
    <x v="2"/>
    <n v="2"/>
    <m/>
    <n v="0"/>
    <n v="4000"/>
    <n v="0"/>
    <n v="0"/>
    <m/>
  </r>
  <r>
    <x v="1"/>
    <x v="0"/>
    <x v="0"/>
    <n v="1552"/>
    <n v="2"/>
    <x v="0"/>
    <m/>
    <m/>
    <n v="2128"/>
    <n v="2128"/>
    <n v="0"/>
    <n v="0"/>
    <m/>
  </r>
  <r>
    <x v="1"/>
    <x v="0"/>
    <x v="0"/>
    <n v="1468"/>
    <n v="1"/>
    <x v="2"/>
    <n v="1"/>
    <m/>
    <n v="0"/>
    <n v="2000"/>
    <n v="0"/>
    <n v="0"/>
    <m/>
  </r>
  <r>
    <x v="1"/>
    <x v="0"/>
    <x v="0"/>
    <n v="1481"/>
    <n v="1"/>
    <x v="0"/>
    <m/>
    <m/>
    <n v="0"/>
    <n v="0"/>
    <n v="0"/>
    <n v="0"/>
    <m/>
  </r>
  <r>
    <x v="1"/>
    <x v="0"/>
    <x v="0"/>
    <n v="1928"/>
    <n v="1"/>
    <x v="0"/>
    <m/>
    <m/>
    <n v="1824"/>
    <n v="1824"/>
    <n v="0"/>
    <n v="0"/>
    <m/>
  </r>
  <r>
    <x v="1"/>
    <x v="0"/>
    <x v="0"/>
    <n v="1273"/>
    <n v="1"/>
    <x v="0"/>
    <m/>
    <m/>
    <n v="0"/>
    <n v="0"/>
    <n v="0"/>
    <n v="0"/>
    <m/>
  </r>
  <r>
    <x v="1"/>
    <x v="0"/>
    <x v="0"/>
    <n v="698"/>
    <n v="2"/>
    <x v="0"/>
    <m/>
    <m/>
    <n v="892"/>
    <n v="892"/>
    <n v="0"/>
    <n v="0"/>
    <m/>
  </r>
  <r>
    <x v="1"/>
    <x v="0"/>
    <x v="0"/>
    <n v="1500"/>
    <n v="1"/>
    <x v="0"/>
    <m/>
    <m/>
    <n v="2128"/>
    <n v="2128"/>
    <n v="0"/>
    <n v="0"/>
    <m/>
  </r>
  <r>
    <x v="1"/>
    <x v="0"/>
    <x v="0"/>
    <n v="310"/>
    <n v="1"/>
    <x v="2"/>
    <n v="1"/>
    <m/>
    <n v="0"/>
    <n v="2000"/>
    <n v="0"/>
    <n v="0"/>
    <m/>
  </r>
  <r>
    <x v="1"/>
    <x v="0"/>
    <x v="0"/>
    <n v="1386"/>
    <n v="0"/>
    <x v="0"/>
    <m/>
    <m/>
    <n v="823"/>
    <n v="823"/>
    <n v="0"/>
    <n v="0"/>
    <m/>
  </r>
  <r>
    <x v="1"/>
    <x v="0"/>
    <x v="0"/>
    <n v="1353"/>
    <n v="1"/>
    <x v="0"/>
    <m/>
    <m/>
    <n v="1824"/>
    <n v="1824"/>
    <n v="0"/>
    <n v="0"/>
    <m/>
  </r>
  <r>
    <x v="1"/>
    <x v="0"/>
    <x v="0"/>
    <n v="1480"/>
    <n v="1"/>
    <x v="2"/>
    <n v="1"/>
    <m/>
    <n v="0"/>
    <n v="2000"/>
    <n v="0"/>
    <n v="0"/>
    <m/>
  </r>
  <r>
    <x v="1"/>
    <x v="0"/>
    <x v="0"/>
    <n v="1618"/>
    <n v="1"/>
    <x v="2"/>
    <n v="1"/>
    <m/>
    <n v="0"/>
    <n v="2000"/>
    <n v="0"/>
    <n v="0"/>
    <m/>
  </r>
  <r>
    <x v="1"/>
    <x v="0"/>
    <x v="0"/>
    <n v="1145"/>
    <n v="3"/>
    <x v="0"/>
    <m/>
    <m/>
    <n v="1824"/>
    <n v="1824"/>
    <n v="0"/>
    <n v="0"/>
    <m/>
  </r>
  <r>
    <x v="1"/>
    <x v="0"/>
    <x v="0"/>
    <n v="1164"/>
    <n v="0"/>
    <x v="0"/>
    <m/>
    <m/>
    <n v="823"/>
    <n v="823"/>
    <n v="0"/>
    <n v="0"/>
    <m/>
  </r>
  <r>
    <x v="0"/>
    <x v="1"/>
    <x v="2"/>
    <n v="1500"/>
    <n v="1"/>
    <x v="0"/>
    <m/>
    <m/>
    <n v="1152"/>
    <n v="1152"/>
    <n v="0"/>
    <n v="0"/>
    <m/>
  </r>
  <r>
    <x v="1"/>
    <x v="0"/>
    <x v="0"/>
    <n v="1215"/>
    <n v="1"/>
    <x v="0"/>
    <m/>
    <m/>
    <n v="823"/>
    <n v="823"/>
    <n v="0"/>
    <n v="0"/>
    <m/>
  </r>
  <r>
    <x v="1"/>
    <x v="0"/>
    <x v="0"/>
    <n v="1268"/>
    <n v="2"/>
    <x v="0"/>
    <m/>
    <m/>
    <n v="1824"/>
    <n v="1824"/>
    <n v="0"/>
    <n v="0"/>
    <m/>
  </r>
  <r>
    <x v="1"/>
    <x v="0"/>
    <x v="0"/>
    <n v="1694"/>
    <n v="0"/>
    <x v="0"/>
    <m/>
    <m/>
    <n v="960"/>
    <n v="960"/>
    <n v="0"/>
    <n v="0"/>
    <m/>
  </r>
  <r>
    <x v="1"/>
    <x v="0"/>
    <x v="0"/>
    <n v="1722"/>
    <n v="1"/>
    <x v="0"/>
    <m/>
    <m/>
    <n v="1824"/>
    <n v="1824"/>
    <n v="0"/>
    <n v="0"/>
    <m/>
  </r>
  <r>
    <x v="1"/>
    <x v="0"/>
    <x v="0"/>
    <n v="852"/>
    <n v="0"/>
    <x v="0"/>
    <m/>
    <m/>
    <n v="823"/>
    <n v="823"/>
    <n v="0"/>
    <n v="0"/>
    <m/>
  </r>
  <r>
    <x v="1"/>
    <x v="0"/>
    <x v="0"/>
    <n v="1720"/>
    <n v="1"/>
    <x v="0"/>
    <m/>
    <m/>
    <n v="892"/>
    <n v="892"/>
    <n v="0"/>
    <n v="0"/>
    <m/>
  </r>
  <r>
    <x v="1"/>
    <x v="0"/>
    <x v="0"/>
    <n v="1162"/>
    <n v="1"/>
    <x v="0"/>
    <m/>
    <m/>
    <n v="823"/>
    <n v="823"/>
    <n v="0"/>
    <n v="0"/>
    <m/>
  </r>
  <r>
    <x v="1"/>
    <x v="0"/>
    <x v="0"/>
    <n v="1888"/>
    <n v="2"/>
    <x v="2"/>
    <n v="1"/>
    <m/>
    <n v="0"/>
    <n v="2000"/>
    <n v="0"/>
    <n v="0"/>
    <m/>
  </r>
  <r>
    <x v="1"/>
    <x v="0"/>
    <x v="0"/>
    <n v="703"/>
    <n v="0"/>
    <x v="0"/>
    <m/>
    <m/>
    <n v="960"/>
    <n v="960"/>
    <n v="0"/>
    <n v="0"/>
    <m/>
  </r>
  <r>
    <x v="1"/>
    <x v="0"/>
    <x v="0"/>
    <n v="1958"/>
    <n v="2"/>
    <x v="2"/>
    <n v="1"/>
    <m/>
    <n v="0"/>
    <n v="2000"/>
    <n v="0"/>
    <n v="0"/>
    <m/>
  </r>
  <r>
    <x v="1"/>
    <x v="0"/>
    <x v="0"/>
    <n v="1380"/>
    <n v="1"/>
    <x v="0"/>
    <m/>
    <m/>
    <n v="823"/>
    <n v="823"/>
    <n v="0"/>
    <n v="0"/>
    <m/>
  </r>
  <r>
    <x v="0"/>
    <x v="1"/>
    <x v="1"/>
    <n v="1241"/>
    <n v="0"/>
    <x v="0"/>
    <m/>
    <m/>
    <n v="720"/>
    <n v="720"/>
    <n v="0"/>
    <n v="0"/>
    <m/>
  </r>
  <r>
    <x v="0"/>
    <x v="1"/>
    <x v="1"/>
    <n v="2522"/>
    <n v="2"/>
    <x v="1"/>
    <s v="2*"/>
    <m/>
    <n v="0"/>
    <n v="0"/>
    <n v="11500"/>
    <n v="15120"/>
    <m/>
  </r>
  <r>
    <x v="0"/>
    <x v="1"/>
    <x v="1"/>
    <n v="1714"/>
    <n v="0"/>
    <x v="0"/>
    <m/>
    <m/>
    <n v="720"/>
    <n v="720"/>
    <n v="0"/>
    <n v="0"/>
    <m/>
  </r>
  <r>
    <x v="0"/>
    <x v="1"/>
    <x v="1"/>
    <n v="1068"/>
    <n v="0"/>
    <x v="0"/>
    <m/>
    <m/>
    <n v="720"/>
    <n v="720"/>
    <n v="0"/>
    <n v="0"/>
    <m/>
  </r>
  <r>
    <x v="0"/>
    <x v="1"/>
    <x v="1"/>
    <n v="1616"/>
    <n v="0"/>
    <x v="0"/>
    <m/>
    <m/>
    <n v="720"/>
    <n v="720"/>
    <n v="0"/>
    <n v="0"/>
    <m/>
  </r>
  <r>
    <x v="0"/>
    <x v="1"/>
    <x v="1"/>
    <n v="1019"/>
    <n v="2"/>
    <x v="1"/>
    <s v="2*"/>
    <m/>
    <n v="0"/>
    <n v="0"/>
    <n v="11500"/>
    <n v="15120"/>
    <m/>
  </r>
  <r>
    <x v="0"/>
    <x v="1"/>
    <x v="1"/>
    <n v="1705"/>
    <n v="1"/>
    <x v="0"/>
    <m/>
    <m/>
    <n v="1159"/>
    <n v="1159"/>
    <n v="0"/>
    <n v="0"/>
    <m/>
  </r>
  <r>
    <x v="0"/>
    <x v="1"/>
    <x v="1"/>
    <n v="1196"/>
    <n v="1"/>
    <x v="2"/>
    <n v="2"/>
    <m/>
    <n v="0"/>
    <n v="4000"/>
    <n v="0"/>
    <n v="0"/>
    <m/>
  </r>
  <r>
    <x v="0"/>
    <x v="1"/>
    <x v="1"/>
    <n v="780"/>
    <n v="1"/>
    <x v="0"/>
    <m/>
    <m/>
    <n v="720"/>
    <n v="720"/>
    <n v="0"/>
    <n v="0"/>
    <m/>
  </r>
  <r>
    <x v="0"/>
    <x v="1"/>
    <x v="1"/>
    <n v="1258"/>
    <n v="0"/>
    <x v="0"/>
    <m/>
    <m/>
    <n v="720"/>
    <n v="720"/>
    <n v="0"/>
    <n v="0"/>
    <m/>
  </r>
  <r>
    <x v="0"/>
    <x v="0"/>
    <x v="1"/>
    <n v="2183"/>
    <n v="1"/>
    <x v="2"/>
    <n v="1"/>
    <m/>
    <n v="0"/>
    <n v="2000"/>
    <n v="0"/>
    <n v="0"/>
    <m/>
  </r>
  <r>
    <x v="0"/>
    <x v="0"/>
    <x v="1"/>
    <n v="985"/>
    <n v="0"/>
    <x v="0"/>
    <m/>
    <m/>
    <n v="720"/>
    <n v="720"/>
    <n v="0"/>
    <n v="0"/>
    <m/>
  </r>
  <r>
    <x v="0"/>
    <x v="1"/>
    <x v="1"/>
    <n v="1518"/>
    <n v="0"/>
    <x v="0"/>
    <m/>
    <m/>
    <n v="960"/>
    <n v="960"/>
    <n v="0"/>
    <n v="0"/>
    <m/>
  </r>
  <r>
    <x v="0"/>
    <x v="1"/>
    <x v="1"/>
    <n v="1785"/>
    <n v="3"/>
    <x v="0"/>
    <m/>
    <m/>
    <n v="1159"/>
    <n v="1159"/>
    <n v="0"/>
    <n v="0"/>
    <m/>
  </r>
  <r>
    <x v="0"/>
    <x v="1"/>
    <x v="1"/>
    <n v="1866"/>
    <n v="3"/>
    <x v="2"/>
    <n v="2"/>
    <m/>
    <n v="0"/>
    <n v="4000"/>
    <n v="0"/>
    <n v="0"/>
    <m/>
  </r>
  <r>
    <x v="0"/>
    <x v="1"/>
    <x v="1"/>
    <n v="1249"/>
    <n v="1"/>
    <x v="0"/>
    <m/>
    <m/>
    <n v="1546"/>
    <n v="1546"/>
    <n v="0"/>
    <n v="0"/>
    <m/>
  </r>
  <r>
    <x v="0"/>
    <x v="1"/>
    <x v="1"/>
    <n v="904"/>
    <n v="0"/>
    <x v="0"/>
    <m/>
    <m/>
    <n v="1159"/>
    <n v="1159"/>
    <n v="0"/>
    <n v="0"/>
    <m/>
  </r>
  <r>
    <x v="0"/>
    <x v="1"/>
    <x v="1"/>
    <n v="1447"/>
    <n v="0"/>
    <x v="2"/>
    <n v="2"/>
    <m/>
    <n v="0"/>
    <n v="4000"/>
    <n v="0"/>
    <n v="0"/>
    <m/>
  </r>
  <r>
    <x v="0"/>
    <x v="1"/>
    <x v="1"/>
    <n v="1756"/>
    <n v="2"/>
    <x v="0"/>
    <m/>
    <m/>
    <n v="720"/>
    <n v="720"/>
    <n v="0"/>
    <n v="0"/>
    <m/>
  </r>
  <r>
    <x v="0"/>
    <x v="1"/>
    <x v="1"/>
    <n v="1070"/>
    <n v="0"/>
    <x v="0"/>
    <m/>
    <m/>
    <n v="840"/>
    <n v="840"/>
    <n v="0"/>
    <n v="0"/>
    <m/>
  </r>
  <r>
    <x v="0"/>
    <x v="1"/>
    <x v="1"/>
    <n v="1710"/>
    <n v="0"/>
    <x v="2"/>
    <n v="2"/>
    <m/>
    <n v="0"/>
    <n v="4000"/>
    <n v="0"/>
    <n v="0"/>
    <m/>
  </r>
  <r>
    <x v="0"/>
    <x v="1"/>
    <x v="1"/>
    <n v="1226"/>
    <n v="0"/>
    <x v="0"/>
    <m/>
    <m/>
    <n v="1159"/>
    <n v="1159"/>
    <n v="0"/>
    <n v="0"/>
    <m/>
  </r>
  <r>
    <x v="0"/>
    <x v="1"/>
    <x v="1"/>
    <n v="1124"/>
    <n v="0"/>
    <x v="0"/>
    <m/>
    <m/>
    <n v="1159"/>
    <n v="1159"/>
    <n v="0"/>
    <n v="0"/>
    <m/>
  </r>
  <r>
    <x v="0"/>
    <x v="1"/>
    <x v="1"/>
    <n v="1725"/>
    <n v="2"/>
    <x v="2"/>
    <n v="2"/>
    <m/>
    <n v="0"/>
    <n v="4000"/>
    <n v="0"/>
    <n v="0"/>
    <m/>
  </r>
  <r>
    <x v="0"/>
    <x v="1"/>
    <x v="1"/>
    <n v="1933"/>
    <n v="1"/>
    <x v="0"/>
    <m/>
    <m/>
    <n v="720"/>
    <n v="720"/>
    <n v="0"/>
    <n v="0"/>
    <m/>
  </r>
  <r>
    <x v="0"/>
    <x v="1"/>
    <x v="1"/>
    <n v="1398"/>
    <n v="2"/>
    <x v="2"/>
    <n v="2"/>
    <m/>
    <n v="0"/>
    <n v="4000"/>
    <n v="0"/>
    <n v="0"/>
    <m/>
  </r>
  <r>
    <x v="0"/>
    <x v="1"/>
    <x v="1"/>
    <n v="1984"/>
    <n v="1"/>
    <x v="0"/>
    <m/>
    <m/>
    <n v="720"/>
    <n v="720"/>
    <n v="0"/>
    <n v="0"/>
    <m/>
  </r>
  <r>
    <x v="0"/>
    <x v="1"/>
    <x v="1"/>
    <n v="1093"/>
    <n v="0"/>
    <x v="0"/>
    <m/>
    <m/>
    <n v="720"/>
    <n v="720"/>
    <n v="0"/>
    <n v="0"/>
    <m/>
  </r>
  <r>
    <x v="0"/>
    <x v="1"/>
    <x v="1"/>
    <n v="1133"/>
    <n v="2"/>
    <x v="0"/>
    <m/>
    <m/>
    <n v="1159"/>
    <n v="1159"/>
    <n v="0"/>
    <n v="0"/>
    <m/>
  </r>
  <r>
    <x v="0"/>
    <x v="1"/>
    <x v="1"/>
    <n v="1193"/>
    <n v="2"/>
    <x v="0"/>
    <m/>
    <m/>
    <n v="1546"/>
    <n v="1546"/>
    <n v="0"/>
    <n v="0"/>
    <m/>
  </r>
  <r>
    <x v="0"/>
    <x v="1"/>
    <x v="1"/>
    <n v="1346"/>
    <n v="1"/>
    <x v="2"/>
    <n v="2"/>
    <m/>
    <n v="0"/>
    <n v="4000"/>
    <n v="0"/>
    <n v="0"/>
    <m/>
  </r>
  <r>
    <x v="1"/>
    <x v="0"/>
    <x v="0"/>
    <n v="1167"/>
    <n v="1"/>
    <x v="0"/>
    <m/>
    <m/>
    <n v="2128"/>
    <n v="2128"/>
    <n v="0"/>
    <n v="0"/>
    <m/>
  </r>
  <r>
    <x v="1"/>
    <x v="0"/>
    <x v="0"/>
    <n v="1005"/>
    <n v="0"/>
    <x v="0"/>
    <m/>
    <m/>
    <n v="1976"/>
    <n v="1976"/>
    <n v="0"/>
    <n v="0"/>
    <m/>
  </r>
  <r>
    <x v="1"/>
    <x v="0"/>
    <x v="0"/>
    <n v="1738"/>
    <n v="0"/>
    <x v="0"/>
    <m/>
    <m/>
    <n v="1824"/>
    <n v="1824"/>
    <n v="0"/>
    <n v="0"/>
    <m/>
  </r>
  <r>
    <x v="1"/>
    <x v="0"/>
    <x v="0"/>
    <n v="1440"/>
    <n v="0"/>
    <x v="0"/>
    <m/>
    <m/>
    <n v="823"/>
    <n v="823"/>
    <n v="0"/>
    <n v="0"/>
    <m/>
  </r>
  <r>
    <x v="1"/>
    <x v="0"/>
    <x v="0"/>
    <n v="632"/>
    <n v="0"/>
    <x v="0"/>
    <m/>
    <m/>
    <n v="1824"/>
    <n v="1824"/>
    <n v="0"/>
    <n v="0"/>
    <m/>
  </r>
  <r>
    <x v="1"/>
    <x v="0"/>
    <x v="0"/>
    <n v="2032"/>
    <n v="1"/>
    <x v="0"/>
    <m/>
    <m/>
    <n v="2128"/>
    <n v="2128"/>
    <n v="0"/>
    <n v="0"/>
    <m/>
  </r>
  <r>
    <x v="1"/>
    <x v="0"/>
    <x v="0"/>
    <n v="559"/>
    <n v="0"/>
    <x v="0"/>
    <m/>
    <m/>
    <n v="823"/>
    <n v="823"/>
    <n v="0"/>
    <n v="0"/>
    <m/>
  </r>
  <r>
    <x v="1"/>
    <x v="0"/>
    <x v="0"/>
    <n v="1582"/>
    <n v="0"/>
    <x v="0"/>
    <m/>
    <m/>
    <n v="1824"/>
    <n v="1824"/>
    <n v="0"/>
    <n v="0"/>
    <m/>
  </r>
  <r>
    <x v="1"/>
    <x v="0"/>
    <x v="0"/>
    <n v="1981"/>
    <n v="1"/>
    <x v="2"/>
    <n v="1"/>
    <m/>
    <n v="0"/>
    <n v="2000"/>
    <n v="0"/>
    <n v="0"/>
    <m/>
  </r>
  <r>
    <x v="1"/>
    <x v="0"/>
    <x v="0"/>
    <n v="859"/>
    <n v="2"/>
    <x v="0"/>
    <m/>
    <m/>
    <n v="1824"/>
    <n v="1824"/>
    <n v="0"/>
    <n v="0"/>
    <m/>
  </r>
  <r>
    <x v="1"/>
    <x v="0"/>
    <x v="0"/>
    <n v="874"/>
    <n v="0"/>
    <x v="0"/>
    <m/>
    <m/>
    <n v="1824"/>
    <n v="1824"/>
    <n v="0"/>
    <n v="0"/>
    <m/>
  </r>
  <r>
    <x v="1"/>
    <x v="0"/>
    <x v="0"/>
    <n v="1505"/>
    <n v="0"/>
    <x v="0"/>
    <m/>
    <m/>
    <n v="960"/>
    <n v="960"/>
    <n v="0"/>
    <n v="0"/>
    <m/>
  </r>
  <r>
    <x v="1"/>
    <x v="0"/>
    <x v="0"/>
    <n v="1971"/>
    <n v="2"/>
    <x v="0"/>
    <m/>
    <m/>
    <n v="823"/>
    <n v="823"/>
    <n v="0"/>
    <n v="0"/>
    <m/>
  </r>
  <r>
    <x v="1"/>
    <x v="0"/>
    <x v="0"/>
    <n v="991"/>
    <n v="0"/>
    <x v="2"/>
    <n v="1"/>
    <m/>
    <n v="0"/>
    <n v="2000"/>
    <n v="0"/>
    <n v="0"/>
    <m/>
  </r>
  <r>
    <x v="1"/>
    <x v="0"/>
    <x v="0"/>
    <n v="1762"/>
    <n v="1"/>
    <x v="0"/>
    <m/>
    <m/>
    <n v="1824"/>
    <n v="1824"/>
    <n v="0"/>
    <n v="0"/>
    <m/>
  </r>
  <r>
    <x v="1"/>
    <x v="0"/>
    <x v="0"/>
    <n v="1178"/>
    <n v="1"/>
    <x v="0"/>
    <m/>
    <m/>
    <n v="892"/>
    <n v="892"/>
    <n v="0"/>
    <n v="0"/>
    <m/>
  </r>
  <r>
    <x v="1"/>
    <x v="0"/>
    <x v="0"/>
    <n v="1010"/>
    <n v="0"/>
    <x v="2"/>
    <n v="1"/>
    <m/>
    <n v="0"/>
    <n v="2000"/>
    <n v="0"/>
    <n v="0"/>
    <m/>
  </r>
  <r>
    <x v="0"/>
    <x v="1"/>
    <x v="1"/>
    <n v="961"/>
    <n v="0"/>
    <x v="0"/>
    <m/>
    <m/>
    <n v="1159"/>
    <n v="1159"/>
    <n v="0"/>
    <n v="0"/>
    <m/>
  </r>
  <r>
    <x v="2"/>
    <x v="2"/>
    <x v="1"/>
    <n v="1603"/>
    <n v="1"/>
    <x v="0"/>
    <m/>
    <m/>
    <n v="1752"/>
    <n v="1752"/>
    <n v="0"/>
    <n v="0"/>
    <m/>
  </r>
  <r>
    <x v="3"/>
    <x v="2"/>
    <x v="3"/>
    <n v="1712"/>
    <n v="2"/>
    <x v="3"/>
    <n v="2"/>
    <m/>
    <n v="0"/>
    <n v="0"/>
    <n v="0"/>
    <n v="0"/>
    <m/>
  </r>
  <r>
    <x v="0"/>
    <x v="1"/>
    <x v="1"/>
    <n v="532"/>
    <n v="2"/>
    <x v="0"/>
    <m/>
    <m/>
    <n v="720"/>
    <n v="720"/>
    <n v="0"/>
    <n v="0"/>
    <m/>
  </r>
  <r>
    <x v="0"/>
    <x v="1"/>
    <x v="1"/>
    <n v="1301"/>
    <n v="0"/>
    <x v="0"/>
    <m/>
    <m/>
    <n v="1739"/>
    <n v="1739"/>
    <n v="0"/>
    <n v="0"/>
    <m/>
  </r>
  <r>
    <x v="0"/>
    <x v="1"/>
    <x v="1"/>
    <n v="1244"/>
    <n v="0"/>
    <x v="0"/>
    <m/>
    <m/>
    <n v="840"/>
    <n v="840"/>
    <n v="0"/>
    <n v="0"/>
    <m/>
  </r>
  <r>
    <x v="0"/>
    <x v="1"/>
    <x v="1"/>
    <n v="1900"/>
    <n v="0"/>
    <x v="2"/>
    <n v="2"/>
    <m/>
    <n v="0"/>
    <n v="4000"/>
    <n v="0"/>
    <n v="0"/>
    <m/>
  </r>
  <r>
    <x v="0"/>
    <x v="1"/>
    <x v="1"/>
    <n v="621"/>
    <n v="1"/>
    <x v="2"/>
    <n v="2"/>
    <m/>
    <n v="0"/>
    <n v="4000"/>
    <n v="0"/>
    <n v="0"/>
    <m/>
  </r>
  <r>
    <x v="0"/>
    <x v="1"/>
    <x v="1"/>
    <n v="1299"/>
    <n v="0"/>
    <x v="0"/>
    <m/>
    <m/>
    <n v="1159"/>
    <n v="1159"/>
    <n v="0"/>
    <n v="0"/>
    <m/>
  </r>
  <r>
    <x v="0"/>
    <x v="1"/>
    <x v="1"/>
    <n v="1187"/>
    <n v="1"/>
    <x v="0"/>
    <m/>
    <m/>
    <n v="1159"/>
    <n v="1159"/>
    <n v="0"/>
    <n v="0"/>
    <m/>
  </r>
  <r>
    <x v="0"/>
    <x v="1"/>
    <x v="1"/>
    <n v="1395"/>
    <n v="1"/>
    <x v="0"/>
    <m/>
    <m/>
    <n v="1352"/>
    <n v="1352"/>
    <n v="0"/>
    <n v="0"/>
    <m/>
  </r>
  <r>
    <x v="0"/>
    <x v="1"/>
    <x v="1"/>
    <n v="1797"/>
    <n v="2"/>
    <x v="1"/>
    <s v="2*"/>
    <m/>
    <n v="0"/>
    <n v="0"/>
    <n v="11500"/>
    <n v="15120"/>
    <m/>
  </r>
  <r>
    <x v="0"/>
    <x v="1"/>
    <x v="1"/>
    <n v="1295"/>
    <n v="0"/>
    <x v="2"/>
    <n v="2"/>
    <m/>
    <n v="0"/>
    <n v="4000"/>
    <n v="0"/>
    <n v="0"/>
    <m/>
  </r>
  <r>
    <x v="0"/>
    <x v="1"/>
    <x v="1"/>
    <n v="2244"/>
    <n v="2"/>
    <x v="4"/>
    <s v="2*"/>
    <m/>
    <n v="0"/>
    <n v="0"/>
    <n v="11500"/>
    <n v="66062"/>
    <m/>
  </r>
  <r>
    <x v="0"/>
    <x v="1"/>
    <x v="1"/>
    <n v="1719"/>
    <n v="1"/>
    <x v="1"/>
    <s v="1*"/>
    <m/>
    <n v="0"/>
    <n v="0"/>
    <n v="0"/>
    <n v="0"/>
    <m/>
  </r>
  <r>
    <x v="1"/>
    <x v="0"/>
    <x v="0"/>
    <n v="677"/>
    <n v="0"/>
    <x v="1"/>
    <s v="2*"/>
    <m/>
    <n v="0"/>
    <n v="0"/>
    <n v="11500"/>
    <n v="15120"/>
    <m/>
  </r>
  <r>
    <x v="1"/>
    <x v="0"/>
    <x v="0"/>
    <n v="1098"/>
    <n v="2"/>
    <x v="0"/>
    <m/>
    <m/>
    <n v="823"/>
    <n v="823"/>
    <n v="0"/>
    <n v="0"/>
    <m/>
  </r>
  <r>
    <x v="1"/>
    <x v="0"/>
    <x v="0"/>
    <n v="1357"/>
    <n v="1"/>
    <x v="2"/>
    <n v="1"/>
    <m/>
    <n v="0"/>
    <n v="2000"/>
    <n v="0"/>
    <n v="0"/>
    <m/>
  </r>
  <r>
    <x v="1"/>
    <x v="0"/>
    <x v="0"/>
    <n v="871"/>
    <n v="0"/>
    <x v="0"/>
    <m/>
    <m/>
    <n v="823"/>
    <n v="823"/>
    <n v="0"/>
    <n v="0"/>
    <m/>
  </r>
  <r>
    <x v="1"/>
    <x v="0"/>
    <x v="0"/>
    <n v="1258"/>
    <n v="0"/>
    <x v="1"/>
    <s v="2*"/>
    <m/>
    <n v="0"/>
    <n v="0"/>
    <n v="11500"/>
    <n v="15120"/>
    <m/>
  </r>
  <r>
    <x v="1"/>
    <x v="0"/>
    <x v="0"/>
    <n v="1950"/>
    <n v="1"/>
    <x v="0"/>
    <m/>
    <m/>
    <n v="823"/>
    <n v="823"/>
    <n v="0"/>
    <n v="0"/>
    <m/>
  </r>
  <r>
    <x v="1"/>
    <x v="0"/>
    <x v="0"/>
    <n v="1467"/>
    <n v="2"/>
    <x v="0"/>
    <m/>
    <m/>
    <n v="823"/>
    <n v="823"/>
    <n v="0"/>
    <n v="0"/>
    <m/>
  </r>
  <r>
    <x v="1"/>
    <x v="0"/>
    <x v="0"/>
    <n v="2122"/>
    <n v="3"/>
    <x v="2"/>
    <n v="1"/>
    <m/>
    <n v="0"/>
    <n v="2000"/>
    <n v="0"/>
    <n v="0"/>
    <m/>
  </r>
  <r>
    <x v="1"/>
    <x v="0"/>
    <x v="0"/>
    <n v="1756"/>
    <n v="0"/>
    <x v="0"/>
    <m/>
    <m/>
    <n v="1824"/>
    <n v="1824"/>
    <n v="0"/>
    <n v="0"/>
    <m/>
  </r>
  <r>
    <x v="1"/>
    <x v="0"/>
    <x v="0"/>
    <n v="1403"/>
    <n v="2"/>
    <x v="0"/>
    <m/>
    <m/>
    <n v="960"/>
    <n v="960"/>
    <n v="0"/>
    <n v="0"/>
    <m/>
  </r>
  <r>
    <x v="1"/>
    <x v="0"/>
    <x v="0"/>
    <n v="1242"/>
    <n v="0"/>
    <x v="0"/>
    <m/>
    <m/>
    <n v="823"/>
    <n v="823"/>
    <n v="0"/>
    <n v="0"/>
    <m/>
  </r>
  <r>
    <x v="1"/>
    <x v="0"/>
    <x v="0"/>
    <n v="1482"/>
    <n v="1"/>
    <x v="0"/>
    <m/>
    <m/>
    <n v="892"/>
    <n v="892"/>
    <n v="0"/>
    <n v="0"/>
    <m/>
  </r>
  <r>
    <x v="1"/>
    <x v="0"/>
    <x v="0"/>
    <n v="908"/>
    <n v="3"/>
    <x v="2"/>
    <n v="1"/>
    <m/>
    <n v="0"/>
    <n v="2000"/>
    <n v="0"/>
    <n v="0"/>
    <m/>
  </r>
  <r>
    <x v="1"/>
    <x v="0"/>
    <x v="0"/>
    <n v="1969"/>
    <n v="0"/>
    <x v="0"/>
    <m/>
    <m/>
    <n v="823"/>
    <n v="823"/>
    <n v="0"/>
    <n v="0"/>
    <m/>
  </r>
  <r>
    <x v="1"/>
    <x v="0"/>
    <x v="0"/>
    <n v="1354"/>
    <n v="0"/>
    <x v="0"/>
    <m/>
    <m/>
    <n v="1824"/>
    <n v="1824"/>
    <n v="0"/>
    <n v="0"/>
    <m/>
  </r>
  <r>
    <x v="1"/>
    <x v="0"/>
    <x v="0"/>
    <n v="1568"/>
    <n v="0"/>
    <x v="0"/>
    <m/>
    <m/>
    <n v="823"/>
    <n v="823"/>
    <n v="0"/>
    <n v="0"/>
    <m/>
  </r>
  <r>
    <x v="1"/>
    <x v="0"/>
    <x v="0"/>
    <n v="1520"/>
    <n v="0"/>
    <x v="0"/>
    <m/>
    <m/>
    <n v="823"/>
    <n v="823"/>
    <n v="0"/>
    <n v="0"/>
    <m/>
  </r>
  <r>
    <x v="1"/>
    <x v="0"/>
    <x v="0"/>
    <n v="1605"/>
    <n v="0"/>
    <x v="2"/>
    <n v="1"/>
    <m/>
    <n v="0"/>
    <n v="2000"/>
    <n v="0"/>
    <n v="0"/>
    <m/>
  </r>
  <r>
    <x v="1"/>
    <x v="0"/>
    <x v="0"/>
    <n v="1979"/>
    <n v="1"/>
    <x v="0"/>
    <m/>
    <m/>
    <n v="1824"/>
    <n v="1824"/>
    <n v="0"/>
    <n v="0"/>
    <m/>
  </r>
  <r>
    <x v="1"/>
    <x v="0"/>
    <x v="0"/>
    <n v="1846"/>
    <n v="1"/>
    <x v="2"/>
    <n v="1"/>
    <m/>
    <n v="0"/>
    <n v="2000"/>
    <n v="0"/>
    <n v="0"/>
    <m/>
  </r>
  <r>
    <x v="1"/>
    <x v="0"/>
    <x v="0"/>
    <n v="1861"/>
    <n v="1"/>
    <x v="0"/>
    <m/>
    <m/>
    <n v="823"/>
    <n v="823"/>
    <n v="0"/>
    <n v="0"/>
    <m/>
  </r>
  <r>
    <x v="1"/>
    <x v="0"/>
    <x v="0"/>
    <n v="1519"/>
    <n v="3"/>
    <x v="2"/>
    <n v="1"/>
    <m/>
    <n v="0"/>
    <n v="2000"/>
    <n v="0"/>
    <n v="0"/>
    <m/>
  </r>
  <r>
    <x v="1"/>
    <x v="0"/>
    <x v="0"/>
    <n v="1049"/>
    <n v="1"/>
    <x v="0"/>
    <m/>
    <m/>
    <n v="960"/>
    <n v="960"/>
    <n v="0"/>
    <n v="0"/>
    <m/>
  </r>
  <r>
    <x v="1"/>
    <x v="0"/>
    <x v="0"/>
    <n v="992"/>
    <n v="1"/>
    <x v="0"/>
    <m/>
    <m/>
    <n v="2128"/>
    <n v="2128"/>
    <n v="0"/>
    <n v="0"/>
    <m/>
  </r>
  <r>
    <x v="1"/>
    <x v="0"/>
    <x v="0"/>
    <n v="1441"/>
    <n v="1"/>
    <x v="2"/>
    <n v="1"/>
    <m/>
    <n v="0"/>
    <n v="2000"/>
    <n v="0"/>
    <n v="0"/>
    <m/>
  </r>
  <r>
    <x v="1"/>
    <x v="0"/>
    <x v="0"/>
    <n v="1549"/>
    <n v="1"/>
    <x v="0"/>
    <m/>
    <m/>
    <n v="823"/>
    <n v="823"/>
    <n v="0"/>
    <n v="0"/>
    <m/>
  </r>
  <r>
    <x v="1"/>
    <x v="0"/>
    <x v="0"/>
    <n v="1078"/>
    <n v="0"/>
    <x v="0"/>
    <m/>
    <m/>
    <n v="1824"/>
    <n v="1824"/>
    <n v="0"/>
    <n v="0"/>
    <m/>
  </r>
  <r>
    <x v="1"/>
    <x v="0"/>
    <x v="0"/>
    <n v="1900"/>
    <n v="1"/>
    <x v="2"/>
    <n v="1"/>
    <m/>
    <n v="0"/>
    <n v="2000"/>
    <n v="0"/>
    <n v="0"/>
    <m/>
  </r>
  <r>
    <x v="1"/>
    <x v="0"/>
    <x v="0"/>
    <n v="1954"/>
    <n v="1"/>
    <x v="2"/>
    <n v="1"/>
    <m/>
    <n v="0"/>
    <n v="2000"/>
    <n v="0"/>
    <n v="0"/>
    <m/>
  </r>
  <r>
    <x v="1"/>
    <x v="0"/>
    <x v="0"/>
    <n v="1261"/>
    <n v="1"/>
    <x v="2"/>
    <n v="1"/>
    <m/>
    <n v="0"/>
    <n v="2000"/>
    <n v="0"/>
    <n v="0"/>
    <m/>
  </r>
  <r>
    <x v="1"/>
    <x v="0"/>
    <x v="0"/>
    <n v="1559"/>
    <n v="1"/>
    <x v="1"/>
    <s v="2*"/>
    <m/>
    <n v="0"/>
    <n v="0"/>
    <n v="11500"/>
    <n v="15120"/>
    <m/>
  </r>
  <r>
    <x v="1"/>
    <x v="0"/>
    <x v="0"/>
    <n v="1232"/>
    <n v="0"/>
    <x v="0"/>
    <m/>
    <m/>
    <n v="892"/>
    <n v="892"/>
    <n v="0"/>
    <n v="0"/>
    <m/>
  </r>
  <r>
    <x v="1"/>
    <x v="0"/>
    <x v="0"/>
    <n v="1417"/>
    <n v="0"/>
    <x v="0"/>
    <m/>
    <m/>
    <n v="823"/>
    <n v="823"/>
    <n v="0"/>
    <n v="0"/>
    <m/>
  </r>
  <r>
    <x v="1"/>
    <x v="0"/>
    <x v="0"/>
    <n v="1648"/>
    <n v="2"/>
    <x v="2"/>
    <n v="1"/>
    <m/>
    <n v="0"/>
    <n v="2000"/>
    <n v="0"/>
    <n v="0"/>
    <m/>
  </r>
  <r>
    <x v="1"/>
    <x v="0"/>
    <x v="0"/>
    <n v="1770"/>
    <n v="2"/>
    <x v="2"/>
    <n v="1"/>
    <m/>
    <n v="0"/>
    <n v="2000"/>
    <n v="0"/>
    <n v="0"/>
    <m/>
  </r>
  <r>
    <x v="1"/>
    <x v="0"/>
    <x v="0"/>
    <n v="1391"/>
    <n v="1"/>
    <x v="0"/>
    <m/>
    <m/>
    <n v="823"/>
    <n v="823"/>
    <n v="0"/>
    <n v="0"/>
    <m/>
  </r>
  <r>
    <x v="1"/>
    <x v="0"/>
    <x v="0"/>
    <n v="1192"/>
    <n v="0"/>
    <x v="2"/>
    <n v="1"/>
    <m/>
    <n v="0"/>
    <n v="2000"/>
    <n v="0"/>
    <n v="0"/>
    <m/>
  </r>
  <r>
    <x v="3"/>
    <x v="0"/>
    <x v="4"/>
    <n v="1346"/>
    <n v="1"/>
    <x v="3"/>
    <n v="2"/>
    <m/>
    <n v="0"/>
    <n v="0"/>
    <n v="0"/>
    <n v="0"/>
    <m/>
  </r>
  <r>
    <x v="3"/>
    <x v="0"/>
    <x v="4"/>
    <n v="1240"/>
    <n v="0"/>
    <x v="2"/>
    <n v="2"/>
    <m/>
    <n v="0"/>
    <n v="4000"/>
    <n v="0"/>
    <n v="0"/>
    <m/>
  </r>
  <r>
    <x v="3"/>
    <x v="0"/>
    <x v="4"/>
    <n v="1238"/>
    <n v="0"/>
    <x v="2"/>
    <n v="3"/>
    <m/>
    <n v="0"/>
    <n v="6000"/>
    <n v="0"/>
    <n v="0"/>
    <m/>
  </r>
  <r>
    <x v="3"/>
    <x v="0"/>
    <x v="4"/>
    <n v="1236"/>
    <n v="1"/>
    <x v="2"/>
    <n v="2"/>
    <m/>
    <n v="0"/>
    <n v="4000"/>
    <n v="0"/>
    <n v="0"/>
    <m/>
  </r>
  <r>
    <x v="3"/>
    <x v="0"/>
    <x v="4"/>
    <n v="1365"/>
    <n v="1"/>
    <x v="5"/>
    <n v="1"/>
    <m/>
    <n v="0"/>
    <n v="0"/>
    <n v="0"/>
    <n v="0"/>
    <m/>
  </r>
  <r>
    <x v="3"/>
    <x v="0"/>
    <x v="4"/>
    <n v="1240"/>
    <n v="1"/>
    <x v="2"/>
    <n v="3"/>
    <m/>
    <n v="0"/>
    <n v="6000"/>
    <n v="0"/>
    <n v="0"/>
    <m/>
  </r>
  <r>
    <x v="3"/>
    <x v="0"/>
    <x v="4"/>
    <n v="1209"/>
    <n v="1"/>
    <x v="6"/>
    <n v="2"/>
    <m/>
    <n v="0"/>
    <n v="0"/>
    <n v="0"/>
    <n v="0"/>
    <m/>
  </r>
  <r>
    <x v="0"/>
    <x v="1"/>
    <x v="1"/>
    <n v="1206"/>
    <n v="0"/>
    <x v="0"/>
    <m/>
    <m/>
    <m/>
    <m/>
    <n v="0"/>
    <n v="0"/>
    <m/>
  </r>
  <r>
    <x v="4"/>
    <x v="3"/>
    <x v="5"/>
    <n v="1192"/>
    <n v="1"/>
    <x v="4"/>
    <s v="2*"/>
    <m/>
    <n v="0"/>
    <n v="0"/>
    <n v="11500"/>
    <n v="66062"/>
    <m/>
  </r>
  <r>
    <x v="0"/>
    <x v="1"/>
    <x v="1"/>
    <n v="1212"/>
    <n v="2"/>
    <x v="0"/>
    <m/>
    <m/>
    <n v="1352"/>
    <n v="1352"/>
    <n v="0"/>
    <n v="0"/>
    <m/>
  </r>
  <r>
    <x v="0"/>
    <x v="1"/>
    <x v="1"/>
    <n v="564"/>
    <n v="0"/>
    <x v="1"/>
    <s v="2*"/>
    <m/>
    <n v="0"/>
    <n v="0"/>
    <n v="11500"/>
    <n v="15120"/>
    <m/>
  </r>
  <r>
    <x v="0"/>
    <x v="1"/>
    <x v="1"/>
    <n v="2224"/>
    <n v="2"/>
    <x v="2"/>
    <n v="2"/>
    <m/>
    <n v="0"/>
    <n v="4000"/>
    <n v="0"/>
    <n v="0"/>
    <m/>
  </r>
  <r>
    <x v="0"/>
    <x v="1"/>
    <x v="1"/>
    <n v="1341"/>
    <n v="1"/>
    <x v="1"/>
    <s v="1*"/>
    <m/>
    <n v="0"/>
    <n v="0"/>
    <n v="0"/>
    <n v="0"/>
    <m/>
  </r>
  <r>
    <x v="0"/>
    <x v="1"/>
    <x v="1"/>
    <n v="1482"/>
    <n v="0"/>
    <x v="0"/>
    <m/>
    <m/>
    <n v="720"/>
    <n v="720"/>
    <n v="0"/>
    <n v="0"/>
    <m/>
  </r>
  <r>
    <x v="0"/>
    <x v="1"/>
    <x v="1"/>
    <n v="1565"/>
    <n v="0"/>
    <x v="0"/>
    <m/>
    <m/>
    <n v="720"/>
    <n v="720"/>
    <n v="0"/>
    <n v="0"/>
    <m/>
  </r>
  <r>
    <x v="0"/>
    <x v="1"/>
    <x v="1"/>
    <n v="1627"/>
    <n v="0"/>
    <x v="2"/>
    <n v="2"/>
    <m/>
    <n v="0"/>
    <n v="4000"/>
    <n v="0"/>
    <n v="0"/>
    <m/>
  </r>
  <r>
    <x v="0"/>
    <x v="3"/>
    <x v="1"/>
    <n v="1597"/>
    <n v="1"/>
    <x v="0"/>
    <m/>
    <m/>
    <n v="2067"/>
    <n v="2067"/>
    <n v="0"/>
    <n v="0"/>
    <m/>
  </r>
  <r>
    <x v="0"/>
    <x v="3"/>
    <x v="1"/>
    <n v="1772"/>
    <n v="1"/>
    <x v="0"/>
    <m/>
    <m/>
    <n v="1159"/>
    <n v="1159"/>
    <n v="0"/>
    <n v="0"/>
    <m/>
  </r>
  <r>
    <x v="5"/>
    <x v="0"/>
    <x v="0"/>
    <n v="1111"/>
    <n v="1"/>
    <x v="0"/>
    <m/>
    <m/>
    <n v="1824"/>
    <n v="1824"/>
    <n v="0"/>
    <n v="0"/>
    <m/>
  </r>
  <r>
    <x v="5"/>
    <x v="0"/>
    <x v="5"/>
    <n v="2526"/>
    <n v="0"/>
    <x v="0"/>
    <m/>
    <m/>
    <n v="866"/>
    <n v="866"/>
    <n v="0"/>
    <n v="0"/>
    <m/>
  </r>
  <r>
    <x v="5"/>
    <x v="0"/>
    <x v="1"/>
    <n v="1458"/>
    <n v="0"/>
    <x v="0"/>
    <m/>
    <m/>
    <n v="1440"/>
    <n v="1440"/>
    <n v="0"/>
    <n v="0"/>
    <m/>
  </r>
  <r>
    <x v="5"/>
    <x v="0"/>
    <x v="1"/>
    <n v="1590"/>
    <n v="0"/>
    <x v="0"/>
    <m/>
    <m/>
    <n v="1440"/>
    <n v="1440"/>
    <n v="0"/>
    <n v="0"/>
    <m/>
  </r>
  <r>
    <x v="5"/>
    <x v="0"/>
    <x v="0"/>
    <n v="1062"/>
    <n v="0"/>
    <x v="0"/>
    <m/>
    <m/>
    <n v="823"/>
    <n v="823"/>
    <n v="0"/>
    <n v="0"/>
    <m/>
  </r>
  <r>
    <x v="5"/>
    <x v="0"/>
    <x v="0"/>
    <n v="1492"/>
    <n v="1"/>
    <x v="0"/>
    <m/>
    <m/>
    <n v="1976"/>
    <n v="1976"/>
    <n v="0"/>
    <n v="0"/>
    <m/>
  </r>
  <r>
    <x v="5"/>
    <x v="0"/>
    <x v="0"/>
    <n v="1482"/>
    <n v="1"/>
    <x v="0"/>
    <m/>
    <m/>
    <n v="823"/>
    <n v="823"/>
    <n v="0"/>
    <n v="0"/>
    <m/>
  </r>
  <r>
    <x v="5"/>
    <x v="0"/>
    <x v="0"/>
    <n v="1762"/>
    <n v="0"/>
    <x v="0"/>
    <m/>
    <m/>
    <n v="823"/>
    <n v="823"/>
    <n v="0"/>
    <n v="0"/>
    <m/>
  </r>
  <r>
    <x v="5"/>
    <x v="0"/>
    <x v="0"/>
    <n v="1391"/>
    <n v="1"/>
    <x v="0"/>
    <m/>
    <m/>
    <n v="2128"/>
    <n v="2128"/>
    <n v="0"/>
    <n v="0"/>
    <m/>
  </r>
  <r>
    <x v="5"/>
    <x v="0"/>
    <x v="0"/>
    <n v="1281"/>
    <n v="1"/>
    <x v="2"/>
    <n v="1"/>
    <m/>
    <n v="0"/>
    <n v="2000"/>
    <n v="0"/>
    <n v="0"/>
    <m/>
  </r>
  <r>
    <x v="5"/>
    <x v="0"/>
    <x v="0"/>
    <n v="1169"/>
    <n v="0"/>
    <x v="0"/>
    <m/>
    <m/>
    <n v="823"/>
    <n v="823"/>
    <n v="0"/>
    <n v="0"/>
    <m/>
  </r>
  <r>
    <x v="5"/>
    <x v="0"/>
    <x v="0"/>
    <n v="1657"/>
    <n v="2"/>
    <x v="0"/>
    <m/>
    <m/>
    <n v="892"/>
    <n v="892"/>
    <n v="0"/>
    <n v="0"/>
    <m/>
  </r>
  <r>
    <x v="5"/>
    <x v="0"/>
    <x v="0"/>
    <n v="1214"/>
    <n v="0"/>
    <x v="2"/>
    <n v="1"/>
    <m/>
    <n v="0"/>
    <n v="2000"/>
    <n v="0"/>
    <n v="0"/>
    <m/>
  </r>
  <r>
    <x v="5"/>
    <x v="0"/>
    <x v="0"/>
    <n v="1156"/>
    <n v="0"/>
    <x v="2"/>
    <n v="1"/>
    <m/>
    <n v="0"/>
    <n v="2000"/>
    <n v="0"/>
    <n v="0"/>
    <m/>
  </r>
  <r>
    <x v="5"/>
    <x v="0"/>
    <x v="0"/>
    <n v="1190"/>
    <n v="2"/>
    <x v="0"/>
    <m/>
    <m/>
    <n v="823"/>
    <n v="823"/>
    <n v="0"/>
    <n v="0"/>
    <m/>
  </r>
  <r>
    <x v="5"/>
    <x v="0"/>
    <x v="0"/>
    <n v="2017"/>
    <n v="0"/>
    <x v="0"/>
    <m/>
    <m/>
    <n v="960"/>
    <n v="960"/>
    <n v="0"/>
    <n v="0"/>
    <m/>
  </r>
  <r>
    <x v="5"/>
    <x v="0"/>
    <x v="0"/>
    <n v="1407"/>
    <n v="0"/>
    <x v="0"/>
    <m/>
    <m/>
    <n v="2128"/>
    <n v="2128"/>
    <n v="0"/>
    <n v="0"/>
    <m/>
  </r>
  <r>
    <x v="5"/>
    <x v="0"/>
    <x v="0"/>
    <n v="710"/>
    <n v="1"/>
    <x v="0"/>
    <m/>
    <m/>
    <n v="892"/>
    <n v="892"/>
    <n v="0"/>
    <n v="0"/>
    <m/>
  </r>
  <r>
    <x v="5"/>
    <x v="0"/>
    <x v="0"/>
    <n v="1242"/>
    <n v="4"/>
    <x v="0"/>
    <m/>
    <m/>
    <n v="960"/>
    <n v="960"/>
    <n v="0"/>
    <n v="0"/>
    <m/>
  </r>
  <r>
    <x v="5"/>
    <x v="0"/>
    <x v="0"/>
    <n v="1757"/>
    <n v="3"/>
    <x v="0"/>
    <m/>
    <m/>
    <n v="2280"/>
    <n v="2280"/>
    <n v="0"/>
    <n v="0"/>
    <m/>
  </r>
  <r>
    <x v="5"/>
    <x v="0"/>
    <x v="0"/>
    <n v="1460"/>
    <n v="1"/>
    <x v="0"/>
    <m/>
    <m/>
    <n v="823"/>
    <n v="823"/>
    <n v="0"/>
    <n v="0"/>
    <m/>
  </r>
  <r>
    <x v="5"/>
    <x v="0"/>
    <x v="0"/>
    <n v="1307"/>
    <n v="1"/>
    <x v="0"/>
    <m/>
    <m/>
    <n v="823"/>
    <n v="823"/>
    <n v="0"/>
    <n v="0"/>
    <m/>
  </r>
  <r>
    <x v="5"/>
    <x v="0"/>
    <x v="0"/>
    <n v="1260"/>
    <n v="1"/>
    <x v="0"/>
    <m/>
    <m/>
    <n v="892"/>
    <n v="892"/>
    <n v="0"/>
    <n v="0"/>
    <m/>
  </r>
  <r>
    <x v="5"/>
    <x v="0"/>
    <x v="0"/>
    <n v="1859"/>
    <n v="1"/>
    <x v="0"/>
    <m/>
    <m/>
    <n v="823"/>
    <n v="823"/>
    <n v="0"/>
    <n v="0"/>
    <m/>
  </r>
  <r>
    <x v="5"/>
    <x v="0"/>
    <x v="0"/>
    <n v="1744"/>
    <n v="0"/>
    <x v="0"/>
    <m/>
    <m/>
    <n v="823"/>
    <n v="823"/>
    <n v="0"/>
    <n v="0"/>
    <m/>
  </r>
  <r>
    <x v="5"/>
    <x v="0"/>
    <x v="0"/>
    <n v="1711"/>
    <n v="1"/>
    <x v="0"/>
    <m/>
    <m/>
    <n v="2280"/>
    <n v="2280"/>
    <n v="0"/>
    <n v="0"/>
    <m/>
  </r>
  <r>
    <x v="5"/>
    <x v="0"/>
    <x v="0"/>
    <n v="693"/>
    <n v="1"/>
    <x v="0"/>
    <m/>
    <m/>
    <n v="2128"/>
    <n v="2128"/>
    <n v="0"/>
    <n v="0"/>
    <m/>
  </r>
  <r>
    <x v="5"/>
    <x v="0"/>
    <x v="0"/>
    <n v="1404"/>
    <n v="0"/>
    <x v="1"/>
    <s v="2*"/>
    <m/>
    <n v="0"/>
    <n v="0"/>
    <n v="11500"/>
    <n v="15120"/>
    <m/>
  </r>
  <r>
    <x v="5"/>
    <x v="0"/>
    <x v="0"/>
    <n v="1291"/>
    <n v="1"/>
    <x v="2"/>
    <n v="1"/>
    <m/>
    <n v="0"/>
    <n v="2000"/>
    <n v="0"/>
    <n v="0"/>
    <m/>
  </r>
  <r>
    <x v="5"/>
    <x v="0"/>
    <x v="0"/>
    <n v="1391"/>
    <n v="2"/>
    <x v="1"/>
    <s v="2*"/>
    <m/>
    <n v="0"/>
    <n v="0"/>
    <n v="11500"/>
    <n v="15120"/>
    <m/>
  </r>
  <r>
    <x v="5"/>
    <x v="0"/>
    <x v="0"/>
    <n v="2322"/>
    <n v="1"/>
    <x v="0"/>
    <m/>
    <m/>
    <n v="892"/>
    <n v="892"/>
    <n v="0"/>
    <n v="0"/>
    <m/>
  </r>
  <r>
    <x v="5"/>
    <x v="0"/>
    <x v="0"/>
    <n v="1538"/>
    <n v="2"/>
    <x v="0"/>
    <m/>
    <m/>
    <n v="823"/>
    <n v="823"/>
    <n v="0"/>
    <n v="0"/>
    <m/>
  </r>
  <r>
    <x v="5"/>
    <x v="0"/>
    <x v="0"/>
    <n v="686"/>
    <n v="0"/>
    <x v="0"/>
    <m/>
    <m/>
    <n v="823"/>
    <n v="823"/>
    <n v="0"/>
    <n v="0"/>
    <m/>
  </r>
  <r>
    <x v="5"/>
    <x v="0"/>
    <x v="0"/>
    <n v="1437"/>
    <n v="1"/>
    <x v="2"/>
    <n v="1"/>
    <m/>
    <n v="0"/>
    <n v="2000"/>
    <n v="0"/>
    <n v="0"/>
    <m/>
  </r>
  <r>
    <x v="5"/>
    <x v="0"/>
    <x v="0"/>
    <n v="1376"/>
    <n v="1"/>
    <x v="1"/>
    <s v="2*"/>
    <m/>
    <n v="0"/>
    <n v="0"/>
    <n v="11500"/>
    <n v="15120"/>
    <m/>
  </r>
  <r>
    <x v="5"/>
    <x v="0"/>
    <x v="0"/>
    <n v="1953"/>
    <n v="1"/>
    <x v="0"/>
    <m/>
    <m/>
    <n v="823"/>
    <n v="823"/>
    <n v="0"/>
    <n v="0"/>
    <m/>
  </r>
  <r>
    <x v="5"/>
    <x v="0"/>
    <x v="0"/>
    <n v="1294"/>
    <n v="0"/>
    <x v="0"/>
    <m/>
    <m/>
    <n v="823"/>
    <n v="823"/>
    <n v="0"/>
    <n v="0"/>
    <m/>
  </r>
  <r>
    <x v="5"/>
    <x v="0"/>
    <x v="0"/>
    <n v="1130"/>
    <n v="2"/>
    <x v="1"/>
    <s v="2*"/>
    <m/>
    <n v="0"/>
    <n v="0"/>
    <n v="11500"/>
    <n v="15120"/>
    <m/>
  </r>
  <r>
    <x v="5"/>
    <x v="0"/>
    <x v="0"/>
    <n v="2414"/>
    <n v="0"/>
    <x v="1"/>
    <s v="2*"/>
    <m/>
    <n v="0"/>
    <n v="0"/>
    <n v="11500"/>
    <n v="15120"/>
    <m/>
  </r>
  <r>
    <x v="5"/>
    <x v="0"/>
    <x v="0"/>
    <n v="1779"/>
    <n v="1"/>
    <x v="1"/>
    <s v="2*"/>
    <m/>
    <n v="0"/>
    <n v="0"/>
    <n v="11500"/>
    <n v="15120"/>
    <m/>
  </r>
  <r>
    <x v="5"/>
    <x v="0"/>
    <x v="0"/>
    <n v="979"/>
    <n v="1"/>
    <x v="0"/>
    <m/>
    <m/>
    <n v="823"/>
    <n v="823"/>
    <n v="0"/>
    <n v="0"/>
    <m/>
  </r>
  <r>
    <x v="5"/>
    <x v="0"/>
    <x v="0"/>
    <n v="1775"/>
    <n v="1"/>
    <x v="0"/>
    <m/>
    <m/>
    <n v="1824"/>
    <n v="1824"/>
    <n v="0"/>
    <n v="0"/>
    <m/>
  </r>
  <r>
    <x v="5"/>
    <x v="0"/>
    <x v="0"/>
    <n v="2068"/>
    <n v="2"/>
    <x v="1"/>
    <s v="2*"/>
    <m/>
    <n v="0"/>
    <n v="0"/>
    <n v="11500"/>
    <n v="15120"/>
    <m/>
  </r>
  <r>
    <x v="5"/>
    <x v="0"/>
    <x v="0"/>
    <n v="1735"/>
    <n v="1"/>
    <x v="0"/>
    <m/>
    <m/>
    <n v="823"/>
    <n v="823"/>
    <n v="0"/>
    <n v="0"/>
    <m/>
  </r>
  <r>
    <x v="5"/>
    <x v="0"/>
    <x v="0"/>
    <n v="2104"/>
    <n v="4"/>
    <x v="2"/>
    <n v="1"/>
    <m/>
    <n v="0"/>
    <n v="2000"/>
    <n v="0"/>
    <n v="0"/>
    <m/>
  </r>
  <r>
    <x v="5"/>
    <x v="0"/>
    <x v="0"/>
    <n v="1385"/>
    <n v="0"/>
    <x v="2"/>
    <n v="1"/>
    <m/>
    <n v="0"/>
    <n v="2000"/>
    <n v="0"/>
    <n v="0"/>
    <m/>
  </r>
  <r>
    <x v="5"/>
    <x v="0"/>
    <x v="0"/>
    <n v="1562"/>
    <n v="1"/>
    <x v="2"/>
    <n v="1"/>
    <m/>
    <n v="0"/>
    <n v="2000"/>
    <n v="0"/>
    <n v="0"/>
    <m/>
  </r>
  <r>
    <x v="5"/>
    <x v="0"/>
    <x v="0"/>
    <n v="1650"/>
    <n v="0"/>
    <x v="0"/>
    <m/>
    <m/>
    <n v="823"/>
    <n v="823"/>
    <n v="0"/>
    <n v="0"/>
    <m/>
  </r>
  <r>
    <x v="5"/>
    <x v="0"/>
    <x v="0"/>
    <n v="1498"/>
    <n v="1"/>
    <x v="0"/>
    <m/>
    <m/>
    <n v="0"/>
    <n v="0"/>
    <n v="0"/>
    <n v="0"/>
    <m/>
  </r>
  <r>
    <x v="5"/>
    <x v="0"/>
    <x v="0"/>
    <n v="1387"/>
    <n v="1"/>
    <x v="0"/>
    <m/>
    <m/>
    <n v="823"/>
    <n v="823"/>
    <n v="0"/>
    <n v="0"/>
    <m/>
  </r>
  <r>
    <x v="5"/>
    <x v="0"/>
    <x v="0"/>
    <n v="2065"/>
    <n v="3"/>
    <x v="0"/>
    <m/>
    <m/>
    <n v="823"/>
    <n v="823"/>
    <n v="0"/>
    <n v="0"/>
    <m/>
  </r>
  <r>
    <x v="5"/>
    <x v="0"/>
    <x v="0"/>
    <n v="1270"/>
    <n v="1"/>
    <x v="0"/>
    <m/>
    <m/>
    <n v="1824"/>
    <n v="1824"/>
    <n v="0"/>
    <n v="0"/>
    <m/>
  </r>
  <r>
    <x v="5"/>
    <x v="0"/>
    <x v="0"/>
    <n v="805"/>
    <n v="2"/>
    <x v="2"/>
    <n v="1"/>
    <m/>
    <n v="0"/>
    <n v="2000"/>
    <n v="0"/>
    <n v="0"/>
    <m/>
  </r>
  <r>
    <x v="5"/>
    <x v="0"/>
    <x v="0"/>
    <n v="1426"/>
    <n v="1"/>
    <x v="0"/>
    <m/>
    <m/>
    <n v="0"/>
    <n v="0"/>
    <n v="0"/>
    <n v="0"/>
    <m/>
  </r>
  <r>
    <x v="5"/>
    <x v="0"/>
    <x v="0"/>
    <n v="1985"/>
    <n v="0"/>
    <x v="0"/>
    <m/>
    <m/>
    <n v="1824"/>
    <n v="1824"/>
    <n v="0"/>
    <n v="0"/>
    <m/>
  </r>
  <r>
    <x v="5"/>
    <x v="0"/>
    <x v="0"/>
    <n v="534"/>
    <n v="0"/>
    <x v="0"/>
    <m/>
    <m/>
    <n v="960"/>
    <n v="960"/>
    <n v="0"/>
    <n v="0"/>
    <m/>
  </r>
  <r>
    <x v="5"/>
    <x v="0"/>
    <x v="0"/>
    <n v="1771"/>
    <n v="0"/>
    <x v="0"/>
    <m/>
    <m/>
    <n v="823"/>
    <n v="823"/>
    <n v="0"/>
    <n v="0"/>
    <m/>
  </r>
  <r>
    <x v="5"/>
    <x v="0"/>
    <x v="0"/>
    <n v="1455"/>
    <n v="0"/>
    <x v="1"/>
    <s v="2*"/>
    <m/>
    <n v="0"/>
    <n v="0"/>
    <n v="11500"/>
    <n v="15120"/>
    <m/>
  </r>
  <r>
    <x v="5"/>
    <x v="0"/>
    <x v="0"/>
    <n v="1687"/>
    <n v="0"/>
    <x v="0"/>
    <m/>
    <m/>
    <n v="823"/>
    <n v="823"/>
    <n v="0"/>
    <n v="0"/>
    <m/>
  </r>
  <r>
    <x v="5"/>
    <x v="0"/>
    <x v="0"/>
    <n v="1486"/>
    <n v="1"/>
    <x v="0"/>
    <m/>
    <m/>
    <n v="823"/>
    <n v="823"/>
    <n v="0"/>
    <n v="0"/>
    <m/>
  </r>
  <r>
    <x v="5"/>
    <x v="0"/>
    <x v="0"/>
    <n v="1799"/>
    <n v="1"/>
    <x v="2"/>
    <n v="1"/>
    <m/>
    <n v="0"/>
    <n v="2000"/>
    <n v="0"/>
    <n v="0"/>
    <m/>
  </r>
  <r>
    <x v="5"/>
    <x v="0"/>
    <x v="0"/>
    <n v="1437"/>
    <n v="0"/>
    <x v="2"/>
    <n v="1"/>
    <m/>
    <n v="0"/>
    <n v="2000"/>
    <n v="0"/>
    <n v="0"/>
    <m/>
  </r>
  <r>
    <x v="5"/>
    <x v="0"/>
    <x v="0"/>
    <n v="1653"/>
    <n v="1"/>
    <x v="0"/>
    <m/>
    <m/>
    <n v="1824"/>
    <n v="1824"/>
    <n v="0"/>
    <n v="0"/>
    <m/>
  </r>
  <r>
    <x v="5"/>
    <x v="0"/>
    <x v="0"/>
    <n v="1162"/>
    <n v="1"/>
    <x v="0"/>
    <m/>
    <m/>
    <n v="823"/>
    <n v="823"/>
    <n v="0"/>
    <n v="0"/>
    <m/>
  </r>
  <r>
    <x v="5"/>
    <x v="0"/>
    <x v="0"/>
    <n v="1535"/>
    <n v="0"/>
    <x v="2"/>
    <n v="1"/>
    <m/>
    <n v="0"/>
    <n v="2000"/>
    <n v="0"/>
    <n v="0"/>
    <m/>
  </r>
  <r>
    <x v="5"/>
    <x v="0"/>
    <x v="0"/>
    <n v="1913"/>
    <n v="1"/>
    <x v="2"/>
    <n v="1"/>
    <m/>
    <n v="0"/>
    <n v="2000"/>
    <n v="0"/>
    <n v="0"/>
    <m/>
  </r>
  <r>
    <x v="5"/>
    <x v="0"/>
    <x v="0"/>
    <n v="2320"/>
    <n v="1"/>
    <x v="0"/>
    <m/>
    <m/>
    <n v="823"/>
    <n v="823"/>
    <n v="0"/>
    <n v="0"/>
    <m/>
  </r>
  <r>
    <x v="5"/>
    <x v="0"/>
    <x v="0"/>
    <n v="1826"/>
    <n v="1"/>
    <x v="0"/>
    <m/>
    <m/>
    <n v="823"/>
    <n v="823"/>
    <n v="0"/>
    <n v="0"/>
    <m/>
  </r>
  <r>
    <x v="5"/>
    <x v="0"/>
    <x v="0"/>
    <n v="1600"/>
    <n v="0"/>
    <x v="0"/>
    <m/>
    <m/>
    <n v="2128"/>
    <n v="2128"/>
    <n v="0"/>
    <n v="0"/>
    <m/>
  </r>
  <r>
    <x v="5"/>
    <x v="0"/>
    <x v="0"/>
    <n v="1293"/>
    <n v="1"/>
    <x v="0"/>
    <m/>
    <m/>
    <n v="892"/>
    <n v="892"/>
    <n v="0"/>
    <n v="0"/>
    <m/>
  </r>
  <r>
    <x v="5"/>
    <x v="0"/>
    <x v="0"/>
    <n v="1136"/>
    <n v="0"/>
    <x v="0"/>
    <m/>
    <m/>
    <n v="823"/>
    <n v="823"/>
    <n v="0"/>
    <n v="0"/>
    <m/>
  </r>
  <r>
    <x v="5"/>
    <x v="0"/>
    <x v="0"/>
    <n v="2791"/>
    <n v="0"/>
    <x v="0"/>
    <m/>
    <m/>
    <n v="823"/>
    <n v="823"/>
    <n v="0"/>
    <n v="0"/>
    <m/>
  </r>
  <r>
    <x v="5"/>
    <x v="0"/>
    <x v="0"/>
    <n v="3389"/>
    <n v="1"/>
    <x v="0"/>
    <m/>
    <m/>
    <n v="1976"/>
    <n v="1976"/>
    <n v="0"/>
    <n v="0"/>
    <m/>
  </r>
  <r>
    <x v="5"/>
    <x v="0"/>
    <x v="0"/>
    <n v="1297"/>
    <n v="3"/>
    <x v="0"/>
    <m/>
    <m/>
    <n v="823"/>
    <n v="823"/>
    <n v="0"/>
    <n v="0"/>
    <m/>
  </r>
  <r>
    <x v="5"/>
    <x v="0"/>
    <x v="0"/>
    <n v="1726"/>
    <n v="1"/>
    <x v="0"/>
    <m/>
    <m/>
    <n v="1824"/>
    <n v="1824"/>
    <n v="0"/>
    <n v="0"/>
    <m/>
  </r>
  <r>
    <x v="0"/>
    <x v="3"/>
    <x v="1"/>
    <n v="1484"/>
    <n v="2"/>
    <x v="0"/>
    <m/>
    <m/>
    <n v="1159"/>
    <n v="1159"/>
    <n v="0"/>
    <n v="0"/>
    <m/>
  </r>
  <r>
    <x v="0"/>
    <x v="3"/>
    <x v="1"/>
    <n v="1202"/>
    <n v="2"/>
    <x v="0"/>
    <m/>
    <m/>
    <n v="1159"/>
    <n v="1159"/>
    <n v="0"/>
    <n v="0"/>
    <m/>
  </r>
  <r>
    <x v="5"/>
    <x v="0"/>
    <x v="0"/>
    <n v="562"/>
    <n v="0"/>
    <x v="0"/>
    <m/>
    <m/>
    <n v="1824"/>
    <n v="1824"/>
    <n v="0"/>
    <n v="0"/>
    <m/>
  </r>
  <r>
    <x v="5"/>
    <x v="0"/>
    <x v="0"/>
    <n v="649"/>
    <n v="1"/>
    <x v="0"/>
    <m/>
    <m/>
    <n v="823"/>
    <n v="823"/>
    <n v="0"/>
    <n v="0"/>
    <m/>
  </r>
  <r>
    <x v="5"/>
    <x v="0"/>
    <x v="0"/>
    <n v="1241"/>
    <n v="1"/>
    <x v="2"/>
    <n v="1"/>
    <m/>
    <n v="0"/>
    <n v="2000"/>
    <n v="0"/>
    <n v="0"/>
    <m/>
  </r>
  <r>
    <x v="5"/>
    <x v="0"/>
    <x v="0"/>
    <n v="1560"/>
    <n v="0"/>
    <x v="0"/>
    <m/>
    <m/>
    <n v="823"/>
    <n v="823"/>
    <n v="0"/>
    <n v="0"/>
    <d v="1899-12-30T07:56:20"/>
  </r>
  <r>
    <x v="5"/>
    <x v="0"/>
    <x v="0"/>
    <n v="1231"/>
    <n v="1"/>
    <x v="2"/>
    <n v="1"/>
    <m/>
    <n v="0"/>
    <n v="2000"/>
    <n v="0"/>
    <n v="0"/>
    <d v="1899-12-30T07:59:05"/>
  </r>
  <r>
    <x v="5"/>
    <x v="0"/>
    <x v="0"/>
    <n v="566"/>
    <n v="1"/>
    <x v="0"/>
    <m/>
    <m/>
    <n v="823"/>
    <n v="823"/>
    <n v="0"/>
    <n v="0"/>
    <m/>
  </r>
  <r>
    <x v="5"/>
    <x v="0"/>
    <x v="0"/>
    <n v="723"/>
    <n v="1"/>
    <x v="2"/>
    <n v="1"/>
    <m/>
    <n v="0"/>
    <n v="2000"/>
    <n v="0"/>
    <n v="0"/>
    <m/>
  </r>
  <r>
    <x v="5"/>
    <x v="0"/>
    <x v="0"/>
    <n v="1626"/>
    <n v="1"/>
    <x v="0"/>
    <m/>
    <m/>
    <n v="1824"/>
    <n v="1824"/>
    <n v="0"/>
    <n v="0"/>
    <m/>
  </r>
  <r>
    <x v="5"/>
    <x v="0"/>
    <x v="0"/>
    <n v="2033"/>
    <n v="2"/>
    <x v="2"/>
    <n v="1"/>
    <m/>
    <n v="0"/>
    <n v="2000"/>
    <n v="0"/>
    <n v="0"/>
    <m/>
  </r>
  <r>
    <x v="5"/>
    <x v="0"/>
    <x v="0"/>
    <n v="1600"/>
    <n v="1"/>
    <x v="0"/>
    <m/>
    <m/>
    <n v="1824"/>
    <n v="1824"/>
    <n v="0"/>
    <n v="0"/>
    <d v="1899-12-30T08:13:20"/>
  </r>
  <r>
    <x v="5"/>
    <x v="0"/>
    <x v="0"/>
    <n v="702"/>
    <n v="0"/>
    <x v="0"/>
    <m/>
    <m/>
    <n v="1824"/>
    <n v="1824"/>
    <n v="0"/>
    <n v="0"/>
    <m/>
  </r>
  <r>
    <x v="5"/>
    <x v="0"/>
    <x v="0"/>
    <n v="1330"/>
    <n v="0"/>
    <x v="2"/>
    <n v="1"/>
    <m/>
    <n v="0"/>
    <n v="2000"/>
    <n v="0"/>
    <n v="0"/>
    <m/>
  </r>
  <r>
    <x v="5"/>
    <x v="0"/>
    <x v="0"/>
    <n v="1054"/>
    <n v="0"/>
    <x v="1"/>
    <s v="2*"/>
    <m/>
    <n v="0"/>
    <n v="0"/>
    <n v="11500"/>
    <n v="15120"/>
    <m/>
  </r>
  <r>
    <x v="5"/>
    <x v="0"/>
    <x v="0"/>
    <n v="1391"/>
    <n v="0"/>
    <x v="0"/>
    <m/>
    <m/>
    <n v="1824"/>
    <n v="1824"/>
    <n v="0"/>
    <n v="0"/>
    <m/>
  </r>
  <r>
    <x v="5"/>
    <x v="0"/>
    <x v="0"/>
    <n v="1603"/>
    <n v="2"/>
    <x v="0"/>
    <m/>
    <m/>
    <n v="1824"/>
    <n v="1824"/>
    <n v="0"/>
    <n v="0"/>
    <m/>
  </r>
  <r>
    <x v="5"/>
    <x v="0"/>
    <x v="0"/>
    <n v="1415"/>
    <n v="0"/>
    <x v="0"/>
    <m/>
    <m/>
    <n v="960"/>
    <n v="960"/>
    <n v="0"/>
    <n v="0"/>
    <m/>
  </r>
  <r>
    <x v="5"/>
    <x v="0"/>
    <x v="0"/>
    <n v="1206"/>
    <n v="1"/>
    <x v="0"/>
    <m/>
    <m/>
    <n v="823"/>
    <n v="823"/>
    <n v="0"/>
    <n v="0"/>
    <d v="1899-12-30T08:31:40"/>
  </r>
  <r>
    <x v="1"/>
    <x v="0"/>
    <x v="0"/>
    <n v="1840"/>
    <n v="1"/>
    <x v="0"/>
    <m/>
    <m/>
    <n v="823"/>
    <n v="823"/>
    <n v="0"/>
    <n v="0"/>
    <d v="1899-12-30T08:32:00"/>
  </r>
  <r>
    <x v="1"/>
    <x v="0"/>
    <x v="0"/>
    <n v="1042"/>
    <n v="0"/>
    <x v="2"/>
    <n v="1"/>
    <m/>
    <n v="0"/>
    <n v="2000"/>
    <n v="0"/>
    <n v="0"/>
    <m/>
  </r>
  <r>
    <x v="3"/>
    <x v="0"/>
    <x v="3"/>
    <n v="1500"/>
    <n v="0"/>
    <x v="3"/>
    <n v="4"/>
    <m/>
    <n v="0"/>
    <n v="0"/>
    <n v="0"/>
    <n v="0"/>
    <m/>
  </r>
  <r>
    <x v="6"/>
    <x v="0"/>
    <x v="3"/>
    <n v="1500"/>
    <n v="0"/>
    <x v="7"/>
    <n v="3"/>
    <m/>
    <n v="0"/>
    <n v="0"/>
    <n v="0"/>
    <n v="0"/>
    <m/>
  </r>
  <r>
    <x v="6"/>
    <x v="0"/>
    <x v="3"/>
    <n v="1782"/>
    <n v="0"/>
    <x v="7"/>
    <n v="2"/>
    <m/>
    <n v="0"/>
    <n v="0"/>
    <n v="0"/>
    <n v="0"/>
    <m/>
  </r>
  <r>
    <x v="6"/>
    <x v="0"/>
    <x v="3"/>
    <n v="1666"/>
    <n v="1"/>
    <x v="8"/>
    <n v="1"/>
    <m/>
    <n v="0"/>
    <n v="0"/>
    <n v="0"/>
    <n v="0"/>
    <m/>
  </r>
  <r>
    <x v="6"/>
    <x v="0"/>
    <x v="3"/>
    <n v="1556"/>
    <n v="0"/>
    <x v="7"/>
    <n v="2"/>
    <m/>
    <n v="0"/>
    <n v="0"/>
    <n v="0"/>
    <n v="0"/>
    <m/>
  </r>
  <r>
    <x v="6"/>
    <x v="0"/>
    <x v="3"/>
    <n v="2860"/>
    <n v="0"/>
    <x v="8"/>
    <n v="1"/>
    <m/>
    <n v="0"/>
    <n v="0"/>
    <n v="0"/>
    <n v="0"/>
    <m/>
  </r>
  <r>
    <x v="6"/>
    <x v="0"/>
    <x v="3"/>
    <n v="2986"/>
    <n v="0"/>
    <x v="7"/>
    <n v="2"/>
    <m/>
    <n v="0"/>
    <n v="0"/>
    <n v="0"/>
    <n v="0"/>
    <m/>
  </r>
  <r>
    <x v="6"/>
    <x v="0"/>
    <x v="3"/>
    <n v="3172"/>
    <n v="1"/>
    <x v="9"/>
    <s v="2*"/>
    <m/>
    <n v="0"/>
    <n v="0"/>
    <n v="0"/>
    <n v="0"/>
    <m/>
  </r>
  <r>
    <x v="6"/>
    <x v="0"/>
    <x v="3"/>
    <n v="1420"/>
    <n v="0"/>
    <x v="8"/>
    <n v="2"/>
    <m/>
    <n v="0"/>
    <n v="0"/>
    <n v="0"/>
    <n v="0"/>
    <m/>
  </r>
  <r>
    <x v="6"/>
    <x v="0"/>
    <x v="3"/>
    <n v="1352"/>
    <n v="0"/>
    <x v="8"/>
    <n v="1"/>
    <m/>
    <n v="0"/>
    <n v="0"/>
    <n v="0"/>
    <n v="0"/>
    <m/>
  </r>
  <r>
    <x v="6"/>
    <x v="0"/>
    <x v="3"/>
    <n v="1362"/>
    <n v="0"/>
    <x v="2"/>
    <n v="4"/>
    <m/>
    <n v="0"/>
    <n v="8000"/>
    <n v="0"/>
    <n v="0"/>
    <m/>
  </r>
  <r>
    <x v="6"/>
    <x v="0"/>
    <x v="3"/>
    <n v="1428"/>
    <n v="1"/>
    <x v="10"/>
    <n v="3"/>
    <m/>
    <n v="0"/>
    <n v="0"/>
    <n v="0"/>
    <n v="0"/>
    <m/>
  </r>
  <r>
    <x v="6"/>
    <x v="0"/>
    <x v="3"/>
    <n v="1500"/>
    <n v="4"/>
    <x v="2"/>
    <n v="2"/>
    <m/>
    <n v="0"/>
    <n v="4000"/>
    <n v="0"/>
    <n v="0"/>
    <m/>
  </r>
  <r>
    <x v="6"/>
    <x v="0"/>
    <x v="3"/>
    <n v="1559"/>
    <n v="0"/>
    <x v="8"/>
    <n v="1"/>
    <m/>
    <n v="0"/>
    <n v="0"/>
    <n v="0"/>
    <n v="0"/>
    <m/>
  </r>
  <r>
    <x v="6"/>
    <x v="0"/>
    <x v="3"/>
    <n v="1600"/>
    <n v="0"/>
    <x v="8"/>
    <n v="3"/>
    <m/>
    <n v="0"/>
    <n v="0"/>
    <n v="0"/>
    <n v="0"/>
    <m/>
  </r>
  <r>
    <x v="6"/>
    <x v="0"/>
    <x v="3"/>
    <n v="1480"/>
    <n v="1"/>
    <x v="2"/>
    <n v="2"/>
    <m/>
    <n v="0"/>
    <n v="4000"/>
    <n v="0"/>
    <n v="0"/>
    <m/>
  </r>
  <r>
    <x v="6"/>
    <x v="0"/>
    <x v="3"/>
    <n v="1389"/>
    <n v="0"/>
    <x v="7"/>
    <n v="4"/>
    <m/>
    <n v="0"/>
    <n v="0"/>
    <n v="0"/>
    <n v="0"/>
    <m/>
  </r>
  <r>
    <x v="1"/>
    <x v="1"/>
    <x v="0"/>
    <n v="1617"/>
    <n v="1"/>
    <x v="0"/>
    <m/>
    <m/>
    <n v="1824"/>
    <n v="1824"/>
    <n v="0"/>
    <n v="0"/>
    <m/>
  </r>
  <r>
    <x v="1"/>
    <x v="1"/>
    <x v="0"/>
    <n v="1347"/>
    <n v="1"/>
    <x v="1"/>
    <s v="2*"/>
    <m/>
    <n v="0"/>
    <n v="0"/>
    <n v="11500"/>
    <n v="15120"/>
    <m/>
  </r>
  <r>
    <x v="1"/>
    <x v="1"/>
    <x v="0"/>
    <n v="2050"/>
    <n v="0"/>
    <x v="0"/>
    <m/>
    <m/>
    <n v="3182"/>
    <n v="3182"/>
    <n v="0"/>
    <n v="0"/>
    <m/>
  </r>
  <r>
    <x v="1"/>
    <x v="1"/>
    <x v="0"/>
    <n v="999"/>
    <n v="2"/>
    <x v="0"/>
    <m/>
    <m/>
    <n v="2937"/>
    <n v="2937"/>
    <n v="0"/>
    <n v="0"/>
    <m/>
  </r>
  <r>
    <x v="1"/>
    <x v="1"/>
    <x v="0"/>
    <n v="1097"/>
    <n v="1"/>
    <x v="0"/>
    <m/>
    <m/>
    <n v="2937"/>
    <n v="2937"/>
    <n v="0"/>
    <n v="0"/>
    <m/>
  </r>
  <r>
    <x v="1"/>
    <x v="1"/>
    <x v="0"/>
    <n v="1283"/>
    <n v="1"/>
    <x v="0"/>
    <m/>
    <m/>
    <n v="1824"/>
    <n v="1824"/>
    <n v="0"/>
    <n v="0"/>
    <m/>
  </r>
  <r>
    <x v="1"/>
    <x v="1"/>
    <x v="0"/>
    <n v="1407"/>
    <n v="0"/>
    <x v="2"/>
    <n v="2"/>
    <m/>
    <n v="0"/>
    <n v="4000"/>
    <n v="0"/>
    <n v="0"/>
    <m/>
  </r>
  <r>
    <x v="1"/>
    <x v="1"/>
    <x v="0"/>
    <n v="1280"/>
    <n v="0"/>
    <x v="0"/>
    <m/>
    <m/>
    <n v="3182"/>
    <n v="3182"/>
    <n v="0"/>
    <n v="0"/>
    <m/>
  </r>
  <r>
    <x v="1"/>
    <x v="1"/>
    <x v="0"/>
    <n v="1506"/>
    <n v="1"/>
    <x v="11"/>
    <n v="1"/>
    <m/>
    <n v="0"/>
    <n v="0"/>
    <n v="0"/>
    <n v="0"/>
    <m/>
  </r>
  <r>
    <x v="1"/>
    <x v="1"/>
    <x v="0"/>
    <n v="1513"/>
    <n v="0"/>
    <x v="1"/>
    <s v="3*"/>
    <m/>
    <n v="0"/>
    <n v="0"/>
    <n v="34500"/>
    <n v="66062"/>
    <m/>
  </r>
  <r>
    <x v="1"/>
    <x v="1"/>
    <x v="0"/>
    <n v="1334"/>
    <n v="0"/>
    <x v="0"/>
    <m/>
    <m/>
    <n v="1824"/>
    <n v="1824"/>
    <n v="0"/>
    <n v="0"/>
    <m/>
  </r>
  <r>
    <x v="1"/>
    <x v="1"/>
    <x v="0"/>
    <n v="1572"/>
    <n v="0"/>
    <x v="4"/>
    <s v="2*"/>
    <m/>
    <n v="0"/>
    <n v="0"/>
    <n v="11500"/>
    <n v="66062"/>
    <m/>
  </r>
  <r>
    <x v="1"/>
    <x v="1"/>
    <x v="0"/>
    <n v="1645"/>
    <n v="1"/>
    <x v="0"/>
    <m/>
    <m/>
    <n v="1824"/>
    <n v="1824"/>
    <n v="0"/>
    <n v="0"/>
    <m/>
  </r>
  <r>
    <x v="1"/>
    <x v="1"/>
    <x v="0"/>
    <n v="2042"/>
    <n v="0"/>
    <x v="2"/>
    <n v="2"/>
    <m/>
    <n v="0"/>
    <n v="4000"/>
    <n v="0"/>
    <n v="0"/>
    <m/>
  </r>
  <r>
    <x v="1"/>
    <x v="1"/>
    <x v="0"/>
    <n v="1221"/>
    <n v="1"/>
    <x v="0"/>
    <m/>
    <m/>
    <n v="2937"/>
    <n v="2937"/>
    <n v="0"/>
    <n v="0"/>
    <m/>
  </r>
  <r>
    <x v="1"/>
    <x v="1"/>
    <x v="0"/>
    <n v="1320"/>
    <n v="1"/>
    <x v="0"/>
    <m/>
    <m/>
    <n v="1824"/>
    <n v="1824"/>
    <n v="0"/>
    <n v="0"/>
    <m/>
  </r>
  <r>
    <x v="1"/>
    <x v="1"/>
    <x v="0"/>
    <n v="1157"/>
    <n v="1"/>
    <x v="0"/>
    <m/>
    <m/>
    <n v="1824"/>
    <n v="1824"/>
    <n v="0"/>
    <n v="0"/>
    <m/>
  </r>
  <r>
    <x v="1"/>
    <x v="1"/>
    <x v="0"/>
    <n v="1815"/>
    <n v="0"/>
    <x v="0"/>
    <m/>
    <m/>
    <n v="2937"/>
    <n v="2937"/>
    <n v="0"/>
    <n v="0"/>
    <m/>
  </r>
  <r>
    <x v="1"/>
    <x v="1"/>
    <x v="0"/>
    <n v="1800"/>
    <n v="0"/>
    <x v="2"/>
    <n v="2"/>
    <m/>
    <n v="0"/>
    <n v="4000"/>
    <n v="0"/>
    <n v="0"/>
    <m/>
  </r>
  <r>
    <x v="1"/>
    <x v="1"/>
    <x v="0"/>
    <n v="2178"/>
    <n v="4"/>
    <x v="0"/>
    <m/>
    <m/>
    <n v="2128"/>
    <n v="2128"/>
    <n v="0"/>
    <n v="0"/>
    <m/>
  </r>
  <r>
    <x v="1"/>
    <x v="1"/>
    <x v="0"/>
    <n v="1708"/>
    <n v="1"/>
    <x v="0"/>
    <m/>
    <m/>
    <n v="1824"/>
    <n v="1824"/>
    <n v="0"/>
    <n v="0"/>
    <m/>
  </r>
  <r>
    <x v="1"/>
    <x v="1"/>
    <x v="0"/>
    <n v="1277"/>
    <n v="2"/>
    <x v="0"/>
    <m/>
    <m/>
    <n v="1824"/>
    <n v="1824"/>
    <n v="0"/>
    <n v="0"/>
    <m/>
  </r>
  <r>
    <x v="1"/>
    <x v="1"/>
    <x v="0"/>
    <n v="2156"/>
    <n v="1"/>
    <x v="0"/>
    <m/>
    <m/>
    <n v="2937"/>
    <n v="2937"/>
    <n v="0"/>
    <n v="0"/>
    <m/>
  </r>
  <r>
    <x v="1"/>
    <x v="1"/>
    <x v="0"/>
    <n v="1698"/>
    <n v="0"/>
    <x v="2"/>
    <n v="2"/>
    <m/>
    <n v="0"/>
    <n v="4000"/>
    <n v="0"/>
    <n v="0"/>
    <m/>
  </r>
  <r>
    <x v="1"/>
    <x v="1"/>
    <x v="0"/>
    <n v="783"/>
    <n v="0"/>
    <x v="0"/>
    <m/>
    <m/>
    <n v="1834"/>
    <n v="1834"/>
    <n v="0"/>
    <n v="0"/>
    <m/>
  </r>
  <r>
    <x v="1"/>
    <x v="1"/>
    <x v="0"/>
    <n v="1255"/>
    <n v="0"/>
    <x v="0"/>
    <m/>
    <m/>
    <n v="1834"/>
    <n v="1834"/>
    <n v="0"/>
    <n v="0"/>
    <m/>
  </r>
  <r>
    <x v="1"/>
    <x v="1"/>
    <x v="0"/>
    <n v="1504"/>
    <n v="1"/>
    <x v="0"/>
    <m/>
    <m/>
    <n v="2937"/>
    <n v="2937"/>
    <n v="0"/>
    <n v="0"/>
    <m/>
  </r>
  <r>
    <x v="1"/>
    <x v="1"/>
    <x v="0"/>
    <n v="1439"/>
    <n v="0"/>
    <x v="0"/>
    <m/>
    <m/>
    <n v="1834"/>
    <n v="1834"/>
    <n v="0"/>
    <n v="0"/>
    <m/>
  </r>
  <r>
    <x v="1"/>
    <x v="1"/>
    <x v="0"/>
    <n v="1508"/>
    <n v="1"/>
    <x v="1"/>
    <s v="2*"/>
    <m/>
    <n v="0"/>
    <n v="0"/>
    <n v="11500"/>
    <n v="15120"/>
    <m/>
  </r>
  <r>
    <x v="1"/>
    <x v="1"/>
    <x v="0"/>
    <n v="2502"/>
    <n v="2"/>
    <x v="1"/>
    <s v="2*"/>
    <m/>
    <n v="0"/>
    <n v="0"/>
    <n v="11500"/>
    <n v="15120"/>
    <m/>
  </r>
  <r>
    <x v="1"/>
    <x v="1"/>
    <x v="0"/>
    <n v="1786"/>
    <n v="1"/>
    <x v="0"/>
    <m/>
    <m/>
    <n v="1834"/>
    <n v="1834"/>
    <n v="0"/>
    <n v="0"/>
    <m/>
  </r>
  <r>
    <x v="1"/>
    <x v="1"/>
    <x v="0"/>
    <n v="1673"/>
    <n v="3"/>
    <x v="0"/>
    <m/>
    <m/>
    <n v="2280"/>
    <n v="2280"/>
    <n v="0"/>
    <n v="0"/>
    <m/>
  </r>
  <r>
    <x v="1"/>
    <x v="1"/>
    <x v="5"/>
    <n v="1387"/>
    <n v="1"/>
    <x v="0"/>
    <m/>
    <m/>
    <n v="2080"/>
    <n v="2080"/>
    <n v="0"/>
    <n v="0"/>
    <m/>
  </r>
  <r>
    <x v="7"/>
    <x v="0"/>
    <x v="4"/>
    <n v="1657"/>
    <n v="2"/>
    <x v="0"/>
    <m/>
    <m/>
    <n v="3168"/>
    <n v="3168"/>
    <n v="0"/>
    <n v="0"/>
    <m/>
  </r>
  <r>
    <x v="3"/>
    <x v="0"/>
    <x v="3"/>
    <n v="1000"/>
    <n v="0"/>
    <x v="5"/>
    <n v="1"/>
    <m/>
    <m/>
    <m/>
    <n v="0"/>
    <n v="0"/>
    <m/>
  </r>
  <r>
    <x v="8"/>
    <x v="0"/>
    <x v="3"/>
    <n v="1000"/>
    <n v="0"/>
    <x v="12"/>
    <n v="5"/>
    <m/>
    <m/>
    <m/>
    <n v="0"/>
    <n v="0"/>
    <m/>
  </r>
  <r>
    <x v="0"/>
    <x v="3"/>
    <x v="1"/>
    <n v="1659"/>
    <n v="4"/>
    <x v="0"/>
    <m/>
    <m/>
    <n v="2067"/>
    <n v="2067"/>
    <n v="0"/>
    <n v="0"/>
    <m/>
  </r>
  <r>
    <x v="0"/>
    <x v="3"/>
    <x v="1"/>
    <n v="1881"/>
    <n v="1"/>
    <x v="0"/>
    <m/>
    <m/>
    <n v="1159"/>
    <n v="1159"/>
    <n v="0"/>
    <n v="0"/>
    <m/>
  </r>
  <r>
    <x v="0"/>
    <x v="3"/>
    <x v="1"/>
    <n v="2446"/>
    <n v="1"/>
    <x v="0"/>
    <m/>
    <m/>
    <n v="1159"/>
    <n v="1159"/>
    <n v="0"/>
    <n v="0"/>
    <m/>
  </r>
  <r>
    <x v="0"/>
    <x v="3"/>
    <x v="1"/>
    <n v="1899"/>
    <n v="0"/>
    <x v="0"/>
    <m/>
    <m/>
    <n v="1352"/>
    <n v="1352"/>
    <n v="0"/>
    <n v="0"/>
    <m/>
  </r>
  <r>
    <x v="0"/>
    <x v="3"/>
    <x v="1"/>
    <n v="1480"/>
    <n v="1"/>
    <x v="0"/>
    <m/>
    <m/>
    <n v="1159"/>
    <n v="1159"/>
    <n v="0"/>
    <n v="0"/>
    <m/>
  </r>
  <r>
    <x v="0"/>
    <x v="3"/>
    <x v="1"/>
    <n v="1725"/>
    <n v="2"/>
    <x v="0"/>
    <m/>
    <m/>
    <n v="1159"/>
    <n v="1159"/>
    <n v="0"/>
    <n v="0"/>
    <m/>
  </r>
  <r>
    <x v="0"/>
    <x v="3"/>
    <x v="1"/>
    <n v="1343"/>
    <n v="0"/>
    <x v="2"/>
    <n v="3"/>
    <m/>
    <n v="0"/>
    <n v="6000"/>
    <n v="0"/>
    <n v="0"/>
    <m/>
  </r>
  <r>
    <x v="0"/>
    <x v="3"/>
    <x v="1"/>
    <n v="2733"/>
    <n v="0"/>
    <x v="0"/>
    <m/>
    <m/>
    <n v="1159"/>
    <n v="1159"/>
    <n v="0"/>
    <n v="0"/>
    <m/>
  </r>
  <r>
    <x v="0"/>
    <x v="3"/>
    <x v="1"/>
    <n v="2196"/>
    <n v="0"/>
    <x v="0"/>
    <m/>
    <m/>
    <n v="1159"/>
    <n v="1159"/>
    <n v="0"/>
    <n v="0"/>
    <m/>
  </r>
  <r>
    <x v="0"/>
    <x v="3"/>
    <x v="1"/>
    <n v="1326"/>
    <n v="0"/>
    <x v="0"/>
    <m/>
    <m/>
    <n v="1159"/>
    <n v="1159"/>
    <n v="0"/>
    <n v="0"/>
    <m/>
  </r>
  <r>
    <x v="0"/>
    <x v="3"/>
    <x v="1"/>
    <n v="2012"/>
    <n v="0"/>
    <x v="11"/>
    <m/>
    <m/>
    <n v="0"/>
    <n v="0"/>
    <n v="0"/>
    <n v="0"/>
    <m/>
  </r>
  <r>
    <x v="0"/>
    <x v="3"/>
    <x v="1"/>
    <n v="1970"/>
    <n v="1"/>
    <x v="0"/>
    <m/>
    <m/>
    <n v="1546"/>
    <n v="1546"/>
    <n v="0"/>
    <n v="0"/>
    <m/>
  </r>
  <r>
    <x v="0"/>
    <x v="3"/>
    <x v="1"/>
    <n v="779"/>
    <n v="1"/>
    <x v="2"/>
    <n v="3"/>
    <m/>
    <n v="0"/>
    <n v="6000"/>
    <n v="0"/>
    <n v="0"/>
    <m/>
  </r>
  <r>
    <x v="0"/>
    <x v="3"/>
    <x v="1"/>
    <n v="2074"/>
    <n v="1"/>
    <x v="0"/>
    <m/>
    <m/>
    <n v="1159"/>
    <n v="1159"/>
    <n v="0"/>
    <n v="0"/>
    <m/>
  </r>
  <r>
    <x v="0"/>
    <x v="3"/>
    <x v="1"/>
    <n v="1672"/>
    <n v="0"/>
    <x v="0"/>
    <m/>
    <m/>
    <n v="1159"/>
    <n v="1159"/>
    <n v="0"/>
    <n v="0"/>
    <m/>
  </r>
  <r>
    <x v="0"/>
    <x v="3"/>
    <x v="1"/>
    <n v="823"/>
    <n v="0"/>
    <x v="0"/>
    <m/>
    <m/>
    <n v="1159"/>
    <n v="1159"/>
    <n v="0"/>
    <n v="0"/>
    <m/>
  </r>
  <r>
    <x v="0"/>
    <x v="3"/>
    <x v="1"/>
    <n v="1454"/>
    <n v="3"/>
    <x v="0"/>
    <m/>
    <m/>
    <n v="1159"/>
    <n v="1159"/>
    <n v="0"/>
    <n v="0"/>
    <m/>
  </r>
  <r>
    <x v="0"/>
    <x v="3"/>
    <x v="1"/>
    <n v="1264"/>
    <n v="2"/>
    <x v="2"/>
    <n v="3"/>
    <m/>
    <n v="0"/>
    <n v="6000"/>
    <n v="0"/>
    <n v="0"/>
    <m/>
  </r>
  <r>
    <x v="0"/>
    <x v="3"/>
    <x v="1"/>
    <n v="1755"/>
    <n v="0"/>
    <x v="0"/>
    <m/>
    <m/>
    <n v="2757"/>
    <n v="2757"/>
    <n v="0"/>
    <n v="0"/>
    <m/>
  </r>
  <r>
    <x v="1"/>
    <x v="1"/>
    <x v="0"/>
    <n v="1277"/>
    <n v="1"/>
    <x v="0"/>
    <m/>
    <m/>
    <n v="1824"/>
    <n v="1824"/>
    <n v="0"/>
    <n v="0"/>
    <m/>
  </r>
  <r>
    <x v="1"/>
    <x v="1"/>
    <x v="0"/>
    <n v="2049"/>
    <n v="0"/>
    <x v="0"/>
    <m/>
    <m/>
    <n v="2937"/>
    <n v="2937"/>
    <n v="0"/>
    <n v="0"/>
    <m/>
  </r>
  <r>
    <x v="1"/>
    <x v="1"/>
    <x v="0"/>
    <n v="1892"/>
    <n v="1"/>
    <x v="0"/>
    <m/>
    <m/>
    <n v="3400"/>
    <n v="3400"/>
    <n v="0"/>
    <n v="0"/>
    <m/>
  </r>
  <r>
    <x v="1"/>
    <x v="1"/>
    <x v="0"/>
    <n v="2348"/>
    <n v="0"/>
    <x v="0"/>
    <m/>
    <m/>
    <n v="1824"/>
    <n v="1824"/>
    <n v="0"/>
    <n v="0"/>
    <m/>
  </r>
  <r>
    <x v="1"/>
    <x v="1"/>
    <x v="0"/>
    <n v="1998"/>
    <n v="1"/>
    <x v="2"/>
    <n v="2"/>
    <m/>
    <n v="0"/>
    <n v="4000"/>
    <n v="0"/>
    <n v="0"/>
    <m/>
  </r>
  <r>
    <x v="1"/>
    <x v="1"/>
    <x v="0"/>
    <n v="1962"/>
    <n v="1"/>
    <x v="0"/>
    <m/>
    <m/>
    <n v="1824"/>
    <n v="1824"/>
    <n v="0"/>
    <n v="0"/>
    <m/>
  </r>
  <r>
    <x v="1"/>
    <x v="1"/>
    <x v="0"/>
    <n v="2010"/>
    <n v="1"/>
    <x v="0"/>
    <m/>
    <m/>
    <n v="1824"/>
    <n v="1824"/>
    <n v="0"/>
    <n v="0"/>
    <m/>
  </r>
  <r>
    <x v="1"/>
    <x v="1"/>
    <x v="0"/>
    <n v="1676"/>
    <n v="1"/>
    <x v="0"/>
    <m/>
    <m/>
    <n v="1976"/>
    <n v="1976"/>
    <n v="0"/>
    <n v="0"/>
    <m/>
  </r>
  <r>
    <x v="1"/>
    <x v="1"/>
    <x v="0"/>
    <n v="709"/>
    <n v="0"/>
    <x v="2"/>
    <m/>
    <m/>
    <n v="0"/>
    <n v="0"/>
    <n v="0"/>
    <n v="0"/>
    <m/>
  </r>
  <r>
    <x v="1"/>
    <x v="1"/>
    <x v="0"/>
    <n v="2619"/>
    <n v="1"/>
    <x v="0"/>
    <m/>
    <m/>
    <n v="1834"/>
    <n v="1834"/>
    <n v="0"/>
    <n v="0"/>
    <m/>
  </r>
  <r>
    <x v="1"/>
    <x v="1"/>
    <x v="0"/>
    <n v="1880"/>
    <n v="0"/>
    <x v="0"/>
    <m/>
    <m/>
    <n v="1834"/>
    <n v="1834"/>
    <n v="0"/>
    <n v="0"/>
    <m/>
  </r>
  <r>
    <x v="7"/>
    <x v="0"/>
    <x v="3"/>
    <n v="2351"/>
    <n v="2"/>
    <x v="0"/>
    <m/>
    <m/>
    <n v="3100"/>
    <n v="3100"/>
    <n v="0"/>
    <n v="0"/>
    <m/>
  </r>
  <r>
    <x v="7"/>
    <x v="0"/>
    <x v="3"/>
    <n v="2200"/>
    <n v="4"/>
    <x v="0"/>
    <m/>
    <m/>
    <n v="1300"/>
    <n v="1300"/>
    <n v="0"/>
    <n v="0"/>
    <m/>
  </r>
  <r>
    <x v="7"/>
    <x v="0"/>
    <x v="3"/>
    <n v="1737"/>
    <n v="2"/>
    <x v="0"/>
    <m/>
    <m/>
    <n v="1649"/>
    <n v="1649"/>
    <n v="0"/>
    <n v="0"/>
    <m/>
  </r>
  <r>
    <x v="7"/>
    <x v="0"/>
    <x v="3"/>
    <n v="2547"/>
    <n v="2"/>
    <x v="11"/>
    <m/>
    <m/>
    <n v="0"/>
    <n v="0"/>
    <n v="0"/>
    <n v="0"/>
    <m/>
  </r>
  <r>
    <x v="7"/>
    <x v="0"/>
    <x v="3"/>
    <n v="2230"/>
    <n v="2"/>
    <x v="2"/>
    <n v="2"/>
    <m/>
    <n v="0"/>
    <n v="4000"/>
    <n v="0"/>
    <n v="0"/>
    <m/>
  </r>
  <r>
    <x v="7"/>
    <x v="0"/>
    <x v="3"/>
    <n v="2500"/>
    <n v="2"/>
    <x v="2"/>
    <n v="3"/>
    <m/>
    <n v="0"/>
    <n v="6000"/>
    <n v="0"/>
    <n v="0"/>
    <m/>
  </r>
  <r>
    <x v="7"/>
    <x v="0"/>
    <x v="3"/>
    <n v="2677"/>
    <n v="1"/>
    <x v="0"/>
    <m/>
    <m/>
    <n v="8882"/>
    <n v="8882"/>
    <n v="0"/>
    <n v="0"/>
    <m/>
  </r>
  <r>
    <x v="7"/>
    <x v="0"/>
    <x v="3"/>
    <n v="2500"/>
    <n v="1"/>
    <x v="0"/>
    <m/>
    <m/>
    <n v="4134"/>
    <n v="4134"/>
    <n v="0"/>
    <n v="0"/>
    <m/>
  </r>
  <r>
    <x v="7"/>
    <x v="0"/>
    <x v="3"/>
    <n v="2751"/>
    <n v="0"/>
    <x v="0"/>
    <m/>
    <m/>
    <n v="6615"/>
    <n v="6615"/>
    <n v="0"/>
    <n v="0"/>
    <m/>
  </r>
  <r>
    <x v="7"/>
    <x v="0"/>
    <x v="3"/>
    <n v="2004"/>
    <n v="2"/>
    <x v="0"/>
    <m/>
    <m/>
    <n v="13770"/>
    <n v="13770"/>
    <n v="0"/>
    <n v="0"/>
    <m/>
  </r>
  <r>
    <x v="7"/>
    <x v="0"/>
    <x v="3"/>
    <n v="1787"/>
    <n v="3"/>
    <x v="0"/>
    <m/>
    <m/>
    <n v="4134"/>
    <n v="4134"/>
    <n v="0"/>
    <n v="0"/>
    <m/>
  </r>
  <r>
    <x v="7"/>
    <x v="0"/>
    <x v="3"/>
    <n v="2747"/>
    <n v="1"/>
    <x v="0"/>
    <m/>
    <m/>
    <n v="3720"/>
    <n v="3720"/>
    <n v="0"/>
    <n v="0"/>
    <m/>
  </r>
  <r>
    <x v="7"/>
    <x v="0"/>
    <x v="3"/>
    <n v="2105"/>
    <n v="0"/>
    <x v="2"/>
    <n v="3"/>
    <m/>
    <n v="0"/>
    <n v="6000"/>
    <n v="0"/>
    <n v="0"/>
    <m/>
  </r>
  <r>
    <x v="7"/>
    <x v="0"/>
    <x v="3"/>
    <n v="2230"/>
    <n v="2"/>
    <x v="0"/>
    <m/>
    <m/>
    <n v="2067"/>
    <n v="2067"/>
    <n v="0"/>
    <n v="0"/>
    <m/>
  </r>
  <r>
    <x v="7"/>
    <x v="0"/>
    <x v="3"/>
    <n v="2236"/>
    <n v="1"/>
    <x v="2"/>
    <n v="4"/>
    <m/>
    <n v="0"/>
    <n v="8000"/>
    <n v="0"/>
    <n v="0"/>
    <m/>
  </r>
  <r>
    <x v="7"/>
    <x v="0"/>
    <x v="3"/>
    <n v="2339"/>
    <n v="3"/>
    <x v="2"/>
    <n v="4"/>
    <m/>
    <n v="0"/>
    <n v="8000"/>
    <n v="0"/>
    <n v="0"/>
    <m/>
  </r>
  <r>
    <x v="0"/>
    <x v="3"/>
    <x v="1"/>
    <n v="1396"/>
    <n v="2"/>
    <x v="0"/>
    <m/>
    <m/>
    <n v="1159"/>
    <n v="1159"/>
    <n v="0"/>
    <n v="0"/>
    <m/>
  </r>
  <r>
    <x v="0"/>
    <x v="3"/>
    <x v="1"/>
    <n v="1382"/>
    <n v="1"/>
    <x v="2"/>
    <n v="3"/>
    <m/>
    <n v="0"/>
    <n v="6000"/>
    <n v="0"/>
    <n v="0"/>
    <m/>
  </r>
  <r>
    <x v="0"/>
    <x v="3"/>
    <x v="1"/>
    <n v="823"/>
    <n v="1"/>
    <x v="0"/>
    <m/>
    <m/>
    <n v="1159"/>
    <n v="1159"/>
    <n v="0"/>
    <n v="0"/>
    <m/>
  </r>
  <r>
    <x v="0"/>
    <x v="3"/>
    <x v="1"/>
    <n v="1300"/>
    <n v="2"/>
    <x v="0"/>
    <m/>
    <m/>
    <n v="1159"/>
    <n v="1159"/>
    <n v="0"/>
    <n v="0"/>
    <m/>
  </r>
  <r>
    <x v="0"/>
    <x v="3"/>
    <x v="1"/>
    <n v="1617"/>
    <n v="0"/>
    <x v="0"/>
    <m/>
    <m/>
    <n v="1159"/>
    <n v="1159"/>
    <n v="0"/>
    <n v="0"/>
    <m/>
  </r>
  <r>
    <x v="0"/>
    <x v="3"/>
    <x v="1"/>
    <n v="1669"/>
    <n v="2"/>
    <x v="0"/>
    <m/>
    <m/>
    <n v="2067"/>
    <n v="2067"/>
    <n v="0"/>
    <n v="0"/>
    <m/>
  </r>
  <r>
    <x v="0"/>
    <x v="3"/>
    <x v="1"/>
    <n v="1400"/>
    <n v="0"/>
    <x v="0"/>
    <m/>
    <m/>
    <n v="2067"/>
    <n v="2067"/>
    <n v="0"/>
    <n v="0"/>
    <m/>
  </r>
  <r>
    <x v="0"/>
    <x v="3"/>
    <x v="1"/>
    <n v="1299"/>
    <n v="1"/>
    <x v="0"/>
    <m/>
    <m/>
    <n v="1159"/>
    <n v="1159"/>
    <n v="0"/>
    <n v="0"/>
    <m/>
  </r>
  <r>
    <x v="0"/>
    <x v="3"/>
    <x v="1"/>
    <n v="1135"/>
    <n v="1"/>
    <x v="0"/>
    <m/>
    <m/>
    <n v="1159"/>
    <n v="1159"/>
    <n v="0"/>
    <n v="0"/>
    <m/>
  </r>
  <r>
    <x v="0"/>
    <x v="3"/>
    <x v="1"/>
    <n v="1659"/>
    <n v="1"/>
    <x v="0"/>
    <m/>
    <m/>
    <n v="1546"/>
    <n v="1546"/>
    <n v="0"/>
    <n v="0"/>
    <m/>
  </r>
  <r>
    <x v="0"/>
    <x v="3"/>
    <x v="1"/>
    <n v="1820"/>
    <n v="2"/>
    <x v="0"/>
    <m/>
    <m/>
    <n v="1159"/>
    <n v="1159"/>
    <n v="0"/>
    <n v="0"/>
    <m/>
  </r>
  <r>
    <x v="0"/>
    <x v="3"/>
    <x v="1"/>
    <n v="1567"/>
    <n v="1"/>
    <x v="0"/>
    <m/>
    <m/>
    <n v="1352"/>
    <n v="1352"/>
    <n v="0"/>
    <n v="0"/>
    <m/>
  </r>
  <r>
    <x v="0"/>
    <x v="3"/>
    <x v="1"/>
    <n v="1417"/>
    <n v="1"/>
    <x v="0"/>
    <m/>
    <m/>
    <n v="2067"/>
    <n v="2067"/>
    <n v="0"/>
    <n v="0"/>
    <m/>
  </r>
  <r>
    <x v="0"/>
    <x v="3"/>
    <x v="1"/>
    <n v="1149"/>
    <n v="0"/>
    <x v="0"/>
    <m/>
    <m/>
    <n v="1546"/>
    <n v="1546"/>
    <n v="0"/>
    <n v="0"/>
    <m/>
  </r>
  <r>
    <x v="0"/>
    <x v="3"/>
    <x v="1"/>
    <n v="999"/>
    <n v="2"/>
    <x v="0"/>
    <m/>
    <m/>
    <n v="2067"/>
    <n v="2067"/>
    <n v="0"/>
    <n v="0"/>
    <m/>
  </r>
  <r>
    <x v="0"/>
    <x v="3"/>
    <x v="1"/>
    <n v="1041"/>
    <n v="1"/>
    <x v="0"/>
    <m/>
    <m/>
    <n v="1159"/>
    <n v="1159"/>
    <n v="0"/>
    <n v="0"/>
    <m/>
  </r>
  <r>
    <x v="0"/>
    <x v="3"/>
    <x v="1"/>
    <n v="1428"/>
    <n v="1"/>
    <x v="0"/>
    <m/>
    <m/>
    <n v="1352"/>
    <n v="1352"/>
    <n v="0"/>
    <n v="0"/>
    <m/>
  </r>
  <r>
    <x v="0"/>
    <x v="3"/>
    <x v="1"/>
    <n v="1853"/>
    <n v="0"/>
    <x v="2"/>
    <n v="3"/>
    <m/>
    <n v="0"/>
    <n v="6000"/>
    <n v="0"/>
    <n v="0"/>
    <m/>
  </r>
  <r>
    <x v="0"/>
    <x v="3"/>
    <x v="1"/>
    <n v="2455"/>
    <n v="2"/>
    <x v="0"/>
    <m/>
    <m/>
    <n v="1159"/>
    <n v="1159"/>
    <n v="0"/>
    <n v="0"/>
    <m/>
  </r>
  <r>
    <x v="0"/>
    <x v="3"/>
    <x v="1"/>
    <n v="1681"/>
    <n v="1"/>
    <x v="0"/>
    <m/>
    <m/>
    <n v="1546"/>
    <n v="1546"/>
    <n v="0"/>
    <n v="0"/>
    <m/>
  </r>
  <r>
    <x v="0"/>
    <x v="3"/>
    <x v="1"/>
    <n v="824"/>
    <n v="0"/>
    <x v="2"/>
    <n v="3"/>
    <m/>
    <n v="0"/>
    <n v="6000"/>
    <n v="0"/>
    <n v="0"/>
    <m/>
  </r>
  <r>
    <x v="0"/>
    <x v="3"/>
    <x v="1"/>
    <n v="1214"/>
    <n v="1"/>
    <x v="0"/>
    <m/>
    <m/>
    <n v="1159"/>
    <n v="1159"/>
    <n v="0"/>
    <n v="0"/>
    <m/>
  </r>
  <r>
    <x v="0"/>
    <x v="3"/>
    <x v="1"/>
    <n v="1917"/>
    <n v="2"/>
    <x v="0"/>
    <m/>
    <m/>
    <n v="1159"/>
    <n v="1159"/>
    <n v="0"/>
    <n v="0"/>
    <m/>
  </r>
  <r>
    <x v="0"/>
    <x v="3"/>
    <x v="1"/>
    <n v="404"/>
    <n v="0"/>
    <x v="0"/>
    <m/>
    <m/>
    <n v="2067"/>
    <n v="2067"/>
    <n v="0"/>
    <n v="0"/>
    <m/>
  </r>
  <r>
    <x v="0"/>
    <x v="3"/>
    <x v="1"/>
    <n v="991"/>
    <n v="0"/>
    <x v="0"/>
    <m/>
    <m/>
    <n v="1159"/>
    <n v="1159"/>
    <n v="0"/>
    <n v="0"/>
    <m/>
  </r>
  <r>
    <x v="0"/>
    <x v="3"/>
    <x v="1"/>
    <n v="1585"/>
    <n v="0"/>
    <x v="0"/>
    <m/>
    <m/>
    <n v="1159"/>
    <n v="1159"/>
    <n v="0"/>
    <n v="0"/>
    <m/>
  </r>
  <r>
    <x v="0"/>
    <x v="3"/>
    <x v="1"/>
    <n v="1099"/>
    <n v="1"/>
    <x v="0"/>
    <m/>
    <m/>
    <n v="1352"/>
    <n v="1352"/>
    <n v="0"/>
    <n v="0"/>
    <m/>
  </r>
  <r>
    <x v="0"/>
    <x v="3"/>
    <x v="1"/>
    <n v="1444"/>
    <n v="0"/>
    <x v="0"/>
    <m/>
    <m/>
    <n v="1739"/>
    <n v="1739"/>
    <n v="0"/>
    <n v="0"/>
    <m/>
  </r>
  <r>
    <x v="0"/>
    <x v="3"/>
    <x v="1"/>
    <n v="1206"/>
    <n v="1"/>
    <x v="0"/>
    <m/>
    <m/>
    <n v="1159"/>
    <n v="1159"/>
    <n v="0"/>
    <n v="0"/>
    <m/>
  </r>
  <r>
    <x v="0"/>
    <x v="3"/>
    <x v="1"/>
    <n v="2034"/>
    <n v="3"/>
    <x v="0"/>
    <m/>
    <m/>
    <n v="1159"/>
    <n v="1159"/>
    <n v="0"/>
    <n v="0"/>
    <m/>
  </r>
  <r>
    <x v="0"/>
    <x v="3"/>
    <x v="1"/>
    <n v="2474"/>
    <n v="0"/>
    <x v="2"/>
    <n v="3"/>
    <m/>
    <n v="0"/>
    <n v="6000"/>
    <n v="0"/>
    <n v="0"/>
    <m/>
  </r>
  <r>
    <x v="0"/>
    <x v="3"/>
    <x v="1"/>
    <n v="1210"/>
    <n v="2"/>
    <x v="0"/>
    <m/>
    <m/>
    <n v="1352"/>
    <n v="1352"/>
    <n v="0"/>
    <n v="0"/>
    <m/>
  </r>
  <r>
    <x v="0"/>
    <x v="3"/>
    <x v="1"/>
    <n v="1838"/>
    <n v="0"/>
    <x v="0"/>
    <m/>
    <m/>
    <n v="1159"/>
    <n v="1159"/>
    <n v="0"/>
    <n v="0"/>
    <m/>
  </r>
  <r>
    <x v="0"/>
    <x v="3"/>
    <x v="1"/>
    <n v="1620"/>
    <n v="1"/>
    <x v="0"/>
    <m/>
    <m/>
    <n v="1159"/>
    <n v="1159"/>
    <n v="0"/>
    <n v="0"/>
    <m/>
  </r>
  <r>
    <x v="0"/>
    <x v="3"/>
    <x v="1"/>
    <n v="1629"/>
    <n v="1"/>
    <x v="0"/>
    <m/>
    <m/>
    <n v="2750"/>
    <n v="2750"/>
    <n v="0"/>
    <n v="0"/>
    <m/>
  </r>
  <r>
    <x v="0"/>
    <x v="3"/>
    <x v="1"/>
    <n v="1374"/>
    <n v="1"/>
    <x v="2"/>
    <n v="3"/>
    <m/>
    <n v="0"/>
    <n v="6000"/>
    <n v="0"/>
    <n v="0"/>
    <m/>
  </r>
  <r>
    <x v="0"/>
    <x v="3"/>
    <x v="1"/>
    <n v="1637"/>
    <n v="0"/>
    <x v="0"/>
    <m/>
    <m/>
    <n v="1352"/>
    <n v="1352"/>
    <n v="0"/>
    <n v="0"/>
    <m/>
  </r>
  <r>
    <x v="0"/>
    <x v="3"/>
    <x v="1"/>
    <n v="1846"/>
    <n v="1"/>
    <x v="0"/>
    <m/>
    <m/>
    <n v="1159"/>
    <n v="1159"/>
    <n v="0"/>
    <n v="0"/>
    <m/>
  </r>
  <r>
    <x v="0"/>
    <x v="3"/>
    <x v="1"/>
    <n v="1617"/>
    <n v="1"/>
    <x v="0"/>
    <m/>
    <m/>
    <n v="2756"/>
    <n v="2756"/>
    <n v="0"/>
    <n v="0"/>
    <m/>
  </r>
  <r>
    <x v="0"/>
    <x v="3"/>
    <x v="1"/>
    <n v="1585"/>
    <n v="0"/>
    <x v="2"/>
    <n v="3"/>
    <m/>
    <n v="0"/>
    <n v="6000"/>
    <n v="0"/>
    <n v="0"/>
    <m/>
  </r>
  <r>
    <x v="0"/>
    <x v="3"/>
    <x v="1"/>
    <n v="1585"/>
    <n v="0"/>
    <x v="2"/>
    <n v="3"/>
    <m/>
    <n v="0"/>
    <n v="6000"/>
    <n v="0"/>
    <n v="0"/>
    <m/>
  </r>
  <r>
    <x v="0"/>
    <x v="3"/>
    <x v="1"/>
    <n v="1990"/>
    <n v="0"/>
    <x v="0"/>
    <m/>
    <m/>
    <n v="1159"/>
    <n v="1159"/>
    <n v="0"/>
    <n v="0"/>
    <m/>
  </r>
  <r>
    <x v="0"/>
    <x v="3"/>
    <x v="1"/>
    <n v="1186"/>
    <n v="1"/>
    <x v="0"/>
    <m/>
    <m/>
    <n v="2756"/>
    <n v="2756"/>
    <n v="0"/>
    <n v="0"/>
    <m/>
  </r>
  <r>
    <x v="0"/>
    <x v="3"/>
    <x v="1"/>
    <n v="1193"/>
    <n v="2"/>
    <x v="0"/>
    <m/>
    <m/>
    <n v="1159"/>
    <n v="1159"/>
    <n v="0"/>
    <n v="0"/>
    <m/>
  </r>
  <r>
    <x v="0"/>
    <x v="3"/>
    <x v="1"/>
    <n v="1223"/>
    <n v="0"/>
    <x v="0"/>
    <m/>
    <m/>
    <n v="2067"/>
    <n v="2067"/>
    <n v="0"/>
    <n v="0"/>
    <m/>
  </r>
  <r>
    <x v="0"/>
    <x v="3"/>
    <x v="1"/>
    <n v="1833"/>
    <n v="0"/>
    <x v="0"/>
    <m/>
    <m/>
    <n v="2067"/>
    <n v="2067"/>
    <n v="0"/>
    <n v="0"/>
    <m/>
  </r>
  <r>
    <x v="0"/>
    <x v="3"/>
    <x v="1"/>
    <n v="1601"/>
    <n v="1"/>
    <x v="0"/>
    <m/>
    <m/>
    <n v="2067"/>
    <n v="2067"/>
    <n v="0"/>
    <n v="0"/>
    <m/>
  </r>
  <r>
    <x v="0"/>
    <x v="3"/>
    <x v="1"/>
    <n v="1381"/>
    <n v="0"/>
    <x v="0"/>
    <m/>
    <m/>
    <n v="2067"/>
    <n v="2067"/>
    <n v="0"/>
    <n v="0"/>
    <m/>
  </r>
  <r>
    <x v="0"/>
    <x v="3"/>
    <x v="1"/>
    <n v="1472"/>
    <n v="3"/>
    <x v="0"/>
    <m/>
    <m/>
    <n v="1159"/>
    <n v="1159"/>
    <n v="0"/>
    <n v="0"/>
    <m/>
  </r>
  <r>
    <x v="0"/>
    <x v="3"/>
    <x v="1"/>
    <n v="1210"/>
    <n v="1"/>
    <x v="0"/>
    <m/>
    <m/>
    <n v="1159"/>
    <n v="1159"/>
    <n v="0"/>
    <n v="0"/>
    <m/>
  </r>
  <r>
    <x v="0"/>
    <x v="3"/>
    <x v="1"/>
    <n v="1469"/>
    <n v="1"/>
    <x v="1"/>
    <s v="2*"/>
    <m/>
    <n v="0"/>
    <n v="0"/>
    <n v="11500"/>
    <n v="15120"/>
    <m/>
  </r>
  <r>
    <x v="0"/>
    <x v="3"/>
    <x v="1"/>
    <n v="1035"/>
    <n v="1"/>
    <x v="0"/>
    <m/>
    <m/>
    <n v="2067"/>
    <n v="2067"/>
    <n v="0"/>
    <n v="0"/>
    <m/>
  </r>
  <r>
    <x v="0"/>
    <x v="3"/>
    <x v="1"/>
    <n v="1877"/>
    <n v="1"/>
    <x v="2"/>
    <n v="3"/>
    <m/>
    <n v="0"/>
    <n v="6000"/>
    <n v="0"/>
    <n v="0"/>
    <m/>
  </r>
  <r>
    <x v="0"/>
    <x v="3"/>
    <x v="1"/>
    <n v="849"/>
    <n v="1"/>
    <x v="2"/>
    <n v="3"/>
    <m/>
    <n v="0"/>
    <n v="6000"/>
    <n v="0"/>
    <n v="0"/>
    <m/>
  </r>
  <r>
    <x v="0"/>
    <x v="3"/>
    <x v="1"/>
    <n v="1261"/>
    <n v="1"/>
    <x v="2"/>
    <n v="3"/>
    <m/>
    <m/>
    <n v="6000"/>
    <n v="0"/>
    <n v="0"/>
    <m/>
  </r>
  <r>
    <x v="9"/>
    <x v="0"/>
    <x v="1"/>
    <n v="1940"/>
    <n v="0"/>
    <x v="2"/>
    <n v="3"/>
    <m/>
    <n v="0"/>
    <n v="6000"/>
    <n v="0"/>
    <n v="0"/>
    <m/>
  </r>
  <r>
    <x v="0"/>
    <x v="3"/>
    <x v="1"/>
    <n v="2271"/>
    <n v="1"/>
    <x v="2"/>
    <n v="3"/>
    <m/>
    <n v="0"/>
    <n v="6000"/>
    <n v="0"/>
    <n v="0"/>
    <m/>
  </r>
  <r>
    <x v="0"/>
    <x v="3"/>
    <x v="1"/>
    <n v="1066"/>
    <n v="0"/>
    <x v="4"/>
    <s v="2*"/>
    <m/>
    <n v="0"/>
    <n v="0"/>
    <n v="11500"/>
    <n v="66062"/>
    <m/>
  </r>
  <r>
    <x v="0"/>
    <x v="3"/>
    <x v="1"/>
    <n v="1217"/>
    <n v="0"/>
    <x v="0"/>
    <m/>
    <m/>
    <n v="1159"/>
    <n v="1159"/>
    <n v="0"/>
    <n v="0"/>
    <m/>
  </r>
  <r>
    <x v="0"/>
    <x v="3"/>
    <x v="1"/>
    <n v="1369"/>
    <n v="0"/>
    <x v="1"/>
    <s v="3*"/>
    <m/>
    <m/>
    <n v="0"/>
    <n v="34500"/>
    <n v="66062"/>
    <m/>
  </r>
  <r>
    <x v="0"/>
    <x v="3"/>
    <x v="1"/>
    <n v="1200"/>
    <n v="1"/>
    <x v="0"/>
    <m/>
    <m/>
    <n v="1546"/>
    <n v="1546"/>
    <n v="0"/>
    <n v="0"/>
    <m/>
  </r>
  <r>
    <x v="0"/>
    <x v="3"/>
    <x v="1"/>
    <n v="2084"/>
    <n v="1"/>
    <x v="0"/>
    <m/>
    <m/>
    <n v="1159"/>
    <n v="1159"/>
    <n v="0"/>
    <n v="0"/>
    <m/>
  </r>
  <r>
    <x v="0"/>
    <x v="3"/>
    <x v="1"/>
    <n v="1041"/>
    <n v="2"/>
    <x v="0"/>
    <m/>
    <m/>
    <n v="1159"/>
    <n v="1159"/>
    <n v="0"/>
    <n v="0"/>
    <m/>
  </r>
  <r>
    <x v="0"/>
    <x v="3"/>
    <x v="1"/>
    <n v="1173"/>
    <n v="0"/>
    <x v="2"/>
    <n v="3"/>
    <m/>
    <n v="0"/>
    <n v="6000"/>
    <n v="0"/>
    <n v="0"/>
    <m/>
  </r>
  <r>
    <x v="0"/>
    <x v="3"/>
    <x v="1"/>
    <n v="1203"/>
    <n v="0"/>
    <x v="0"/>
    <m/>
    <m/>
    <n v="1159"/>
    <n v="1159"/>
    <n v="0"/>
    <n v="0"/>
    <m/>
  </r>
  <r>
    <x v="0"/>
    <x v="3"/>
    <x v="1"/>
    <n v="1265"/>
    <n v="0"/>
    <x v="0"/>
    <m/>
    <m/>
    <n v="1159"/>
    <n v="1159"/>
    <n v="0"/>
    <n v="0"/>
    <m/>
  </r>
  <r>
    <x v="0"/>
    <x v="3"/>
    <x v="1"/>
    <n v="1133"/>
    <n v="0"/>
    <x v="0"/>
    <m/>
    <m/>
    <n v="1159"/>
    <n v="1159"/>
    <n v="0"/>
    <n v="0"/>
    <m/>
  </r>
  <r>
    <x v="0"/>
    <x v="3"/>
    <x v="1"/>
    <n v="967"/>
    <n v="1"/>
    <x v="1"/>
    <s v="1*"/>
    <m/>
    <n v="0"/>
    <n v="0"/>
    <n v="0"/>
    <n v="0"/>
    <m/>
  </r>
  <r>
    <x v="0"/>
    <x v="3"/>
    <x v="1"/>
    <n v="2246"/>
    <n v="1"/>
    <x v="0"/>
    <m/>
    <m/>
    <n v="2067"/>
    <n v="2067"/>
    <n v="0"/>
    <n v="0"/>
    <m/>
  </r>
  <r>
    <x v="0"/>
    <x v="3"/>
    <x v="1"/>
    <n v="1423"/>
    <n v="2"/>
    <x v="0"/>
    <m/>
    <m/>
    <n v="1159"/>
    <n v="1159"/>
    <n v="0"/>
    <n v="0"/>
    <m/>
  </r>
  <r>
    <x v="0"/>
    <x v="3"/>
    <x v="1"/>
    <n v="1858"/>
    <n v="0"/>
    <x v="0"/>
    <m/>
    <m/>
    <n v="2067"/>
    <n v="2067"/>
    <n v="0"/>
    <n v="0"/>
    <m/>
  </r>
  <r>
    <x v="0"/>
    <x v="3"/>
    <x v="1"/>
    <n v="1423"/>
    <n v="1"/>
    <x v="0"/>
    <m/>
    <m/>
    <n v="1546"/>
    <n v="1546"/>
    <n v="0"/>
    <n v="0"/>
    <m/>
  </r>
  <r>
    <x v="0"/>
    <x v="3"/>
    <x v="1"/>
    <n v="2042"/>
    <n v="1"/>
    <x v="0"/>
    <m/>
    <m/>
    <n v="1159"/>
    <n v="1159"/>
    <n v="0"/>
    <n v="0"/>
    <m/>
  </r>
  <r>
    <x v="0"/>
    <x v="3"/>
    <x v="1"/>
    <n v="2001"/>
    <n v="1"/>
    <x v="1"/>
    <s v="1*"/>
    <m/>
    <n v="0"/>
    <n v="0"/>
    <n v="0"/>
    <n v="0"/>
    <m/>
  </r>
  <r>
    <x v="0"/>
    <x v="3"/>
    <x v="1"/>
    <n v="1540"/>
    <n v="0"/>
    <x v="1"/>
    <s v="1*"/>
    <m/>
    <n v="0"/>
    <n v="0"/>
    <n v="0"/>
    <n v="0"/>
    <m/>
  </r>
  <r>
    <x v="0"/>
    <x v="3"/>
    <x v="1"/>
    <n v="1699"/>
    <n v="1"/>
    <x v="0"/>
    <m/>
    <m/>
    <n v="2067"/>
    <n v="2067"/>
    <n v="0"/>
    <n v="0"/>
    <m/>
  </r>
  <r>
    <x v="0"/>
    <x v="3"/>
    <x v="1"/>
    <n v="1916"/>
    <n v="1"/>
    <x v="0"/>
    <m/>
    <m/>
    <n v="1159"/>
    <n v="1159"/>
    <n v="0"/>
    <n v="0"/>
    <m/>
  </r>
  <r>
    <x v="0"/>
    <x v="3"/>
    <x v="1"/>
    <n v="2501"/>
    <n v="0"/>
    <x v="0"/>
    <m/>
    <m/>
    <n v="2067"/>
    <n v="2067"/>
    <n v="0"/>
    <n v="0"/>
    <m/>
  </r>
  <r>
    <x v="0"/>
    <x v="3"/>
    <x v="1"/>
    <n v="1812"/>
    <n v="1"/>
    <x v="2"/>
    <n v="3"/>
    <m/>
    <m/>
    <n v="6000"/>
    <n v="0"/>
    <n v="0"/>
    <m/>
  </r>
  <r>
    <x v="0"/>
    <x v="3"/>
    <x v="1"/>
    <n v="1215"/>
    <n v="0"/>
    <x v="0"/>
    <m/>
    <m/>
    <n v="1159"/>
    <n v="1159"/>
    <n v="0"/>
    <n v="0"/>
    <m/>
  </r>
  <r>
    <x v="0"/>
    <x v="3"/>
    <x v="1"/>
    <n v="422"/>
    <n v="1"/>
    <x v="0"/>
    <m/>
    <m/>
    <n v="2756"/>
    <n v="2756"/>
    <n v="0"/>
    <n v="0"/>
    <m/>
  </r>
  <r>
    <x v="0"/>
    <x v="3"/>
    <x v="1"/>
    <n v="1105"/>
    <n v="0"/>
    <x v="1"/>
    <s v="2*"/>
    <m/>
    <n v="0"/>
    <n v="0"/>
    <n v="11500"/>
    <n v="15120"/>
    <m/>
  </r>
  <r>
    <x v="0"/>
    <x v="3"/>
    <x v="1"/>
    <n v="821"/>
    <n v="1"/>
    <x v="0"/>
    <m/>
    <m/>
    <n v="1159"/>
    <n v="1159"/>
    <n v="0"/>
    <n v="0"/>
    <m/>
  </r>
  <r>
    <x v="0"/>
    <x v="3"/>
    <x v="1"/>
    <n v="1748"/>
    <n v="1"/>
    <x v="11"/>
    <m/>
    <m/>
    <n v="0"/>
    <n v="0"/>
    <n v="0"/>
    <n v="0"/>
    <m/>
  </r>
  <r>
    <x v="0"/>
    <x v="3"/>
    <x v="1"/>
    <n v="1840"/>
    <n v="0"/>
    <x v="11"/>
    <m/>
    <m/>
    <n v="0"/>
    <n v="0"/>
    <n v="0"/>
    <n v="0"/>
    <m/>
  </r>
  <r>
    <x v="0"/>
    <x v="3"/>
    <x v="1"/>
    <n v="1395"/>
    <n v="2"/>
    <x v="0"/>
    <m/>
    <m/>
    <n v="1159"/>
    <n v="1159"/>
    <n v="0"/>
    <n v="0"/>
    <m/>
  </r>
  <r>
    <x v="0"/>
    <x v="3"/>
    <x v="1"/>
    <n v="1292"/>
    <n v="2"/>
    <x v="0"/>
    <m/>
    <m/>
    <n v="1159"/>
    <n v="1159"/>
    <n v="0"/>
    <n v="0"/>
    <m/>
  </r>
  <r>
    <x v="0"/>
    <x v="3"/>
    <x v="1"/>
    <n v="1574"/>
    <n v="0"/>
    <x v="0"/>
    <m/>
    <m/>
    <n v="1159"/>
    <n v="1159"/>
    <n v="0"/>
    <n v="0"/>
    <m/>
  </r>
  <r>
    <x v="0"/>
    <x v="3"/>
    <x v="1"/>
    <n v="1388"/>
    <n v="0"/>
    <x v="0"/>
    <m/>
    <m/>
    <n v="1159"/>
    <n v="1159"/>
    <n v="0"/>
    <n v="0"/>
    <m/>
  </r>
  <r>
    <x v="0"/>
    <x v="3"/>
    <x v="1"/>
    <n v="3326"/>
    <n v="0"/>
    <x v="2"/>
    <n v="3"/>
    <m/>
    <n v="0"/>
    <n v="6000"/>
    <n v="0"/>
    <n v="0"/>
    <m/>
  </r>
  <r>
    <x v="0"/>
    <x v="3"/>
    <x v="1"/>
    <n v="999"/>
    <n v="1"/>
    <x v="11"/>
    <m/>
    <m/>
    <n v="0"/>
    <n v="0"/>
    <n v="0"/>
    <n v="0"/>
    <m/>
  </r>
  <r>
    <x v="0"/>
    <x v="3"/>
    <x v="1"/>
    <n v="1225"/>
    <n v="0"/>
    <x v="0"/>
    <m/>
    <m/>
    <n v="2411"/>
    <n v="2411"/>
    <n v="0"/>
    <n v="0"/>
    <m/>
  </r>
  <r>
    <x v="0"/>
    <x v="3"/>
    <x v="1"/>
    <n v="1362"/>
    <n v="2"/>
    <x v="1"/>
    <s v="1*"/>
    <m/>
    <m/>
    <n v="0"/>
    <n v="0"/>
    <n v="0"/>
    <m/>
  </r>
  <r>
    <x v="0"/>
    <x v="3"/>
    <x v="1"/>
    <n v="1149"/>
    <n v="2"/>
    <x v="0"/>
    <m/>
    <m/>
    <n v="1159"/>
    <n v="1159"/>
    <n v="0"/>
    <n v="0"/>
    <m/>
  </r>
  <r>
    <x v="0"/>
    <x v="3"/>
    <x v="1"/>
    <n v="1186"/>
    <n v="1"/>
    <x v="0"/>
    <m/>
    <m/>
    <n v="2067"/>
    <n v="2067"/>
    <n v="0"/>
    <n v="0"/>
    <m/>
  </r>
  <r>
    <x v="0"/>
    <x v="3"/>
    <x v="1"/>
    <n v="1366"/>
    <n v="1"/>
    <x v="0"/>
    <m/>
    <m/>
    <n v="2411"/>
    <n v="2411"/>
    <n v="0"/>
    <n v="0"/>
    <m/>
  </r>
  <r>
    <x v="0"/>
    <x v="3"/>
    <x v="1"/>
    <n v="2407"/>
    <n v="4"/>
    <x v="1"/>
    <s v="2*"/>
    <m/>
    <n v="0"/>
    <n v="0"/>
    <n v="11500"/>
    <n v="15120"/>
    <m/>
  </r>
  <r>
    <x v="0"/>
    <x v="3"/>
    <x v="1"/>
    <n v="2050"/>
    <n v="1"/>
    <x v="0"/>
    <m/>
    <m/>
    <n v="2067"/>
    <n v="2067"/>
    <n v="0"/>
    <n v="0"/>
    <m/>
  </r>
  <r>
    <x v="0"/>
    <x v="3"/>
    <x v="1"/>
    <n v="2063"/>
    <n v="1"/>
    <x v="1"/>
    <s v="1*"/>
    <m/>
    <m/>
    <n v="0"/>
    <n v="0"/>
    <n v="0"/>
    <m/>
  </r>
  <r>
    <x v="0"/>
    <x v="3"/>
    <x v="1"/>
    <n v="1086"/>
    <n v="0"/>
    <x v="0"/>
    <m/>
    <m/>
    <n v="1546"/>
    <n v="1546"/>
    <n v="0"/>
    <n v="0"/>
    <m/>
  </r>
  <r>
    <x v="0"/>
    <x v="3"/>
    <x v="1"/>
    <n v="1248"/>
    <n v="2"/>
    <x v="2"/>
    <n v="3"/>
    <m/>
    <n v="0"/>
    <n v="6000"/>
    <n v="0"/>
    <n v="0"/>
    <m/>
  </r>
  <r>
    <x v="0"/>
    <x v="3"/>
    <x v="1"/>
    <n v="1342"/>
    <n v="1"/>
    <x v="11"/>
    <m/>
    <m/>
    <n v="0"/>
    <n v="0"/>
    <n v="0"/>
    <n v="0"/>
    <m/>
  </r>
  <r>
    <x v="0"/>
    <x v="3"/>
    <x v="1"/>
    <n v="2048"/>
    <n v="0"/>
    <x v="0"/>
    <m/>
    <m/>
    <n v="1159"/>
    <n v="1159"/>
    <n v="0"/>
    <n v="0"/>
    <m/>
  </r>
  <r>
    <x v="0"/>
    <x v="3"/>
    <x v="1"/>
    <n v="2152"/>
    <n v="2"/>
    <x v="1"/>
    <s v="1*"/>
    <m/>
    <n v="0"/>
    <n v="0"/>
    <n v="0"/>
    <n v="0"/>
    <m/>
  </r>
  <r>
    <x v="0"/>
    <x v="3"/>
    <x v="1"/>
    <n v="1171"/>
    <n v="1"/>
    <x v="0"/>
    <m/>
    <m/>
    <n v="2067"/>
    <n v="2067"/>
    <n v="0"/>
    <n v="0"/>
    <m/>
  </r>
  <r>
    <x v="0"/>
    <x v="3"/>
    <x v="1"/>
    <n v="2951"/>
    <n v="2"/>
    <x v="0"/>
    <m/>
    <m/>
    <n v="2411"/>
    <n v="2411"/>
    <n v="0"/>
    <n v="0"/>
    <m/>
  </r>
  <r>
    <x v="0"/>
    <x v="3"/>
    <x v="1"/>
    <n v="1340"/>
    <n v="0"/>
    <x v="0"/>
    <m/>
    <m/>
    <n v="1159"/>
    <n v="1159"/>
    <n v="0"/>
    <n v="0"/>
    <m/>
  </r>
  <r>
    <x v="0"/>
    <x v="3"/>
    <x v="1"/>
    <n v="1120"/>
    <n v="1"/>
    <x v="0"/>
    <m/>
    <m/>
    <n v="1546"/>
    <n v="1546"/>
    <n v="0"/>
    <n v="0"/>
    <m/>
  </r>
  <r>
    <x v="0"/>
    <x v="3"/>
    <x v="1"/>
    <n v="805"/>
    <n v="1"/>
    <x v="0"/>
    <m/>
    <m/>
    <n v="2067"/>
    <n v="2067"/>
    <n v="0"/>
    <n v="0"/>
    <m/>
  </r>
  <r>
    <x v="0"/>
    <x v="3"/>
    <x v="1"/>
    <n v="1611"/>
    <n v="3"/>
    <x v="0"/>
    <m/>
    <m/>
    <n v="1159"/>
    <n v="1159"/>
    <n v="0"/>
    <n v="0"/>
    <m/>
  </r>
  <r>
    <x v="0"/>
    <x v="3"/>
    <x v="1"/>
    <n v="1332"/>
    <n v="0"/>
    <x v="0"/>
    <m/>
    <m/>
    <n v="1159"/>
    <n v="1159"/>
    <n v="0"/>
    <n v="0"/>
    <m/>
  </r>
  <r>
    <x v="0"/>
    <x v="3"/>
    <x v="1"/>
    <n v="1613"/>
    <n v="1"/>
    <x v="0"/>
    <m/>
    <m/>
    <n v="2411"/>
    <n v="2411"/>
    <n v="0"/>
    <n v="0"/>
    <m/>
  </r>
  <r>
    <x v="0"/>
    <x v="3"/>
    <x v="1"/>
    <n v="1375"/>
    <n v="1"/>
    <x v="0"/>
    <m/>
    <m/>
    <n v="1159"/>
    <n v="1159"/>
    <n v="0"/>
    <n v="0"/>
    <m/>
  </r>
  <r>
    <x v="0"/>
    <x v="3"/>
    <x v="1"/>
    <n v="1277"/>
    <n v="1"/>
    <x v="0"/>
    <m/>
    <m/>
    <n v="1159"/>
    <n v="1159"/>
    <n v="0"/>
    <n v="0"/>
    <m/>
  </r>
  <r>
    <x v="0"/>
    <x v="3"/>
    <x v="1"/>
    <n v="1167"/>
    <n v="0"/>
    <x v="0"/>
    <m/>
    <m/>
    <n v="2067"/>
    <n v="2067"/>
    <n v="0"/>
    <n v="0"/>
    <m/>
  </r>
  <r>
    <x v="0"/>
    <x v="3"/>
    <x v="1"/>
    <n v="1156"/>
    <n v="2"/>
    <x v="0"/>
    <m/>
    <m/>
    <n v="1352"/>
    <n v="1352"/>
    <n v="0"/>
    <n v="0"/>
    <m/>
  </r>
  <r>
    <x v="0"/>
    <x v="3"/>
    <x v="1"/>
    <n v="1404"/>
    <n v="0"/>
    <x v="1"/>
    <s v="3*"/>
    <m/>
    <n v="0"/>
    <n v="0"/>
    <n v="34500"/>
    <n v="66062"/>
    <m/>
  </r>
  <r>
    <x v="0"/>
    <x v="3"/>
    <x v="1"/>
    <n v="1462"/>
    <n v="0"/>
    <x v="0"/>
    <m/>
    <m/>
    <n v="1159"/>
    <n v="1159"/>
    <n v="0"/>
    <n v="0"/>
    <m/>
  </r>
  <r>
    <x v="0"/>
    <x v="3"/>
    <x v="1"/>
    <n v="1957"/>
    <n v="2"/>
    <x v="11"/>
    <m/>
    <m/>
    <n v="0"/>
    <n v="0"/>
    <n v="0"/>
    <n v="0"/>
    <m/>
  </r>
  <r>
    <x v="0"/>
    <x v="3"/>
    <x v="1"/>
    <n v="1051"/>
    <n v="0"/>
    <x v="0"/>
    <m/>
    <m/>
    <n v="2411"/>
    <n v="2411"/>
    <n v="0"/>
    <n v="0"/>
    <m/>
  </r>
  <r>
    <x v="0"/>
    <x v="3"/>
    <x v="1"/>
    <n v="1187"/>
    <n v="2"/>
    <x v="0"/>
    <m/>
    <m/>
    <n v="1159"/>
    <n v="1159"/>
    <n v="0"/>
    <n v="0"/>
    <m/>
  </r>
  <r>
    <x v="0"/>
    <x v="3"/>
    <x v="1"/>
    <n v="1798"/>
    <n v="2"/>
    <x v="2"/>
    <n v="3"/>
    <m/>
    <m/>
    <n v="6000"/>
    <n v="0"/>
    <n v="0"/>
    <m/>
  </r>
  <r>
    <x v="0"/>
    <x v="3"/>
    <x v="1"/>
    <n v="1909"/>
    <n v="3"/>
    <x v="0"/>
    <m/>
    <m/>
    <n v="1159"/>
    <n v="1159"/>
    <n v="0"/>
    <n v="0"/>
    <m/>
  </r>
  <r>
    <x v="0"/>
    <x v="3"/>
    <x v="1"/>
    <n v="829"/>
    <n v="2"/>
    <x v="0"/>
    <m/>
    <m/>
    <n v="1159"/>
    <n v="1159"/>
    <n v="0"/>
    <n v="0"/>
    <m/>
  </r>
  <r>
    <x v="0"/>
    <x v="3"/>
    <x v="1"/>
    <n v="1201"/>
    <n v="2"/>
    <x v="2"/>
    <n v="3"/>
    <m/>
    <n v="0"/>
    <n v="6000"/>
    <n v="0"/>
    <n v="0"/>
    <m/>
  </r>
  <r>
    <x v="0"/>
    <x v="3"/>
    <x v="1"/>
    <n v="1770"/>
    <n v="0"/>
    <x v="0"/>
    <m/>
    <m/>
    <n v="1159"/>
    <n v="1159"/>
    <n v="0"/>
    <n v="0"/>
    <m/>
  </r>
  <r>
    <x v="0"/>
    <x v="3"/>
    <x v="1"/>
    <n v="1190"/>
    <n v="0"/>
    <x v="0"/>
    <m/>
    <m/>
    <n v="1739"/>
    <n v="1739"/>
    <n v="0"/>
    <n v="0"/>
    <m/>
  </r>
  <r>
    <x v="5"/>
    <x v="0"/>
    <x v="0"/>
    <n v="849"/>
    <n v="2"/>
    <x v="0"/>
    <m/>
    <m/>
    <n v="823"/>
    <n v="823"/>
    <n v="0"/>
    <n v="0"/>
    <m/>
  </r>
  <r>
    <x v="5"/>
    <x v="0"/>
    <x v="0"/>
    <n v="1244"/>
    <n v="2"/>
    <x v="0"/>
    <m/>
    <m/>
    <n v="1976"/>
    <n v="1976"/>
    <n v="0"/>
    <n v="0"/>
    <m/>
  </r>
  <r>
    <x v="5"/>
    <x v="0"/>
    <x v="0"/>
    <n v="1902"/>
    <n v="2"/>
    <x v="2"/>
    <n v="1"/>
    <m/>
    <n v="0"/>
    <n v="2000"/>
    <n v="0"/>
    <n v="0"/>
    <m/>
  </r>
  <r>
    <x v="5"/>
    <x v="0"/>
    <x v="0"/>
    <n v="1295"/>
    <n v="0"/>
    <x v="0"/>
    <m/>
    <m/>
    <n v="1976"/>
    <n v="1976"/>
    <n v="0"/>
    <n v="0"/>
    <m/>
  </r>
  <r>
    <x v="5"/>
    <x v="0"/>
    <x v="0"/>
    <n v="993"/>
    <n v="0"/>
    <x v="2"/>
    <n v="1"/>
    <m/>
    <n v="0"/>
    <n v="2000"/>
    <n v="0"/>
    <n v="0"/>
    <m/>
  </r>
  <r>
    <x v="5"/>
    <x v="0"/>
    <x v="0"/>
    <n v="1238"/>
    <n v="0"/>
    <x v="0"/>
    <m/>
    <m/>
    <n v="892"/>
    <n v="892"/>
    <n v="0"/>
    <n v="0"/>
    <m/>
  </r>
  <r>
    <x v="5"/>
    <x v="0"/>
    <x v="0"/>
    <n v="1277"/>
    <n v="0"/>
    <x v="2"/>
    <n v="1"/>
    <m/>
    <n v="0"/>
    <n v="2000"/>
    <n v="0"/>
    <n v="0"/>
    <m/>
  </r>
  <r>
    <x v="0"/>
    <x v="1"/>
    <x v="1"/>
    <n v="2474"/>
    <n v="3"/>
    <x v="2"/>
    <n v="2"/>
    <m/>
    <n v="0"/>
    <n v="4000"/>
    <n v="0"/>
    <n v="0"/>
    <m/>
  </r>
  <r>
    <x v="0"/>
    <x v="3"/>
    <x v="1"/>
    <n v="920"/>
    <n v="2"/>
    <x v="2"/>
    <n v="3"/>
    <m/>
    <n v="0"/>
    <n v="6000"/>
    <n v="0"/>
    <n v="0"/>
    <m/>
  </r>
  <r>
    <x v="0"/>
    <x v="3"/>
    <x v="1"/>
    <n v="1475"/>
    <n v="3"/>
    <x v="0"/>
    <m/>
    <m/>
    <n v="2756"/>
    <n v="2756"/>
    <n v="0"/>
    <n v="0"/>
    <m/>
  </r>
  <r>
    <x v="0"/>
    <x v="3"/>
    <x v="1"/>
    <n v="1500"/>
    <n v="3"/>
    <x v="1"/>
    <s v="3*"/>
    <m/>
    <n v="0"/>
    <n v="0"/>
    <n v="34500"/>
    <n v="66062"/>
    <m/>
  </r>
  <r>
    <x v="0"/>
    <x v="3"/>
    <x v="1"/>
    <n v="2329"/>
    <n v="2"/>
    <x v="0"/>
    <m/>
    <m/>
    <n v="2067"/>
    <n v="2067"/>
    <n v="0"/>
    <n v="0"/>
    <m/>
  </r>
  <r>
    <x v="3"/>
    <x v="0"/>
    <x v="6"/>
    <n v="2340"/>
    <n v="0"/>
    <x v="5"/>
    <n v="1"/>
    <m/>
    <n v="0"/>
    <n v="0"/>
    <n v="0"/>
    <n v="0"/>
    <m/>
  </r>
  <r>
    <x v="3"/>
    <x v="0"/>
    <x v="6"/>
    <n v="2340"/>
    <n v="0"/>
    <x v="5"/>
    <n v="1"/>
    <m/>
    <n v="0"/>
    <n v="0"/>
    <n v="0"/>
    <n v="0"/>
    <m/>
  </r>
  <r>
    <x v="3"/>
    <x v="0"/>
    <x v="6"/>
    <n v="2182"/>
    <n v="0"/>
    <x v="3"/>
    <n v="4"/>
    <m/>
    <n v="0"/>
    <n v="0"/>
    <n v="0"/>
    <n v="0"/>
    <m/>
  </r>
  <r>
    <x v="7"/>
    <x v="0"/>
    <x v="2"/>
    <n v="2090"/>
    <n v="2"/>
    <x v="0"/>
    <m/>
    <m/>
    <n v="1971"/>
    <n v="1971"/>
    <n v="0"/>
    <n v="0"/>
    <m/>
  </r>
  <r>
    <x v="7"/>
    <x v="0"/>
    <x v="2"/>
    <n v="2783"/>
    <n v="2"/>
    <x v="2"/>
    <n v="3"/>
    <m/>
    <n v="0"/>
    <n v="6000"/>
    <n v="0"/>
    <n v="0"/>
    <m/>
  </r>
  <r>
    <x v="7"/>
    <x v="0"/>
    <x v="2"/>
    <n v="2090"/>
    <n v="0"/>
    <x v="0"/>
    <m/>
    <m/>
    <n v="12000"/>
    <n v="12000"/>
    <n v="0"/>
    <n v="0"/>
    <m/>
  </r>
  <r>
    <x v="7"/>
    <x v="0"/>
    <x v="2"/>
    <n v="2367"/>
    <n v="0"/>
    <x v="4"/>
    <s v="2*"/>
    <m/>
    <n v="0"/>
    <n v="0"/>
    <n v="11500"/>
    <n v="66062"/>
    <m/>
  </r>
  <r>
    <x v="7"/>
    <x v="0"/>
    <x v="2"/>
    <n v="3236"/>
    <n v="1"/>
    <x v="0"/>
    <m/>
    <m/>
    <n v="1236"/>
    <n v="1236"/>
    <n v="0"/>
    <n v="0"/>
    <m/>
  </r>
  <r>
    <x v="7"/>
    <x v="0"/>
    <x v="2"/>
    <n v="2638"/>
    <n v="0"/>
    <x v="11"/>
    <m/>
    <m/>
    <n v="0"/>
    <n v="0"/>
    <n v="0"/>
    <n v="0"/>
    <m/>
  </r>
  <r>
    <x v="7"/>
    <x v="0"/>
    <x v="2"/>
    <n v="2603"/>
    <n v="0"/>
    <x v="2"/>
    <n v="4"/>
    <m/>
    <n v="0"/>
    <n v="8000"/>
    <n v="0"/>
    <n v="0"/>
    <m/>
  </r>
  <r>
    <x v="7"/>
    <x v="0"/>
    <x v="2"/>
    <n v="2600"/>
    <n v="2"/>
    <x v="0"/>
    <m/>
    <m/>
    <n v="3916"/>
    <n v="3916"/>
    <n v="0"/>
    <n v="0"/>
    <m/>
  </r>
  <r>
    <x v="7"/>
    <x v="0"/>
    <x v="2"/>
    <n v="2913"/>
    <n v="0"/>
    <x v="0"/>
    <m/>
    <m/>
    <n v="3789"/>
    <n v="3789"/>
    <n v="0"/>
    <n v="0"/>
    <m/>
  </r>
  <r>
    <x v="7"/>
    <x v="0"/>
    <x v="2"/>
    <n v="2460"/>
    <n v="1"/>
    <x v="2"/>
    <n v="4"/>
    <m/>
    <n v="0"/>
    <n v="8000"/>
    <n v="0"/>
    <n v="0"/>
    <m/>
  </r>
  <r>
    <x v="10"/>
    <x v="0"/>
    <x v="7"/>
    <n v="2498"/>
    <n v="2"/>
    <x v="6"/>
    <n v="3"/>
    <m/>
    <n v="0"/>
    <n v="0"/>
    <n v="0"/>
    <n v="0"/>
    <m/>
  </r>
  <r>
    <x v="10"/>
    <x v="0"/>
    <x v="6"/>
    <n v="2073"/>
    <n v="0"/>
    <x v="13"/>
    <n v="1"/>
    <m/>
    <n v="0"/>
    <n v="0"/>
    <n v="0"/>
    <n v="0"/>
    <m/>
  </r>
  <r>
    <x v="10"/>
    <x v="0"/>
    <x v="6"/>
    <n v="2143"/>
    <n v="0"/>
    <x v="6"/>
    <n v="3"/>
    <m/>
    <n v="0"/>
    <n v="0"/>
    <n v="0"/>
    <n v="0"/>
    <m/>
  </r>
  <r>
    <x v="10"/>
    <x v="0"/>
    <x v="6"/>
    <n v="1852"/>
    <n v="1"/>
    <x v="13"/>
    <n v="1"/>
    <m/>
    <n v="0"/>
    <n v="0"/>
    <n v="0"/>
    <n v="0"/>
    <m/>
  </r>
  <r>
    <x v="10"/>
    <x v="0"/>
    <x v="6"/>
    <n v="2417"/>
    <n v="0"/>
    <x v="14"/>
    <n v="1"/>
    <m/>
    <n v="0"/>
    <n v="0"/>
    <n v="0"/>
    <n v="0"/>
    <m/>
  </r>
  <r>
    <x v="10"/>
    <x v="0"/>
    <x v="7"/>
    <n v="2146"/>
    <n v="0"/>
    <x v="13"/>
    <n v="2"/>
    <m/>
    <n v="0"/>
    <n v="0"/>
    <n v="0"/>
    <n v="0"/>
    <m/>
  </r>
  <r>
    <x v="10"/>
    <x v="0"/>
    <x v="7"/>
    <n v="2968"/>
    <n v="0"/>
    <x v="2"/>
    <n v="4"/>
    <m/>
    <n v="0"/>
    <n v="8000"/>
    <n v="0"/>
    <n v="0"/>
    <m/>
  </r>
  <r>
    <x v="10"/>
    <x v="0"/>
    <x v="7"/>
    <n v="2237"/>
    <n v="0"/>
    <x v="2"/>
    <n v="4"/>
    <m/>
    <n v="0"/>
    <n v="8000"/>
    <n v="0"/>
    <n v="0"/>
    <m/>
  </r>
  <r>
    <x v="10"/>
    <x v="0"/>
    <x v="7"/>
    <n v="2223"/>
    <n v="1"/>
    <x v="6"/>
    <n v="5"/>
    <m/>
    <n v="0"/>
    <n v="0"/>
    <n v="0"/>
    <n v="0"/>
    <m/>
  </r>
  <r>
    <x v="10"/>
    <x v="0"/>
    <x v="7"/>
    <n v="2246"/>
    <n v="2"/>
    <x v="2"/>
    <n v="4"/>
    <m/>
    <n v="0"/>
    <n v="8000"/>
    <n v="0"/>
    <n v="0"/>
    <m/>
  </r>
  <r>
    <x v="10"/>
    <x v="0"/>
    <x v="7"/>
    <n v="1945"/>
    <n v="0"/>
    <x v="2"/>
    <n v="4"/>
    <m/>
    <n v="0"/>
    <n v="8000"/>
    <n v="0"/>
    <n v="0"/>
    <m/>
  </r>
  <r>
    <x v="10"/>
    <x v="0"/>
    <x v="7"/>
    <n v="2404"/>
    <n v="1"/>
    <x v="6"/>
    <n v="4"/>
    <m/>
    <n v="0"/>
    <n v="0"/>
    <n v="0"/>
    <n v="0"/>
    <m/>
  </r>
  <r>
    <x v="10"/>
    <x v="0"/>
    <x v="7"/>
    <n v="3017"/>
    <n v="1"/>
    <x v="6"/>
    <n v="4"/>
    <m/>
    <n v="0"/>
    <n v="0"/>
    <n v="0"/>
    <n v="0"/>
    <m/>
  </r>
  <r>
    <x v="10"/>
    <x v="0"/>
    <x v="7"/>
    <n v="2175"/>
    <n v="0"/>
    <x v="11"/>
    <n v="1"/>
    <m/>
    <n v="0"/>
    <n v="0"/>
    <n v="0"/>
    <n v="0"/>
    <m/>
  </r>
  <r>
    <x v="10"/>
    <x v="0"/>
    <x v="7"/>
    <n v="2276"/>
    <n v="0"/>
    <x v="6"/>
    <n v="4"/>
    <m/>
    <n v="0"/>
    <n v="0"/>
    <n v="0"/>
    <n v="0"/>
    <m/>
  </r>
  <r>
    <x v="10"/>
    <x v="0"/>
    <x v="7"/>
    <n v="2576"/>
    <n v="3"/>
    <x v="6"/>
    <n v="4"/>
    <m/>
    <n v="0"/>
    <n v="0"/>
    <n v="0"/>
    <n v="0"/>
    <m/>
  </r>
  <r>
    <x v="10"/>
    <x v="0"/>
    <x v="7"/>
    <n v="2058"/>
    <n v="1"/>
    <x v="6"/>
    <n v="5"/>
    <m/>
    <n v="0"/>
    <n v="0"/>
    <n v="0"/>
    <n v="0"/>
    <m/>
  </r>
  <r>
    <x v="10"/>
    <x v="0"/>
    <x v="7"/>
    <n v="2086"/>
    <n v="1"/>
    <x v="2"/>
    <n v="4"/>
    <m/>
    <n v="0"/>
    <n v="8000"/>
    <n v="0"/>
    <n v="0"/>
    <m/>
  </r>
  <r>
    <x v="10"/>
    <x v="0"/>
    <x v="7"/>
    <n v="2586"/>
    <n v="3"/>
    <x v="2"/>
    <n v="4"/>
    <m/>
    <n v="0"/>
    <n v="8000"/>
    <n v="0"/>
    <n v="0"/>
    <m/>
  </r>
  <r>
    <x v="10"/>
    <x v="0"/>
    <x v="7"/>
    <n v="2500"/>
    <n v="1"/>
    <x v="2"/>
    <n v="5"/>
    <m/>
    <n v="0"/>
    <n v="10000"/>
    <n v="0"/>
    <n v="0"/>
    <m/>
  </r>
  <r>
    <x v="10"/>
    <x v="0"/>
    <x v="7"/>
    <n v="2526"/>
    <n v="0"/>
    <x v="15"/>
    <n v="1"/>
    <m/>
    <n v="0"/>
    <n v="0"/>
    <n v="0"/>
    <n v="0"/>
    <m/>
  </r>
  <r>
    <x v="10"/>
    <x v="0"/>
    <x v="7"/>
    <n v="2483"/>
    <n v="3"/>
    <x v="15"/>
    <n v="1"/>
    <m/>
    <n v="0"/>
    <n v="0"/>
    <n v="0"/>
    <n v="0"/>
    <m/>
  </r>
  <r>
    <x v="10"/>
    <x v="0"/>
    <x v="7"/>
    <n v="2491"/>
    <n v="0"/>
    <x v="16"/>
    <n v="0"/>
    <m/>
    <n v="0"/>
    <n v="0"/>
    <n v="0"/>
    <n v="0"/>
    <m/>
  </r>
  <r>
    <x v="10"/>
    <x v="0"/>
    <x v="7"/>
    <n v="2730"/>
    <n v="0"/>
    <x v="2"/>
    <n v="4"/>
    <m/>
    <n v="0"/>
    <n v="8000"/>
    <n v="0"/>
    <n v="0"/>
    <m/>
  </r>
  <r>
    <x v="10"/>
    <x v="0"/>
    <x v="7"/>
    <n v="2671"/>
    <n v="2"/>
    <x v="6"/>
    <n v="4"/>
    <m/>
    <n v="0"/>
    <n v="0"/>
    <n v="0"/>
    <n v="0"/>
    <m/>
  </r>
  <r>
    <x v="10"/>
    <x v="0"/>
    <x v="7"/>
    <n v="2186"/>
    <n v="1"/>
    <x v="17"/>
    <s v="1*"/>
    <m/>
    <n v="0"/>
    <n v="0"/>
    <n v="0"/>
    <n v="0"/>
    <m/>
  </r>
  <r>
    <x v="10"/>
    <x v="0"/>
    <x v="7"/>
    <n v="2316"/>
    <n v="0"/>
    <x v="6"/>
    <n v="3"/>
    <m/>
    <n v="0"/>
    <n v="0"/>
    <n v="0"/>
    <n v="0"/>
    <m/>
  </r>
  <r>
    <x v="10"/>
    <x v="0"/>
    <x v="7"/>
    <n v="2046"/>
    <n v="1"/>
    <x v="6"/>
    <n v="4"/>
    <m/>
    <n v="0"/>
    <n v="0"/>
    <n v="0"/>
    <n v="0"/>
    <m/>
  </r>
  <r>
    <x v="10"/>
    <x v="0"/>
    <x v="7"/>
    <n v="2303"/>
    <n v="3"/>
    <x v="13"/>
    <n v="1"/>
    <m/>
    <n v="0"/>
    <n v="0"/>
    <n v="0"/>
    <n v="0"/>
    <m/>
  </r>
  <r>
    <x v="10"/>
    <x v="0"/>
    <x v="7"/>
    <n v="2396"/>
    <n v="1"/>
    <x v="13"/>
    <n v="1"/>
    <m/>
    <n v="0"/>
    <n v="0"/>
    <n v="0"/>
    <n v="0"/>
    <m/>
  </r>
  <r>
    <x v="10"/>
    <x v="0"/>
    <x v="7"/>
    <n v="2325"/>
    <n v="1"/>
    <x v="15"/>
    <n v="2"/>
    <m/>
    <n v="0"/>
    <n v="0"/>
    <n v="0"/>
    <n v="0"/>
    <m/>
  </r>
  <r>
    <x v="10"/>
    <x v="0"/>
    <x v="7"/>
    <n v="2398"/>
    <n v="1"/>
    <x v="6"/>
    <n v="3"/>
    <m/>
    <n v="0"/>
    <n v="0"/>
    <n v="0"/>
    <n v="0"/>
    <m/>
  </r>
  <r>
    <x v="10"/>
    <x v="0"/>
    <x v="7"/>
    <n v="2668"/>
    <n v="0"/>
    <x v="15"/>
    <n v="3"/>
    <m/>
    <n v="0"/>
    <n v="0"/>
    <n v="0"/>
    <n v="0"/>
    <m/>
  </r>
  <r>
    <x v="3"/>
    <x v="0"/>
    <x v="6"/>
    <n v="3002"/>
    <n v="2"/>
    <x v="5"/>
    <n v="2"/>
    <m/>
    <n v="0"/>
    <n v="0"/>
    <n v="0"/>
    <n v="0"/>
    <m/>
  </r>
  <r>
    <x v="3"/>
    <x v="0"/>
    <x v="6"/>
    <n v="2021"/>
    <n v="1"/>
    <x v="5"/>
    <n v="1"/>
    <m/>
    <n v="0"/>
    <n v="0"/>
    <n v="0"/>
    <n v="0"/>
    <m/>
  </r>
  <r>
    <x v="3"/>
    <x v="0"/>
    <x v="6"/>
    <n v="2168"/>
    <n v="0"/>
    <x v="3"/>
    <n v="4"/>
    <m/>
    <n v="0"/>
    <n v="0"/>
    <n v="0"/>
    <n v="0"/>
    <m/>
  </r>
  <r>
    <x v="3"/>
    <x v="0"/>
    <x v="6"/>
    <n v="2540"/>
    <n v="3"/>
    <x v="5"/>
    <n v="1"/>
    <m/>
    <n v="0"/>
    <n v="0"/>
    <n v="0"/>
    <n v="0"/>
    <m/>
  </r>
  <r>
    <x v="3"/>
    <x v="0"/>
    <x v="6"/>
    <n v="2251"/>
    <n v="1"/>
    <x v="5"/>
    <n v="1"/>
    <m/>
    <n v="0"/>
    <n v="0"/>
    <n v="0"/>
    <n v="0"/>
    <m/>
  </r>
  <r>
    <x v="3"/>
    <x v="0"/>
    <x v="6"/>
    <n v="2591"/>
    <n v="1"/>
    <x v="3"/>
    <n v="4"/>
    <m/>
    <n v="0"/>
    <n v="0"/>
    <n v="0"/>
    <n v="0"/>
    <m/>
  </r>
  <r>
    <x v="3"/>
    <x v="0"/>
    <x v="6"/>
    <n v="2238"/>
    <n v="1"/>
    <x v="5"/>
    <n v="3"/>
    <m/>
    <n v="0"/>
    <n v="0"/>
    <n v="0"/>
    <n v="0"/>
    <m/>
  </r>
  <r>
    <x v="3"/>
    <x v="0"/>
    <x v="6"/>
    <n v="2506"/>
    <n v="0"/>
    <x v="5"/>
    <n v="3"/>
    <m/>
    <n v="0"/>
    <n v="0"/>
    <n v="0"/>
    <n v="0"/>
    <m/>
  </r>
  <r>
    <x v="3"/>
    <x v="0"/>
    <x v="6"/>
    <n v="2339"/>
    <n v="0"/>
    <x v="3"/>
    <n v="4"/>
    <m/>
    <n v="0"/>
    <n v="0"/>
    <n v="0"/>
    <n v="0"/>
    <m/>
  </r>
  <r>
    <x v="3"/>
    <x v="0"/>
    <x v="6"/>
    <n v="2207"/>
    <n v="1"/>
    <x v="3"/>
    <n v="3"/>
    <m/>
    <n v="0"/>
    <n v="0"/>
    <n v="0"/>
    <n v="0"/>
    <m/>
  </r>
  <r>
    <x v="3"/>
    <x v="0"/>
    <x v="6"/>
    <n v="1988"/>
    <n v="0"/>
    <x v="6"/>
    <n v="3"/>
    <m/>
    <n v="0"/>
    <n v="0"/>
    <n v="0"/>
    <n v="0"/>
    <m/>
  </r>
  <r>
    <x v="3"/>
    <x v="0"/>
    <x v="6"/>
    <n v="2659"/>
    <n v="0"/>
    <x v="3"/>
    <n v="5"/>
    <m/>
    <n v="0"/>
    <n v="0"/>
    <n v="0"/>
    <n v="0"/>
    <m/>
  </r>
  <r>
    <x v="3"/>
    <x v="0"/>
    <x v="6"/>
    <n v="2237"/>
    <n v="0"/>
    <x v="2"/>
    <n v="4"/>
    <m/>
    <n v="0"/>
    <n v="8000"/>
    <n v="0"/>
    <n v="0"/>
    <m/>
  </r>
  <r>
    <x v="3"/>
    <x v="0"/>
    <x v="6"/>
    <n v="2137"/>
    <n v="1"/>
    <x v="11"/>
    <n v="1"/>
    <m/>
    <n v="0"/>
    <n v="0"/>
    <n v="0"/>
    <n v="0"/>
    <m/>
  </r>
  <r>
    <x v="3"/>
    <x v="0"/>
    <x v="6"/>
    <n v="2588"/>
    <n v="1"/>
    <x v="3"/>
    <n v="3"/>
    <m/>
    <n v="0"/>
    <n v="0"/>
    <n v="0"/>
    <n v="0"/>
    <m/>
  </r>
  <r>
    <x v="3"/>
    <x v="0"/>
    <x v="6"/>
    <n v="2248"/>
    <n v="1"/>
    <x v="18"/>
    <n v="2"/>
    <m/>
    <n v="0"/>
    <n v="0"/>
    <n v="0"/>
    <n v="0"/>
    <m/>
  </r>
  <r>
    <x v="7"/>
    <x v="0"/>
    <x v="2"/>
    <n v="2097"/>
    <n v="2"/>
    <x v="19"/>
    <s v="4*"/>
    <s v="Hero"/>
    <n v="3307"/>
    <n v="3307"/>
    <n v="0"/>
    <n v="0"/>
    <m/>
  </r>
  <r>
    <x v="1"/>
    <x v="1"/>
    <x v="8"/>
    <n v="707"/>
    <n v="1"/>
    <x v="0"/>
    <m/>
    <m/>
    <n v="1824"/>
    <n v="1824"/>
    <n v="0"/>
    <n v="0"/>
    <m/>
  </r>
  <r>
    <x v="1"/>
    <x v="1"/>
    <x v="8"/>
    <n v="1504"/>
    <n v="1"/>
    <x v="1"/>
    <s v="2*"/>
    <m/>
    <n v="0"/>
    <n v="0"/>
    <n v="11500"/>
    <n v="15120"/>
    <m/>
  </r>
  <r>
    <x v="1"/>
    <x v="1"/>
    <x v="8"/>
    <n v="1442"/>
    <n v="1"/>
    <x v="1"/>
    <s v="2*"/>
    <m/>
    <n v="0"/>
    <n v="0"/>
    <n v="11500"/>
    <n v="15120"/>
    <m/>
  </r>
  <r>
    <x v="1"/>
    <x v="1"/>
    <x v="8"/>
    <n v="1510"/>
    <n v="0"/>
    <x v="0"/>
    <m/>
    <m/>
    <n v="1824"/>
    <n v="1824"/>
    <n v="0"/>
    <n v="0"/>
    <m/>
  </r>
  <r>
    <x v="1"/>
    <x v="1"/>
    <x v="8"/>
    <n v="1606"/>
    <n v="0"/>
    <x v="2"/>
    <n v="2"/>
    <m/>
    <n v="0"/>
    <n v="4000"/>
    <n v="0"/>
    <n v="0"/>
    <m/>
  </r>
  <r>
    <x v="1"/>
    <x v="1"/>
    <x v="8"/>
    <n v="1532"/>
    <n v="1"/>
    <x v="2"/>
    <n v="2"/>
    <m/>
    <n v="0"/>
    <n v="4000"/>
    <n v="0"/>
    <n v="0"/>
    <m/>
  </r>
  <r>
    <x v="1"/>
    <x v="1"/>
    <x v="8"/>
    <n v="1918"/>
    <n v="0"/>
    <x v="0"/>
    <m/>
    <m/>
    <n v="1824"/>
    <n v="1824"/>
    <n v="0"/>
    <n v="0"/>
    <m/>
  </r>
  <r>
    <x v="1"/>
    <x v="1"/>
    <x v="8"/>
    <n v="2175"/>
    <n v="2"/>
    <x v="2"/>
    <n v="2"/>
    <m/>
    <n v="0"/>
    <n v="4000"/>
    <n v="0"/>
    <n v="0"/>
    <m/>
  </r>
  <r>
    <x v="1"/>
    <x v="1"/>
    <x v="8"/>
    <n v="1952"/>
    <n v="2"/>
    <x v="0"/>
    <m/>
    <m/>
    <n v="3182"/>
    <n v="3182"/>
    <n v="0"/>
    <n v="0"/>
    <m/>
  </r>
  <r>
    <x v="1"/>
    <x v="1"/>
    <x v="8"/>
    <n v="2050"/>
    <n v="0"/>
    <x v="0"/>
    <m/>
    <m/>
    <n v="3427"/>
    <n v="3427"/>
    <n v="0"/>
    <n v="0"/>
    <m/>
  </r>
  <r>
    <x v="1"/>
    <x v="1"/>
    <x v="8"/>
    <n v="1235"/>
    <n v="0"/>
    <x v="0"/>
    <m/>
    <m/>
    <n v="1824"/>
    <n v="1824"/>
    <n v="0"/>
    <n v="0"/>
    <m/>
  </r>
  <r>
    <x v="1"/>
    <x v="1"/>
    <x v="8"/>
    <n v="1960"/>
    <n v="0"/>
    <x v="0"/>
    <m/>
    <m/>
    <n v="1824"/>
    <n v="1824"/>
    <n v="0"/>
    <n v="0"/>
    <m/>
  </r>
  <r>
    <x v="1"/>
    <x v="1"/>
    <x v="8"/>
    <n v="1632"/>
    <n v="0"/>
    <x v="0"/>
    <m/>
    <m/>
    <n v="1824"/>
    <n v="1824"/>
    <n v="0"/>
    <n v="0"/>
    <m/>
  </r>
  <r>
    <x v="1"/>
    <x v="1"/>
    <x v="8"/>
    <n v="1128"/>
    <n v="0"/>
    <x v="0"/>
    <m/>
    <m/>
    <n v="1824"/>
    <n v="1824"/>
    <n v="0"/>
    <n v="0"/>
    <m/>
  </r>
  <r>
    <x v="1"/>
    <x v="1"/>
    <x v="8"/>
    <n v="1864"/>
    <n v="1"/>
    <x v="2"/>
    <n v="2"/>
    <m/>
    <n v="0"/>
    <n v="4000"/>
    <n v="0"/>
    <n v="0"/>
    <m/>
  </r>
  <r>
    <x v="1"/>
    <x v="1"/>
    <x v="8"/>
    <n v="1372"/>
    <n v="0"/>
    <x v="0"/>
    <m/>
    <m/>
    <n v="2280"/>
    <n v="2280"/>
    <n v="0"/>
    <n v="0"/>
    <m/>
  </r>
  <r>
    <x v="1"/>
    <x v="1"/>
    <x v="8"/>
    <n v="1560"/>
    <n v="3"/>
    <x v="0"/>
    <m/>
    <m/>
    <n v="1824"/>
    <n v="1824"/>
    <n v="0"/>
    <n v="0"/>
    <m/>
  </r>
  <r>
    <x v="1"/>
    <x v="1"/>
    <x v="8"/>
    <n v="971"/>
    <n v="1"/>
    <x v="0"/>
    <m/>
    <m/>
    <n v="1824"/>
    <n v="1824"/>
    <n v="0"/>
    <n v="0"/>
    <m/>
  </r>
  <r>
    <x v="1"/>
    <x v="1"/>
    <x v="8"/>
    <n v="1750"/>
    <n v="2"/>
    <x v="0"/>
    <m/>
    <m/>
    <n v="2128"/>
    <n v="2128"/>
    <n v="0"/>
    <n v="0"/>
    <m/>
  </r>
  <r>
    <x v="1"/>
    <x v="1"/>
    <x v="8"/>
    <n v="586"/>
    <n v="1"/>
    <x v="1"/>
    <s v="2*"/>
    <m/>
    <n v="0"/>
    <n v="0"/>
    <n v="11500"/>
    <n v="15120"/>
    <m/>
  </r>
  <r>
    <x v="1"/>
    <x v="1"/>
    <x v="8"/>
    <n v="1287"/>
    <n v="4"/>
    <x v="2"/>
    <n v="2"/>
    <m/>
    <n v="0"/>
    <n v="4000"/>
    <n v="0"/>
    <n v="0"/>
    <m/>
  </r>
  <r>
    <x v="1"/>
    <x v="1"/>
    <x v="8"/>
    <n v="1485"/>
    <n v="1"/>
    <x v="2"/>
    <n v="2"/>
    <m/>
    <n v="0"/>
    <n v="4000"/>
    <n v="0"/>
    <n v="0"/>
    <m/>
  </r>
  <r>
    <x v="1"/>
    <x v="1"/>
    <x v="8"/>
    <n v="2328"/>
    <n v="2"/>
    <x v="0"/>
    <m/>
    <m/>
    <n v="1824"/>
    <n v="1824"/>
    <n v="0"/>
    <n v="0"/>
    <m/>
  </r>
  <r>
    <x v="1"/>
    <x v="1"/>
    <x v="8"/>
    <n v="1784"/>
    <n v="1"/>
    <x v="2"/>
    <n v="2"/>
    <m/>
    <n v="0"/>
    <n v="4000"/>
    <n v="0"/>
    <n v="0"/>
    <m/>
  </r>
  <r>
    <x v="1"/>
    <x v="1"/>
    <x v="8"/>
    <n v="2122"/>
    <n v="2"/>
    <x v="0"/>
    <m/>
    <m/>
    <n v="1976"/>
    <n v="1976"/>
    <n v="0"/>
    <n v="0"/>
    <m/>
  </r>
  <r>
    <x v="1"/>
    <x v="1"/>
    <x v="8"/>
    <n v="1311"/>
    <n v="0"/>
    <x v="0"/>
    <m/>
    <m/>
    <n v="1824"/>
    <n v="1824"/>
    <n v="0"/>
    <n v="0"/>
    <m/>
  </r>
  <r>
    <x v="1"/>
    <x v="1"/>
    <x v="8"/>
    <n v="1185"/>
    <n v="0"/>
    <x v="1"/>
    <s v="2*"/>
    <m/>
    <n v="0"/>
    <n v="0"/>
    <n v="11500"/>
    <n v="15120"/>
    <m/>
  </r>
  <r>
    <x v="1"/>
    <x v="1"/>
    <x v="8"/>
    <n v="1211"/>
    <n v="1"/>
    <x v="0"/>
    <m/>
    <m/>
    <n v="2937"/>
    <n v="2937"/>
    <n v="0"/>
    <n v="0"/>
    <m/>
  </r>
  <r>
    <x v="1"/>
    <x v="1"/>
    <x v="8"/>
    <n v="1078"/>
    <n v="1"/>
    <x v="0"/>
    <m/>
    <m/>
    <n v="1824"/>
    <n v="1824"/>
    <n v="0"/>
    <n v="0"/>
    <m/>
  </r>
  <r>
    <x v="1"/>
    <x v="1"/>
    <x v="8"/>
    <n v="1832"/>
    <n v="1"/>
    <x v="0"/>
    <m/>
    <m/>
    <n v="1824"/>
    <n v="1824"/>
    <n v="0"/>
    <n v="0"/>
    <m/>
  </r>
  <r>
    <x v="1"/>
    <x v="1"/>
    <x v="8"/>
    <n v="1974"/>
    <n v="1"/>
    <x v="0"/>
    <m/>
    <m/>
    <n v="3427"/>
    <n v="3427"/>
    <n v="0"/>
    <n v="0"/>
    <m/>
  </r>
  <r>
    <x v="0"/>
    <x v="3"/>
    <x v="1"/>
    <n v="1628"/>
    <n v="2"/>
    <x v="0"/>
    <m/>
    <m/>
    <n v="1159"/>
    <n v="1159"/>
    <n v="0"/>
    <n v="0"/>
    <m/>
  </r>
  <r>
    <x v="0"/>
    <x v="3"/>
    <x v="1"/>
    <n v="1636"/>
    <n v="2"/>
    <x v="0"/>
    <m/>
    <m/>
    <n v="1159"/>
    <n v="1159"/>
    <n v="0"/>
    <n v="0"/>
    <m/>
  </r>
  <r>
    <x v="0"/>
    <x v="3"/>
    <x v="1"/>
    <n v="2219"/>
    <n v="0"/>
    <x v="0"/>
    <m/>
    <m/>
    <n v="1159"/>
    <n v="1159"/>
    <n v="0"/>
    <n v="0"/>
    <m/>
  </r>
  <r>
    <x v="1"/>
    <x v="1"/>
    <x v="8"/>
    <n v="2000"/>
    <n v="2"/>
    <x v="2"/>
    <n v="2"/>
    <m/>
    <n v="0"/>
    <n v="4000"/>
    <n v="0"/>
    <n v="0"/>
    <m/>
  </r>
  <r>
    <x v="1"/>
    <x v="1"/>
    <x v="8"/>
    <n v="1918"/>
    <n v="0"/>
    <x v="2"/>
    <n v="2"/>
    <m/>
    <n v="0"/>
    <n v="4000"/>
    <n v="0"/>
    <n v="0"/>
    <m/>
  </r>
  <r>
    <x v="1"/>
    <x v="1"/>
    <x v="8"/>
    <n v="1961"/>
    <n v="1"/>
    <x v="2"/>
    <n v="2"/>
    <m/>
    <n v="0"/>
    <n v="4000"/>
    <n v="0"/>
    <n v="0"/>
    <m/>
  </r>
  <r>
    <x v="1"/>
    <x v="1"/>
    <x v="8"/>
    <n v="1686"/>
    <n v="1"/>
    <x v="0"/>
    <m/>
    <m/>
    <n v="1824"/>
    <n v="1824"/>
    <n v="0"/>
    <n v="0"/>
    <m/>
  </r>
  <r>
    <x v="1"/>
    <x v="1"/>
    <x v="8"/>
    <n v="1336"/>
    <n v="1"/>
    <x v="0"/>
    <m/>
    <m/>
    <n v="1976"/>
    <n v="1976"/>
    <n v="0"/>
    <n v="0"/>
    <m/>
  </r>
  <r>
    <x v="1"/>
    <x v="1"/>
    <x v="8"/>
    <n v="2019"/>
    <n v="2"/>
    <x v="0"/>
    <m/>
    <m/>
    <n v="1976"/>
    <n v="1976"/>
    <n v="0"/>
    <n v="0"/>
    <m/>
  </r>
  <r>
    <x v="1"/>
    <x v="1"/>
    <x v="8"/>
    <n v="2327"/>
    <n v="1"/>
    <x v="0"/>
    <m/>
    <m/>
    <n v="1824"/>
    <n v="1824"/>
    <n v="0"/>
    <n v="0"/>
    <m/>
  </r>
  <r>
    <x v="1"/>
    <x v="1"/>
    <x v="8"/>
    <n v="1196"/>
    <n v="0"/>
    <x v="0"/>
    <m/>
    <m/>
    <n v="1824"/>
    <n v="1824"/>
    <n v="0"/>
    <n v="0"/>
    <m/>
  </r>
  <r>
    <x v="1"/>
    <x v="1"/>
    <x v="8"/>
    <n v="1637"/>
    <n v="0"/>
    <x v="0"/>
    <m/>
    <m/>
    <n v="2937"/>
    <n v="2937"/>
    <n v="0"/>
    <n v="0"/>
    <m/>
  </r>
  <r>
    <x v="1"/>
    <x v="1"/>
    <x v="8"/>
    <n v="1391"/>
    <n v="2"/>
    <x v="0"/>
    <m/>
    <m/>
    <n v="1824"/>
    <n v="1824"/>
    <n v="0"/>
    <n v="0"/>
    <m/>
  </r>
  <r>
    <x v="1"/>
    <x v="1"/>
    <x v="8"/>
    <n v="895"/>
    <n v="0"/>
    <x v="0"/>
    <m/>
    <m/>
    <n v="1824"/>
    <n v="1824"/>
    <n v="0"/>
    <n v="0"/>
    <m/>
  </r>
  <r>
    <x v="1"/>
    <x v="1"/>
    <x v="8"/>
    <n v="1297"/>
    <n v="0"/>
    <x v="0"/>
    <m/>
    <m/>
    <n v="1824"/>
    <n v="1824"/>
    <n v="0"/>
    <n v="0"/>
    <m/>
  </r>
  <r>
    <x v="1"/>
    <x v="1"/>
    <x v="8"/>
    <n v="1906"/>
    <n v="1"/>
    <x v="0"/>
    <m/>
    <m/>
    <n v="1824"/>
    <n v="1824"/>
    <n v="0"/>
    <n v="0"/>
    <m/>
  </r>
  <r>
    <x v="1"/>
    <x v="1"/>
    <x v="8"/>
    <n v="1554"/>
    <n v="0"/>
    <x v="0"/>
    <m/>
    <m/>
    <n v="2937"/>
    <n v="2937"/>
    <n v="0"/>
    <n v="0"/>
    <m/>
  </r>
  <r>
    <x v="1"/>
    <x v="1"/>
    <x v="8"/>
    <n v="1561"/>
    <n v="0"/>
    <x v="0"/>
    <m/>
    <m/>
    <n v="3182"/>
    <n v="3182"/>
    <n v="0"/>
    <n v="0"/>
    <m/>
  </r>
  <r>
    <x v="1"/>
    <x v="1"/>
    <x v="8"/>
    <n v="1059"/>
    <n v="0"/>
    <x v="0"/>
    <m/>
    <m/>
    <n v="2128"/>
    <n v="2128"/>
    <n v="0"/>
    <n v="0"/>
    <m/>
  </r>
  <r>
    <x v="1"/>
    <x v="1"/>
    <x v="8"/>
    <n v="1954"/>
    <n v="0"/>
    <x v="2"/>
    <n v="2"/>
    <m/>
    <n v="0"/>
    <n v="4000"/>
    <n v="0"/>
    <n v="0"/>
    <m/>
  </r>
  <r>
    <x v="0"/>
    <x v="3"/>
    <x v="9"/>
    <n v="1836"/>
    <n v="1"/>
    <x v="0"/>
    <m/>
    <m/>
    <n v="1352"/>
    <n v="1352"/>
    <n v="0"/>
    <n v="0"/>
    <m/>
  </r>
  <r>
    <x v="0"/>
    <x v="3"/>
    <x v="9"/>
    <n v="1596"/>
    <n v="1"/>
    <x v="2"/>
    <n v="3"/>
    <m/>
    <n v="0"/>
    <n v="6000"/>
    <n v="0"/>
    <n v="0"/>
    <m/>
  </r>
  <r>
    <x v="0"/>
    <x v="3"/>
    <x v="9"/>
    <n v="1249"/>
    <n v="1"/>
    <x v="0"/>
    <m/>
    <m/>
    <n v="1352"/>
    <n v="1352"/>
    <n v="0"/>
    <n v="0"/>
    <m/>
  </r>
  <r>
    <x v="0"/>
    <x v="3"/>
    <x v="9"/>
    <n v="1211"/>
    <n v="1"/>
    <x v="0"/>
    <m/>
    <m/>
    <n v="1352"/>
    <n v="1352"/>
    <n v="0"/>
    <n v="0"/>
    <m/>
  </r>
  <r>
    <x v="0"/>
    <x v="3"/>
    <x v="9"/>
    <n v="1264"/>
    <n v="2"/>
    <x v="0"/>
    <m/>
    <m/>
    <n v="2411"/>
    <n v="2411"/>
    <n v="0"/>
    <n v="0"/>
    <m/>
  </r>
  <r>
    <x v="0"/>
    <x v="3"/>
    <x v="9"/>
    <n v="2595"/>
    <n v="0"/>
    <x v="0"/>
    <m/>
    <m/>
    <n v="2067"/>
    <n v="2067"/>
    <n v="0"/>
    <n v="0"/>
    <m/>
  </r>
  <r>
    <x v="0"/>
    <x v="3"/>
    <x v="9"/>
    <n v="1424"/>
    <n v="2"/>
    <x v="0"/>
    <m/>
    <m/>
    <n v="1159"/>
    <n v="1159"/>
    <n v="0"/>
    <n v="0"/>
    <m/>
  </r>
  <r>
    <x v="0"/>
    <x v="3"/>
    <x v="9"/>
    <n v="1971"/>
    <n v="1"/>
    <x v="0"/>
    <m/>
    <m/>
    <n v="1159"/>
    <n v="1159"/>
    <n v="0"/>
    <n v="0"/>
    <m/>
  </r>
  <r>
    <x v="0"/>
    <x v="3"/>
    <x v="9"/>
    <n v="2145"/>
    <n v="0"/>
    <x v="0"/>
    <m/>
    <m/>
    <n v="2067"/>
    <n v="2067"/>
    <n v="0"/>
    <n v="0"/>
    <m/>
  </r>
  <r>
    <x v="0"/>
    <x v="3"/>
    <x v="9"/>
    <n v="2223"/>
    <n v="0"/>
    <x v="0"/>
    <m/>
    <m/>
    <n v="1546"/>
    <n v="1546"/>
    <n v="0"/>
    <n v="0"/>
    <m/>
  </r>
  <r>
    <x v="0"/>
    <x v="3"/>
    <x v="9"/>
    <n v="2364"/>
    <n v="1"/>
    <x v="0"/>
    <m/>
    <m/>
    <n v="1159"/>
    <n v="1159"/>
    <n v="0"/>
    <n v="0"/>
    <m/>
  </r>
  <r>
    <x v="0"/>
    <x v="3"/>
    <x v="9"/>
    <n v="781"/>
    <n v="0"/>
    <x v="0"/>
    <m/>
    <m/>
    <n v="2067"/>
    <n v="2067"/>
    <n v="0"/>
    <n v="0"/>
    <m/>
  </r>
  <r>
    <x v="0"/>
    <x v="3"/>
    <x v="9"/>
    <n v="904"/>
    <n v="2"/>
    <x v="2"/>
    <n v="3"/>
    <m/>
    <n v="0"/>
    <n v="6000"/>
    <n v="0"/>
    <n v="0"/>
    <m/>
  </r>
  <r>
    <x v="0"/>
    <x v="3"/>
    <x v="9"/>
    <n v="1500"/>
    <n v="0"/>
    <x v="0"/>
    <m/>
    <m/>
    <n v="1159"/>
    <n v="1159"/>
    <n v="0"/>
    <n v="0"/>
    <m/>
  </r>
  <r>
    <x v="0"/>
    <x v="3"/>
    <x v="9"/>
    <n v="1071"/>
    <n v="0"/>
    <x v="0"/>
    <m/>
    <m/>
    <n v="1159"/>
    <n v="1159"/>
    <n v="0"/>
    <n v="0"/>
    <m/>
  </r>
  <r>
    <x v="0"/>
    <x v="3"/>
    <x v="9"/>
    <n v="1683"/>
    <n v="2"/>
    <x v="0"/>
    <m/>
    <m/>
    <n v="1159"/>
    <n v="1159"/>
    <n v="0"/>
    <n v="0"/>
    <m/>
  </r>
  <r>
    <x v="0"/>
    <x v="3"/>
    <x v="9"/>
    <n v="1102"/>
    <n v="0"/>
    <x v="0"/>
    <m/>
    <m/>
    <n v="1159"/>
    <n v="1159"/>
    <n v="0"/>
    <n v="0"/>
    <m/>
  </r>
  <r>
    <x v="0"/>
    <x v="3"/>
    <x v="9"/>
    <n v="1495"/>
    <n v="1"/>
    <x v="2"/>
    <n v="3"/>
    <m/>
    <n v="0"/>
    <n v="6000"/>
    <n v="0"/>
    <n v="0"/>
    <n v="92"/>
  </r>
  <r>
    <x v="1"/>
    <x v="1"/>
    <x v="8"/>
    <n v="946"/>
    <n v="0"/>
    <x v="0"/>
    <m/>
    <m/>
    <n v="1824"/>
    <n v="1824"/>
    <n v="0"/>
    <n v="0"/>
    <m/>
  </r>
  <r>
    <x v="3"/>
    <x v="0"/>
    <x v="6"/>
    <n v="2381"/>
    <n v="2"/>
    <x v="3"/>
    <n v="4"/>
    <m/>
    <n v="0"/>
    <n v="0"/>
    <n v="0"/>
    <n v="0"/>
    <m/>
  </r>
  <r>
    <x v="3"/>
    <x v="0"/>
    <x v="6"/>
    <n v="2191"/>
    <n v="1"/>
    <x v="18"/>
    <n v="1"/>
    <m/>
    <n v="0"/>
    <n v="0"/>
    <n v="0"/>
    <n v="0"/>
    <m/>
  </r>
  <r>
    <x v="3"/>
    <x v="0"/>
    <x v="6"/>
    <n v="2209"/>
    <n v="0"/>
    <x v="5"/>
    <n v="1"/>
    <m/>
    <n v="0"/>
    <n v="0"/>
    <n v="0"/>
    <n v="0"/>
    <m/>
  </r>
  <r>
    <x v="3"/>
    <x v="0"/>
    <x v="6"/>
    <n v="2202"/>
    <n v="1"/>
    <x v="13"/>
    <n v="1"/>
    <m/>
    <n v="0"/>
    <n v="0"/>
    <n v="0"/>
    <n v="0"/>
    <m/>
  </r>
  <r>
    <x v="3"/>
    <x v="0"/>
    <x v="6"/>
    <n v="2118"/>
    <n v="0"/>
    <x v="2"/>
    <n v="4"/>
    <s v="s"/>
    <n v="0"/>
    <n v="8000"/>
    <n v="0"/>
    <n v="0"/>
    <m/>
  </r>
  <r>
    <x v="3"/>
    <x v="0"/>
    <x v="6"/>
    <n v="2413"/>
    <n v="1"/>
    <x v="5"/>
    <n v="1"/>
    <m/>
    <n v="0"/>
    <n v="0"/>
    <n v="0"/>
    <n v="0"/>
    <m/>
  </r>
  <r>
    <x v="3"/>
    <x v="0"/>
    <x v="6"/>
    <n v="2546"/>
    <n v="2"/>
    <x v="2"/>
    <n v="4"/>
    <m/>
    <n v="0"/>
    <n v="8000"/>
    <n v="0"/>
    <n v="0"/>
    <m/>
  </r>
  <r>
    <x v="3"/>
    <x v="0"/>
    <x v="6"/>
    <n v="1950"/>
    <n v="0"/>
    <x v="5"/>
    <n v="1"/>
    <m/>
    <n v="0"/>
    <n v="0"/>
    <n v="0"/>
    <n v="0"/>
    <m/>
  </r>
  <r>
    <x v="3"/>
    <x v="0"/>
    <x v="6"/>
    <n v="2444"/>
    <n v="1"/>
    <x v="3"/>
    <n v="5"/>
    <m/>
    <n v="0"/>
    <n v="0"/>
    <n v="0"/>
    <n v="0"/>
    <m/>
  </r>
  <r>
    <x v="3"/>
    <x v="0"/>
    <x v="6"/>
    <n v="2293"/>
    <n v="1"/>
    <x v="3"/>
    <n v="4"/>
    <m/>
    <n v="0"/>
    <n v="0"/>
    <n v="0"/>
    <n v="0"/>
    <m/>
  </r>
  <r>
    <x v="3"/>
    <x v="0"/>
    <x v="6"/>
    <n v="2100"/>
    <n v="0"/>
    <x v="5"/>
    <n v="2"/>
    <m/>
    <n v="0"/>
    <n v="0"/>
    <n v="0"/>
    <n v="0"/>
    <m/>
  </r>
  <r>
    <x v="3"/>
    <x v="0"/>
    <x v="6"/>
    <n v="2235"/>
    <n v="1"/>
    <x v="5"/>
    <n v="1"/>
    <m/>
    <n v="0"/>
    <n v="0"/>
    <n v="0"/>
    <n v="0"/>
    <m/>
  </r>
  <r>
    <x v="3"/>
    <x v="0"/>
    <x v="6"/>
    <n v="2213"/>
    <n v="0"/>
    <x v="3"/>
    <n v="3"/>
    <m/>
    <n v="0"/>
    <n v="0"/>
    <n v="0"/>
    <n v="0"/>
    <m/>
  </r>
  <r>
    <x v="3"/>
    <x v="0"/>
    <x v="6"/>
    <n v="2376"/>
    <n v="1"/>
    <x v="20"/>
    <n v="1"/>
    <m/>
    <n v="0"/>
    <n v="0"/>
    <n v="0"/>
    <n v="0"/>
    <m/>
  </r>
  <r>
    <x v="3"/>
    <x v="0"/>
    <x v="6"/>
    <n v="2190"/>
    <n v="0"/>
    <x v="20"/>
    <n v="2"/>
    <m/>
    <n v="0"/>
    <n v="0"/>
    <n v="0"/>
    <n v="0"/>
    <m/>
  </r>
  <r>
    <x v="3"/>
    <x v="0"/>
    <x v="6"/>
    <n v="2435"/>
    <n v="1"/>
    <x v="3"/>
    <n v="5"/>
    <m/>
    <n v="0"/>
    <n v="0"/>
    <n v="0"/>
    <n v="0"/>
    <m/>
  </r>
  <r>
    <x v="3"/>
    <x v="0"/>
    <x v="6"/>
    <n v="2777"/>
    <n v="0"/>
    <x v="4"/>
    <s v="2*"/>
    <m/>
    <n v="0"/>
    <n v="0"/>
    <n v="11500"/>
    <n v="66062"/>
    <m/>
  </r>
  <r>
    <x v="3"/>
    <x v="0"/>
    <x v="6"/>
    <n v="2127"/>
    <n v="0"/>
    <x v="3"/>
    <n v="3"/>
    <m/>
    <n v="0"/>
    <n v="0"/>
    <n v="0"/>
    <n v="0"/>
    <m/>
  </r>
  <r>
    <x v="3"/>
    <x v="0"/>
    <x v="6"/>
    <n v="2217"/>
    <n v="1"/>
    <x v="3"/>
    <n v="4"/>
    <m/>
    <n v="0"/>
    <n v="0"/>
    <n v="0"/>
    <n v="0"/>
    <m/>
  </r>
  <r>
    <x v="3"/>
    <x v="0"/>
    <x v="6"/>
    <n v="2126"/>
    <n v="0"/>
    <x v="20"/>
    <n v="3"/>
    <m/>
    <n v="0"/>
    <n v="0"/>
    <n v="0"/>
    <n v="0"/>
    <m/>
  </r>
  <r>
    <x v="3"/>
    <x v="0"/>
    <x v="6"/>
    <n v="2061"/>
    <n v="0"/>
    <x v="3"/>
    <n v="5"/>
    <m/>
    <n v="0"/>
    <n v="0"/>
    <n v="0"/>
    <n v="0"/>
    <m/>
  </r>
  <r>
    <x v="3"/>
    <x v="0"/>
    <x v="6"/>
    <n v="1946"/>
    <n v="0"/>
    <x v="21"/>
    <n v="2"/>
    <m/>
    <n v="0"/>
    <n v="0"/>
    <n v="0"/>
    <n v="0"/>
    <m/>
  </r>
  <r>
    <x v="3"/>
    <x v="0"/>
    <x v="6"/>
    <n v="2497"/>
    <n v="1"/>
    <x v="3"/>
    <n v="5"/>
    <m/>
    <n v="0"/>
    <n v="0"/>
    <n v="0"/>
    <n v="0"/>
    <m/>
  </r>
  <r>
    <x v="3"/>
    <x v="0"/>
    <x v="6"/>
    <n v="1941"/>
    <n v="0"/>
    <x v="20"/>
    <n v="1"/>
    <m/>
    <n v="0"/>
    <n v="0"/>
    <n v="0"/>
    <n v="0"/>
    <m/>
  </r>
  <r>
    <x v="7"/>
    <x v="0"/>
    <x v="7"/>
    <n v="3681"/>
    <n v="1"/>
    <x v="22"/>
    <s v="4*"/>
    <m/>
    <m/>
    <n v="0"/>
    <n v="0"/>
    <n v="0"/>
    <m/>
  </r>
  <r>
    <x v="5"/>
    <x v="1"/>
    <x v="0"/>
    <n v="830"/>
    <n v="0"/>
    <x v="0"/>
    <m/>
    <m/>
    <n v="1824"/>
    <n v="1824"/>
    <n v="0"/>
    <n v="0"/>
    <m/>
  </r>
  <r>
    <x v="5"/>
    <x v="1"/>
    <x v="0"/>
    <n v="1949"/>
    <n v="4"/>
    <x v="0"/>
    <m/>
    <m/>
    <n v="1824"/>
    <n v="1824"/>
    <n v="0"/>
    <n v="0"/>
    <m/>
  </r>
  <r>
    <x v="5"/>
    <x v="1"/>
    <x v="0"/>
    <n v="1975"/>
    <n v="1"/>
    <x v="0"/>
    <m/>
    <m/>
    <n v="1824"/>
    <n v="1824"/>
    <n v="0"/>
    <n v="0"/>
    <m/>
  </r>
  <r>
    <x v="5"/>
    <x v="1"/>
    <x v="0"/>
    <n v="1446"/>
    <n v="0"/>
    <x v="0"/>
    <m/>
    <m/>
    <n v="1824"/>
    <n v="1824"/>
    <n v="0"/>
    <n v="0"/>
    <m/>
  </r>
  <r>
    <x v="5"/>
    <x v="1"/>
    <x v="0"/>
    <n v="891"/>
    <n v="2"/>
    <x v="0"/>
    <m/>
    <m/>
    <n v="1824"/>
    <n v="1824"/>
    <n v="0"/>
    <n v="0"/>
    <m/>
  </r>
  <r>
    <x v="5"/>
    <x v="1"/>
    <x v="0"/>
    <n v="1724"/>
    <n v="1"/>
    <x v="0"/>
    <m/>
    <m/>
    <n v="2128"/>
    <n v="2128"/>
    <n v="0"/>
    <n v="0"/>
    <m/>
  </r>
  <r>
    <x v="5"/>
    <x v="1"/>
    <x v="0"/>
    <n v="1612"/>
    <n v="1"/>
    <x v="0"/>
    <m/>
    <m/>
    <n v="1824"/>
    <n v="1824"/>
    <n v="0"/>
    <n v="0"/>
    <m/>
  </r>
  <r>
    <x v="5"/>
    <x v="1"/>
    <x v="0"/>
    <n v="1367"/>
    <n v="1"/>
    <x v="0"/>
    <m/>
    <m/>
    <n v="1824"/>
    <n v="1824"/>
    <n v="0"/>
    <n v="0"/>
    <m/>
  </r>
  <r>
    <x v="5"/>
    <x v="1"/>
    <x v="0"/>
    <n v="1529"/>
    <n v="0"/>
    <x v="0"/>
    <m/>
    <m/>
    <n v="2937"/>
    <n v="2937"/>
    <n v="0"/>
    <n v="0"/>
    <m/>
  </r>
  <r>
    <x v="3"/>
    <x v="0"/>
    <x v="6"/>
    <n v="2489"/>
    <n v="0"/>
    <x v="2"/>
    <n v="4"/>
    <m/>
    <n v="0"/>
    <n v="8000"/>
    <n v="0"/>
    <n v="0"/>
    <m/>
  </r>
  <r>
    <x v="3"/>
    <x v="0"/>
    <x v="6"/>
    <n v="2683"/>
    <n v="0"/>
    <x v="5"/>
    <n v="1"/>
    <m/>
    <n v="0"/>
    <n v="0"/>
    <n v="0"/>
    <n v="0"/>
    <m/>
  </r>
  <r>
    <x v="3"/>
    <x v="0"/>
    <x v="6"/>
    <n v="2361"/>
    <n v="3"/>
    <x v="18"/>
    <n v="1"/>
    <m/>
    <n v="0"/>
    <n v="0"/>
    <n v="0"/>
    <n v="0"/>
    <m/>
  </r>
  <r>
    <x v="3"/>
    <x v="0"/>
    <x v="6"/>
    <n v="2012"/>
    <n v="1"/>
    <x v="5"/>
    <n v="1"/>
    <m/>
    <n v="0"/>
    <n v="0"/>
    <n v="0"/>
    <n v="0"/>
    <m/>
  </r>
  <r>
    <x v="3"/>
    <x v="0"/>
    <x v="6"/>
    <n v="2525"/>
    <n v="0"/>
    <x v="20"/>
    <n v="1"/>
    <m/>
    <n v="0"/>
    <n v="0"/>
    <n v="0"/>
    <n v="0"/>
    <m/>
  </r>
  <r>
    <x v="3"/>
    <x v="0"/>
    <x v="6"/>
    <n v="2271"/>
    <n v="0"/>
    <x v="3"/>
    <n v="4"/>
    <m/>
    <n v="0"/>
    <n v="0"/>
    <n v="0"/>
    <n v="0"/>
    <m/>
  </r>
  <r>
    <x v="3"/>
    <x v="0"/>
    <x v="6"/>
    <n v="2602"/>
    <n v="1"/>
    <x v="21"/>
    <n v="1"/>
    <m/>
    <n v="0"/>
    <n v="0"/>
    <n v="0"/>
    <n v="0"/>
    <m/>
  </r>
  <r>
    <x v="3"/>
    <x v="0"/>
    <x v="6"/>
    <n v="2453"/>
    <n v="0"/>
    <x v="5"/>
    <n v="1"/>
    <m/>
    <n v="0"/>
    <n v="0"/>
    <n v="0"/>
    <n v="0"/>
    <m/>
  </r>
  <r>
    <x v="3"/>
    <x v="0"/>
    <x v="6"/>
    <n v="2244"/>
    <n v="0"/>
    <x v="3"/>
    <n v="5"/>
    <m/>
    <n v="0"/>
    <n v="0"/>
    <n v="0"/>
    <n v="0"/>
    <m/>
  </r>
  <r>
    <x v="3"/>
    <x v="0"/>
    <x v="6"/>
    <n v="2817"/>
    <n v="0"/>
    <x v="18"/>
    <n v="1"/>
    <m/>
    <n v="0"/>
    <n v="0"/>
    <n v="0"/>
    <n v="0"/>
    <m/>
  </r>
  <r>
    <x v="3"/>
    <x v="0"/>
    <x v="6"/>
    <n v="2234"/>
    <n v="1"/>
    <x v="3"/>
    <n v="3"/>
    <m/>
    <n v="0"/>
    <n v="0"/>
    <n v="0"/>
    <n v="0"/>
    <m/>
  </r>
  <r>
    <x v="3"/>
    <x v="0"/>
    <x v="6"/>
    <n v="2463"/>
    <n v="0"/>
    <x v="2"/>
    <n v="4"/>
    <m/>
    <n v="0"/>
    <n v="8000"/>
    <n v="0"/>
    <n v="0"/>
    <m/>
  </r>
  <r>
    <x v="3"/>
    <x v="0"/>
    <x v="6"/>
    <n v="2474"/>
    <n v="0"/>
    <x v="3"/>
    <n v="5"/>
    <m/>
    <n v="0"/>
    <n v="0"/>
    <n v="0"/>
    <n v="0"/>
    <m/>
  </r>
  <r>
    <x v="3"/>
    <x v="0"/>
    <x v="6"/>
    <n v="2455"/>
    <n v="0"/>
    <x v="5"/>
    <n v="1"/>
    <m/>
    <n v="0"/>
    <n v="0"/>
    <n v="0"/>
    <n v="0"/>
    <m/>
  </r>
  <r>
    <x v="3"/>
    <x v="0"/>
    <x v="6"/>
    <n v="2373"/>
    <n v="1"/>
    <x v="18"/>
    <n v="1"/>
    <m/>
    <n v="0"/>
    <n v="0"/>
    <n v="0"/>
    <n v="0"/>
    <m/>
  </r>
  <r>
    <x v="3"/>
    <x v="0"/>
    <x v="6"/>
    <n v="2131"/>
    <n v="1"/>
    <x v="5"/>
    <n v="1"/>
    <m/>
    <n v="0"/>
    <n v="0"/>
    <n v="0"/>
    <n v="0"/>
    <m/>
  </r>
  <r>
    <x v="3"/>
    <x v="0"/>
    <x v="6"/>
    <n v="2300"/>
    <n v="0"/>
    <x v="2"/>
    <n v="4"/>
    <m/>
    <n v="0"/>
    <n v="8000"/>
    <n v="0"/>
    <n v="0"/>
    <m/>
  </r>
  <r>
    <x v="3"/>
    <x v="0"/>
    <x v="6"/>
    <n v="2089"/>
    <n v="0"/>
    <x v="3"/>
    <n v="3"/>
    <m/>
    <n v="0"/>
    <n v="0"/>
    <n v="0"/>
    <n v="0"/>
    <m/>
  </r>
  <r>
    <x v="3"/>
    <x v="0"/>
    <x v="6"/>
    <n v="2291"/>
    <n v="1"/>
    <x v="3"/>
    <n v="4"/>
    <m/>
    <n v="0"/>
    <n v="0"/>
    <n v="0"/>
    <n v="0"/>
    <m/>
  </r>
  <r>
    <x v="8"/>
    <x v="0"/>
    <x v="6"/>
    <n v="2217"/>
    <n v="0"/>
    <x v="23"/>
    <n v="2"/>
    <m/>
    <n v="0"/>
    <n v="0"/>
    <n v="0"/>
    <n v="0"/>
    <m/>
  </r>
  <r>
    <x v="8"/>
    <x v="0"/>
    <x v="7"/>
    <n v="2635"/>
    <n v="0"/>
    <x v="2"/>
    <n v="5"/>
    <m/>
    <n v="0"/>
    <n v="10000"/>
    <n v="0"/>
    <n v="0"/>
    <m/>
  </r>
  <r>
    <x v="8"/>
    <x v="0"/>
    <x v="7"/>
    <n v="2286"/>
    <n v="0"/>
    <x v="23"/>
    <n v="2"/>
    <m/>
    <n v="0"/>
    <n v="0"/>
    <n v="0"/>
    <n v="0"/>
    <m/>
  </r>
  <r>
    <x v="8"/>
    <x v="0"/>
    <x v="7"/>
    <n v="2828"/>
    <n v="0"/>
    <x v="23"/>
    <n v="1"/>
    <m/>
    <n v="0"/>
    <n v="0"/>
    <n v="0"/>
    <n v="0"/>
    <m/>
  </r>
  <r>
    <x v="8"/>
    <x v="0"/>
    <x v="10"/>
    <n v="2917"/>
    <n v="2"/>
    <x v="23"/>
    <n v="3"/>
    <m/>
    <n v="0"/>
    <n v="0"/>
    <n v="0"/>
    <n v="0"/>
    <m/>
  </r>
  <r>
    <x v="8"/>
    <x v="0"/>
    <x v="11"/>
    <n v="2771"/>
    <n v="0"/>
    <x v="23"/>
    <n v="1"/>
    <m/>
    <n v="0"/>
    <n v="0"/>
    <n v="0"/>
    <n v="0"/>
    <m/>
  </r>
  <r>
    <x v="8"/>
    <x v="0"/>
    <x v="11"/>
    <n v="3158"/>
    <n v="1"/>
    <x v="24"/>
    <n v="3"/>
    <m/>
    <n v="0"/>
    <n v="0"/>
    <n v="0"/>
    <n v="0"/>
    <m/>
  </r>
  <r>
    <x v="8"/>
    <x v="0"/>
    <x v="11"/>
    <n v="3080"/>
    <n v="0"/>
    <x v="12"/>
    <n v="5"/>
    <m/>
    <n v="0"/>
    <n v="0"/>
    <n v="0"/>
    <n v="0"/>
    <m/>
  </r>
  <r>
    <x v="8"/>
    <x v="0"/>
    <x v="11"/>
    <n v="3091"/>
    <n v="2"/>
    <x v="12"/>
    <n v="5"/>
    <m/>
    <n v="0"/>
    <n v="0"/>
    <n v="0"/>
    <n v="0"/>
    <m/>
  </r>
  <r>
    <x v="3"/>
    <x v="0"/>
    <x v="10"/>
    <n v="2945"/>
    <n v="1"/>
    <x v="18"/>
    <n v="2"/>
    <m/>
    <n v="0"/>
    <n v="0"/>
    <n v="0"/>
    <n v="0"/>
    <m/>
  </r>
  <r>
    <x v="3"/>
    <x v="0"/>
    <x v="10"/>
    <n v="2556"/>
    <n v="1"/>
    <x v="5"/>
    <n v="1"/>
    <m/>
    <n v="0"/>
    <n v="0"/>
    <n v="0"/>
    <n v="0"/>
    <m/>
  </r>
  <r>
    <x v="3"/>
    <x v="0"/>
    <x v="10"/>
    <n v="2925"/>
    <n v="0"/>
    <x v="3"/>
    <n v="5"/>
    <m/>
    <n v="0"/>
    <n v="0"/>
    <n v="0"/>
    <n v="0"/>
    <m/>
  </r>
  <r>
    <x v="3"/>
    <x v="0"/>
    <x v="10"/>
    <n v="2776"/>
    <n v="1"/>
    <x v="3"/>
    <n v="5"/>
    <m/>
    <n v="0"/>
    <n v="0"/>
    <n v="0"/>
    <n v="0"/>
    <m/>
  </r>
  <r>
    <x v="3"/>
    <x v="0"/>
    <x v="10"/>
    <n v="2669"/>
    <n v="0"/>
    <x v="5"/>
    <n v="1"/>
    <m/>
    <n v="0"/>
    <n v="0"/>
    <n v="0"/>
    <n v="0"/>
    <m/>
  </r>
  <r>
    <x v="3"/>
    <x v="0"/>
    <x v="10"/>
    <n v="2813"/>
    <n v="1"/>
    <x v="3"/>
    <n v="5"/>
    <m/>
    <n v="0"/>
    <n v="0"/>
    <n v="0"/>
    <n v="0"/>
    <m/>
  </r>
  <r>
    <x v="3"/>
    <x v="0"/>
    <x v="10"/>
    <n v="2871"/>
    <n v="0"/>
    <x v="5"/>
    <n v="2"/>
    <m/>
    <n v="0"/>
    <n v="0"/>
    <n v="0"/>
    <n v="0"/>
    <m/>
  </r>
  <r>
    <x v="3"/>
    <x v="0"/>
    <x v="10"/>
    <n v="2829"/>
    <n v="0"/>
    <x v="3"/>
    <n v="3"/>
    <m/>
    <n v="0"/>
    <n v="0"/>
    <n v="0"/>
    <n v="0"/>
    <m/>
  </r>
  <r>
    <x v="3"/>
    <x v="0"/>
    <x v="10"/>
    <n v="2312"/>
    <n v="1"/>
    <x v="4"/>
    <s v="2*"/>
    <m/>
    <n v="0"/>
    <n v="0"/>
    <n v="11500"/>
    <n v="66062"/>
    <m/>
  </r>
  <r>
    <x v="7"/>
    <x v="0"/>
    <x v="7"/>
    <n v="3502"/>
    <n v="1"/>
    <x v="22"/>
    <s v="5*"/>
    <m/>
    <n v="0"/>
    <n v="0"/>
    <n v="0"/>
    <n v="0"/>
    <m/>
  </r>
  <r>
    <x v="3"/>
    <x v="0"/>
    <x v="10"/>
    <n v="0"/>
    <n v="0"/>
    <x v="0"/>
    <n v="0"/>
    <m/>
    <n v="0"/>
    <n v="0"/>
    <n v="0"/>
    <n v="0"/>
    <s v="Y"/>
  </r>
  <r>
    <x v="3"/>
    <x v="0"/>
    <x v="10"/>
    <n v="2382"/>
    <n v="0"/>
    <x v="18"/>
    <n v="1"/>
    <m/>
    <n v="0"/>
    <n v="0"/>
    <n v="0"/>
    <n v="0"/>
    <m/>
  </r>
  <r>
    <x v="3"/>
    <x v="0"/>
    <x v="10"/>
    <n v="2958"/>
    <n v="0"/>
    <x v="4"/>
    <s v="2*"/>
    <m/>
    <n v="0"/>
    <n v="0"/>
    <n v="11500"/>
    <n v="66062"/>
    <m/>
  </r>
  <r>
    <x v="3"/>
    <x v="0"/>
    <x v="10"/>
    <n v="2545"/>
    <n v="2"/>
    <x v="5"/>
    <n v="3"/>
    <m/>
    <n v="0"/>
    <n v="0"/>
    <n v="0"/>
    <n v="0"/>
    <m/>
  </r>
  <r>
    <x v="3"/>
    <x v="0"/>
    <x v="10"/>
    <n v="2649"/>
    <n v="3"/>
    <x v="13"/>
    <n v="2"/>
    <m/>
    <n v="0"/>
    <n v="0"/>
    <n v="0"/>
    <n v="0"/>
    <m/>
  </r>
  <r>
    <x v="3"/>
    <x v="0"/>
    <x v="10"/>
    <n v="2432"/>
    <n v="0"/>
    <x v="6"/>
    <n v="4"/>
    <m/>
    <n v="0"/>
    <n v="0"/>
    <n v="0"/>
    <n v="0"/>
    <m/>
  </r>
  <r>
    <x v="3"/>
    <x v="0"/>
    <x v="10"/>
    <n v="2881"/>
    <n v="0"/>
    <x v="18"/>
    <n v="1"/>
    <m/>
    <n v="0"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  <r>
    <x v="11"/>
    <x v="2"/>
    <x v="12"/>
    <m/>
    <m/>
    <x v="0"/>
    <m/>
    <m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16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7:N23" firstHeaderRow="1" firstDataRow="2" firstDataCol="1"/>
  <pivotFields count="13">
    <pivotField axis="axisRow" showAll="0">
      <items count="13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1"/>
        <item t="default"/>
      </items>
    </pivotField>
    <pivotField dataField="1" showAll="0"/>
    <pivotField axis="axisCol" showAll="0">
      <items count="14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5">
    <i>
      <x v="5"/>
    </i>
    <i>
      <x v="6"/>
    </i>
    <i>
      <x v="7"/>
    </i>
    <i>
      <x v="8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16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6" firstHeaderRow="1" firstDataRow="2" firstDataCol="1" rowPageCount="1" colPageCount="1"/>
  <pivotFields count="13">
    <pivotField axis="axisPage" multipleItemSelectionAllowed="1" showAll="0">
      <items count="13">
        <item h="1" x="5"/>
        <item h="1" x="1"/>
        <item h="1" x="2"/>
        <item x="3"/>
        <item h="1" x="4"/>
        <item h="1" x="0"/>
        <item h="1" x="11"/>
        <item h="1" x="6"/>
        <item h="1" x="7"/>
        <item h="1" x="8"/>
        <item h="1" x="9"/>
        <item h="1" x="10"/>
        <item t="default"/>
      </items>
    </pivotField>
    <pivotField showAll="0"/>
    <pivotField axis="axisCol" showAll="0">
      <items count="14">
        <item x="0"/>
        <item x="5"/>
        <item x="1"/>
        <item x="4"/>
        <item x="3"/>
        <item x="2"/>
        <item x="12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>
      <items count="27">
        <item x="3"/>
        <item x="5"/>
        <item x="6"/>
        <item x="1"/>
        <item m="1" x="25"/>
        <item x="4"/>
        <item x="2"/>
        <item x="0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dataField="1" showAll="0"/>
    <pivotField showAll="0" defaultSubtotal="0"/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5"/>
  </rowFields>
  <rowItems count="12">
    <i>
      <x/>
    </i>
    <i>
      <x v="1"/>
    </i>
    <i>
      <x v="2"/>
    </i>
    <i>
      <x v="5"/>
    </i>
    <i>
      <x v="6"/>
    </i>
    <i>
      <x v="7"/>
    </i>
    <i>
      <x v="12"/>
    </i>
    <i>
      <x v="14"/>
    </i>
    <i>
      <x v="19"/>
    </i>
    <i>
      <x v="21"/>
    </i>
    <i>
      <x v="22"/>
    </i>
    <i t="grand">
      <x/>
    </i>
  </rowItems>
  <colFields count="1">
    <field x="2"/>
  </colFields>
  <colItems count="5">
    <i>
      <x v="3"/>
    </i>
    <i>
      <x v="4"/>
    </i>
    <i>
      <x v="7"/>
    </i>
    <i>
      <x v="11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16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3" firstHeaderRow="1" firstDataRow="2" firstDataCol="1"/>
  <pivotFields count="13">
    <pivotField axis="axisRow" showAll="0">
      <items count="13">
        <item x="5"/>
        <item x="1"/>
        <item x="2"/>
        <item x="3"/>
        <item x="4"/>
        <item x="0"/>
        <item h="1" x="11"/>
        <item h="1" x="6"/>
        <item h="1" x="7"/>
        <item h="1" x="8"/>
        <item h="1" x="9"/>
        <item h="1" x="10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4">
        <item x="0"/>
        <item x="5"/>
        <item x="1"/>
        <item x="4"/>
        <item x="3"/>
        <item x="2"/>
        <item x="12"/>
        <item x="6"/>
        <item x="7"/>
        <item x="8"/>
        <item x="9"/>
        <item x="10"/>
        <item x="11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9">
    <i>
      <x/>
    </i>
    <i r="1">
      <x/>
    </i>
    <i r="2"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2" name="LocFeatures" displayName="LocFeatures" ref="A1:V107" totalsRowShown="0">
  <autoFilter ref="A1:V107"/>
  <sortState ref="A2:V107">
    <sortCondition descending="1" ref="O2:O107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9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8">
      <calculatedColumnFormula>4*LocFeatures[[#This Row],[XP Gain per member]]</calculatedColumnFormula>
    </tableColumn>
    <tableColumn id="11" name="XP Train Gain"/>
    <tableColumn id="22" name="XP drop" dataDxfId="7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6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5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4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opLeftCell="A10" workbookViewId="0">
      <selection activeCell="J31" sqref="J2:J31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76</v>
      </c>
      <c r="S1" t="s">
        <v>77</v>
      </c>
      <c r="T1" t="s">
        <v>78</v>
      </c>
      <c r="U1" t="s">
        <v>14</v>
      </c>
      <c r="V1" t="s">
        <v>80</v>
      </c>
      <c r="W1" t="s">
        <v>165</v>
      </c>
      <c r="X1" t="s">
        <v>79</v>
      </c>
      <c r="Y1" t="s">
        <v>81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134</v>
      </c>
      <c r="N2" t="s">
        <v>135</v>
      </c>
      <c r="O2" t="s">
        <v>138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136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85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84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82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83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137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140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186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187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139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134</v>
      </c>
      <c r="N14" t="s">
        <v>135</v>
      </c>
      <c r="O14" t="s">
        <v>138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136</v>
      </c>
      <c r="M15">
        <v>0</v>
      </c>
      <c r="N15">
        <v>0</v>
      </c>
      <c r="O15" s="1">
        <v>0</v>
      </c>
      <c r="Q15" t="s">
        <v>159</v>
      </c>
      <c r="R15" t="s">
        <v>160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85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84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82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83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137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140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186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187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139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267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134</v>
      </c>
      <c r="N27" t="s">
        <v>135</v>
      </c>
      <c r="O27" t="s">
        <v>138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136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85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84</v>
      </c>
      <c r="M30">
        <f>MAXA(4*M28+3*3-Tabela610[[#This Row],[Done]],0)</f>
        <v>24</v>
      </c>
      <c r="N30">
        <v>1</v>
      </c>
      <c r="O30" s="1"/>
    </row>
    <row r="31" spans="4:17">
      <c r="D31">
        <v>30</v>
      </c>
      <c r="I31">
        <v>32404</v>
      </c>
      <c r="J31">
        <v>39134</v>
      </c>
      <c r="L31" t="s">
        <v>82</v>
      </c>
      <c r="M31">
        <f>M30-Tabela610[[#This Row],[Done]]</f>
        <v>10</v>
      </c>
      <c r="N31">
        <v>14</v>
      </c>
      <c r="O31" s="1">
        <f>M31*$B$4</f>
        <v>821820</v>
      </c>
    </row>
    <row r="32" spans="4:17">
      <c r="D32">
        <v>31</v>
      </c>
      <c r="I32">
        <v>37348</v>
      </c>
      <c r="J32">
        <v>45107</v>
      </c>
      <c r="L32" t="s">
        <v>83</v>
      </c>
      <c r="M32">
        <f>3*M30-Tabela610[[#This Row],[Done]]</f>
        <v>69</v>
      </c>
      <c r="N32">
        <v>3</v>
      </c>
      <c r="O32" s="1"/>
    </row>
    <row r="33" spans="4:15">
      <c r="D33">
        <v>32</v>
      </c>
      <c r="I33">
        <v>43048</v>
      </c>
      <c r="J33">
        <v>51990</v>
      </c>
      <c r="L33" t="s">
        <v>137</v>
      </c>
      <c r="M33">
        <f>3+M32-Tabela610[[#This Row],[Done]]</f>
        <v>71</v>
      </c>
      <c r="N33">
        <v>1</v>
      </c>
      <c r="O33" s="1">
        <f>M33*$B$3</f>
        <v>2543362</v>
      </c>
    </row>
    <row r="34" spans="4:15">
      <c r="D34">
        <v>33</v>
      </c>
      <c r="I34">
        <v>49617</v>
      </c>
      <c r="J34">
        <v>59924</v>
      </c>
      <c r="L34" s="6" t="s">
        <v>140</v>
      </c>
      <c r="M34" s="6">
        <f>2*(M31+M32-10)-Tabela610[[#This Row],[Done]]</f>
        <v>135</v>
      </c>
      <c r="N34">
        <v>3</v>
      </c>
      <c r="O34" s="45"/>
    </row>
    <row r="35" spans="4:15">
      <c r="D35">
        <v>34</v>
      </c>
      <c r="I35">
        <v>57188</v>
      </c>
      <c r="J35">
        <v>69068</v>
      </c>
      <c r="L35" t="s">
        <v>186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187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139</v>
      </c>
      <c r="O37" s="44">
        <f>SUM(Tabela610[XP to gain])+4*B6</f>
        <v>7049270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M2000"/>
  <sheetViews>
    <sheetView tabSelected="1" zoomScale="85" zoomScaleNormal="85" workbookViewId="0">
      <pane ySplit="1" topLeftCell="A724" activePane="bottomLeft" state="frozen"/>
      <selection pane="bottomLeft" activeCell="A752" sqref="A75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</cols>
  <sheetData>
    <row r="1" spans="1:13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230</v>
      </c>
      <c r="I1" t="s">
        <v>201</v>
      </c>
      <c r="J1" t="s">
        <v>200</v>
      </c>
      <c r="K1" t="s">
        <v>207</v>
      </c>
      <c r="L1" t="s">
        <v>205</v>
      </c>
      <c r="M1" t="s">
        <v>317</v>
      </c>
    </row>
    <row r="2" spans="1:13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Drop]]+IF(DropAnalityka[[#This Row],[Drop]]="Scroll", 2000*DropAnalityka[[#This Row],[Quality/Quantity]],0)</f>
        <v>912</v>
      </c>
      <c r="K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3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Drop]]+IF(DropAnalityka[[#This Row],[Drop]]="Scroll", 2000*DropAnalityka[[#This Row],[Quality/Quantity]],0)</f>
        <v>325</v>
      </c>
      <c r="K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3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 t="s">
        <v>12</v>
      </c>
      <c r="I4">
        <v>0</v>
      </c>
      <c r="J4">
        <f>DropAnalityka[[#This Row],[Sell Drop]]+IF(DropAnalityka[[#This Row],[Drop]]="Scroll", 2000*DropAnalityka[[#This Row],[Quality/Quantity]],0)</f>
        <v>0</v>
      </c>
      <c r="K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3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Drop]]+IF(DropAnalityka[[#This Row],[Drop]]="Scroll", 2000*DropAnalityka[[#This Row],[Quality/Quantity]],0)</f>
        <v>325</v>
      </c>
      <c r="K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3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Drop]]+IF(DropAnalityka[[#This Row],[Drop]]="Scroll", 2000*DropAnalityka[[#This Row],[Quality/Quantity]],0)</f>
        <v>325</v>
      </c>
      <c r="K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3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Drop]]+IF(DropAnalityka[[#This Row],[Drop]]="Scroll", 2000*DropAnalityka[[#This Row],[Quality/Quantity]],0)</f>
        <v>720</v>
      </c>
      <c r="K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3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I8">
        <v>0</v>
      </c>
      <c r="J8">
        <f>DropAnalityka[[#This Row],[Sell Drop]]+IF(DropAnalityka[[#This Row],[Drop]]="Scroll", 2000*DropAnalityka[[#This Row],[Quality/Quantity]],0)</f>
        <v>2000</v>
      </c>
      <c r="K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3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 t="s">
        <v>12</v>
      </c>
      <c r="I9">
        <v>0</v>
      </c>
      <c r="J9">
        <f>DropAnalityka[[#This Row],[Sell Drop]]+IF(DropAnalityka[[#This Row],[Drop]]="Scroll", 2000*DropAnalityka[[#This Row],[Quality/Quantity]],0)</f>
        <v>0</v>
      </c>
      <c r="K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3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I10">
        <v>0</v>
      </c>
      <c r="J10">
        <f>DropAnalityka[[#This Row],[Sell Drop]]+IF(DropAnalityka[[#This Row],[Drop]]="Scroll", 2000*DropAnalityka[[#This Row],[Quality/Quantity]],0)</f>
        <v>2000</v>
      </c>
      <c r="K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3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Drop]]+IF(DropAnalityka[[#This Row],[Drop]]="Scroll", 2000*DropAnalityka[[#This Row],[Quality/Quantity]],0)</f>
        <v>720</v>
      </c>
      <c r="K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3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 t="s">
        <v>12</v>
      </c>
      <c r="I12">
        <v>0</v>
      </c>
      <c r="J12">
        <f>DropAnalityka[[#This Row],[Sell Drop]]+IF(DropAnalityka[[#This Row],[Drop]]="Scroll", 2000*DropAnalityka[[#This Row],[Quality/Quantity]],0)</f>
        <v>0</v>
      </c>
      <c r="K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3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Drop]]+IF(DropAnalityka[[#This Row],[Drop]]="Scroll", 2000*DropAnalityka[[#This Row],[Quality/Quantity]],0)</f>
        <v>325</v>
      </c>
      <c r="K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3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Drop]]+IF(DropAnalityka[[#This Row],[Drop]]="Scroll", 2000*DropAnalityka[[#This Row],[Quality/Quantity]],0)</f>
        <v>487</v>
      </c>
      <c r="K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3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Drop]]+IF(DropAnalityka[[#This Row],[Drop]]="Scroll", 2000*DropAnalityka[[#This Row],[Quality/Quantity]],0)</f>
        <v>325</v>
      </c>
      <c r="K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3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Drop]]+IF(DropAnalityka[[#This Row],[Drop]]="Scroll", 2000*DropAnalityka[[#This Row],[Quality/Quantity]],0)</f>
        <v>325</v>
      </c>
      <c r="K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 t="s">
        <v>17</v>
      </c>
      <c r="I17">
        <v>0</v>
      </c>
      <c r="J17">
        <f>DropAnalityka[[#This Row],[Sell Drop]]+IF(DropAnalityka[[#This Row],[Drop]]="Scroll", 2000*DropAnalityka[[#This Row],[Quality/Quantity]],0)</f>
        <v>0</v>
      </c>
      <c r="K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I18">
        <v>0</v>
      </c>
      <c r="J18">
        <f>DropAnalityka[[#This Row],[Sell Drop]]+IF(DropAnalityka[[#This Row],[Drop]]="Scroll", 2000*DropAnalityka[[#This Row],[Quality/Quantity]],0)</f>
        <v>2000</v>
      </c>
      <c r="K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Drop]]+IF(DropAnalityka[[#This Row],[Drop]]="Scroll", 2000*DropAnalityka[[#This Row],[Quality/Quantity]],0)</f>
        <v>325</v>
      </c>
      <c r="K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Drop]]+IF(DropAnalityka[[#This Row],[Drop]]="Scroll", 2000*DropAnalityka[[#This Row],[Quality/Quantity]],0)</f>
        <v>433</v>
      </c>
      <c r="K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Drop]]+IF(DropAnalityka[[#This Row],[Drop]]="Scroll", 2000*DropAnalityka[[#This Row],[Quality/Quantity]],0)</f>
        <v>379</v>
      </c>
      <c r="K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 t="s">
        <v>17</v>
      </c>
      <c r="I22">
        <v>0</v>
      </c>
      <c r="J22">
        <f>DropAnalityka[[#This Row],[Sell Drop]]+IF(DropAnalityka[[#This Row],[Drop]]="Scroll", 2000*DropAnalityka[[#This Row],[Quality/Quantity]],0)</f>
        <v>0</v>
      </c>
      <c r="K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Drop]]+IF(DropAnalityka[[#This Row],[Drop]]="Scroll", 2000*DropAnalityka[[#This Row],[Quality/Quantity]],0)</f>
        <v>325</v>
      </c>
      <c r="K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Drop]]+IF(DropAnalityka[[#This Row],[Drop]]="Scroll", 2000*DropAnalityka[[#This Row],[Quality/Quantity]],0)</f>
        <v>325</v>
      </c>
      <c r="K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I25">
        <v>0</v>
      </c>
      <c r="J25">
        <f>DropAnalityka[[#This Row],[Sell Drop]]+IF(DropAnalityka[[#This Row],[Drop]]="Scroll", 2000*DropAnalityka[[#This Row],[Quality/Quantity]],0)</f>
        <v>2000</v>
      </c>
      <c r="K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Drop]]+IF(DropAnalityka[[#This Row],[Drop]]="Scroll", 2000*DropAnalityka[[#This Row],[Quality/Quantity]],0)</f>
        <v>325</v>
      </c>
      <c r="K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I27">
        <v>0</v>
      </c>
      <c r="J27">
        <f>DropAnalityka[[#This Row],[Sell Drop]]+IF(DropAnalityka[[#This Row],[Drop]]="Scroll", 2000*DropAnalityka[[#This Row],[Quality/Quantity]],0)</f>
        <v>2000</v>
      </c>
      <c r="K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Drop]]+IF(DropAnalityka[[#This Row],[Drop]]="Scroll", 2000*DropAnalityka[[#This Row],[Quality/Quantity]],0)</f>
        <v>325</v>
      </c>
      <c r="K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Drop]]+IF(DropAnalityka[[#This Row],[Drop]]="Scroll", 2000*DropAnalityka[[#This Row],[Quality/Quantity]],0)</f>
        <v>379</v>
      </c>
      <c r="K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Drop]]+IF(DropAnalityka[[#This Row],[Drop]]="Scroll", 2000*DropAnalityka[[#This Row],[Quality/Quantity]],0)</f>
        <v>487</v>
      </c>
      <c r="K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I31">
        <v>0</v>
      </c>
      <c r="J31">
        <f>DropAnalityka[[#This Row],[Sell Drop]]+IF(DropAnalityka[[#This Row],[Drop]]="Scroll", 2000*DropAnalityka[[#This Row],[Quality/Quantity]],0)</f>
        <v>2000</v>
      </c>
      <c r="K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Drop]]+IF(DropAnalityka[[#This Row],[Drop]]="Scroll", 2000*DropAnalityka[[#This Row],[Quality/Quantity]],0)</f>
        <v>720</v>
      </c>
      <c r="K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Drop]]+IF(DropAnalityka[[#This Row],[Drop]]="Scroll", 2000*DropAnalityka[[#This Row],[Quality/Quantity]],0)</f>
        <v>325</v>
      </c>
      <c r="K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I34">
        <v>0</v>
      </c>
      <c r="J34">
        <f>DropAnalityka[[#This Row],[Sell Drop]]+IF(DropAnalityka[[#This Row],[Drop]]="Scroll", 2000*DropAnalityka[[#This Row],[Quality/Quantity]],0)</f>
        <v>2000</v>
      </c>
      <c r="K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I35">
        <v>0</v>
      </c>
      <c r="J35">
        <f>DropAnalityka[[#This Row],[Sell Drop]]+IF(DropAnalityka[[#This Row],[Drop]]="Scroll", 2000*DropAnalityka[[#This Row],[Quality/Quantity]],0)</f>
        <v>2000</v>
      </c>
      <c r="K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Drop]]+IF(DropAnalityka[[#This Row],[Drop]]="Scroll", 2000*DropAnalityka[[#This Row],[Quality/Quantity]],0)</f>
        <v>325</v>
      </c>
      <c r="K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Drop]]+IF(DropAnalityka[[#This Row],[Drop]]="Scroll", 2000*DropAnalityka[[#This Row],[Quality/Quantity]],0)</f>
        <v>325</v>
      </c>
      <c r="K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Drop]]+IF(DropAnalityka[[#This Row],[Drop]]="Scroll", 2000*DropAnalityka[[#This Row],[Quality/Quantity]],0)</f>
        <v>325</v>
      </c>
      <c r="K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Drop]]+IF(DropAnalityka[[#This Row],[Drop]]="Scroll", 2000*DropAnalityka[[#This Row],[Quality/Quantity]],0)</f>
        <v>433</v>
      </c>
      <c r="K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Drop]]+IF(DropAnalityka[[#This Row],[Drop]]="Scroll", 2000*DropAnalityka[[#This Row],[Quality/Quantity]],0)</f>
        <v>379</v>
      </c>
      <c r="K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Drop]]+IF(DropAnalityka[[#This Row],[Drop]]="Scroll", 2000*DropAnalityka[[#This Row],[Quality/Quantity]],0)</f>
        <v>720</v>
      </c>
      <c r="K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Drop]]+IF(DropAnalityka[[#This Row],[Drop]]="Scroll", 2000*DropAnalityka[[#This Row],[Quality/Quantity]],0)</f>
        <v>1080</v>
      </c>
      <c r="K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I43">
        <v>0</v>
      </c>
      <c r="J43">
        <f>DropAnalityka[[#This Row],[Sell Drop]]+IF(DropAnalityka[[#This Row],[Drop]]="Scroll", 2000*DropAnalityka[[#This Row],[Quality/Quantity]],0)</f>
        <v>4000</v>
      </c>
      <c r="K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Drop]]+IF(DropAnalityka[[#This Row],[Drop]]="Scroll", 2000*DropAnalityka[[#This Row],[Quality/Quantity]],0)</f>
        <v>2128</v>
      </c>
      <c r="K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I45">
        <v>0</v>
      </c>
      <c r="J45">
        <f>DropAnalityka[[#This Row],[Sell Drop]]+IF(DropAnalityka[[#This Row],[Drop]]="Scroll", 2000*DropAnalityka[[#This Row],[Quality/Quantity]],0)</f>
        <v>2000</v>
      </c>
      <c r="K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Drop]]+IF(DropAnalityka[[#This Row],[Drop]]="Scroll", 2000*DropAnalityka[[#This Row],[Quality/Quantity]],0)</f>
        <v>0</v>
      </c>
      <c r="K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Drop]]+IF(DropAnalityka[[#This Row],[Drop]]="Scroll", 2000*DropAnalityka[[#This Row],[Quality/Quantity]],0)</f>
        <v>1824</v>
      </c>
      <c r="K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Drop]]+IF(DropAnalityka[[#This Row],[Drop]]="Scroll", 2000*DropAnalityka[[#This Row],[Quality/Quantity]],0)</f>
        <v>0</v>
      </c>
      <c r="K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Drop]]+IF(DropAnalityka[[#This Row],[Drop]]="Scroll", 2000*DropAnalityka[[#This Row],[Quality/Quantity]],0)</f>
        <v>892</v>
      </c>
      <c r="K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Drop]]+IF(DropAnalityka[[#This Row],[Drop]]="Scroll", 2000*DropAnalityka[[#This Row],[Quality/Quantity]],0)</f>
        <v>2128</v>
      </c>
      <c r="K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I51">
        <v>0</v>
      </c>
      <c r="J51">
        <f>DropAnalityka[[#This Row],[Sell Drop]]+IF(DropAnalityka[[#This Row],[Drop]]="Scroll", 2000*DropAnalityka[[#This Row],[Quality/Quantity]],0)</f>
        <v>2000</v>
      </c>
      <c r="K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Drop]]+IF(DropAnalityka[[#This Row],[Drop]]="Scroll", 2000*DropAnalityka[[#This Row],[Quality/Quantity]],0)</f>
        <v>823</v>
      </c>
      <c r="K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Drop]]+IF(DropAnalityka[[#This Row],[Drop]]="Scroll", 2000*DropAnalityka[[#This Row],[Quality/Quantity]],0)</f>
        <v>1824</v>
      </c>
      <c r="K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I54">
        <v>0</v>
      </c>
      <c r="J54">
        <f>DropAnalityka[[#This Row],[Sell Drop]]+IF(DropAnalityka[[#This Row],[Drop]]="Scroll", 2000*DropAnalityka[[#This Row],[Quality/Quantity]],0)</f>
        <v>2000</v>
      </c>
      <c r="K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I55">
        <v>0</v>
      </c>
      <c r="J55">
        <f>DropAnalityka[[#This Row],[Sell Drop]]+IF(DropAnalityka[[#This Row],[Drop]]="Scroll", 2000*DropAnalityka[[#This Row],[Quality/Quantity]],0)</f>
        <v>2000</v>
      </c>
      <c r="K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Drop]]+IF(DropAnalityka[[#This Row],[Drop]]="Scroll", 2000*DropAnalityka[[#This Row],[Quality/Quantity]],0)</f>
        <v>1824</v>
      </c>
      <c r="K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Drop]]+IF(DropAnalityka[[#This Row],[Drop]]="Scroll", 2000*DropAnalityka[[#This Row],[Quality/Quantity]],0)</f>
        <v>823</v>
      </c>
      <c r="K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Drop]]+IF(DropAnalityka[[#This Row],[Drop]]="Scroll", 2000*DropAnalityka[[#This Row],[Quality/Quantity]],0)</f>
        <v>1152</v>
      </c>
      <c r="K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Drop]]+IF(DropAnalityka[[#This Row],[Drop]]="Scroll", 2000*DropAnalityka[[#This Row],[Quality/Quantity]],0)</f>
        <v>823</v>
      </c>
      <c r="K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Drop]]+IF(DropAnalityka[[#This Row],[Drop]]="Scroll", 2000*DropAnalityka[[#This Row],[Quality/Quantity]],0)</f>
        <v>1824</v>
      </c>
      <c r="K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Drop]]+IF(DropAnalityka[[#This Row],[Drop]]="Scroll", 2000*DropAnalityka[[#This Row],[Quality/Quantity]],0)</f>
        <v>960</v>
      </c>
      <c r="K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Drop]]+IF(DropAnalityka[[#This Row],[Drop]]="Scroll", 2000*DropAnalityka[[#This Row],[Quality/Quantity]],0)</f>
        <v>1824</v>
      </c>
      <c r="K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Drop]]+IF(DropAnalityka[[#This Row],[Drop]]="Scroll", 2000*DropAnalityka[[#This Row],[Quality/Quantity]],0)</f>
        <v>823</v>
      </c>
      <c r="K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Drop]]+IF(DropAnalityka[[#This Row],[Drop]]="Scroll", 2000*DropAnalityka[[#This Row],[Quality/Quantity]],0)</f>
        <v>892</v>
      </c>
      <c r="K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Drop]]+IF(DropAnalityka[[#This Row],[Drop]]="Scroll", 2000*DropAnalityka[[#This Row],[Quality/Quantity]],0)</f>
        <v>823</v>
      </c>
      <c r="K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I66">
        <v>0</v>
      </c>
      <c r="J66">
        <f>DropAnalityka[[#This Row],[Sell Drop]]+IF(DropAnalityka[[#This Row],[Drop]]="Scroll", 2000*DropAnalityka[[#This Row],[Quality/Quantity]],0)</f>
        <v>2000</v>
      </c>
      <c r="K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Drop]]+IF(DropAnalityka[[#This Row],[Drop]]="Scroll", 2000*DropAnalityka[[#This Row],[Quality/Quantity]],0)</f>
        <v>960</v>
      </c>
      <c r="K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I68">
        <v>0</v>
      </c>
      <c r="J68">
        <f>DropAnalityka[[#This Row],[Sell Drop]]+IF(DropAnalityka[[#This Row],[Drop]]="Scroll", 2000*DropAnalityka[[#This Row],[Quality/Quantity]],0)</f>
        <v>2000</v>
      </c>
      <c r="K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Drop]]+IF(DropAnalityka[[#This Row],[Drop]]="Scroll", 2000*DropAnalityka[[#This Row],[Quality/Quantity]],0)</f>
        <v>823</v>
      </c>
      <c r="K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Drop]]+IF(DropAnalityka[[#This Row],[Drop]]="Scroll", 2000*DropAnalityka[[#This Row],[Quality/Quantity]],0)</f>
        <v>720</v>
      </c>
      <c r="K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 t="s">
        <v>12</v>
      </c>
      <c r="I71">
        <v>0</v>
      </c>
      <c r="J71">
        <f>DropAnalityka[[#This Row],[Sell Drop]]+IF(DropAnalityka[[#This Row],[Drop]]="Scroll", 2000*DropAnalityka[[#This Row],[Quality/Quantity]],0)</f>
        <v>0</v>
      </c>
      <c r="K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Drop]]+IF(DropAnalityka[[#This Row],[Drop]]="Scroll", 2000*DropAnalityka[[#This Row],[Quality/Quantity]],0)</f>
        <v>720</v>
      </c>
      <c r="K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Drop]]+IF(DropAnalityka[[#This Row],[Drop]]="Scroll", 2000*DropAnalityka[[#This Row],[Quality/Quantity]],0)</f>
        <v>720</v>
      </c>
      <c r="K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Drop]]+IF(DropAnalityka[[#This Row],[Drop]]="Scroll", 2000*DropAnalityka[[#This Row],[Quality/Quantity]],0)</f>
        <v>720</v>
      </c>
      <c r="K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 t="s">
        <v>12</v>
      </c>
      <c r="I75">
        <v>0</v>
      </c>
      <c r="J75">
        <f>DropAnalityka[[#This Row],[Sell Drop]]+IF(DropAnalityka[[#This Row],[Drop]]="Scroll", 2000*DropAnalityka[[#This Row],[Quality/Quantity]],0)</f>
        <v>0</v>
      </c>
      <c r="K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Drop]]+IF(DropAnalityka[[#This Row],[Drop]]="Scroll", 2000*DropAnalityka[[#This Row],[Quality/Quantity]],0)</f>
        <v>1159</v>
      </c>
      <c r="K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I77">
        <v>0</v>
      </c>
      <c r="J77">
        <f>DropAnalityka[[#This Row],[Sell Drop]]+IF(DropAnalityka[[#This Row],[Drop]]="Scroll", 2000*DropAnalityka[[#This Row],[Quality/Quantity]],0)</f>
        <v>4000</v>
      </c>
      <c r="K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Drop]]+IF(DropAnalityka[[#This Row],[Drop]]="Scroll", 2000*DropAnalityka[[#This Row],[Quality/Quantity]],0)</f>
        <v>720</v>
      </c>
      <c r="K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Drop]]+IF(DropAnalityka[[#This Row],[Drop]]="Scroll", 2000*DropAnalityka[[#This Row],[Quality/Quantity]],0)</f>
        <v>720</v>
      </c>
      <c r="K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I80">
        <v>0</v>
      </c>
      <c r="J80">
        <f>DropAnalityka[[#This Row],[Sell Drop]]+IF(DropAnalityka[[#This Row],[Drop]]="Scroll", 2000*DropAnalityka[[#This Row],[Quality/Quantity]],0)</f>
        <v>2000</v>
      </c>
      <c r="K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Drop]]+IF(DropAnalityka[[#This Row],[Drop]]="Scroll", 2000*DropAnalityka[[#This Row],[Quality/Quantity]],0)</f>
        <v>720</v>
      </c>
      <c r="K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Drop]]+IF(DropAnalityka[[#This Row],[Drop]]="Scroll", 2000*DropAnalityka[[#This Row],[Quality/Quantity]],0)</f>
        <v>960</v>
      </c>
      <c r="K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Drop]]+IF(DropAnalityka[[#This Row],[Drop]]="Scroll", 2000*DropAnalityka[[#This Row],[Quality/Quantity]],0)</f>
        <v>1159</v>
      </c>
      <c r="K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I84">
        <v>0</v>
      </c>
      <c r="J84">
        <f>DropAnalityka[[#This Row],[Sell Drop]]+IF(DropAnalityka[[#This Row],[Drop]]="Scroll", 2000*DropAnalityka[[#This Row],[Quality/Quantity]],0)</f>
        <v>4000</v>
      </c>
      <c r="K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Drop]]+IF(DropAnalityka[[#This Row],[Drop]]="Scroll", 2000*DropAnalityka[[#This Row],[Quality/Quantity]],0)</f>
        <v>1546</v>
      </c>
      <c r="K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Drop]]+IF(DropAnalityka[[#This Row],[Drop]]="Scroll", 2000*DropAnalityka[[#This Row],[Quality/Quantity]],0)</f>
        <v>1159</v>
      </c>
      <c r="K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I87">
        <v>0</v>
      </c>
      <c r="J87">
        <f>DropAnalityka[[#This Row],[Sell Drop]]+IF(DropAnalityka[[#This Row],[Drop]]="Scroll", 2000*DropAnalityka[[#This Row],[Quality/Quantity]],0)</f>
        <v>4000</v>
      </c>
      <c r="K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Drop]]+IF(DropAnalityka[[#This Row],[Drop]]="Scroll", 2000*DropAnalityka[[#This Row],[Quality/Quantity]],0)</f>
        <v>720</v>
      </c>
      <c r="K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Drop]]+IF(DropAnalityka[[#This Row],[Drop]]="Scroll", 2000*DropAnalityka[[#This Row],[Quality/Quantity]],0)</f>
        <v>840</v>
      </c>
      <c r="K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I90">
        <v>0</v>
      </c>
      <c r="J90">
        <f>DropAnalityka[[#This Row],[Sell Drop]]+IF(DropAnalityka[[#This Row],[Drop]]="Scroll", 2000*DropAnalityka[[#This Row],[Quality/Quantity]],0)</f>
        <v>4000</v>
      </c>
      <c r="K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Drop]]+IF(DropAnalityka[[#This Row],[Drop]]="Scroll", 2000*DropAnalityka[[#This Row],[Quality/Quantity]],0)</f>
        <v>1159</v>
      </c>
      <c r="K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Drop]]+IF(DropAnalityka[[#This Row],[Drop]]="Scroll", 2000*DropAnalityka[[#This Row],[Quality/Quantity]],0)</f>
        <v>1159</v>
      </c>
      <c r="K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I93">
        <v>0</v>
      </c>
      <c r="J93">
        <f>DropAnalityka[[#This Row],[Sell Drop]]+IF(DropAnalityka[[#This Row],[Drop]]="Scroll", 2000*DropAnalityka[[#This Row],[Quality/Quantity]],0)</f>
        <v>4000</v>
      </c>
      <c r="K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Drop]]+IF(DropAnalityka[[#This Row],[Drop]]="Scroll", 2000*DropAnalityka[[#This Row],[Quality/Quantity]],0)</f>
        <v>720</v>
      </c>
      <c r="K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I95">
        <v>0</v>
      </c>
      <c r="J95">
        <f>DropAnalityka[[#This Row],[Sell Drop]]+IF(DropAnalityka[[#This Row],[Drop]]="Scroll", 2000*DropAnalityka[[#This Row],[Quality/Quantity]],0)</f>
        <v>4000</v>
      </c>
      <c r="K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Drop]]+IF(DropAnalityka[[#This Row],[Drop]]="Scroll", 2000*DropAnalityka[[#This Row],[Quality/Quantity]],0)</f>
        <v>720</v>
      </c>
      <c r="K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Drop]]+IF(DropAnalityka[[#This Row],[Drop]]="Scroll", 2000*DropAnalityka[[#This Row],[Quality/Quantity]],0)</f>
        <v>720</v>
      </c>
      <c r="K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Drop]]+IF(DropAnalityka[[#This Row],[Drop]]="Scroll", 2000*DropAnalityka[[#This Row],[Quality/Quantity]],0)</f>
        <v>1159</v>
      </c>
      <c r="K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Drop]]+IF(DropAnalityka[[#This Row],[Drop]]="Scroll", 2000*DropAnalityka[[#This Row],[Quality/Quantity]],0)</f>
        <v>1546</v>
      </c>
      <c r="K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I100">
        <v>0</v>
      </c>
      <c r="J100">
        <f>DropAnalityka[[#This Row],[Sell Drop]]+IF(DropAnalityka[[#This Row],[Drop]]="Scroll", 2000*DropAnalityka[[#This Row],[Quality/Quantity]],0)</f>
        <v>4000</v>
      </c>
      <c r="K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Drop]]+IF(DropAnalityka[[#This Row],[Drop]]="Scroll", 2000*DropAnalityka[[#This Row],[Quality/Quantity]],0)</f>
        <v>2128</v>
      </c>
      <c r="K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Drop]]+IF(DropAnalityka[[#This Row],[Drop]]="Scroll", 2000*DropAnalityka[[#This Row],[Quality/Quantity]],0)</f>
        <v>1976</v>
      </c>
      <c r="K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Drop]]+IF(DropAnalityka[[#This Row],[Drop]]="Scroll", 2000*DropAnalityka[[#This Row],[Quality/Quantity]],0)</f>
        <v>1824</v>
      </c>
      <c r="K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Drop]]+IF(DropAnalityka[[#This Row],[Drop]]="Scroll", 2000*DropAnalityka[[#This Row],[Quality/Quantity]],0)</f>
        <v>823</v>
      </c>
      <c r="K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Drop]]+IF(DropAnalityka[[#This Row],[Drop]]="Scroll", 2000*DropAnalityka[[#This Row],[Quality/Quantity]],0)</f>
        <v>1824</v>
      </c>
      <c r="K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Drop]]+IF(DropAnalityka[[#This Row],[Drop]]="Scroll", 2000*DropAnalityka[[#This Row],[Quality/Quantity]],0)</f>
        <v>2128</v>
      </c>
      <c r="K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Drop]]+IF(DropAnalityka[[#This Row],[Drop]]="Scroll", 2000*DropAnalityka[[#This Row],[Quality/Quantity]],0)</f>
        <v>823</v>
      </c>
      <c r="K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Drop]]+IF(DropAnalityka[[#This Row],[Drop]]="Scroll", 2000*DropAnalityka[[#This Row],[Quality/Quantity]],0)</f>
        <v>1824</v>
      </c>
      <c r="K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I109">
        <v>0</v>
      </c>
      <c r="J109">
        <f>DropAnalityka[[#This Row],[Sell Drop]]+IF(DropAnalityka[[#This Row],[Drop]]="Scroll", 2000*DropAnalityka[[#This Row],[Quality/Quantity]],0)</f>
        <v>2000</v>
      </c>
      <c r="K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Drop]]+IF(DropAnalityka[[#This Row],[Drop]]="Scroll", 2000*DropAnalityka[[#This Row],[Quality/Quantity]],0)</f>
        <v>1824</v>
      </c>
      <c r="K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Drop]]+IF(DropAnalityka[[#This Row],[Drop]]="Scroll", 2000*DropAnalityka[[#This Row],[Quality/Quantity]],0)</f>
        <v>1824</v>
      </c>
      <c r="K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Drop]]+IF(DropAnalityka[[#This Row],[Drop]]="Scroll", 2000*DropAnalityka[[#This Row],[Quality/Quantity]],0)</f>
        <v>960</v>
      </c>
      <c r="K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Drop]]+IF(DropAnalityka[[#This Row],[Drop]]="Scroll", 2000*DropAnalityka[[#This Row],[Quality/Quantity]],0)</f>
        <v>823</v>
      </c>
      <c r="K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I114">
        <v>0</v>
      </c>
      <c r="J114">
        <f>DropAnalityka[[#This Row],[Sell Drop]]+IF(DropAnalityka[[#This Row],[Drop]]="Scroll", 2000*DropAnalityka[[#This Row],[Quality/Quantity]],0)</f>
        <v>2000</v>
      </c>
      <c r="K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Drop]]+IF(DropAnalityka[[#This Row],[Drop]]="Scroll", 2000*DropAnalityka[[#This Row],[Quality/Quantity]],0)</f>
        <v>1824</v>
      </c>
      <c r="K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Drop]]+IF(DropAnalityka[[#This Row],[Drop]]="Scroll", 2000*DropAnalityka[[#This Row],[Quality/Quantity]],0)</f>
        <v>892</v>
      </c>
      <c r="K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I117">
        <v>0</v>
      </c>
      <c r="J117">
        <f>DropAnalityka[[#This Row],[Sell Drop]]+IF(DropAnalityka[[#This Row],[Drop]]="Scroll", 2000*DropAnalityka[[#This Row],[Quality/Quantity]],0)</f>
        <v>2000</v>
      </c>
      <c r="K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Drop]]+IF(DropAnalityka[[#This Row],[Drop]]="Scroll", 2000*DropAnalityka[[#This Row],[Quality/Quantity]],0)</f>
        <v>1159</v>
      </c>
      <c r="K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Drop]]+IF(DropAnalityka[[#This Row],[Drop]]="Scroll", 2000*DropAnalityka[[#This Row],[Quality/Quantity]],0)</f>
        <v>1752</v>
      </c>
      <c r="K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2">
      <c r="A120" t="s">
        <v>37</v>
      </c>
      <c r="C120">
        <v>5</v>
      </c>
      <c r="D120">
        <v>1712</v>
      </c>
      <c r="E120">
        <v>2</v>
      </c>
      <c r="F120" t="s">
        <v>63</v>
      </c>
      <c r="G120">
        <v>2</v>
      </c>
      <c r="I120">
        <v>0</v>
      </c>
      <c r="J120">
        <f>DropAnalityka[[#This Row],[Sell Drop]]+IF(DropAnalityka[[#This Row],[Drop]]="Scroll", 2000*DropAnalityka[[#This Row],[Quality/Quantity]],0)</f>
        <v>0</v>
      </c>
      <c r="K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Drop]]+IF(DropAnalityka[[#This Row],[Drop]]="Scroll", 2000*DropAnalityka[[#This Row],[Quality/Quantity]],0)</f>
        <v>720</v>
      </c>
      <c r="K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Drop]]+IF(DropAnalityka[[#This Row],[Drop]]="Scroll", 2000*DropAnalityka[[#This Row],[Quality/Quantity]],0)</f>
        <v>1739</v>
      </c>
      <c r="K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Drop]]+IF(DropAnalityka[[#This Row],[Drop]]="Scroll", 2000*DropAnalityka[[#This Row],[Quality/Quantity]],0)</f>
        <v>840</v>
      </c>
      <c r="K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I124">
        <v>0</v>
      </c>
      <c r="J124">
        <f>DropAnalityka[[#This Row],[Sell Drop]]+IF(DropAnalityka[[#This Row],[Drop]]="Scroll", 2000*DropAnalityka[[#This Row],[Quality/Quantity]],0)</f>
        <v>4000</v>
      </c>
      <c r="K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I125">
        <v>0</v>
      </c>
      <c r="J125">
        <f>DropAnalityka[[#This Row],[Sell Drop]]+IF(DropAnalityka[[#This Row],[Drop]]="Scroll", 2000*DropAnalityka[[#This Row],[Quality/Quantity]],0)</f>
        <v>4000</v>
      </c>
      <c r="K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Drop]]+IF(DropAnalityka[[#This Row],[Drop]]="Scroll", 2000*DropAnalityka[[#This Row],[Quality/Quantity]],0)</f>
        <v>1159</v>
      </c>
      <c r="K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Drop]]+IF(DropAnalityka[[#This Row],[Drop]]="Scroll", 2000*DropAnalityka[[#This Row],[Quality/Quantity]],0)</f>
        <v>1159</v>
      </c>
      <c r="K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Drop]]+IF(DropAnalityka[[#This Row],[Drop]]="Scroll", 2000*DropAnalityka[[#This Row],[Quality/Quantity]],0)</f>
        <v>1352</v>
      </c>
      <c r="K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 t="s">
        <v>12</v>
      </c>
      <c r="I129">
        <v>0</v>
      </c>
      <c r="J129">
        <f>DropAnalityka[[#This Row],[Sell Drop]]+IF(DropAnalityka[[#This Row],[Drop]]="Scroll", 2000*DropAnalityka[[#This Row],[Quality/Quantity]],0)</f>
        <v>0</v>
      </c>
      <c r="K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I130">
        <v>0</v>
      </c>
      <c r="J130">
        <f>DropAnalityka[[#This Row],[Sell Drop]]+IF(DropAnalityka[[#This Row],[Drop]]="Scroll", 2000*DropAnalityka[[#This Row],[Quality/Quantity]],0)</f>
        <v>4000</v>
      </c>
      <c r="K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 t="s">
        <v>12</v>
      </c>
      <c r="I131">
        <v>0</v>
      </c>
      <c r="J131">
        <f>DropAnalityka[[#This Row],[Sell Drop]]+IF(DropAnalityka[[#This Row],[Drop]]="Scroll", 2000*DropAnalityka[[#This Row],[Quality/Quantity]],0)</f>
        <v>0</v>
      </c>
      <c r="K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 t="s">
        <v>17</v>
      </c>
      <c r="I132">
        <v>0</v>
      </c>
      <c r="J132">
        <f>DropAnalityka[[#This Row],[Sell Drop]]+IF(DropAnalityka[[#This Row],[Drop]]="Scroll", 2000*DropAnalityka[[#This Row],[Quality/Quantity]],0)</f>
        <v>0</v>
      </c>
      <c r="K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 t="s">
        <v>12</v>
      </c>
      <c r="I133">
        <v>0</v>
      </c>
      <c r="J133">
        <f>DropAnalityka[[#This Row],[Sell Drop]]+IF(DropAnalityka[[#This Row],[Drop]]="Scroll", 2000*DropAnalityka[[#This Row],[Quality/Quantity]],0)</f>
        <v>0</v>
      </c>
      <c r="K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Drop]]+IF(DropAnalityka[[#This Row],[Drop]]="Scroll", 2000*DropAnalityka[[#This Row],[Quality/Quantity]],0)</f>
        <v>823</v>
      </c>
      <c r="K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I135">
        <v>0</v>
      </c>
      <c r="J135">
        <f>DropAnalityka[[#This Row],[Sell Drop]]+IF(DropAnalityka[[#This Row],[Drop]]="Scroll", 2000*DropAnalityka[[#This Row],[Quality/Quantity]],0)</f>
        <v>2000</v>
      </c>
      <c r="K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Drop]]+IF(DropAnalityka[[#This Row],[Drop]]="Scroll", 2000*DropAnalityka[[#This Row],[Quality/Quantity]],0)</f>
        <v>823</v>
      </c>
      <c r="K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 t="s">
        <v>12</v>
      </c>
      <c r="I137">
        <v>0</v>
      </c>
      <c r="J137">
        <f>DropAnalityka[[#This Row],[Sell Drop]]+IF(DropAnalityka[[#This Row],[Drop]]="Scroll", 2000*DropAnalityka[[#This Row],[Quality/Quantity]],0)</f>
        <v>0</v>
      </c>
      <c r="K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Drop]]+IF(DropAnalityka[[#This Row],[Drop]]="Scroll", 2000*DropAnalityka[[#This Row],[Quality/Quantity]],0)</f>
        <v>823</v>
      </c>
      <c r="K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Drop]]+IF(DropAnalityka[[#This Row],[Drop]]="Scroll", 2000*DropAnalityka[[#This Row],[Quality/Quantity]],0)</f>
        <v>823</v>
      </c>
      <c r="K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I140">
        <v>0</v>
      </c>
      <c r="J140">
        <f>DropAnalityka[[#This Row],[Sell Drop]]+IF(DropAnalityka[[#This Row],[Drop]]="Scroll", 2000*DropAnalityka[[#This Row],[Quality/Quantity]],0)</f>
        <v>2000</v>
      </c>
      <c r="K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Drop]]+IF(DropAnalityka[[#This Row],[Drop]]="Scroll", 2000*DropAnalityka[[#This Row],[Quality/Quantity]],0)</f>
        <v>1824</v>
      </c>
      <c r="K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Drop]]+IF(DropAnalityka[[#This Row],[Drop]]="Scroll", 2000*DropAnalityka[[#This Row],[Quality/Quantity]],0)</f>
        <v>960</v>
      </c>
      <c r="K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Drop]]+IF(DropAnalityka[[#This Row],[Drop]]="Scroll", 2000*DropAnalityka[[#This Row],[Quality/Quantity]],0)</f>
        <v>823</v>
      </c>
      <c r="K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Drop]]+IF(DropAnalityka[[#This Row],[Drop]]="Scroll", 2000*DropAnalityka[[#This Row],[Quality/Quantity]],0)</f>
        <v>892</v>
      </c>
      <c r="K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I145">
        <v>0</v>
      </c>
      <c r="J145">
        <f>DropAnalityka[[#This Row],[Sell Drop]]+IF(DropAnalityka[[#This Row],[Drop]]="Scroll", 2000*DropAnalityka[[#This Row],[Quality/Quantity]],0)</f>
        <v>2000</v>
      </c>
      <c r="K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Drop]]+IF(DropAnalityka[[#This Row],[Drop]]="Scroll", 2000*DropAnalityka[[#This Row],[Quality/Quantity]],0)</f>
        <v>823</v>
      </c>
      <c r="K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Drop]]+IF(DropAnalityka[[#This Row],[Drop]]="Scroll", 2000*DropAnalityka[[#This Row],[Quality/Quantity]],0)</f>
        <v>1824</v>
      </c>
      <c r="K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Drop]]+IF(DropAnalityka[[#This Row],[Drop]]="Scroll", 2000*DropAnalityka[[#This Row],[Quality/Quantity]],0)</f>
        <v>823</v>
      </c>
      <c r="K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Drop]]+IF(DropAnalityka[[#This Row],[Drop]]="Scroll", 2000*DropAnalityka[[#This Row],[Quality/Quantity]],0)</f>
        <v>823</v>
      </c>
      <c r="K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I150">
        <v>0</v>
      </c>
      <c r="J150">
        <f>DropAnalityka[[#This Row],[Sell Drop]]+IF(DropAnalityka[[#This Row],[Drop]]="Scroll", 2000*DropAnalityka[[#This Row],[Quality/Quantity]],0)</f>
        <v>2000</v>
      </c>
      <c r="K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v>1824</v>
      </c>
      <c r="K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I152">
        <v>0</v>
      </c>
      <c r="J152">
        <f>DropAnalityka[[#This Row],[Sell Drop]]+IF(DropAnalityka[[#This Row],[Drop]]="Scroll", 2000*DropAnalityka[[#This Row],[Quality/Quantity]],0)</f>
        <v>2000</v>
      </c>
      <c r="K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v>823</v>
      </c>
      <c r="K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I154">
        <v>0</v>
      </c>
      <c r="J154">
        <f>DropAnalityka[[#This Row],[Sell Drop]]+IF(DropAnalityka[[#This Row],[Drop]]="Scroll", 2000*DropAnalityka[[#This Row],[Quality/Quantity]],0)</f>
        <v>2000</v>
      </c>
      <c r="K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v>960</v>
      </c>
      <c r="K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v>2128</v>
      </c>
      <c r="K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I157">
        <v>0</v>
      </c>
      <c r="J157">
        <f>DropAnalityka[[#This Row],[Sell Drop]]+IF(DropAnalityka[[#This Row],[Drop]]="Scroll", 2000*DropAnalityka[[#This Row],[Quality/Quantity]],0)</f>
        <v>2000</v>
      </c>
      <c r="K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v>823</v>
      </c>
      <c r="K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v>1824</v>
      </c>
      <c r="K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I160">
        <v>0</v>
      </c>
      <c r="J160">
        <f>DropAnalityka[[#This Row],[Sell Drop]]+IF(DropAnalityka[[#This Row],[Drop]]="Scroll", 2000*DropAnalityka[[#This Row],[Quality/Quantity]],0)</f>
        <v>2000</v>
      </c>
      <c r="K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I161">
        <v>0</v>
      </c>
      <c r="J161">
        <f>DropAnalityka[[#This Row],[Sell Drop]]+IF(DropAnalityka[[#This Row],[Drop]]="Scroll", 2000*DropAnalityka[[#This Row],[Quality/Quantity]],0)</f>
        <v>2000</v>
      </c>
      <c r="K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I162">
        <v>0</v>
      </c>
      <c r="J162">
        <f>DropAnalityka[[#This Row],[Sell Drop]]+IF(DropAnalityka[[#This Row],[Drop]]="Scroll", 2000*DropAnalityka[[#This Row],[Quality/Quantity]],0)</f>
        <v>2000</v>
      </c>
      <c r="K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 t="s">
        <v>12</v>
      </c>
      <c r="I163">
        <v>0</v>
      </c>
      <c r="J163">
        <v>0</v>
      </c>
      <c r="K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v>892</v>
      </c>
      <c r="K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v>823</v>
      </c>
      <c r="K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I166">
        <v>0</v>
      </c>
      <c r="J166">
        <f>DropAnalityka[[#This Row],[Sell Drop]]+IF(DropAnalityka[[#This Row],[Drop]]="Scroll", 2000*DropAnalityka[[#This Row],[Quality/Quantity]],0)</f>
        <v>2000</v>
      </c>
      <c r="K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I167">
        <v>0</v>
      </c>
      <c r="J167">
        <f>DropAnalityka[[#This Row],[Sell Drop]]+IF(DropAnalityka[[#This Row],[Drop]]="Scroll", 2000*DropAnalityka[[#This Row],[Quality/Quantity]],0)</f>
        <v>2000</v>
      </c>
      <c r="K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v>823</v>
      </c>
      <c r="K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I169">
        <v>0</v>
      </c>
      <c r="J169">
        <f>DropAnalityka[[#This Row],[Sell Drop]]+IF(DropAnalityka[[#This Row],[Drop]]="Scroll", 2000*DropAnalityka[[#This Row],[Quality/Quantity]],0)</f>
        <v>2000</v>
      </c>
      <c r="K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63</v>
      </c>
      <c r="G170">
        <v>2</v>
      </c>
      <c r="I170">
        <v>0</v>
      </c>
      <c r="J170">
        <v>0</v>
      </c>
      <c r="K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I171">
        <v>0</v>
      </c>
      <c r="J171">
        <f>DropAnalityka[[#This Row],[Sell Drop]]+IF(DropAnalityka[[#This Row],[Drop]]="Scroll", 2000*DropAnalityka[[#This Row],[Quality/Quantity]],0)</f>
        <v>4000</v>
      </c>
      <c r="K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I172">
        <v>0</v>
      </c>
      <c r="J172">
        <f>DropAnalityka[[#This Row],[Sell Drop]]+IF(DropAnalityka[[#This Row],[Drop]]="Scroll", 2000*DropAnalityka[[#This Row],[Quality/Quantity]],0)</f>
        <v>6000</v>
      </c>
      <c r="K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I173">
        <v>0</v>
      </c>
      <c r="J173">
        <f>DropAnalityka[[#This Row],[Sell Drop]]+IF(DropAnalityka[[#This Row],[Drop]]="Scroll", 2000*DropAnalityka[[#This Row],[Quality/Quantity]],0)</f>
        <v>4000</v>
      </c>
      <c r="K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62</v>
      </c>
      <c r="G174">
        <v>1</v>
      </c>
      <c r="I174">
        <v>0</v>
      </c>
      <c r="J174">
        <v>0</v>
      </c>
      <c r="K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I175">
        <v>0</v>
      </c>
      <c r="J175">
        <f>DropAnalityka[[#This Row],[Sell Drop]]+IF(DropAnalityka[[#This Row],[Drop]]="Scroll", 2000*DropAnalityka[[#This Row],[Quality/Quantity]],0)</f>
        <v>6000</v>
      </c>
      <c r="K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61</v>
      </c>
      <c r="G176">
        <v>2</v>
      </c>
      <c r="I176">
        <v>0</v>
      </c>
      <c r="J176">
        <v>0</v>
      </c>
      <c r="K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K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2">
      <c r="A178" t="s">
        <v>64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 t="s">
        <v>12</v>
      </c>
      <c r="I178">
        <v>0</v>
      </c>
      <c r="J178">
        <v>0</v>
      </c>
      <c r="K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v>1352</v>
      </c>
      <c r="K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 t="s">
        <v>12</v>
      </c>
      <c r="I180">
        <v>0</v>
      </c>
      <c r="J180">
        <v>0</v>
      </c>
      <c r="K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I181">
        <v>0</v>
      </c>
      <c r="J181">
        <f>DropAnalityka[[#This Row],[Sell Drop]]+IF(DropAnalityka[[#This Row],[Drop]]="Scroll", 2000*DropAnalityka[[#This Row],[Quality/Quantity]],0)</f>
        <v>4000</v>
      </c>
      <c r="K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 t="s">
        <v>17</v>
      </c>
      <c r="I182">
        <v>0</v>
      </c>
      <c r="J182">
        <v>0</v>
      </c>
      <c r="K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v>720</v>
      </c>
      <c r="K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v>720</v>
      </c>
      <c r="K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I185">
        <v>0</v>
      </c>
      <c r="J185">
        <f>DropAnalityka[[#This Row],[Sell Drop]]+IF(DropAnalityka[[#This Row],[Drop]]="Scroll", 2000*DropAnalityka[[#This Row],[Quality/Quantity]],0)</f>
        <v>4000</v>
      </c>
      <c r="K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v>2067</v>
      </c>
      <c r="K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v>1159</v>
      </c>
      <c r="K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2">
      <c r="A188" t="s">
        <v>65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v>1824</v>
      </c>
      <c r="K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2">
      <c r="A189" t="s">
        <v>65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v>866</v>
      </c>
      <c r="K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2">
      <c r="A190" t="s">
        <v>65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v>1440</v>
      </c>
      <c r="K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2">
      <c r="A191" t="s">
        <v>65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v>1440</v>
      </c>
      <c r="K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2">
      <c r="A192" t="s">
        <v>65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v>823</v>
      </c>
      <c r="K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2">
      <c r="A193" t="s">
        <v>65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v>1976</v>
      </c>
      <c r="K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2">
      <c r="A194" t="s">
        <v>65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v>823</v>
      </c>
      <c r="K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2">
      <c r="A195" t="s">
        <v>65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v>823</v>
      </c>
      <c r="K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2">
      <c r="A196" t="s">
        <v>65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v>2128</v>
      </c>
      <c r="K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2">
      <c r="A197" t="s">
        <v>65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I197">
        <v>0</v>
      </c>
      <c r="J197">
        <f>DropAnalityka[[#This Row],[Sell Drop]]+IF(DropAnalityka[[#This Row],[Drop]]="Scroll", 2000*DropAnalityka[[#This Row],[Quality/Quantity]],0)</f>
        <v>2000</v>
      </c>
      <c r="K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2">
      <c r="A198" t="s">
        <v>65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v>823</v>
      </c>
      <c r="K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2">
      <c r="A199" t="s">
        <v>65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v>892</v>
      </c>
      <c r="K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2">
      <c r="A200" t="s">
        <v>65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I200">
        <v>0</v>
      </c>
      <c r="J200">
        <f>DropAnalityka[[#This Row],[Sell Drop]]+IF(DropAnalityka[[#This Row],[Drop]]="Scroll", 2000*DropAnalityka[[#This Row],[Quality/Quantity]],0)</f>
        <v>2000</v>
      </c>
      <c r="K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2">
      <c r="A201" t="s">
        <v>65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I201">
        <v>0</v>
      </c>
      <c r="J201">
        <f>DropAnalityka[[#This Row],[Sell Drop]]+IF(DropAnalityka[[#This Row],[Drop]]="Scroll", 2000*DropAnalityka[[#This Row],[Quality/Quantity]],0)</f>
        <v>2000</v>
      </c>
      <c r="K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2">
      <c r="A202" t="s">
        <v>65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v>823</v>
      </c>
      <c r="K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2">
      <c r="A203" t="s">
        <v>65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v>960</v>
      </c>
      <c r="K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2">
      <c r="A204" t="s">
        <v>65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v>2128</v>
      </c>
      <c r="K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2">
      <c r="A205" t="s">
        <v>65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v>892</v>
      </c>
      <c r="K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2">
      <c r="A206" t="s">
        <v>65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v>960</v>
      </c>
      <c r="K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2">
      <c r="A207" t="s">
        <v>65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v>2280</v>
      </c>
      <c r="K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2">
      <c r="A208" t="s">
        <v>65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v>823</v>
      </c>
      <c r="K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2">
      <c r="A209" t="s">
        <v>65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v>823</v>
      </c>
      <c r="K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2">
      <c r="A210" t="s">
        <v>65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v>892</v>
      </c>
      <c r="K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2">
      <c r="A211" t="s">
        <v>65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v>823</v>
      </c>
      <c r="K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2">
      <c r="A212" t="s">
        <v>65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v>823</v>
      </c>
      <c r="K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2">
      <c r="A213" t="s">
        <v>65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v>2280</v>
      </c>
      <c r="K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2">
      <c r="A214" t="s">
        <v>65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v>2128</v>
      </c>
      <c r="K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2">
      <c r="A215" t="s">
        <v>65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 t="s">
        <v>12</v>
      </c>
      <c r="I215">
        <v>0</v>
      </c>
      <c r="J215">
        <v>0</v>
      </c>
      <c r="K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2">
      <c r="A216" t="s">
        <v>65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I216">
        <v>0</v>
      </c>
      <c r="J216">
        <f>DropAnalityka[[#This Row],[Sell Drop]]+IF(DropAnalityka[[#This Row],[Drop]]="Scroll", 2000*DropAnalityka[[#This Row],[Quality/Quantity]],0)</f>
        <v>2000</v>
      </c>
      <c r="K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2">
      <c r="A217" t="s">
        <v>65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 t="s">
        <v>12</v>
      </c>
      <c r="I217">
        <v>0</v>
      </c>
      <c r="J217">
        <v>0</v>
      </c>
      <c r="K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2">
      <c r="A218" t="s">
        <v>65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v>892</v>
      </c>
      <c r="K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2">
      <c r="A219" t="s">
        <v>65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v>823</v>
      </c>
      <c r="K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2">
      <c r="A220" t="s">
        <v>65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v>823</v>
      </c>
      <c r="K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2">
      <c r="A221" t="s">
        <v>65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I221">
        <v>0</v>
      </c>
      <c r="J221">
        <f>DropAnalityka[[#This Row],[Sell Drop]]+IF(DropAnalityka[[#This Row],[Drop]]="Scroll", 2000*DropAnalityka[[#This Row],[Quality/Quantity]],0)</f>
        <v>2000</v>
      </c>
      <c r="K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2">
      <c r="A222" t="s">
        <v>65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 t="s">
        <v>12</v>
      </c>
      <c r="I222">
        <v>0</v>
      </c>
      <c r="J222">
        <v>0</v>
      </c>
      <c r="K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2">
      <c r="A223" t="s">
        <v>65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v>823</v>
      </c>
      <c r="K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2">
      <c r="A224" t="s">
        <v>65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v>823</v>
      </c>
      <c r="K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2">
      <c r="A225" t="s">
        <v>65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 t="s">
        <v>12</v>
      </c>
      <c r="I225">
        <v>0</v>
      </c>
      <c r="J225">
        <v>0</v>
      </c>
      <c r="K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2">
      <c r="A226" t="s">
        <v>65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 t="s">
        <v>12</v>
      </c>
      <c r="I226">
        <v>0</v>
      </c>
      <c r="J226">
        <v>0</v>
      </c>
      <c r="K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2">
      <c r="A227" t="s">
        <v>65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 t="s">
        <v>12</v>
      </c>
      <c r="I227">
        <v>0</v>
      </c>
      <c r="J227">
        <v>0</v>
      </c>
      <c r="K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2">
      <c r="A228" t="s">
        <v>65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v>823</v>
      </c>
      <c r="K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2">
      <c r="A229" t="s">
        <v>65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v>1824</v>
      </c>
      <c r="K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2">
      <c r="A230" t="s">
        <v>65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 t="s">
        <v>12</v>
      </c>
      <c r="I230">
        <v>0</v>
      </c>
      <c r="J230">
        <v>0</v>
      </c>
      <c r="K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2">
      <c r="A231" t="s">
        <v>65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v>823</v>
      </c>
      <c r="K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2">
      <c r="A232" t="s">
        <v>65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I232">
        <v>0</v>
      </c>
      <c r="J232">
        <f>DropAnalityka[[#This Row],[Sell Drop]]+IF(DropAnalityka[[#This Row],[Drop]]="Scroll", 2000*DropAnalityka[[#This Row],[Quality/Quantity]],0)</f>
        <v>2000</v>
      </c>
      <c r="K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2">
      <c r="A233" t="s">
        <v>65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I233">
        <v>0</v>
      </c>
      <c r="J233">
        <f>DropAnalityka[[#This Row],[Sell Drop]]+IF(DropAnalityka[[#This Row],[Drop]]="Scroll", 2000*DropAnalityka[[#This Row],[Quality/Quantity]],0)</f>
        <v>2000</v>
      </c>
      <c r="K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2">
      <c r="A234" t="s">
        <v>65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I234">
        <v>0</v>
      </c>
      <c r="J234">
        <f>DropAnalityka[[#This Row],[Sell Drop]]+IF(DropAnalityka[[#This Row],[Drop]]="Scroll", 2000*DropAnalityka[[#This Row],[Quality/Quantity]],0)</f>
        <v>2000</v>
      </c>
      <c r="K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2">
      <c r="A235" t="s">
        <v>65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v>823</v>
      </c>
      <c r="K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2">
      <c r="A236" t="s">
        <v>65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v>0</v>
      </c>
      <c r="K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2">
      <c r="A237" t="s">
        <v>65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v>823</v>
      </c>
      <c r="K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2">
      <c r="A238" t="s">
        <v>65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v>823</v>
      </c>
      <c r="K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2">
      <c r="A239" t="s">
        <v>65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v>1824</v>
      </c>
      <c r="K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2">
      <c r="A240" t="s">
        <v>65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I240">
        <v>0</v>
      </c>
      <c r="J240">
        <f>DropAnalityka[[#This Row],[Sell Drop]]+IF(DropAnalityka[[#This Row],[Drop]]="Scroll", 2000*DropAnalityka[[#This Row],[Quality/Quantity]],0)</f>
        <v>2000</v>
      </c>
      <c r="K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2">
      <c r="A241" t="s">
        <v>65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v>0</v>
      </c>
      <c r="K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2">
      <c r="A242" t="s">
        <v>65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v>1824</v>
      </c>
      <c r="K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2">
      <c r="A243" t="s">
        <v>65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v>960</v>
      </c>
      <c r="K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2">
      <c r="A244" t="s">
        <v>65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v>823</v>
      </c>
      <c r="K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2">
      <c r="A245" t="s">
        <v>65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 t="s">
        <v>12</v>
      </c>
      <c r="I245">
        <v>0</v>
      </c>
      <c r="J245">
        <v>0</v>
      </c>
      <c r="K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2">
      <c r="A246" t="s">
        <v>65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v>823</v>
      </c>
      <c r="K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2">
      <c r="A247" t="s">
        <v>65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v>823</v>
      </c>
      <c r="K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2">
      <c r="A248" t="s">
        <v>65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I248">
        <v>0</v>
      </c>
      <c r="J248">
        <f>DropAnalityka[[#This Row],[Sell Drop]]+IF(DropAnalityka[[#This Row],[Drop]]="Scroll", 2000*DropAnalityka[[#This Row],[Quality/Quantity]],0)</f>
        <v>2000</v>
      </c>
      <c r="K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2">
      <c r="A249" t="s">
        <v>65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I249">
        <v>0</v>
      </c>
      <c r="J249">
        <f>DropAnalityka[[#This Row],[Sell Drop]]+IF(DropAnalityka[[#This Row],[Drop]]="Scroll", 2000*DropAnalityka[[#This Row],[Quality/Quantity]],0)</f>
        <v>2000</v>
      </c>
      <c r="K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2">
      <c r="A250" t="s">
        <v>65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v>1824</v>
      </c>
      <c r="K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2">
      <c r="A251" t="s">
        <v>65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v>823</v>
      </c>
      <c r="K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2">
      <c r="A252" t="s">
        <v>65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I252">
        <v>0</v>
      </c>
      <c r="J252">
        <f>DropAnalityka[[#This Row],[Sell Drop]]+IF(DropAnalityka[[#This Row],[Drop]]="Scroll", 2000*DropAnalityka[[#This Row],[Quality/Quantity]],0)</f>
        <v>2000</v>
      </c>
      <c r="K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2">
      <c r="A253" t="s">
        <v>65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I253">
        <v>0</v>
      </c>
      <c r="J253">
        <f>DropAnalityka[[#This Row],[Sell Drop]]+IF(DropAnalityka[[#This Row],[Drop]]="Scroll", 2000*DropAnalityka[[#This Row],[Quality/Quantity]],0)</f>
        <v>2000</v>
      </c>
      <c r="K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2">
      <c r="A254" t="s">
        <v>65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v>823</v>
      </c>
      <c r="K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2">
      <c r="A255" t="s">
        <v>65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v>823</v>
      </c>
      <c r="K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2">
      <c r="A256" t="s">
        <v>65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v>2128</v>
      </c>
      <c r="K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3">
      <c r="A257" t="s">
        <v>65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v>892</v>
      </c>
      <c r="K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3">
      <c r="A258" t="s">
        <v>65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v>823</v>
      </c>
      <c r="K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3">
      <c r="A259" t="s">
        <v>65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v>823</v>
      </c>
      <c r="K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3">
      <c r="A260" t="s">
        <v>65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v>1976</v>
      </c>
      <c r="K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3">
      <c r="A261" t="s">
        <v>65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v>823</v>
      </c>
      <c r="K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3">
      <c r="A262" t="s">
        <v>65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v>1824</v>
      </c>
      <c r="K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v>1159</v>
      </c>
      <c r="K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v>1159</v>
      </c>
      <c r="K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3">
      <c r="A265" t="s">
        <v>65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v>1824</v>
      </c>
      <c r="K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3">
      <c r="A266" t="s">
        <v>65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v>823</v>
      </c>
      <c r="K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3">
      <c r="A267" t="s">
        <v>65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I267">
        <v>0</v>
      </c>
      <c r="J267">
        <f>DropAnalityka[[#This Row],[Sell Drop]]+IF(DropAnalityka[[#This Row],[Drop]]="Scroll", 2000*DropAnalityka[[#This Row],[Quality/Quantity]],0)</f>
        <v>2000</v>
      </c>
      <c r="K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3">
      <c r="A268" t="s">
        <v>65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v>823</v>
      </c>
      <c r="K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8" s="16">
        <v>0.33078703703703705</v>
      </c>
    </row>
    <row r="269" spans="1:13">
      <c r="A269" t="s">
        <v>65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I269">
        <v>0</v>
      </c>
      <c r="J269">
        <f>DropAnalityka[[#This Row],[Sell Drop]]+IF(DropAnalityka[[#This Row],[Drop]]="Scroll", 2000*DropAnalityka[[#This Row],[Quality/Quantity]],0)</f>
        <v>2000</v>
      </c>
      <c r="K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69" s="16">
        <v>0.33269675925925929</v>
      </c>
    </row>
    <row r="270" spans="1:13">
      <c r="A270" t="s">
        <v>65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v>823</v>
      </c>
      <c r="K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3">
      <c r="A271" t="s">
        <v>65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I271">
        <v>0</v>
      </c>
      <c r="J271">
        <f>DropAnalityka[[#This Row],[Sell Drop]]+IF(DropAnalityka[[#This Row],[Drop]]="Scroll", 2000*DropAnalityka[[#This Row],[Quality/Quantity]],0)</f>
        <v>2000</v>
      </c>
      <c r="K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3">
      <c r="A272" t="s">
        <v>65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v>1824</v>
      </c>
      <c r="K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3">
      <c r="A273" t="s">
        <v>65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I273">
        <v>0</v>
      </c>
      <c r="J273">
        <f>DropAnalityka[[#This Row],[Sell Drop]]+IF(DropAnalityka[[#This Row],[Drop]]="Scroll", 2000*DropAnalityka[[#This Row],[Quality/Quantity]],0)</f>
        <v>2000</v>
      </c>
      <c r="K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3">
      <c r="A274" t="s">
        <v>65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v>1824</v>
      </c>
      <c r="K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74" s="16">
        <v>0.34259259259259256</v>
      </c>
    </row>
    <row r="275" spans="1:13">
      <c r="A275" t="s">
        <v>65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v>1824</v>
      </c>
      <c r="K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3">
      <c r="A276" t="s">
        <v>65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I276">
        <v>0</v>
      </c>
      <c r="J276">
        <f>DropAnalityka[[#This Row],[Sell Drop]]+IF(DropAnalityka[[#This Row],[Drop]]="Scroll", 2000*DropAnalityka[[#This Row],[Quality/Quantity]],0)</f>
        <v>2000</v>
      </c>
      <c r="K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3">
      <c r="A277" t="s">
        <v>65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 t="s">
        <v>12</v>
      </c>
      <c r="I277">
        <v>0</v>
      </c>
      <c r="J277">
        <v>0</v>
      </c>
      <c r="K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3">
      <c r="A278" t="s">
        <v>65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v>1824</v>
      </c>
      <c r="K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3">
      <c r="A279" t="s">
        <v>65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v>1824</v>
      </c>
      <c r="K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3">
      <c r="A280" t="s">
        <v>65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v>960</v>
      </c>
      <c r="K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3">
      <c r="A281" t="s">
        <v>65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v>823</v>
      </c>
      <c r="K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v>823</v>
      </c>
      <c r="K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I283">
        <v>0</v>
      </c>
      <c r="J283">
        <f>DropAnalityka[[#This Row],[Sell Drop]]+IF(DropAnalityka[[#This Row],[Drop]]="Scroll", 2000*DropAnalityka[[#This Row],[Quality/Quantity]],0)</f>
        <v>2000</v>
      </c>
      <c r="K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158</v>
      </c>
      <c r="G284">
        <v>4</v>
      </c>
      <c r="I284">
        <v>0</v>
      </c>
      <c r="J284">
        <v>0</v>
      </c>
      <c r="K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3">
      <c r="A285" t="s">
        <v>161</v>
      </c>
      <c r="B285" t="s">
        <v>9</v>
      </c>
      <c r="C285">
        <v>5</v>
      </c>
      <c r="D285">
        <v>1500</v>
      </c>
      <c r="E285">
        <v>0</v>
      </c>
      <c r="F285" t="s">
        <v>162</v>
      </c>
      <c r="G285">
        <v>3</v>
      </c>
      <c r="I285">
        <v>0</v>
      </c>
      <c r="J285">
        <v>0</v>
      </c>
      <c r="K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3">
      <c r="A286" t="s">
        <v>161</v>
      </c>
      <c r="B286" t="s">
        <v>9</v>
      </c>
      <c r="C286">
        <v>5</v>
      </c>
      <c r="D286">
        <v>1782</v>
      </c>
      <c r="E286">
        <v>0</v>
      </c>
      <c r="F286" t="s">
        <v>162</v>
      </c>
      <c r="G286">
        <v>2</v>
      </c>
      <c r="I286">
        <v>0</v>
      </c>
      <c r="J286">
        <v>0</v>
      </c>
      <c r="K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3">
      <c r="A287" t="s">
        <v>161</v>
      </c>
      <c r="B287" t="s">
        <v>9</v>
      </c>
      <c r="C287">
        <v>5</v>
      </c>
      <c r="D287">
        <v>1666</v>
      </c>
      <c r="E287">
        <v>1</v>
      </c>
      <c r="F287" t="s">
        <v>163</v>
      </c>
      <c r="G287">
        <v>1</v>
      </c>
      <c r="I287">
        <v>0</v>
      </c>
      <c r="J287">
        <v>0</v>
      </c>
      <c r="K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3">
      <c r="A288" t="s">
        <v>161</v>
      </c>
      <c r="B288" t="s">
        <v>9</v>
      </c>
      <c r="C288">
        <v>5</v>
      </c>
      <c r="D288">
        <v>1556</v>
      </c>
      <c r="E288">
        <v>0</v>
      </c>
      <c r="F288" t="s">
        <v>162</v>
      </c>
      <c r="G288">
        <v>2</v>
      </c>
      <c r="I288">
        <v>0</v>
      </c>
      <c r="J288">
        <v>0</v>
      </c>
      <c r="K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2">
      <c r="A289" t="s">
        <v>161</v>
      </c>
      <c r="B289" t="s">
        <v>9</v>
      </c>
      <c r="C289">
        <v>5</v>
      </c>
      <c r="D289">
        <v>2860</v>
      </c>
      <c r="E289">
        <v>0</v>
      </c>
      <c r="F289" t="s">
        <v>163</v>
      </c>
      <c r="G289">
        <v>1</v>
      </c>
      <c r="I289">
        <v>0</v>
      </c>
      <c r="J289">
        <v>0</v>
      </c>
      <c r="K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2">
      <c r="A290" t="s">
        <v>161</v>
      </c>
      <c r="B290" t="s">
        <v>9</v>
      </c>
      <c r="C290">
        <v>5</v>
      </c>
      <c r="D290">
        <v>2986</v>
      </c>
      <c r="E290">
        <v>0</v>
      </c>
      <c r="F290" t="s">
        <v>162</v>
      </c>
      <c r="G290">
        <v>2</v>
      </c>
      <c r="I290">
        <v>0</v>
      </c>
      <c r="J290">
        <v>0</v>
      </c>
      <c r="K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2">
      <c r="A291" t="s">
        <v>161</v>
      </c>
      <c r="B291" t="s">
        <v>9</v>
      </c>
      <c r="C291">
        <v>5</v>
      </c>
      <c r="D291">
        <v>3172</v>
      </c>
      <c r="E291">
        <v>1</v>
      </c>
      <c r="F291" t="s">
        <v>164</v>
      </c>
      <c r="G291" t="s">
        <v>12</v>
      </c>
      <c r="I291">
        <v>0</v>
      </c>
      <c r="J291">
        <v>0</v>
      </c>
      <c r="K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2">
      <c r="A292" t="s">
        <v>161</v>
      </c>
      <c r="B292" t="s">
        <v>9</v>
      </c>
      <c r="C292">
        <v>5</v>
      </c>
      <c r="D292">
        <v>1420</v>
      </c>
      <c r="E292">
        <v>0</v>
      </c>
      <c r="F292" t="s">
        <v>163</v>
      </c>
      <c r="G292">
        <v>2</v>
      </c>
      <c r="I292">
        <v>0</v>
      </c>
      <c r="J292">
        <v>0</v>
      </c>
      <c r="K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2">
      <c r="A293" t="s">
        <v>161</v>
      </c>
      <c r="B293" t="s">
        <v>9</v>
      </c>
      <c r="C293">
        <v>5</v>
      </c>
      <c r="D293">
        <v>1352</v>
      </c>
      <c r="E293">
        <v>0</v>
      </c>
      <c r="F293" t="s">
        <v>163</v>
      </c>
      <c r="G293">
        <v>1</v>
      </c>
      <c r="I293">
        <v>0</v>
      </c>
      <c r="J293">
        <v>0</v>
      </c>
      <c r="K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2">
      <c r="A294" t="s">
        <v>161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I294">
        <v>0</v>
      </c>
      <c r="J294">
        <f>DropAnalityka[[#This Row],[Sell Drop]]+IF(DropAnalityka[[#This Row],[Drop]]="Scroll", 2000*DropAnalityka[[#This Row],[Quality/Quantity]],0)</f>
        <v>8000</v>
      </c>
      <c r="K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2">
      <c r="A295" t="s">
        <v>161</v>
      </c>
      <c r="B295" t="s">
        <v>9</v>
      </c>
      <c r="C295">
        <v>5</v>
      </c>
      <c r="D295">
        <v>1428</v>
      </c>
      <c r="E295">
        <v>1</v>
      </c>
      <c r="F295" t="s">
        <v>166</v>
      </c>
      <c r="G295">
        <v>3</v>
      </c>
      <c r="I295">
        <v>0</v>
      </c>
      <c r="J295">
        <v>0</v>
      </c>
      <c r="K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2">
      <c r="A296" t="s">
        <v>161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I296">
        <v>0</v>
      </c>
      <c r="J296">
        <f>DropAnalityka[[#This Row],[Sell Drop]]+IF(DropAnalityka[[#This Row],[Drop]]="Scroll", 2000*DropAnalityka[[#This Row],[Quality/Quantity]],0)</f>
        <v>4000</v>
      </c>
      <c r="K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2">
      <c r="A297" t="s">
        <v>161</v>
      </c>
      <c r="B297" t="s">
        <v>9</v>
      </c>
      <c r="C297">
        <v>5</v>
      </c>
      <c r="D297">
        <v>1559</v>
      </c>
      <c r="E297">
        <v>0</v>
      </c>
      <c r="F297" t="s">
        <v>163</v>
      </c>
      <c r="G297">
        <v>1</v>
      </c>
      <c r="I297">
        <v>0</v>
      </c>
      <c r="J297">
        <v>0</v>
      </c>
      <c r="K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2">
      <c r="A298" t="s">
        <v>161</v>
      </c>
      <c r="B298" t="s">
        <v>9</v>
      </c>
      <c r="C298">
        <v>5</v>
      </c>
      <c r="D298">
        <v>1600</v>
      </c>
      <c r="E298">
        <v>0</v>
      </c>
      <c r="F298" t="s">
        <v>163</v>
      </c>
      <c r="G298">
        <v>3</v>
      </c>
      <c r="I298">
        <v>0</v>
      </c>
      <c r="J298">
        <v>0</v>
      </c>
      <c r="K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2">
      <c r="A299" t="s">
        <v>161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I299">
        <v>0</v>
      </c>
      <c r="J299">
        <f>DropAnalityka[[#This Row],[Sell Drop]]+IF(DropAnalityka[[#This Row],[Drop]]="Scroll", 2000*DropAnalityka[[#This Row],[Quality/Quantity]],0)</f>
        <v>4000</v>
      </c>
      <c r="K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2">
      <c r="A300" t="s">
        <v>161</v>
      </c>
      <c r="B300" t="s">
        <v>9</v>
      </c>
      <c r="C300">
        <v>5</v>
      </c>
      <c r="D300">
        <v>1389</v>
      </c>
      <c r="E300">
        <v>0</v>
      </c>
      <c r="F300" t="s">
        <v>162</v>
      </c>
      <c r="G300">
        <v>4</v>
      </c>
      <c r="I300">
        <v>0</v>
      </c>
      <c r="J300">
        <v>0</v>
      </c>
      <c r="K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v>1824</v>
      </c>
      <c r="K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 t="s">
        <v>12</v>
      </c>
      <c r="I302">
        <v>0</v>
      </c>
      <c r="J302">
        <v>0</v>
      </c>
      <c r="K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v>3182</v>
      </c>
      <c r="K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v>2937</v>
      </c>
      <c r="K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v>2937</v>
      </c>
      <c r="K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v>1824</v>
      </c>
      <c r="K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I307">
        <v>0</v>
      </c>
      <c r="J307">
        <f>DropAnalityka[[#This Row],[Sell Drop]]+IF(DropAnalityka[[#This Row],[Drop]]="Scroll", 2000*DropAnalityka[[#This Row],[Quality/Quantity]],0)</f>
        <v>4000</v>
      </c>
      <c r="K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v>3182</v>
      </c>
      <c r="K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168</v>
      </c>
      <c r="G309">
        <v>1</v>
      </c>
      <c r="I309">
        <v>0</v>
      </c>
      <c r="J309">
        <v>0</v>
      </c>
      <c r="K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 t="s">
        <v>26</v>
      </c>
      <c r="I310">
        <v>0</v>
      </c>
      <c r="J310">
        <v>0</v>
      </c>
      <c r="K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v>1824</v>
      </c>
      <c r="K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 t="s">
        <v>12</v>
      </c>
      <c r="I312">
        <v>0</v>
      </c>
      <c r="J312">
        <v>0</v>
      </c>
      <c r="K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v>1824</v>
      </c>
      <c r="K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I314">
        <v>0</v>
      </c>
      <c r="J314">
        <f>DropAnalityka[[#This Row],[Sell Drop]]+IF(DropAnalityka[[#This Row],[Drop]]="Scroll", 2000*DropAnalityka[[#This Row],[Quality/Quantity]],0)</f>
        <v>4000</v>
      </c>
      <c r="K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v>2937</v>
      </c>
      <c r="K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v>1824</v>
      </c>
      <c r="K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v>1824</v>
      </c>
      <c r="K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v>2937</v>
      </c>
      <c r="K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I319">
        <v>0</v>
      </c>
      <c r="J319">
        <f>DropAnalityka[[#This Row],[Sell Drop]]+IF(DropAnalityka[[#This Row],[Drop]]="Scroll", 2000*DropAnalityka[[#This Row],[Quality/Quantity]],0)</f>
        <v>4000</v>
      </c>
      <c r="K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v>2128</v>
      </c>
      <c r="K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v>1824</v>
      </c>
      <c r="K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v>1824</v>
      </c>
      <c r="K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v>2937</v>
      </c>
      <c r="K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I324">
        <v>0</v>
      </c>
      <c r="J324">
        <f>DropAnalityka[[#This Row],[Sell Drop]]+IF(DropAnalityka[[#This Row],[Drop]]="Scroll", 2000*DropAnalityka[[#This Row],[Quality/Quantity]],0)</f>
        <v>4000</v>
      </c>
      <c r="K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v>1834</v>
      </c>
      <c r="K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v>1834</v>
      </c>
      <c r="K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v>2937</v>
      </c>
      <c r="K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v>1834</v>
      </c>
      <c r="K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 t="s">
        <v>12</v>
      </c>
      <c r="I329">
        <v>0</v>
      </c>
      <c r="J329">
        <v>0</v>
      </c>
      <c r="K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 t="s">
        <v>12</v>
      </c>
      <c r="I330">
        <v>0</v>
      </c>
      <c r="J330">
        <v>0</v>
      </c>
      <c r="K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v>1834</v>
      </c>
      <c r="K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v>2280</v>
      </c>
      <c r="K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v>2080</v>
      </c>
      <c r="K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2">
      <c r="A334" t="s">
        <v>197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v>3168</v>
      </c>
      <c r="K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62</v>
      </c>
      <c r="G335">
        <v>1</v>
      </c>
      <c r="K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2">
      <c r="A336" t="s">
        <v>199</v>
      </c>
      <c r="B336" t="s">
        <v>9</v>
      </c>
      <c r="C336">
        <v>5</v>
      </c>
      <c r="D336">
        <v>1000</v>
      </c>
      <c r="E336">
        <v>0</v>
      </c>
      <c r="F336" t="s">
        <v>198</v>
      </c>
      <c r="G336">
        <v>5</v>
      </c>
      <c r="K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v>2067</v>
      </c>
      <c r="K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v>1159</v>
      </c>
      <c r="K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v>1159</v>
      </c>
      <c r="K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v>1352</v>
      </c>
      <c r="K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v>1159</v>
      </c>
      <c r="K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v>1159</v>
      </c>
      <c r="K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I343">
        <v>0</v>
      </c>
      <c r="J343">
        <f>DropAnalityka[[#This Row],[Sell Drop]]+IF(DropAnalityka[[#This Row],[Drop]]="Scroll", 2000*DropAnalityka[[#This Row],[Quality/Quantity]],0)</f>
        <v>6000</v>
      </c>
      <c r="K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v>1159</v>
      </c>
      <c r="K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v>1159</v>
      </c>
      <c r="K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v>1159</v>
      </c>
      <c r="K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168</v>
      </c>
      <c r="I347">
        <v>0</v>
      </c>
      <c r="J347">
        <v>0</v>
      </c>
      <c r="K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v>1546</v>
      </c>
      <c r="K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I349">
        <v>0</v>
      </c>
      <c r="J349">
        <f>DropAnalityka[[#This Row],[Sell Drop]]+IF(DropAnalityka[[#This Row],[Drop]]="Scroll", 2000*DropAnalityka[[#This Row],[Quality/Quantity]],0)</f>
        <v>6000</v>
      </c>
      <c r="K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v>1159</v>
      </c>
      <c r="K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v>1159</v>
      </c>
      <c r="K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v>1159</v>
      </c>
      <c r="K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v>1159</v>
      </c>
      <c r="K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I354">
        <v>0</v>
      </c>
      <c r="J354">
        <f>DropAnalityka[[#This Row],[Sell Drop]]+IF(DropAnalityka[[#This Row],[Drop]]="Scroll", 2000*DropAnalityka[[#This Row],[Quality/Quantity]],0)</f>
        <v>6000</v>
      </c>
      <c r="K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v>2757</v>
      </c>
      <c r="K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v>1824</v>
      </c>
      <c r="K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v>2937</v>
      </c>
      <c r="K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v>3400</v>
      </c>
      <c r="K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v>1824</v>
      </c>
      <c r="K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I360">
        <v>0</v>
      </c>
      <c r="J360">
        <f>DropAnalityka[[#This Row],[Sell Drop]]+IF(DropAnalityka[[#This Row],[Drop]]="Scroll", 2000*DropAnalityka[[#This Row],[Quality/Quantity]],0)</f>
        <v>4000</v>
      </c>
      <c r="K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v>1824</v>
      </c>
      <c r="K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v>1824</v>
      </c>
      <c r="K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v>1976</v>
      </c>
      <c r="K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I364">
        <v>0</v>
      </c>
      <c r="J364">
        <f>DropAnalityka[[#This Row],[Sell Drop]]+IF(DropAnalityka[[#This Row],[Drop]]="Scroll", 2000*DropAnalityka[[#This Row],[Quality/Quantity]],0)</f>
        <v>0</v>
      </c>
      <c r="K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v>1834</v>
      </c>
      <c r="K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v>1834</v>
      </c>
      <c r="K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2">
      <c r="A367" t="s">
        <v>197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v>3100</v>
      </c>
      <c r="K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2">
      <c r="A368" t="s">
        <v>197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v>1300</v>
      </c>
      <c r="K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2">
      <c r="A369" t="s">
        <v>197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v>1649</v>
      </c>
      <c r="K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2">
      <c r="A370" t="s">
        <v>197</v>
      </c>
      <c r="B370" t="s">
        <v>9</v>
      </c>
      <c r="C370">
        <v>5</v>
      </c>
      <c r="D370">
        <v>2547</v>
      </c>
      <c r="E370">
        <v>2</v>
      </c>
      <c r="F370" t="s">
        <v>168</v>
      </c>
      <c r="I370">
        <v>0</v>
      </c>
      <c r="J370">
        <v>0</v>
      </c>
      <c r="K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2">
      <c r="A371" t="s">
        <v>197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I371">
        <v>0</v>
      </c>
      <c r="J371">
        <f>DropAnalityka[[#This Row],[Sell Drop]]+IF(DropAnalityka[[#This Row],[Drop]]="Scroll", 2000*DropAnalityka[[#This Row],[Quality/Quantity]],0)</f>
        <v>4000</v>
      </c>
      <c r="K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2">
      <c r="A372" t="s">
        <v>197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I372">
        <v>0</v>
      </c>
      <c r="J372">
        <f>DropAnalityka[[#This Row],[Sell Drop]]+IF(DropAnalityka[[#This Row],[Drop]]="Scroll", 2000*DropAnalityka[[#This Row],[Quality/Quantity]],0)</f>
        <v>6000</v>
      </c>
      <c r="K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2">
      <c r="A373" t="s">
        <v>197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v>8882</v>
      </c>
      <c r="K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2">
      <c r="A374" t="s">
        <v>197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v>4134</v>
      </c>
      <c r="K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2">
      <c r="A375" t="s">
        <v>197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v>6615</v>
      </c>
      <c r="K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2">
      <c r="A376" t="s">
        <v>197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v>13770</v>
      </c>
      <c r="K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2">
      <c r="A377" t="s">
        <v>197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v>4134</v>
      </c>
      <c r="K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2">
      <c r="A378" t="s">
        <v>197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v>3720</v>
      </c>
      <c r="K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2">
      <c r="A379" t="s">
        <v>197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I379">
        <v>0</v>
      </c>
      <c r="J379">
        <f>DropAnalityka[[#This Row],[Sell Drop]]+IF(DropAnalityka[[#This Row],[Drop]]="Scroll", 2000*DropAnalityka[[#This Row],[Quality/Quantity]],0)</f>
        <v>6000</v>
      </c>
      <c r="K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2">
      <c r="A380" t="s">
        <v>197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v>2067</v>
      </c>
      <c r="K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2">
      <c r="A381" t="s">
        <v>197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I381">
        <v>0</v>
      </c>
      <c r="J381">
        <f>DropAnalityka[[#This Row],[Sell Drop]]+IF(DropAnalityka[[#This Row],[Drop]]="Scroll", 2000*DropAnalityka[[#This Row],[Quality/Quantity]],0)</f>
        <v>8000</v>
      </c>
      <c r="K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2">
      <c r="A382" t="s">
        <v>197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I382">
        <v>0</v>
      </c>
      <c r="J382">
        <f>DropAnalityka[[#This Row],[Sell Drop]]+IF(DropAnalityka[[#This Row],[Drop]]="Scroll", 2000*DropAnalityka[[#This Row],[Quality/Quantity]],0)</f>
        <v>8000</v>
      </c>
      <c r="K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Drop]]+IF(DropAnalityka[[#This Row],[Drop]]="Scroll", 2000*DropAnalityka[[#This Row],[Quality/Quantity]],0)</f>
        <v>1159</v>
      </c>
      <c r="K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I384">
        <v>0</v>
      </c>
      <c r="J384">
        <f>DropAnalityka[[#This Row],[Sell Drop]]+IF(DropAnalityka[[#This Row],[Drop]]="Scroll", 2000*DropAnalityka[[#This Row],[Quality/Quantity]],0)</f>
        <v>6000</v>
      </c>
      <c r="K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Drop]]+IF(DropAnalityka[[#This Row],[Drop]]="Scroll", 2000*DropAnalityka[[#This Row],[Quality/Quantity]],0)</f>
        <v>1159</v>
      </c>
      <c r="K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Drop]]+IF(DropAnalityka[[#This Row],[Drop]]="Scroll", 2000*DropAnalityka[[#This Row],[Quality/Quantity]],0)</f>
        <v>1159</v>
      </c>
      <c r="K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Drop]]+IF(DropAnalityka[[#This Row],[Drop]]="Scroll", 2000*DropAnalityka[[#This Row],[Quality/Quantity]],0)</f>
        <v>1159</v>
      </c>
      <c r="K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Drop]]+IF(DropAnalityka[[#This Row],[Drop]]="Scroll", 2000*DropAnalityka[[#This Row],[Quality/Quantity]],0)</f>
        <v>2067</v>
      </c>
      <c r="K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Drop]]+IF(DropAnalityka[[#This Row],[Drop]]="Scroll", 2000*DropAnalityka[[#This Row],[Quality/Quantity]],0)</f>
        <v>2067</v>
      </c>
      <c r="K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Drop]]+IF(DropAnalityka[[#This Row],[Drop]]="Scroll", 2000*DropAnalityka[[#This Row],[Quality/Quantity]],0)</f>
        <v>1159</v>
      </c>
      <c r="K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Drop]]+IF(DropAnalityka[[#This Row],[Drop]]="Scroll", 2000*DropAnalityka[[#This Row],[Quality/Quantity]],0)</f>
        <v>1159</v>
      </c>
      <c r="K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Drop]]+IF(DropAnalityka[[#This Row],[Drop]]="Scroll", 2000*DropAnalityka[[#This Row],[Quality/Quantity]],0)</f>
        <v>1546</v>
      </c>
      <c r="K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Drop]]+IF(DropAnalityka[[#This Row],[Drop]]="Scroll", 2000*DropAnalityka[[#This Row],[Quality/Quantity]],0)</f>
        <v>1159</v>
      </c>
      <c r="K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Drop]]+IF(DropAnalityka[[#This Row],[Drop]]="Scroll", 2000*DropAnalityka[[#This Row],[Quality/Quantity]],0)</f>
        <v>1352</v>
      </c>
      <c r="K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Drop]]+IF(DropAnalityka[[#This Row],[Drop]]="Scroll", 2000*DropAnalityka[[#This Row],[Quality/Quantity]],0)</f>
        <v>2067</v>
      </c>
      <c r="K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Drop]]+IF(DropAnalityka[[#This Row],[Drop]]="Scroll", 2000*DropAnalityka[[#This Row],[Quality/Quantity]],0)</f>
        <v>1546</v>
      </c>
      <c r="K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Drop]]+IF(DropAnalityka[[#This Row],[Drop]]="Scroll", 2000*DropAnalityka[[#This Row],[Quality/Quantity]],0)</f>
        <v>2067</v>
      </c>
      <c r="K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Drop]]+IF(DropAnalityka[[#This Row],[Drop]]="Scroll", 2000*DropAnalityka[[#This Row],[Quality/Quantity]],0)</f>
        <v>1159</v>
      </c>
      <c r="K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Drop]]+IF(DropAnalityka[[#This Row],[Drop]]="Scroll", 2000*DropAnalityka[[#This Row],[Quality/Quantity]],0)</f>
        <v>1352</v>
      </c>
      <c r="K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I400">
        <v>0</v>
      </c>
      <c r="J400">
        <f>DropAnalityka[[#This Row],[Sell Drop]]+IF(DropAnalityka[[#This Row],[Drop]]="Scroll", 2000*DropAnalityka[[#This Row],[Quality/Quantity]],0)</f>
        <v>6000</v>
      </c>
      <c r="K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Drop]]+IF(DropAnalityka[[#This Row],[Drop]]="Scroll", 2000*DropAnalityka[[#This Row],[Quality/Quantity]],0)</f>
        <v>1159</v>
      </c>
      <c r="K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Drop]]+IF(DropAnalityka[[#This Row],[Drop]]="Scroll", 2000*DropAnalityka[[#This Row],[Quality/Quantity]],0)</f>
        <v>1546</v>
      </c>
      <c r="K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I403">
        <v>0</v>
      </c>
      <c r="J403">
        <f>DropAnalityka[[#This Row],[Sell Drop]]+IF(DropAnalityka[[#This Row],[Drop]]="Scroll", 2000*DropAnalityka[[#This Row],[Quality/Quantity]],0)</f>
        <v>6000</v>
      </c>
      <c r="K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Drop]]+IF(DropAnalityka[[#This Row],[Drop]]="Scroll", 2000*DropAnalityka[[#This Row],[Quality/Quantity]],0)</f>
        <v>1159</v>
      </c>
      <c r="K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Drop]]+IF(DropAnalityka[[#This Row],[Drop]]="Scroll", 2000*DropAnalityka[[#This Row],[Quality/Quantity]],0)</f>
        <v>1159</v>
      </c>
      <c r="K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Drop]]+IF(DropAnalityka[[#This Row],[Drop]]="Scroll", 2000*DropAnalityka[[#This Row],[Quality/Quantity]],0)</f>
        <v>2067</v>
      </c>
      <c r="K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Drop]]+IF(DropAnalityka[[#This Row],[Drop]]="Scroll", 2000*DropAnalityka[[#This Row],[Quality/Quantity]],0)</f>
        <v>1159</v>
      </c>
      <c r="K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Drop]]+IF(DropAnalityka[[#This Row],[Drop]]="Scroll", 2000*DropAnalityka[[#This Row],[Quality/Quantity]],0)</f>
        <v>1159</v>
      </c>
      <c r="K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Drop]]+IF(DropAnalityka[[#This Row],[Drop]]="Scroll", 2000*DropAnalityka[[#This Row],[Quality/Quantity]],0)</f>
        <v>1352</v>
      </c>
      <c r="K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Drop]]+IF(DropAnalityka[[#This Row],[Drop]]="Scroll", 2000*DropAnalityka[[#This Row],[Quality/Quantity]],0)</f>
        <v>1739</v>
      </c>
      <c r="K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Drop]]+IF(DropAnalityka[[#This Row],[Drop]]="Scroll", 2000*DropAnalityka[[#This Row],[Quality/Quantity]],0)</f>
        <v>1159</v>
      </c>
      <c r="K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Drop]]+IF(DropAnalityka[[#This Row],[Drop]]="Scroll", 2000*DropAnalityka[[#This Row],[Quality/Quantity]],0)</f>
        <v>1159</v>
      </c>
      <c r="K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I413">
        <v>0</v>
      </c>
      <c r="J413">
        <f>DropAnalityka[[#This Row],[Sell Drop]]+IF(DropAnalityka[[#This Row],[Drop]]="Scroll", 2000*DropAnalityka[[#This Row],[Quality/Quantity]],0)</f>
        <v>6000</v>
      </c>
      <c r="K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Drop]]+IF(DropAnalityka[[#This Row],[Drop]]="Scroll", 2000*DropAnalityka[[#This Row],[Quality/Quantity]],0)</f>
        <v>1352</v>
      </c>
      <c r="K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Drop]]+IF(DropAnalityka[[#This Row],[Drop]]="Scroll", 2000*DropAnalityka[[#This Row],[Quality/Quantity]],0)</f>
        <v>1159</v>
      </c>
      <c r="K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Drop]]+IF(DropAnalityka[[#This Row],[Drop]]="Scroll", 2000*DropAnalityka[[#This Row],[Quality/Quantity]],0)</f>
        <v>1159</v>
      </c>
      <c r="K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Drop]]+IF(DropAnalityka[[#This Row],[Drop]]="Scroll", 2000*DropAnalityka[[#This Row],[Quality/Quantity]],0)</f>
        <v>2750</v>
      </c>
      <c r="K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I418">
        <v>0</v>
      </c>
      <c r="J418">
        <f>DropAnalityka[[#This Row],[Sell Drop]]+IF(DropAnalityka[[#This Row],[Drop]]="Scroll", 2000*DropAnalityka[[#This Row],[Quality/Quantity]],0)</f>
        <v>6000</v>
      </c>
      <c r="K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Drop]]+IF(DropAnalityka[[#This Row],[Drop]]="Scroll", 2000*DropAnalityka[[#This Row],[Quality/Quantity]],0)</f>
        <v>1352</v>
      </c>
      <c r="K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Drop]]+IF(DropAnalityka[[#This Row],[Drop]]="Scroll", 2000*DropAnalityka[[#This Row],[Quality/Quantity]],0)</f>
        <v>1159</v>
      </c>
      <c r="K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Drop]]+IF(DropAnalityka[[#This Row],[Drop]]="Scroll", 2000*DropAnalityka[[#This Row],[Quality/Quantity]],0)</f>
        <v>2756</v>
      </c>
      <c r="K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I422">
        <v>0</v>
      </c>
      <c r="J422">
        <f>DropAnalityka[[#This Row],[Sell Drop]]+IF(DropAnalityka[[#This Row],[Drop]]="Scroll", 2000*DropAnalityka[[#This Row],[Quality/Quantity]],0)</f>
        <v>6000</v>
      </c>
      <c r="K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I423">
        <v>0</v>
      </c>
      <c r="J423">
        <f>DropAnalityka[[#This Row],[Sell Drop]]+IF(DropAnalityka[[#This Row],[Drop]]="Scroll", 2000*DropAnalityka[[#This Row],[Quality/Quantity]],0)</f>
        <v>6000</v>
      </c>
      <c r="K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Drop]]+IF(DropAnalityka[[#This Row],[Drop]]="Scroll", 2000*DropAnalityka[[#This Row],[Quality/Quantity]],0)</f>
        <v>1159</v>
      </c>
      <c r="K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Drop]]+IF(DropAnalityka[[#This Row],[Drop]]="Scroll", 2000*DropAnalityka[[#This Row],[Quality/Quantity]],0)</f>
        <v>2756</v>
      </c>
      <c r="K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Drop]]+IF(DropAnalityka[[#This Row],[Drop]]="Scroll", 2000*DropAnalityka[[#This Row],[Quality/Quantity]],0)</f>
        <v>1159</v>
      </c>
      <c r="K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Drop]]+IF(DropAnalityka[[#This Row],[Drop]]="Scroll", 2000*DropAnalityka[[#This Row],[Quality/Quantity]],0)</f>
        <v>2067</v>
      </c>
      <c r="K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Drop]]+IF(DropAnalityka[[#This Row],[Drop]]="Scroll", 2000*DropAnalityka[[#This Row],[Quality/Quantity]],0)</f>
        <v>2067</v>
      </c>
      <c r="K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Drop]]+IF(DropAnalityka[[#This Row],[Drop]]="Scroll", 2000*DropAnalityka[[#This Row],[Quality/Quantity]],0)</f>
        <v>2067</v>
      </c>
      <c r="K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Drop]]+IF(DropAnalityka[[#This Row],[Drop]]="Scroll", 2000*DropAnalityka[[#This Row],[Quality/Quantity]],0)</f>
        <v>2067</v>
      </c>
      <c r="K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Drop]]+IF(DropAnalityka[[#This Row],[Drop]]="Scroll", 2000*DropAnalityka[[#This Row],[Quality/Quantity]],0)</f>
        <v>1159</v>
      </c>
      <c r="K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Drop]]+IF(DropAnalityka[[#This Row],[Drop]]="Scroll", 2000*DropAnalityka[[#This Row],[Quality/Quantity]],0)</f>
        <v>1159</v>
      </c>
      <c r="K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 t="s">
        <v>12</v>
      </c>
      <c r="I433">
        <v>0</v>
      </c>
      <c r="J433">
        <f>DropAnalityka[[#This Row],[Sell Drop]]+IF(DropAnalityka[[#This Row],[Drop]]="Scroll", 2000*DropAnalityka[[#This Row],[Quality/Quantity]],0)</f>
        <v>0</v>
      </c>
      <c r="K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Drop]]+IF(DropAnalityka[[#This Row],[Drop]]="Scroll", 2000*DropAnalityka[[#This Row],[Quality/Quantity]],0)</f>
        <v>2067</v>
      </c>
      <c r="K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I435">
        <v>0</v>
      </c>
      <c r="J435">
        <f>DropAnalityka[[#This Row],[Sell Drop]]+IF(DropAnalityka[[#This Row],[Drop]]="Scroll", 2000*DropAnalityka[[#This Row],[Quality/Quantity]],0)</f>
        <v>6000</v>
      </c>
      <c r="K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I436">
        <v>0</v>
      </c>
      <c r="J436">
        <f>DropAnalityka[[#This Row],[Sell Drop]]+IF(DropAnalityka[[#This Row],[Drop]]="Scroll", 2000*DropAnalityka[[#This Row],[Quality/Quantity]],0)</f>
        <v>6000</v>
      </c>
      <c r="K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J437">
        <f>DropAnalityka[[#This Row],[Sell Drop]]+IF(DropAnalityka[[#This Row],[Drop]]="Scroll", 2000*DropAnalityka[[#This Row],[Quality/Quantity]],0)</f>
        <v>6000</v>
      </c>
      <c r="K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2">
      <c r="A438" t="s">
        <v>204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I438">
        <v>0</v>
      </c>
      <c r="J438">
        <f>DropAnalityka[[#This Row],[Sell Drop]]+IF(DropAnalityka[[#This Row],[Drop]]="Scroll", 2000*DropAnalityka[[#This Row],[Quality/Quantity]],0)</f>
        <v>6000</v>
      </c>
      <c r="K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I439">
        <v>0</v>
      </c>
      <c r="J439">
        <f>DropAnalityka[[#This Row],[Sell Drop]]+IF(DropAnalityka[[#This Row],[Drop]]="Scroll", 2000*DropAnalityka[[#This Row],[Quality/Quantity]],0)</f>
        <v>6000</v>
      </c>
      <c r="K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 t="s">
        <v>12</v>
      </c>
      <c r="I440">
        <v>0</v>
      </c>
      <c r="J440">
        <f>DropAnalityka[[#This Row],[Sell Drop]]+IF(DropAnalityka[[#This Row],[Drop]]="Scroll", 2000*DropAnalityka[[#This Row],[Quality/Quantity]],0)</f>
        <v>0</v>
      </c>
      <c r="K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Drop]]+IF(DropAnalityka[[#This Row],[Drop]]="Scroll", 2000*DropAnalityka[[#This Row],[Quality/Quantity]],0)</f>
        <v>1159</v>
      </c>
      <c r="K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 t="s">
        <v>26</v>
      </c>
      <c r="J442">
        <f>DropAnalityka[[#This Row],[Sell Drop]]+IF(DropAnalityka[[#This Row],[Drop]]="Scroll", 2000*DropAnalityka[[#This Row],[Quality/Quantity]],0)</f>
        <v>0</v>
      </c>
      <c r="K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Drop]]+IF(DropAnalityka[[#This Row],[Drop]]="Scroll", 2000*DropAnalityka[[#This Row],[Quality/Quantity]],0)</f>
        <v>1546</v>
      </c>
      <c r="K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Drop]]+IF(DropAnalityka[[#This Row],[Drop]]="Scroll", 2000*DropAnalityka[[#This Row],[Quality/Quantity]],0)</f>
        <v>1159</v>
      </c>
      <c r="K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Drop]]+IF(DropAnalityka[[#This Row],[Drop]]="Scroll", 2000*DropAnalityka[[#This Row],[Quality/Quantity]],0)</f>
        <v>1159</v>
      </c>
      <c r="K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I446">
        <v>0</v>
      </c>
      <c r="J446">
        <f>DropAnalityka[[#This Row],[Sell Drop]]+IF(DropAnalityka[[#This Row],[Drop]]="Scroll", 2000*DropAnalityka[[#This Row],[Quality/Quantity]],0)</f>
        <v>6000</v>
      </c>
      <c r="K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Drop]]+IF(DropAnalityka[[#This Row],[Drop]]="Scroll", 2000*DropAnalityka[[#This Row],[Quality/Quantity]],0)</f>
        <v>1159</v>
      </c>
      <c r="K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Drop]]+IF(DropAnalityka[[#This Row],[Drop]]="Scroll", 2000*DropAnalityka[[#This Row],[Quality/Quantity]],0)</f>
        <v>1159</v>
      </c>
      <c r="K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Drop]]+IF(DropAnalityka[[#This Row],[Drop]]="Scroll", 2000*DropAnalityka[[#This Row],[Quality/Quantity]],0)</f>
        <v>1159</v>
      </c>
      <c r="K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 t="s">
        <v>17</v>
      </c>
      <c r="I450">
        <v>0</v>
      </c>
      <c r="J450">
        <f>DropAnalityka[[#This Row],[Sell Drop]]+IF(DropAnalityka[[#This Row],[Drop]]="Scroll", 2000*DropAnalityka[[#This Row],[Quality/Quantity]],0)</f>
        <v>0</v>
      </c>
      <c r="K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Drop]]+IF(DropAnalityka[[#This Row],[Drop]]="Scroll", 2000*DropAnalityka[[#This Row],[Quality/Quantity]],0)</f>
        <v>2067</v>
      </c>
      <c r="K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Drop]]+IF(DropAnalityka[[#This Row],[Drop]]="Scroll", 2000*DropAnalityka[[#This Row],[Quality/Quantity]],0)</f>
        <v>1159</v>
      </c>
      <c r="K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Drop]]+IF(DropAnalityka[[#This Row],[Drop]]="Scroll", 2000*DropAnalityka[[#This Row],[Quality/Quantity]],0)</f>
        <v>2067</v>
      </c>
      <c r="K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Drop]]+IF(DropAnalityka[[#This Row],[Drop]]="Scroll", 2000*DropAnalityka[[#This Row],[Quality/Quantity]],0)</f>
        <v>1546</v>
      </c>
      <c r="K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Drop]]+IF(DropAnalityka[[#This Row],[Drop]]="Scroll", 2000*DropAnalityka[[#This Row],[Quality/Quantity]],0)</f>
        <v>1159</v>
      </c>
      <c r="K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 t="s">
        <v>17</v>
      </c>
      <c r="I456">
        <v>0</v>
      </c>
      <c r="J456">
        <f>DropAnalityka[[#This Row],[Sell Drop]]+IF(DropAnalityka[[#This Row],[Drop]]="Scroll", 2000*DropAnalityka[[#This Row],[Quality/Quantity]],0)</f>
        <v>0</v>
      </c>
      <c r="K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 t="s">
        <v>17</v>
      </c>
      <c r="I457">
        <v>0</v>
      </c>
      <c r="J457">
        <f>DropAnalityka[[#This Row],[Sell Drop]]+IF(DropAnalityka[[#This Row],[Drop]]="Scroll", 2000*DropAnalityka[[#This Row],[Quality/Quantity]],0)</f>
        <v>0</v>
      </c>
      <c r="K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Drop]]+IF(DropAnalityka[[#This Row],[Drop]]="Scroll", 2000*DropAnalityka[[#This Row],[Quality/Quantity]],0)</f>
        <v>2067</v>
      </c>
      <c r="K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Drop]]+IF(DropAnalityka[[#This Row],[Drop]]="Scroll", 2000*DropAnalityka[[#This Row],[Quality/Quantity]],0)</f>
        <v>1159</v>
      </c>
      <c r="K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Drop]]+IF(DropAnalityka[[#This Row],[Drop]]="Scroll", 2000*DropAnalityka[[#This Row],[Quality/Quantity]],0)</f>
        <v>2067</v>
      </c>
      <c r="K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J461">
        <f>DropAnalityka[[#This Row],[Sell Drop]]+IF(DropAnalityka[[#This Row],[Drop]]="Scroll", 2000*DropAnalityka[[#This Row],[Quality/Quantity]],0)</f>
        <v>6000</v>
      </c>
      <c r="K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Drop]]+IF(DropAnalityka[[#This Row],[Drop]]="Scroll", 2000*DropAnalityka[[#This Row],[Quality/Quantity]],0)</f>
        <v>1159</v>
      </c>
      <c r="K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Drop]]+IF(DropAnalityka[[#This Row],[Drop]]="Scroll", 2000*DropAnalityka[[#This Row],[Quality/Quantity]],0)</f>
        <v>2756</v>
      </c>
      <c r="K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 t="s">
        <v>12</v>
      </c>
      <c r="I464">
        <v>0</v>
      </c>
      <c r="J464">
        <f>DropAnalityka[[#This Row],[Sell Drop]]+IF(DropAnalityka[[#This Row],[Drop]]="Scroll", 2000*DropAnalityka[[#This Row],[Quality/Quantity]],0)</f>
        <v>0</v>
      </c>
      <c r="K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Drop]]+IF(DropAnalityka[[#This Row],[Drop]]="Scroll", 2000*DropAnalityka[[#This Row],[Quality/Quantity]],0)</f>
        <v>1159</v>
      </c>
      <c r="K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168</v>
      </c>
      <c r="I466">
        <v>0</v>
      </c>
      <c r="J466">
        <f>DropAnalityka[[#This Row],[Sell Drop]]+IF(DropAnalityka[[#This Row],[Drop]]="Scroll", 2000*DropAnalityka[[#This Row],[Quality/Quantity]],0)</f>
        <v>0</v>
      </c>
      <c r="K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168</v>
      </c>
      <c r="I467">
        <v>0</v>
      </c>
      <c r="J467">
        <f>DropAnalityka[[#This Row],[Sell Drop]]+IF(DropAnalityka[[#This Row],[Drop]]="Scroll", 2000*DropAnalityka[[#This Row],[Quality/Quantity]],0)</f>
        <v>0</v>
      </c>
      <c r="K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Drop]]+IF(DropAnalityka[[#This Row],[Drop]]="Scroll", 2000*DropAnalityka[[#This Row],[Quality/Quantity]],0)</f>
        <v>1159</v>
      </c>
      <c r="K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Drop]]+IF(DropAnalityka[[#This Row],[Drop]]="Scroll", 2000*DropAnalityka[[#This Row],[Quality/Quantity]],0)</f>
        <v>1159</v>
      </c>
      <c r="K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Drop]]+IF(DropAnalityka[[#This Row],[Drop]]="Scroll", 2000*DropAnalityka[[#This Row],[Quality/Quantity]],0)</f>
        <v>1159</v>
      </c>
      <c r="K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Drop]]+IF(DropAnalityka[[#This Row],[Drop]]="Scroll", 2000*DropAnalityka[[#This Row],[Quality/Quantity]],0)</f>
        <v>1159</v>
      </c>
      <c r="K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I472">
        <v>0</v>
      </c>
      <c r="J472">
        <f>DropAnalityka[[#This Row],[Sell Drop]]+IF(DropAnalityka[[#This Row],[Drop]]="Scroll", 2000*DropAnalityka[[#This Row],[Quality/Quantity]],0)</f>
        <v>6000</v>
      </c>
      <c r="K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168</v>
      </c>
      <c r="I473">
        <v>0</v>
      </c>
      <c r="J473">
        <f>DropAnalityka[[#This Row],[Sell Drop]]+IF(DropAnalityka[[#This Row],[Drop]]="Scroll", 2000*DropAnalityka[[#This Row],[Quality/Quantity]],0)</f>
        <v>0</v>
      </c>
      <c r="K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Drop]]+IF(DropAnalityka[[#This Row],[Drop]]="Scroll", 2000*DropAnalityka[[#This Row],[Quality/Quantity]],0)</f>
        <v>2411</v>
      </c>
      <c r="K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 t="s">
        <v>17</v>
      </c>
      <c r="J475">
        <f>DropAnalityka[[#This Row],[Sell Drop]]+IF(DropAnalityka[[#This Row],[Drop]]="Scroll", 2000*DropAnalityka[[#This Row],[Quality/Quantity]],0)</f>
        <v>0</v>
      </c>
      <c r="K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Drop]]+IF(DropAnalityka[[#This Row],[Drop]]="Scroll", 2000*DropAnalityka[[#This Row],[Quality/Quantity]],0)</f>
        <v>1159</v>
      </c>
      <c r="K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Drop]]+IF(DropAnalityka[[#This Row],[Drop]]="Scroll", 2000*DropAnalityka[[#This Row],[Quality/Quantity]],0)</f>
        <v>2067</v>
      </c>
      <c r="K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Drop]]+IF(DropAnalityka[[#This Row],[Drop]]="Scroll", 2000*DropAnalityka[[#This Row],[Quality/Quantity]],0)</f>
        <v>2411</v>
      </c>
      <c r="K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 t="s">
        <v>12</v>
      </c>
      <c r="I479">
        <v>0</v>
      </c>
      <c r="J479">
        <f>DropAnalityka[[#This Row],[Sell Drop]]+IF(DropAnalityka[[#This Row],[Drop]]="Scroll", 2000*DropAnalityka[[#This Row],[Quality/Quantity]],0)</f>
        <v>0</v>
      </c>
      <c r="K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Drop]]+IF(DropAnalityka[[#This Row],[Drop]]="Scroll", 2000*DropAnalityka[[#This Row],[Quality/Quantity]],0)</f>
        <v>2067</v>
      </c>
      <c r="K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 t="s">
        <v>17</v>
      </c>
      <c r="J481">
        <f>DropAnalityka[[#This Row],[Sell Drop]]+IF(DropAnalityka[[#This Row],[Drop]]="Scroll", 2000*DropAnalityka[[#This Row],[Quality/Quantity]],0)</f>
        <v>0</v>
      </c>
      <c r="K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Drop]]+IF(DropAnalityka[[#This Row],[Drop]]="Scroll", 2000*DropAnalityka[[#This Row],[Quality/Quantity]],0)</f>
        <v>1546</v>
      </c>
      <c r="K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I483">
        <v>0</v>
      </c>
      <c r="J483">
        <f>DropAnalityka[[#This Row],[Sell Drop]]+IF(DropAnalityka[[#This Row],[Drop]]="Scroll", 2000*DropAnalityka[[#This Row],[Quality/Quantity]],0)</f>
        <v>6000</v>
      </c>
      <c r="K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168</v>
      </c>
      <c r="I484">
        <v>0</v>
      </c>
      <c r="J484">
        <f>DropAnalityka[[#This Row],[Sell Drop]]+IF(DropAnalityka[[#This Row],[Drop]]="Scroll", 2000*DropAnalityka[[#This Row],[Quality/Quantity]],0)</f>
        <v>0</v>
      </c>
      <c r="K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Drop]]+IF(DropAnalityka[[#This Row],[Drop]]="Scroll", 2000*DropAnalityka[[#This Row],[Quality/Quantity]],0)</f>
        <v>1159</v>
      </c>
      <c r="K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 t="s">
        <v>17</v>
      </c>
      <c r="I486">
        <v>0</v>
      </c>
      <c r="J486">
        <f>DropAnalityka[[#This Row],[Sell Drop]]+IF(DropAnalityka[[#This Row],[Drop]]="Scroll", 2000*DropAnalityka[[#This Row],[Quality/Quantity]],0)</f>
        <v>0</v>
      </c>
      <c r="K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Drop]]+IF(DropAnalityka[[#This Row],[Drop]]="Scroll", 2000*DropAnalityka[[#This Row],[Quality/Quantity]],0)</f>
        <v>2067</v>
      </c>
      <c r="K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Drop]]+IF(DropAnalityka[[#This Row],[Drop]]="Scroll", 2000*DropAnalityka[[#This Row],[Quality/Quantity]],0)</f>
        <v>2411</v>
      </c>
      <c r="K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Drop]]+IF(DropAnalityka[[#This Row],[Drop]]="Scroll", 2000*DropAnalityka[[#This Row],[Quality/Quantity]],0)</f>
        <v>1159</v>
      </c>
      <c r="K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Drop]]+IF(DropAnalityka[[#This Row],[Drop]]="Scroll", 2000*DropAnalityka[[#This Row],[Quality/Quantity]],0)</f>
        <v>1546</v>
      </c>
      <c r="K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Drop]]+IF(DropAnalityka[[#This Row],[Drop]]="Scroll", 2000*DropAnalityka[[#This Row],[Quality/Quantity]],0)</f>
        <v>2067</v>
      </c>
      <c r="K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Drop]]+IF(DropAnalityka[[#This Row],[Drop]]="Scroll", 2000*DropAnalityka[[#This Row],[Quality/Quantity]],0)</f>
        <v>1159</v>
      </c>
      <c r="K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Drop]]+IF(DropAnalityka[[#This Row],[Drop]]="Scroll", 2000*DropAnalityka[[#This Row],[Quality/Quantity]],0)</f>
        <v>1159</v>
      </c>
      <c r="K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Drop]]+IF(DropAnalityka[[#This Row],[Drop]]="Scroll", 2000*DropAnalityka[[#This Row],[Quality/Quantity]],0)</f>
        <v>2411</v>
      </c>
      <c r="K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Drop]]+IF(DropAnalityka[[#This Row],[Drop]]="Scroll", 2000*DropAnalityka[[#This Row],[Quality/Quantity]],0)</f>
        <v>1159</v>
      </c>
      <c r="K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Drop]]+IF(DropAnalityka[[#This Row],[Drop]]="Scroll", 2000*DropAnalityka[[#This Row],[Quality/Quantity]],0)</f>
        <v>1159</v>
      </c>
      <c r="K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Drop]]+IF(DropAnalityka[[#This Row],[Drop]]="Scroll", 2000*DropAnalityka[[#This Row],[Quality/Quantity]],0)</f>
        <v>2067</v>
      </c>
      <c r="K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Drop]]+IF(DropAnalityka[[#This Row],[Drop]]="Scroll", 2000*DropAnalityka[[#This Row],[Quality/Quantity]],0)</f>
        <v>1352</v>
      </c>
      <c r="K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 t="s">
        <v>26</v>
      </c>
      <c r="I499">
        <v>0</v>
      </c>
      <c r="J499">
        <f>DropAnalityka[[#This Row],[Sell Drop]]+IF(DropAnalityka[[#This Row],[Drop]]="Scroll", 2000*DropAnalityka[[#This Row],[Quality/Quantity]],0)</f>
        <v>0</v>
      </c>
      <c r="K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Drop]]+IF(DropAnalityka[[#This Row],[Drop]]="Scroll", 2000*DropAnalityka[[#This Row],[Quality/Quantity]],0)</f>
        <v>1159</v>
      </c>
      <c r="K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168</v>
      </c>
      <c r="I501">
        <v>0</v>
      </c>
      <c r="J501">
        <f>DropAnalityka[[#This Row],[Sell Drop]]+IF(DropAnalityka[[#This Row],[Drop]]="Scroll", 2000*DropAnalityka[[#This Row],[Quality/Quantity]],0)</f>
        <v>0</v>
      </c>
      <c r="K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Drop]]+IF(DropAnalityka[[#This Row],[Drop]]="Scroll", 2000*DropAnalityka[[#This Row],[Quality/Quantity]],0)</f>
        <v>2411</v>
      </c>
      <c r="K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Drop]]+IF(DropAnalityka[[#This Row],[Drop]]="Scroll", 2000*DropAnalityka[[#This Row],[Quality/Quantity]],0)</f>
        <v>1159</v>
      </c>
      <c r="K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J504">
        <f>DropAnalityka[[#This Row],[Sell Drop]]+IF(DropAnalityka[[#This Row],[Drop]]="Scroll", 2000*DropAnalityka[[#This Row],[Quality/Quantity]],0)</f>
        <v>6000</v>
      </c>
      <c r="K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Drop]]+IF(DropAnalityka[[#This Row],[Drop]]="Scroll", 2000*DropAnalityka[[#This Row],[Quality/Quantity]],0)</f>
        <v>1159</v>
      </c>
      <c r="K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Drop]]+IF(DropAnalityka[[#This Row],[Drop]]="Scroll", 2000*DropAnalityka[[#This Row],[Quality/Quantity]],0)</f>
        <v>1159</v>
      </c>
      <c r="K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I507">
        <v>0</v>
      </c>
      <c r="J507">
        <f>DropAnalityka[[#This Row],[Sell Drop]]+IF(DropAnalityka[[#This Row],[Drop]]="Scroll", 2000*DropAnalityka[[#This Row],[Quality/Quantity]],0)</f>
        <v>6000</v>
      </c>
      <c r="K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Drop]]+IF(DropAnalityka[[#This Row],[Drop]]="Scroll", 2000*DropAnalityka[[#This Row],[Quality/Quantity]],0)</f>
        <v>1159</v>
      </c>
      <c r="K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Drop]]+IF(DropAnalityka[[#This Row],[Drop]]="Scroll", 2000*DropAnalityka[[#This Row],[Quality/Quantity]],0)</f>
        <v>1739</v>
      </c>
      <c r="K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2">
      <c r="A510" t="s">
        <v>65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Drop]]+IF(DropAnalityka[[#This Row],[Drop]]="Scroll", 2000*DropAnalityka[[#This Row],[Quality/Quantity]],0)</f>
        <v>823</v>
      </c>
      <c r="K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2">
      <c r="A511" t="s">
        <v>65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Drop]]+IF(DropAnalityka[[#This Row],[Drop]]="Scroll", 2000*DropAnalityka[[#This Row],[Quality/Quantity]],0)</f>
        <v>1976</v>
      </c>
      <c r="K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2">
      <c r="A512" t="s">
        <v>65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I512">
        <v>0</v>
      </c>
      <c r="J512">
        <f>DropAnalityka[[#This Row],[Sell Drop]]+IF(DropAnalityka[[#This Row],[Drop]]="Scroll", 2000*DropAnalityka[[#This Row],[Quality/Quantity]],0)</f>
        <v>2000</v>
      </c>
      <c r="K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2">
      <c r="A513" t="s">
        <v>65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Drop]]+IF(DropAnalityka[[#This Row],[Drop]]="Scroll", 2000*DropAnalityka[[#This Row],[Quality/Quantity]],0)</f>
        <v>1976</v>
      </c>
      <c r="K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2">
      <c r="A514" t="s">
        <v>65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I514">
        <v>0</v>
      </c>
      <c r="J514">
        <f>DropAnalityka[[#This Row],[Sell Drop]]+IF(DropAnalityka[[#This Row],[Drop]]="Scroll", 2000*DropAnalityka[[#This Row],[Quality/Quantity]],0)</f>
        <v>2000</v>
      </c>
      <c r="K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2">
      <c r="A515" t="s">
        <v>65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Drop]]+IF(DropAnalityka[[#This Row],[Drop]]="Scroll", 2000*DropAnalityka[[#This Row],[Quality/Quantity]],0)</f>
        <v>892</v>
      </c>
      <c r="K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2">
      <c r="A516" t="s">
        <v>65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I516">
        <v>0</v>
      </c>
      <c r="J516">
        <f>DropAnalityka[[#This Row],[Sell Drop]]+IF(DropAnalityka[[#This Row],[Drop]]="Scroll", 2000*DropAnalityka[[#This Row],[Quality/Quantity]],0)</f>
        <v>2000</v>
      </c>
      <c r="K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I517">
        <v>0</v>
      </c>
      <c r="J517">
        <f>DropAnalityka[[#This Row],[Sell Drop]]+IF(DropAnalityka[[#This Row],[Drop]]="Scroll", 2000*DropAnalityka[[#This Row],[Quality/Quantity]],0)</f>
        <v>4000</v>
      </c>
      <c r="K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I518">
        <v>0</v>
      </c>
      <c r="J518">
        <f>DropAnalityka[[#This Row],[Sell Drop]]+IF(DropAnalityka[[#This Row],[Drop]]="Scroll", 2000*DropAnalityka[[#This Row],[Quality/Quantity]],0)</f>
        <v>6000</v>
      </c>
      <c r="K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Drop]]+IF(DropAnalityka[[#This Row],[Drop]]="Scroll", 2000*DropAnalityka[[#This Row],[Quality/Quantity]],0)</f>
        <v>2756</v>
      </c>
      <c r="K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 t="s">
        <v>26</v>
      </c>
      <c r="I520">
        <v>0</v>
      </c>
      <c r="J520">
        <f>DropAnalityka[[#This Row],[Sell Drop]]+IF(DropAnalityka[[#This Row],[Drop]]="Scroll", 2000*DropAnalityka[[#This Row],[Quality/Quantity]],0)</f>
        <v>0</v>
      </c>
      <c r="K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Drop]]+IF(DropAnalityka[[#This Row],[Drop]]="Scroll", 2000*DropAnalityka[[#This Row],[Quality/Quantity]],0)</f>
        <v>2067</v>
      </c>
      <c r="K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62</v>
      </c>
      <c r="G522">
        <v>1</v>
      </c>
      <c r="I522">
        <v>0</v>
      </c>
      <c r="J522">
        <f>DropAnalityka[[#This Row],[Sell Drop]]+IF(DropAnalityka[[#This Row],[Drop]]="Scroll", 2000*DropAnalityka[[#This Row],[Quality/Quantity]],0)</f>
        <v>0</v>
      </c>
      <c r="K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62</v>
      </c>
      <c r="G523">
        <v>1</v>
      </c>
      <c r="I523">
        <v>0</v>
      </c>
      <c r="J523">
        <f>DropAnalityka[[#This Row],[Sell Drop]]+IF(DropAnalityka[[#This Row],[Drop]]="Scroll", 2000*DropAnalityka[[#This Row],[Quality/Quantity]],0)</f>
        <v>0</v>
      </c>
      <c r="K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63</v>
      </c>
      <c r="G524">
        <v>4</v>
      </c>
      <c r="I524">
        <v>0</v>
      </c>
      <c r="J524">
        <f>DropAnalityka[[#This Row],[Sell Drop]]+IF(DropAnalityka[[#This Row],[Drop]]="Scroll", 2000*DropAnalityka[[#This Row],[Quality/Quantity]],0)</f>
        <v>0</v>
      </c>
      <c r="K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2">
      <c r="A525" s="10" t="s">
        <v>197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Drop]]+IF(DropAnalityka[[#This Row],[Drop]]="Scroll", 2000*DropAnalityka[[#This Row],[Quality/Quantity]],0)</f>
        <v>1971</v>
      </c>
      <c r="K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2">
      <c r="A526" s="10" t="s">
        <v>197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I526">
        <v>0</v>
      </c>
      <c r="J526">
        <f>DropAnalityka[[#This Row],[Sell Drop]]+IF(DropAnalityka[[#This Row],[Drop]]="Scroll", 2000*DropAnalityka[[#This Row],[Quality/Quantity]],0)</f>
        <v>6000</v>
      </c>
      <c r="K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2">
      <c r="A527" s="10" t="s">
        <v>197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Drop]]+IF(DropAnalityka[[#This Row],[Drop]]="Scroll", 2000*DropAnalityka[[#This Row],[Quality/Quantity]],0)</f>
        <v>12000</v>
      </c>
      <c r="K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2">
      <c r="A528" s="10" t="s">
        <v>197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 t="s">
        <v>12</v>
      </c>
      <c r="I528">
        <v>0</v>
      </c>
      <c r="J528">
        <f>DropAnalityka[[#This Row],[Sell Drop]]+IF(DropAnalityka[[#This Row],[Drop]]="Scroll", 2000*DropAnalityka[[#This Row],[Quality/Quantity]],0)</f>
        <v>0</v>
      </c>
      <c r="K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2">
      <c r="A529" s="10" t="s">
        <v>197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Drop]]+IF(DropAnalityka[[#This Row],[Drop]]="Scroll", 2000*DropAnalityka[[#This Row],[Quality/Quantity]],0)</f>
        <v>1236</v>
      </c>
      <c r="K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2">
      <c r="A530" s="10" t="s">
        <v>197</v>
      </c>
      <c r="B530" t="s">
        <v>9</v>
      </c>
      <c r="C530">
        <v>6</v>
      </c>
      <c r="D530">
        <v>2638</v>
      </c>
      <c r="E530">
        <v>0</v>
      </c>
      <c r="F530" t="s">
        <v>168</v>
      </c>
      <c r="I530">
        <v>0</v>
      </c>
      <c r="J530">
        <f>DropAnalityka[[#This Row],[Sell Drop]]+IF(DropAnalityka[[#This Row],[Drop]]="Scroll", 2000*DropAnalityka[[#This Row],[Quality/Quantity]],0)</f>
        <v>0</v>
      </c>
      <c r="K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2">
      <c r="A531" s="10" t="s">
        <v>197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I531">
        <v>0</v>
      </c>
      <c r="J531">
        <f>DropAnalityka[[#This Row],[Sell Drop]]+IF(DropAnalityka[[#This Row],[Drop]]="Scroll", 2000*DropAnalityka[[#This Row],[Quality/Quantity]],0)</f>
        <v>8000</v>
      </c>
      <c r="K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2">
      <c r="A532" s="10" t="s">
        <v>197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Drop]]+IF(DropAnalityka[[#This Row],[Drop]]="Scroll", 2000*DropAnalityka[[#This Row],[Quality/Quantity]],0)</f>
        <v>3916</v>
      </c>
      <c r="K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2">
      <c r="A533" s="10" t="s">
        <v>197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Drop]]+IF(DropAnalityka[[#This Row],[Drop]]="Scroll", 2000*DropAnalityka[[#This Row],[Quality/Quantity]],0)</f>
        <v>3789</v>
      </c>
      <c r="K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2">
      <c r="A534" s="10" t="s">
        <v>197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I534">
        <v>0</v>
      </c>
      <c r="J534">
        <f>DropAnalityka[[#This Row],[Sell Drop]]+IF(DropAnalityka[[#This Row],[Drop]]="Scroll", 2000*DropAnalityka[[#This Row],[Quality/Quantity]],0)</f>
        <v>8000</v>
      </c>
      <c r="K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2">
      <c r="A535" s="10" t="s">
        <v>239</v>
      </c>
      <c r="B535" t="s">
        <v>9</v>
      </c>
      <c r="C535">
        <v>8</v>
      </c>
      <c r="D535">
        <v>2498</v>
      </c>
      <c r="E535">
        <v>2</v>
      </c>
      <c r="F535" t="s">
        <v>61</v>
      </c>
      <c r="G535">
        <v>3</v>
      </c>
      <c r="I535">
        <v>0</v>
      </c>
      <c r="J535">
        <f>DropAnalityka[[#This Row],[Sell Drop]]+IF(DropAnalityka[[#This Row],[Drop]]="Scroll", 2000*DropAnalityka[[#This Row],[Quality/Quantity]],0)</f>
        <v>0</v>
      </c>
      <c r="K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2">
      <c r="A536" s="10" t="s">
        <v>239</v>
      </c>
      <c r="B536" t="s">
        <v>9</v>
      </c>
      <c r="C536">
        <v>7</v>
      </c>
      <c r="D536">
        <v>2073</v>
      </c>
      <c r="E536">
        <v>0</v>
      </c>
      <c r="F536" t="s">
        <v>234</v>
      </c>
      <c r="G536">
        <v>1</v>
      </c>
      <c r="I536">
        <v>0</v>
      </c>
      <c r="J536">
        <f>DropAnalityka[[#This Row],[Sell Drop]]+IF(DropAnalityka[[#This Row],[Drop]]="Scroll", 2000*DropAnalityka[[#This Row],[Quality/Quantity]],0)</f>
        <v>0</v>
      </c>
      <c r="K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2">
      <c r="A537" s="10" t="s">
        <v>239</v>
      </c>
      <c r="B537" t="s">
        <v>9</v>
      </c>
      <c r="C537">
        <v>7</v>
      </c>
      <c r="D537">
        <v>2143</v>
      </c>
      <c r="E537">
        <v>0</v>
      </c>
      <c r="F537" t="s">
        <v>61</v>
      </c>
      <c r="G537">
        <v>3</v>
      </c>
      <c r="I537">
        <v>0</v>
      </c>
      <c r="J537">
        <f>DropAnalityka[[#This Row],[Sell Drop]]+IF(DropAnalityka[[#This Row],[Drop]]="Scroll", 2000*DropAnalityka[[#This Row],[Quality/Quantity]],0)</f>
        <v>0</v>
      </c>
      <c r="K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2">
      <c r="A538" s="10" t="s">
        <v>239</v>
      </c>
      <c r="B538" t="s">
        <v>9</v>
      </c>
      <c r="C538">
        <v>7</v>
      </c>
      <c r="D538">
        <v>1852</v>
      </c>
      <c r="E538">
        <v>1</v>
      </c>
      <c r="F538" t="s">
        <v>234</v>
      </c>
      <c r="G538">
        <v>1</v>
      </c>
      <c r="I538">
        <v>0</v>
      </c>
      <c r="J538">
        <f>DropAnalityka[[#This Row],[Sell Drop]]+IF(DropAnalityka[[#This Row],[Drop]]="Scroll", 2000*DropAnalityka[[#This Row],[Quality/Quantity]],0)</f>
        <v>0</v>
      </c>
      <c r="K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2">
      <c r="A539" s="10" t="s">
        <v>239</v>
      </c>
      <c r="B539" t="s">
        <v>9</v>
      </c>
      <c r="C539">
        <v>7</v>
      </c>
      <c r="D539">
        <v>2417</v>
      </c>
      <c r="E539">
        <v>0</v>
      </c>
      <c r="F539" t="s">
        <v>235</v>
      </c>
      <c r="G539">
        <v>1</v>
      </c>
      <c r="I539">
        <v>0</v>
      </c>
      <c r="J539">
        <f>DropAnalityka[[#This Row],[Sell Drop]]+IF(DropAnalityka[[#This Row],[Drop]]="Scroll", 2000*DropAnalityka[[#This Row],[Quality/Quantity]],0)</f>
        <v>0</v>
      </c>
      <c r="K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2">
      <c r="A540" s="10" t="s">
        <v>239</v>
      </c>
      <c r="B540" t="s">
        <v>9</v>
      </c>
      <c r="C540">
        <v>8</v>
      </c>
      <c r="D540">
        <v>2146</v>
      </c>
      <c r="E540">
        <v>0</v>
      </c>
      <c r="F540" t="s">
        <v>234</v>
      </c>
      <c r="G540">
        <v>2</v>
      </c>
      <c r="I540">
        <v>0</v>
      </c>
      <c r="J540">
        <f>DropAnalityka[[#This Row],[Sell Drop]]+IF(DropAnalityka[[#This Row],[Drop]]="Scroll", 2000*DropAnalityka[[#This Row],[Quality/Quantity]],0)</f>
        <v>0</v>
      </c>
      <c r="K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2">
      <c r="A541" s="10" t="s">
        <v>239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I541">
        <v>0</v>
      </c>
      <c r="J541">
        <f>DropAnalityka[[#This Row],[Sell Drop]]+IF(DropAnalityka[[#This Row],[Drop]]="Scroll", 2000*DropAnalityka[[#This Row],[Quality/Quantity]],0)</f>
        <v>8000</v>
      </c>
      <c r="K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2">
      <c r="A542" s="10" t="s">
        <v>239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I542">
        <v>0</v>
      </c>
      <c r="J542">
        <f>DropAnalityka[[#This Row],[Sell Drop]]+IF(DropAnalityka[[#This Row],[Drop]]="Scroll", 2000*DropAnalityka[[#This Row],[Quality/Quantity]],0)</f>
        <v>8000</v>
      </c>
      <c r="K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2">
      <c r="A543" s="10" t="s">
        <v>239</v>
      </c>
      <c r="B543" t="s">
        <v>9</v>
      </c>
      <c r="C543">
        <v>8</v>
      </c>
      <c r="D543">
        <v>2223</v>
      </c>
      <c r="E543">
        <v>1</v>
      </c>
      <c r="F543" t="s">
        <v>61</v>
      </c>
      <c r="G543">
        <v>5</v>
      </c>
      <c r="I543">
        <v>0</v>
      </c>
      <c r="J543">
        <f>DropAnalityka[[#This Row],[Sell Drop]]+IF(DropAnalityka[[#This Row],[Drop]]="Scroll", 2000*DropAnalityka[[#This Row],[Quality/Quantity]],0)</f>
        <v>0</v>
      </c>
      <c r="K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2">
      <c r="A544" s="10" t="s">
        <v>239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I544">
        <v>0</v>
      </c>
      <c r="J544">
        <f>DropAnalityka[[#This Row],[Sell Drop]]+IF(DropAnalityka[[#This Row],[Drop]]="Scroll", 2000*DropAnalityka[[#This Row],[Quality/Quantity]],0)</f>
        <v>8000</v>
      </c>
      <c r="K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2">
      <c r="A545" s="10" t="s">
        <v>239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I545">
        <v>0</v>
      </c>
      <c r="J545">
        <f>DropAnalityka[[#This Row],[Sell Drop]]+IF(DropAnalityka[[#This Row],[Drop]]="Scroll", 2000*DropAnalityka[[#This Row],[Quality/Quantity]],0)</f>
        <v>8000</v>
      </c>
      <c r="K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2">
      <c r="A546" s="10" t="s">
        <v>239</v>
      </c>
      <c r="B546" t="s">
        <v>9</v>
      </c>
      <c r="C546">
        <v>8</v>
      </c>
      <c r="D546">
        <v>2404</v>
      </c>
      <c r="E546">
        <v>1</v>
      </c>
      <c r="F546" t="s">
        <v>61</v>
      </c>
      <c r="G546">
        <v>4</v>
      </c>
      <c r="I546">
        <v>0</v>
      </c>
      <c r="J546">
        <f>DropAnalityka[[#This Row],[Sell Drop]]+IF(DropAnalityka[[#This Row],[Drop]]="Scroll", 2000*DropAnalityka[[#This Row],[Quality/Quantity]],0)</f>
        <v>0</v>
      </c>
      <c r="K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2">
      <c r="A547" s="10" t="s">
        <v>239</v>
      </c>
      <c r="B547" t="s">
        <v>9</v>
      </c>
      <c r="C547">
        <v>8</v>
      </c>
      <c r="D547">
        <v>3017</v>
      </c>
      <c r="E547">
        <v>1</v>
      </c>
      <c r="F547" t="s">
        <v>61</v>
      </c>
      <c r="G547">
        <v>4</v>
      </c>
      <c r="I547">
        <v>0</v>
      </c>
      <c r="J547">
        <f>DropAnalityka[[#This Row],[Sell Drop]]+IF(DropAnalityka[[#This Row],[Drop]]="Scroll", 2000*DropAnalityka[[#This Row],[Quality/Quantity]],0)</f>
        <v>0</v>
      </c>
      <c r="K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2">
      <c r="A548" s="10" t="s">
        <v>239</v>
      </c>
      <c r="B548" t="s">
        <v>9</v>
      </c>
      <c r="C548">
        <v>8</v>
      </c>
      <c r="D548">
        <v>2175</v>
      </c>
      <c r="E548">
        <v>0</v>
      </c>
      <c r="F548" t="s">
        <v>168</v>
      </c>
      <c r="G548">
        <v>1</v>
      </c>
      <c r="I548">
        <v>0</v>
      </c>
      <c r="J548">
        <f>DropAnalityka[[#This Row],[Sell Drop]]+IF(DropAnalityka[[#This Row],[Drop]]="Scroll", 2000*DropAnalityka[[#This Row],[Quality/Quantity]],0)</f>
        <v>0</v>
      </c>
      <c r="K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2">
      <c r="A549" s="10" t="s">
        <v>239</v>
      </c>
      <c r="B549" t="s">
        <v>9</v>
      </c>
      <c r="C549">
        <v>8</v>
      </c>
      <c r="D549">
        <v>2276</v>
      </c>
      <c r="E549">
        <v>0</v>
      </c>
      <c r="F549" t="s">
        <v>61</v>
      </c>
      <c r="G549">
        <v>4</v>
      </c>
      <c r="I549">
        <v>0</v>
      </c>
      <c r="J549">
        <f>DropAnalityka[[#This Row],[Sell Drop]]+IF(DropAnalityka[[#This Row],[Drop]]="Scroll", 2000*DropAnalityka[[#This Row],[Quality/Quantity]],0)</f>
        <v>0</v>
      </c>
      <c r="K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2">
      <c r="A550" s="10" t="s">
        <v>239</v>
      </c>
      <c r="B550" t="s">
        <v>9</v>
      </c>
      <c r="C550">
        <v>8</v>
      </c>
      <c r="D550">
        <v>2576</v>
      </c>
      <c r="E550">
        <v>3</v>
      </c>
      <c r="F550" t="s">
        <v>61</v>
      </c>
      <c r="G550">
        <v>4</v>
      </c>
      <c r="I550">
        <v>0</v>
      </c>
      <c r="J550">
        <f>DropAnalityka[[#This Row],[Sell Drop]]+IF(DropAnalityka[[#This Row],[Drop]]="Scroll", 2000*DropAnalityka[[#This Row],[Quality/Quantity]],0)</f>
        <v>0</v>
      </c>
      <c r="K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2">
      <c r="A551" s="10" t="s">
        <v>239</v>
      </c>
      <c r="B551" t="s">
        <v>9</v>
      </c>
      <c r="C551">
        <v>8</v>
      </c>
      <c r="D551">
        <v>2058</v>
      </c>
      <c r="E551">
        <v>1</v>
      </c>
      <c r="F551" t="s">
        <v>61</v>
      </c>
      <c r="G551">
        <v>5</v>
      </c>
      <c r="I551">
        <v>0</v>
      </c>
      <c r="J551">
        <f>DropAnalityka[[#This Row],[Sell Drop]]+IF(DropAnalityka[[#This Row],[Drop]]="Scroll", 2000*DropAnalityka[[#This Row],[Quality/Quantity]],0)</f>
        <v>0</v>
      </c>
      <c r="K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2">
      <c r="A552" s="10" t="s">
        <v>239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I552">
        <v>0</v>
      </c>
      <c r="J552">
        <f>DropAnalityka[[#This Row],[Sell Drop]]+IF(DropAnalityka[[#This Row],[Drop]]="Scroll", 2000*DropAnalityka[[#This Row],[Quality/Quantity]],0)</f>
        <v>8000</v>
      </c>
      <c r="K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2">
      <c r="A553" s="10" t="s">
        <v>239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I553">
        <v>0</v>
      </c>
      <c r="J553">
        <f>DropAnalityka[[#This Row],[Sell Drop]]+IF(DropAnalityka[[#This Row],[Drop]]="Scroll", 2000*DropAnalityka[[#This Row],[Quality/Quantity]],0)</f>
        <v>8000</v>
      </c>
      <c r="K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2">
      <c r="A554" s="10" t="s">
        <v>239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I554">
        <v>0</v>
      </c>
      <c r="J554">
        <f>DropAnalityka[[#This Row],[Sell Drop]]+IF(DropAnalityka[[#This Row],[Drop]]="Scroll", 2000*DropAnalityka[[#This Row],[Quality/Quantity]],0)</f>
        <v>10000</v>
      </c>
      <c r="K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2">
      <c r="A555" s="10" t="s">
        <v>239</v>
      </c>
      <c r="B555" t="s">
        <v>9</v>
      </c>
      <c r="C555">
        <v>8</v>
      </c>
      <c r="D555">
        <v>2526</v>
      </c>
      <c r="E555">
        <v>0</v>
      </c>
      <c r="F555" t="s">
        <v>236</v>
      </c>
      <c r="G555">
        <v>1</v>
      </c>
      <c r="I555">
        <v>0</v>
      </c>
      <c r="J555">
        <f>DropAnalityka[[#This Row],[Sell Drop]]+IF(DropAnalityka[[#This Row],[Drop]]="Scroll", 2000*DropAnalityka[[#This Row],[Quality/Quantity]],0)</f>
        <v>0</v>
      </c>
      <c r="K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2">
      <c r="A556" s="10" t="s">
        <v>239</v>
      </c>
      <c r="B556" t="s">
        <v>9</v>
      </c>
      <c r="C556">
        <v>8</v>
      </c>
      <c r="D556">
        <v>2483</v>
      </c>
      <c r="E556">
        <v>3</v>
      </c>
      <c r="F556" t="s">
        <v>236</v>
      </c>
      <c r="G556">
        <v>1</v>
      </c>
      <c r="I556">
        <v>0</v>
      </c>
      <c r="J556">
        <f>DropAnalityka[[#This Row],[Sell Drop]]+IF(DropAnalityka[[#This Row],[Drop]]="Scroll", 2000*DropAnalityka[[#This Row],[Quality/Quantity]],0)</f>
        <v>0</v>
      </c>
      <c r="K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2">
      <c r="A557" s="10" t="s">
        <v>239</v>
      </c>
      <c r="B557" t="s">
        <v>9</v>
      </c>
      <c r="C557">
        <v>8</v>
      </c>
      <c r="D557">
        <v>2491</v>
      </c>
      <c r="E557">
        <v>0</v>
      </c>
      <c r="F557" t="s">
        <v>237</v>
      </c>
      <c r="G557">
        <v>0</v>
      </c>
      <c r="I557">
        <v>0</v>
      </c>
      <c r="J557">
        <f>DropAnalityka[[#This Row],[Sell Drop]]+IF(DropAnalityka[[#This Row],[Drop]]="Scroll", 2000*DropAnalityka[[#This Row],[Quality/Quantity]],0)</f>
        <v>0</v>
      </c>
      <c r="K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2">
      <c r="A558" s="10" t="s">
        <v>239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I558">
        <v>0</v>
      </c>
      <c r="J558">
        <f>DropAnalityka[[#This Row],[Sell Drop]]+IF(DropAnalityka[[#This Row],[Drop]]="Scroll", 2000*DropAnalityka[[#This Row],[Quality/Quantity]],0)</f>
        <v>8000</v>
      </c>
      <c r="K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2">
      <c r="A559" s="10" t="s">
        <v>239</v>
      </c>
      <c r="B559" t="s">
        <v>9</v>
      </c>
      <c r="C559">
        <v>8</v>
      </c>
      <c r="D559">
        <v>2671</v>
      </c>
      <c r="E559">
        <v>2</v>
      </c>
      <c r="F559" t="s">
        <v>61</v>
      </c>
      <c r="G559">
        <v>4</v>
      </c>
      <c r="I559">
        <v>0</v>
      </c>
      <c r="J559">
        <f>DropAnalityka[[#This Row],[Sell Drop]]+IF(DropAnalityka[[#This Row],[Drop]]="Scroll", 2000*DropAnalityka[[#This Row],[Quality/Quantity]],0)</f>
        <v>0</v>
      </c>
      <c r="K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2">
      <c r="A560" s="10" t="s">
        <v>239</v>
      </c>
      <c r="B560" t="s">
        <v>9</v>
      </c>
      <c r="C560">
        <v>8</v>
      </c>
      <c r="D560">
        <v>2186</v>
      </c>
      <c r="E560">
        <v>1</v>
      </c>
      <c r="F560" t="s">
        <v>238</v>
      </c>
      <c r="G560" t="s">
        <v>17</v>
      </c>
      <c r="I560">
        <v>0</v>
      </c>
      <c r="J560">
        <f>DropAnalityka[[#This Row],[Sell Drop]]+IF(DropAnalityka[[#This Row],[Drop]]="Scroll", 2000*DropAnalityka[[#This Row],[Quality/Quantity]],0)</f>
        <v>0</v>
      </c>
      <c r="K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2">
      <c r="A561" s="10" t="s">
        <v>239</v>
      </c>
      <c r="B561" t="s">
        <v>9</v>
      </c>
      <c r="C561">
        <v>8</v>
      </c>
      <c r="D561">
        <v>2316</v>
      </c>
      <c r="E561">
        <v>0</v>
      </c>
      <c r="F561" t="s">
        <v>61</v>
      </c>
      <c r="G561">
        <v>3</v>
      </c>
      <c r="I561">
        <v>0</v>
      </c>
      <c r="J561">
        <f>DropAnalityka[[#This Row],[Sell Drop]]+IF(DropAnalityka[[#This Row],[Drop]]="Scroll", 2000*DropAnalityka[[#This Row],[Quality/Quantity]],0)</f>
        <v>0</v>
      </c>
      <c r="K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2">
      <c r="A562" s="10" t="s">
        <v>239</v>
      </c>
      <c r="B562" t="s">
        <v>9</v>
      </c>
      <c r="C562">
        <v>8</v>
      </c>
      <c r="D562">
        <v>2046</v>
      </c>
      <c r="E562">
        <v>1</v>
      </c>
      <c r="F562" t="s">
        <v>61</v>
      </c>
      <c r="G562">
        <v>4</v>
      </c>
      <c r="I562">
        <v>0</v>
      </c>
      <c r="J562">
        <f>DropAnalityka[[#This Row],[Sell Drop]]+IF(DropAnalityka[[#This Row],[Drop]]="Scroll", 2000*DropAnalityka[[#This Row],[Quality/Quantity]],0)</f>
        <v>0</v>
      </c>
      <c r="K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2">
      <c r="A563" s="10" t="s">
        <v>239</v>
      </c>
      <c r="B563" t="s">
        <v>9</v>
      </c>
      <c r="C563">
        <v>8</v>
      </c>
      <c r="D563">
        <v>2303</v>
      </c>
      <c r="E563">
        <v>3</v>
      </c>
      <c r="F563" t="s">
        <v>234</v>
      </c>
      <c r="G563">
        <v>1</v>
      </c>
      <c r="I563">
        <v>0</v>
      </c>
      <c r="J563">
        <f>DropAnalityka[[#This Row],[Sell Drop]]+IF(DropAnalityka[[#This Row],[Drop]]="Scroll", 2000*DropAnalityka[[#This Row],[Quality/Quantity]],0)</f>
        <v>0</v>
      </c>
      <c r="K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2">
      <c r="A564" s="10" t="s">
        <v>239</v>
      </c>
      <c r="B564" t="s">
        <v>9</v>
      </c>
      <c r="C564">
        <v>8</v>
      </c>
      <c r="D564">
        <v>2396</v>
      </c>
      <c r="E564">
        <v>1</v>
      </c>
      <c r="F564" t="s">
        <v>234</v>
      </c>
      <c r="G564">
        <v>1</v>
      </c>
      <c r="I564">
        <v>0</v>
      </c>
      <c r="J564">
        <f>DropAnalityka[[#This Row],[Sell Drop]]+IF(DropAnalityka[[#This Row],[Drop]]="Scroll", 2000*DropAnalityka[[#This Row],[Quality/Quantity]],0)</f>
        <v>0</v>
      </c>
      <c r="K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2">
      <c r="A565" s="10" t="s">
        <v>239</v>
      </c>
      <c r="B565" t="s">
        <v>9</v>
      </c>
      <c r="C565">
        <v>8</v>
      </c>
      <c r="D565">
        <v>2325</v>
      </c>
      <c r="E565">
        <v>1</v>
      </c>
      <c r="F565" t="s">
        <v>236</v>
      </c>
      <c r="G565">
        <v>2</v>
      </c>
      <c r="I565">
        <v>0</v>
      </c>
      <c r="J565">
        <f>DropAnalityka[[#This Row],[Sell Drop]]+IF(DropAnalityka[[#This Row],[Drop]]="Scroll", 2000*DropAnalityka[[#This Row],[Quality/Quantity]],0)</f>
        <v>0</v>
      </c>
      <c r="K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2">
      <c r="A566" s="10" t="s">
        <v>239</v>
      </c>
      <c r="B566" t="s">
        <v>9</v>
      </c>
      <c r="C566">
        <v>8</v>
      </c>
      <c r="D566">
        <v>2398</v>
      </c>
      <c r="E566">
        <v>1</v>
      </c>
      <c r="F566" t="s">
        <v>61</v>
      </c>
      <c r="G566">
        <v>3</v>
      </c>
      <c r="I566">
        <v>0</v>
      </c>
      <c r="J566">
        <f>DropAnalityka[[#This Row],[Sell Drop]]+IF(DropAnalityka[[#This Row],[Drop]]="Scroll", 2000*DropAnalityka[[#This Row],[Quality/Quantity]],0)</f>
        <v>0</v>
      </c>
      <c r="K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2">
      <c r="A567" s="10" t="s">
        <v>239</v>
      </c>
      <c r="B567" t="s">
        <v>9</v>
      </c>
      <c r="C567">
        <v>8</v>
      </c>
      <c r="D567">
        <v>2668</v>
      </c>
      <c r="E567">
        <v>0</v>
      </c>
      <c r="F567" t="s">
        <v>236</v>
      </c>
      <c r="G567">
        <v>3</v>
      </c>
      <c r="I567">
        <v>0</v>
      </c>
      <c r="J567">
        <f>DropAnalityka[[#This Row],[Sell Drop]]+IF(DropAnalityka[[#This Row],[Drop]]="Scroll", 2000*DropAnalityka[[#This Row],[Quality/Quantity]],0)</f>
        <v>0</v>
      </c>
      <c r="K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62</v>
      </c>
      <c r="G568">
        <v>2</v>
      </c>
      <c r="I568">
        <v>0</v>
      </c>
      <c r="J568">
        <f>DropAnalityka[[#This Row],[Sell Drop]]+IF(DropAnalityka[[#This Row],[Drop]]="Scroll", 2000*DropAnalityka[[#This Row],[Quality/Quantity]],0)</f>
        <v>0</v>
      </c>
      <c r="K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62</v>
      </c>
      <c r="G569">
        <v>1</v>
      </c>
      <c r="I569">
        <v>0</v>
      </c>
      <c r="J569">
        <f>DropAnalityka[[#This Row],[Sell Drop]]+IF(DropAnalityka[[#This Row],[Drop]]="Scroll", 2000*DropAnalityka[[#This Row],[Quality/Quantity]],0)</f>
        <v>0</v>
      </c>
      <c r="K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63</v>
      </c>
      <c r="G570">
        <v>4</v>
      </c>
      <c r="I570">
        <v>0</v>
      </c>
      <c r="J570">
        <f>DropAnalityka[[#This Row],[Sell Drop]]+IF(DropAnalityka[[#This Row],[Drop]]="Scroll", 2000*DropAnalityka[[#This Row],[Quality/Quantity]],0)</f>
        <v>0</v>
      </c>
      <c r="K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62</v>
      </c>
      <c r="G571">
        <v>1</v>
      </c>
      <c r="I571">
        <v>0</v>
      </c>
      <c r="J571">
        <f>DropAnalityka[[#This Row],[Sell Drop]]+IF(DropAnalityka[[#This Row],[Drop]]="Scroll", 2000*DropAnalityka[[#This Row],[Quality/Quantity]],0)</f>
        <v>0</v>
      </c>
      <c r="K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62</v>
      </c>
      <c r="G572">
        <v>1</v>
      </c>
      <c r="I572">
        <v>0</v>
      </c>
      <c r="J572">
        <f>DropAnalityka[[#This Row],[Sell Drop]]+IF(DropAnalityka[[#This Row],[Drop]]="Scroll", 2000*DropAnalityka[[#This Row],[Quality/Quantity]],0)</f>
        <v>0</v>
      </c>
      <c r="K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63</v>
      </c>
      <c r="G573">
        <v>4</v>
      </c>
      <c r="I573">
        <v>0</v>
      </c>
      <c r="J573">
        <f>DropAnalityka[[#This Row],[Sell Drop]]+IF(DropAnalityka[[#This Row],[Drop]]="Scroll", 2000*DropAnalityka[[#This Row],[Quality/Quantity]],0)</f>
        <v>0</v>
      </c>
      <c r="K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62</v>
      </c>
      <c r="G574">
        <v>3</v>
      </c>
      <c r="I574">
        <v>0</v>
      </c>
      <c r="J574">
        <f>DropAnalityka[[#This Row],[Sell Drop]]+IF(DropAnalityka[[#This Row],[Drop]]="Scroll", 2000*DropAnalityka[[#This Row],[Quality/Quantity]],0)</f>
        <v>0</v>
      </c>
      <c r="K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62</v>
      </c>
      <c r="G575">
        <v>3</v>
      </c>
      <c r="I575">
        <v>0</v>
      </c>
      <c r="J575">
        <f>DropAnalityka[[#This Row],[Sell Drop]]+IF(DropAnalityka[[#This Row],[Drop]]="Scroll", 2000*DropAnalityka[[#This Row],[Quality/Quantity]],0)</f>
        <v>0</v>
      </c>
      <c r="K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63</v>
      </c>
      <c r="G576">
        <v>4</v>
      </c>
      <c r="I576">
        <v>0</v>
      </c>
      <c r="J576">
        <f>DropAnalityka[[#This Row],[Sell Drop]]+IF(DropAnalityka[[#This Row],[Drop]]="Scroll", 2000*DropAnalityka[[#This Row],[Quality/Quantity]],0)</f>
        <v>0</v>
      </c>
      <c r="K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63</v>
      </c>
      <c r="G577">
        <v>3</v>
      </c>
      <c r="I577">
        <v>0</v>
      </c>
      <c r="J577">
        <f>DropAnalityka[[#This Row],[Sell Drop]]+IF(DropAnalityka[[#This Row],[Drop]]="Scroll", 2000*DropAnalityka[[#This Row],[Quality/Quantity]],0)</f>
        <v>0</v>
      </c>
      <c r="K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61</v>
      </c>
      <c r="G578">
        <v>3</v>
      </c>
      <c r="I578">
        <v>0</v>
      </c>
      <c r="J578">
        <f>DropAnalityka[[#This Row],[Sell Drop]]+IF(DropAnalityka[[#This Row],[Drop]]="Scroll", 2000*DropAnalityka[[#This Row],[Quality/Quantity]],0)</f>
        <v>0</v>
      </c>
      <c r="K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63</v>
      </c>
      <c r="G579">
        <v>5</v>
      </c>
      <c r="I579">
        <v>0</v>
      </c>
      <c r="J579">
        <f>DropAnalityka[[#This Row],[Sell Drop]]+IF(DropAnalityka[[#This Row],[Drop]]="Scroll", 2000*DropAnalityka[[#This Row],[Quality/Quantity]],0)</f>
        <v>0</v>
      </c>
      <c r="K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I580">
        <v>0</v>
      </c>
      <c r="J580">
        <f>DropAnalityka[[#This Row],[Sell Drop]]+IF(DropAnalityka[[#This Row],[Drop]]="Scroll", 2000*DropAnalityka[[#This Row],[Quality/Quantity]],0)</f>
        <v>8000</v>
      </c>
      <c r="K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168</v>
      </c>
      <c r="G581">
        <v>1</v>
      </c>
      <c r="I581">
        <v>0</v>
      </c>
      <c r="J581">
        <f>DropAnalityka[[#This Row],[Sell Drop]]+IF(DropAnalityka[[#This Row],[Drop]]="Scroll", 2000*DropAnalityka[[#This Row],[Quality/Quantity]],0)</f>
        <v>0</v>
      </c>
      <c r="K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63</v>
      </c>
      <c r="G582">
        <v>3</v>
      </c>
      <c r="I582">
        <v>0</v>
      </c>
      <c r="J582">
        <f>DropAnalityka[[#This Row],[Sell Drop]]+IF(DropAnalityka[[#This Row],[Drop]]="Scroll", 2000*DropAnalityka[[#This Row],[Quality/Quantity]],0)</f>
        <v>0</v>
      </c>
      <c r="K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240</v>
      </c>
      <c r="G583">
        <v>2</v>
      </c>
      <c r="I583">
        <v>0</v>
      </c>
      <c r="J583">
        <f>DropAnalityka[[#This Row],[Sell Drop]]+IF(DropAnalityka[[#This Row],[Drop]]="Scroll", 2000*DropAnalityka[[#This Row],[Quality/Quantity]],0)</f>
        <v>0</v>
      </c>
      <c r="K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2">
      <c r="A584" s="10" t="s">
        <v>197</v>
      </c>
      <c r="B584" t="s">
        <v>9</v>
      </c>
      <c r="C584">
        <v>6</v>
      </c>
      <c r="D584">
        <v>2097</v>
      </c>
      <c r="E584">
        <v>2</v>
      </c>
      <c r="F584" t="s">
        <v>96</v>
      </c>
      <c r="G584" t="s">
        <v>27</v>
      </c>
      <c r="H584" t="s">
        <v>243</v>
      </c>
      <c r="I584">
        <v>3307</v>
      </c>
      <c r="J584">
        <f>DropAnalityka[[#This Row],[Sell Drop]]+IF(DropAnalityka[[#This Row],[Drop]]="Scroll", 2000*DropAnalityka[[#This Row],[Quality/Quantity]],0)</f>
        <v>3307</v>
      </c>
      <c r="K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Drop]]+IF(DropAnalityka[[#This Row],[Drop]]="Scroll", 2000*DropAnalityka[[#This Row],[Quality/Quantity]],0)</f>
        <v>1824</v>
      </c>
      <c r="K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 t="s">
        <v>12</v>
      </c>
      <c r="I586">
        <v>0</v>
      </c>
      <c r="J586">
        <f>DropAnalityka[[#This Row],[Sell Drop]]+IF(DropAnalityka[[#This Row],[Drop]]="Scroll", 2000*DropAnalityka[[#This Row],[Quality/Quantity]],0)</f>
        <v>0</v>
      </c>
      <c r="K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 t="s">
        <v>12</v>
      </c>
      <c r="I587">
        <v>0</v>
      </c>
      <c r="J587">
        <f>DropAnalityka[[#This Row],[Sell Drop]]+IF(DropAnalityka[[#This Row],[Drop]]="Scroll", 2000*DropAnalityka[[#This Row],[Quality/Quantity]],0)</f>
        <v>0</v>
      </c>
      <c r="K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Drop]]+IF(DropAnalityka[[#This Row],[Drop]]="Scroll", 2000*DropAnalityka[[#This Row],[Quality/Quantity]],0)</f>
        <v>1824</v>
      </c>
      <c r="K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I589">
        <v>0</v>
      </c>
      <c r="J589">
        <f>DropAnalityka[[#This Row],[Sell Drop]]+IF(DropAnalityka[[#This Row],[Drop]]="Scroll", 2000*DropAnalityka[[#This Row],[Quality/Quantity]],0)</f>
        <v>4000</v>
      </c>
      <c r="K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I590">
        <v>0</v>
      </c>
      <c r="J590">
        <f>DropAnalityka[[#This Row],[Sell Drop]]+IF(DropAnalityka[[#This Row],[Drop]]="Scroll", 2000*DropAnalityka[[#This Row],[Quality/Quantity]],0)</f>
        <v>4000</v>
      </c>
      <c r="K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Drop]]+IF(DropAnalityka[[#This Row],[Drop]]="Scroll", 2000*DropAnalityka[[#This Row],[Quality/Quantity]],0)</f>
        <v>1824</v>
      </c>
      <c r="K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I592">
        <v>0</v>
      </c>
      <c r="J592">
        <f>DropAnalityka[[#This Row],[Sell Drop]]+IF(DropAnalityka[[#This Row],[Drop]]="Scroll", 2000*DropAnalityka[[#This Row],[Quality/Quantity]],0)</f>
        <v>4000</v>
      </c>
      <c r="K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Drop]]+IF(DropAnalityka[[#This Row],[Drop]]="Scroll", 2000*DropAnalityka[[#This Row],[Quality/Quantity]],0)</f>
        <v>3182</v>
      </c>
      <c r="K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Drop]]+IF(DropAnalityka[[#This Row],[Drop]]="Scroll", 2000*DropAnalityka[[#This Row],[Quality/Quantity]],0)</f>
        <v>3427</v>
      </c>
      <c r="K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Drop]]+IF(DropAnalityka[[#This Row],[Drop]]="Scroll", 2000*DropAnalityka[[#This Row],[Quality/Quantity]],0)</f>
        <v>1824</v>
      </c>
      <c r="K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Drop]]+IF(DropAnalityka[[#This Row],[Drop]]="Scroll", 2000*DropAnalityka[[#This Row],[Quality/Quantity]],0)</f>
        <v>1824</v>
      </c>
      <c r="K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Drop]]+IF(DropAnalityka[[#This Row],[Drop]]="Scroll", 2000*DropAnalityka[[#This Row],[Quality/Quantity]],0)</f>
        <v>1824</v>
      </c>
      <c r="K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Drop]]+IF(DropAnalityka[[#This Row],[Drop]]="Scroll", 2000*DropAnalityka[[#This Row],[Quality/Quantity]],0)</f>
        <v>1824</v>
      </c>
      <c r="K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I599">
        <v>0</v>
      </c>
      <c r="J599">
        <f>DropAnalityka[[#This Row],[Sell Drop]]+IF(DropAnalityka[[#This Row],[Drop]]="Scroll", 2000*DropAnalityka[[#This Row],[Quality/Quantity]],0)</f>
        <v>4000</v>
      </c>
      <c r="K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Drop]]+IF(DropAnalityka[[#This Row],[Drop]]="Scroll", 2000*DropAnalityka[[#This Row],[Quality/Quantity]],0)</f>
        <v>2280</v>
      </c>
      <c r="K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Drop]]+IF(DropAnalityka[[#This Row],[Drop]]="Scroll", 2000*DropAnalityka[[#This Row],[Quality/Quantity]],0)</f>
        <v>1824</v>
      </c>
      <c r="K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Drop]]+IF(DropAnalityka[[#This Row],[Drop]]="Scroll", 2000*DropAnalityka[[#This Row],[Quality/Quantity]],0)</f>
        <v>1824</v>
      </c>
      <c r="K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Drop]]+IF(DropAnalityka[[#This Row],[Drop]]="Scroll", 2000*DropAnalityka[[#This Row],[Quality/Quantity]],0)</f>
        <v>2128</v>
      </c>
      <c r="K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 t="s">
        <v>12</v>
      </c>
      <c r="I604">
        <v>0</v>
      </c>
      <c r="J604">
        <f>DropAnalityka[[#This Row],[Sell Drop]]+IF(DropAnalityka[[#This Row],[Drop]]="Scroll", 2000*DropAnalityka[[#This Row],[Quality/Quantity]],0)</f>
        <v>0</v>
      </c>
      <c r="K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I605">
        <v>0</v>
      </c>
      <c r="J605">
        <f>DropAnalityka[[#This Row],[Sell Drop]]+IF(DropAnalityka[[#This Row],[Drop]]="Scroll", 2000*DropAnalityka[[#This Row],[Quality/Quantity]],0)</f>
        <v>4000</v>
      </c>
      <c r="K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I606">
        <v>0</v>
      </c>
      <c r="J606">
        <f>DropAnalityka[[#This Row],[Sell Drop]]+IF(DropAnalityka[[#This Row],[Drop]]="Scroll", 2000*DropAnalityka[[#This Row],[Quality/Quantity]],0)</f>
        <v>4000</v>
      </c>
      <c r="K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Drop]]+IF(DropAnalityka[[#This Row],[Drop]]="Scroll", 2000*DropAnalityka[[#This Row],[Quality/Quantity]],0)</f>
        <v>1824</v>
      </c>
      <c r="K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I608">
        <v>0</v>
      </c>
      <c r="J608">
        <f>DropAnalityka[[#This Row],[Sell Drop]]+IF(DropAnalityka[[#This Row],[Drop]]="Scroll", 2000*DropAnalityka[[#This Row],[Quality/Quantity]],0)</f>
        <v>4000</v>
      </c>
      <c r="K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Drop]]+IF(DropAnalityka[[#This Row],[Drop]]="Scroll", 2000*DropAnalityka[[#This Row],[Quality/Quantity]],0)</f>
        <v>1976</v>
      </c>
      <c r="K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Drop]]+IF(DropAnalityka[[#This Row],[Drop]]="Scroll", 2000*DropAnalityka[[#This Row],[Quality/Quantity]],0)</f>
        <v>1824</v>
      </c>
      <c r="K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 t="s">
        <v>12</v>
      </c>
      <c r="I611">
        <v>0</v>
      </c>
      <c r="J611">
        <f>DropAnalityka[[#This Row],[Sell Drop]]+IF(DropAnalityka[[#This Row],[Drop]]="Scroll", 2000*DropAnalityka[[#This Row],[Quality/Quantity]],0)</f>
        <v>0</v>
      </c>
      <c r="K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Drop]]+IF(DropAnalityka[[#This Row],[Drop]]="Scroll", 2000*DropAnalityka[[#This Row],[Quality/Quantity]],0)</f>
        <v>2937</v>
      </c>
      <c r="K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Drop]]+IF(DropAnalityka[[#This Row],[Drop]]="Scroll", 2000*DropAnalityka[[#This Row],[Quality/Quantity]],0)</f>
        <v>1824</v>
      </c>
      <c r="K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Drop]]+IF(DropAnalityka[[#This Row],[Drop]]="Scroll", 2000*DropAnalityka[[#This Row],[Quality/Quantity]],0)</f>
        <v>1824</v>
      </c>
      <c r="K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Drop]]+IF(DropAnalityka[[#This Row],[Drop]]="Scroll", 2000*DropAnalityka[[#This Row],[Quality/Quantity]],0)</f>
        <v>3427</v>
      </c>
      <c r="K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Drop]]+IF(DropAnalityka[[#This Row],[Drop]]="Scroll", 2000*DropAnalityka[[#This Row],[Quality/Quantity]],0)</f>
        <v>1159</v>
      </c>
      <c r="K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Drop]]+IF(DropAnalityka[[#This Row],[Drop]]="Scroll", 2000*DropAnalityka[[#This Row],[Quality/Quantity]],0)</f>
        <v>1159</v>
      </c>
      <c r="K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Drop]]+IF(DropAnalityka[[#This Row],[Drop]]="Scroll", 2000*DropAnalityka[[#This Row],[Quality/Quantity]],0)</f>
        <v>1159</v>
      </c>
      <c r="K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I619">
        <v>0</v>
      </c>
      <c r="J619">
        <f>DropAnalityka[[#This Row],[Sell Drop]]+IF(DropAnalityka[[#This Row],[Drop]]="Scroll", 2000*DropAnalityka[[#This Row],[Quality/Quantity]],0)</f>
        <v>4000</v>
      </c>
      <c r="K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I620">
        <v>0</v>
      </c>
      <c r="J620">
        <f>DropAnalityka[[#This Row],[Sell Drop]]+IF(DropAnalityka[[#This Row],[Drop]]="Scroll", 2000*DropAnalityka[[#This Row],[Quality/Quantity]],0)</f>
        <v>4000</v>
      </c>
      <c r="K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I621">
        <v>0</v>
      </c>
      <c r="J621">
        <f>DropAnalityka[[#This Row],[Sell Drop]]+IF(DropAnalityka[[#This Row],[Drop]]="Scroll", 2000*DropAnalityka[[#This Row],[Quality/Quantity]],0)</f>
        <v>4000</v>
      </c>
      <c r="K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Drop]]+IF(DropAnalityka[[#This Row],[Drop]]="Scroll", 2000*DropAnalityka[[#This Row],[Quality/Quantity]],0)</f>
        <v>1824</v>
      </c>
      <c r="K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Drop]]+IF(DropAnalityka[[#This Row],[Drop]]="Scroll", 2000*DropAnalityka[[#This Row],[Quality/Quantity]],0)</f>
        <v>1976</v>
      </c>
      <c r="K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Drop]]+IF(DropAnalityka[[#This Row],[Drop]]="Scroll", 2000*DropAnalityka[[#This Row],[Quality/Quantity]],0)</f>
        <v>1976</v>
      </c>
      <c r="K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Drop]]+IF(DropAnalityka[[#This Row],[Drop]]="Scroll", 2000*DropAnalityka[[#This Row],[Quality/Quantity]],0)</f>
        <v>1824</v>
      </c>
      <c r="K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Drop]]+IF(DropAnalityka[[#This Row],[Drop]]="Scroll", 2000*DropAnalityka[[#This Row],[Quality/Quantity]],0)</f>
        <v>1824</v>
      </c>
      <c r="K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Drop]]+IF(DropAnalityka[[#This Row],[Drop]]="Scroll", 2000*DropAnalityka[[#This Row],[Quality/Quantity]],0)</f>
        <v>2937</v>
      </c>
      <c r="K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Drop]]+IF(DropAnalityka[[#This Row],[Drop]]="Scroll", 2000*DropAnalityka[[#This Row],[Quality/Quantity]],0)</f>
        <v>1824</v>
      </c>
      <c r="K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Drop]]+IF(DropAnalityka[[#This Row],[Drop]]="Scroll", 2000*DropAnalityka[[#This Row],[Quality/Quantity]],0)</f>
        <v>1824</v>
      </c>
      <c r="K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Drop]]+IF(DropAnalityka[[#This Row],[Drop]]="Scroll", 2000*DropAnalityka[[#This Row],[Quality/Quantity]],0)</f>
        <v>1824</v>
      </c>
      <c r="K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Drop]]+IF(DropAnalityka[[#This Row],[Drop]]="Scroll", 2000*DropAnalityka[[#This Row],[Quality/Quantity]],0)</f>
        <v>1824</v>
      </c>
      <c r="K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Drop]]+IF(DropAnalityka[[#This Row],[Drop]]="Scroll", 2000*DropAnalityka[[#This Row],[Quality/Quantity]],0)</f>
        <v>2937</v>
      </c>
      <c r="K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Drop]]+IF(DropAnalityka[[#This Row],[Drop]]="Scroll", 2000*DropAnalityka[[#This Row],[Quality/Quantity]],0)</f>
        <v>3182</v>
      </c>
      <c r="K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Drop]]+IF(DropAnalityka[[#This Row],[Drop]]="Scroll", 2000*DropAnalityka[[#This Row],[Quality/Quantity]],0)</f>
        <v>2128</v>
      </c>
      <c r="K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I635">
        <v>0</v>
      </c>
      <c r="J635">
        <f>DropAnalityka[[#This Row],[Sell Drop]]+IF(DropAnalityka[[#This Row],[Drop]]="Scroll", 2000*DropAnalityka[[#This Row],[Quality/Quantity]],0)</f>
        <v>4000</v>
      </c>
      <c r="K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Drop]]+IF(DropAnalityka[[#This Row],[Drop]]="Scroll", 2000*DropAnalityka[[#This Row],[Quality/Quantity]],0)</f>
        <v>1352</v>
      </c>
      <c r="K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I637">
        <v>0</v>
      </c>
      <c r="J637">
        <f>DropAnalityka[[#This Row],[Sell Drop]]+IF(DropAnalityka[[#This Row],[Drop]]="Scroll", 2000*DropAnalityka[[#This Row],[Quality/Quantity]],0)</f>
        <v>6000</v>
      </c>
      <c r="K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Drop]]+IF(DropAnalityka[[#This Row],[Drop]]="Scroll", 2000*DropAnalityka[[#This Row],[Quality/Quantity]],0)</f>
        <v>1352</v>
      </c>
      <c r="K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Drop]]+IF(DropAnalityka[[#This Row],[Drop]]="Scroll", 2000*DropAnalityka[[#This Row],[Quality/Quantity]],0)</f>
        <v>1352</v>
      </c>
      <c r="K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Drop]]+IF(DropAnalityka[[#This Row],[Drop]]="Scroll", 2000*DropAnalityka[[#This Row],[Quality/Quantity]],0)</f>
        <v>2411</v>
      </c>
      <c r="K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Drop]]+IF(DropAnalityka[[#This Row],[Drop]]="Scroll", 2000*DropAnalityka[[#This Row],[Quality/Quantity]],0)</f>
        <v>2067</v>
      </c>
      <c r="K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Drop]]+IF(DropAnalityka[[#This Row],[Drop]]="Scroll", 2000*DropAnalityka[[#This Row],[Quality/Quantity]],0)</f>
        <v>1159</v>
      </c>
      <c r="K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Drop]]+IF(DropAnalityka[[#This Row],[Drop]]="Scroll", 2000*DropAnalityka[[#This Row],[Quality/Quantity]],0)</f>
        <v>1159</v>
      </c>
      <c r="K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Drop]]+IF(DropAnalityka[[#This Row],[Drop]]="Scroll", 2000*DropAnalityka[[#This Row],[Quality/Quantity]],0)</f>
        <v>2067</v>
      </c>
      <c r="K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Drop]]+IF(DropAnalityka[[#This Row],[Drop]]="Scroll", 2000*DropAnalityka[[#This Row],[Quality/Quantity]],0)</f>
        <v>1546</v>
      </c>
      <c r="K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Drop]]+IF(DropAnalityka[[#This Row],[Drop]]="Scroll", 2000*DropAnalityka[[#This Row],[Quality/Quantity]],0)</f>
        <v>1159</v>
      </c>
      <c r="K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Drop]]+IF(DropAnalityka[[#This Row],[Drop]]="Scroll", 2000*DropAnalityka[[#This Row],[Quality/Quantity]],0)</f>
        <v>2067</v>
      </c>
      <c r="K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I648">
        <v>0</v>
      </c>
      <c r="J648">
        <f>DropAnalityka[[#This Row],[Sell Drop]]+IF(DropAnalityka[[#This Row],[Drop]]="Scroll", 2000*DropAnalityka[[#This Row],[Quality/Quantity]],0)</f>
        <v>6000</v>
      </c>
      <c r="K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Drop]]+IF(DropAnalityka[[#This Row],[Drop]]="Scroll", 2000*DropAnalityka[[#This Row],[Quality/Quantity]],0)</f>
        <v>1159</v>
      </c>
      <c r="K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Drop]]+IF(DropAnalityka[[#This Row],[Drop]]="Scroll", 2000*DropAnalityka[[#This Row],[Quality/Quantity]],0)</f>
        <v>1159</v>
      </c>
      <c r="K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Drop]]+IF(DropAnalityka[[#This Row],[Drop]]="Scroll", 2000*DropAnalityka[[#This Row],[Quality/Quantity]],0)</f>
        <v>1159</v>
      </c>
      <c r="K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Drop]]+IF(DropAnalityka[[#This Row],[Drop]]="Scroll", 2000*DropAnalityka[[#This Row],[Quality/Quantity]],0)</f>
        <v>1159</v>
      </c>
      <c r="K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I653">
        <v>0</v>
      </c>
      <c r="J653">
        <f>DropAnalityka[[#This Row],[Sell Drop]]+IF(DropAnalityka[[#This Row],[Drop]]="Scroll", 2000*DropAnalityka[[#This Row],[Quality/Quantity]],0)</f>
        <v>6000</v>
      </c>
      <c r="K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Drop]]+IF(DropAnalityka[[#This Row],[Drop]]="Scroll", 2000*DropAnalityka[[#This Row],[Quality/Quantity]],0)</f>
        <v>1824</v>
      </c>
      <c r="K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63</v>
      </c>
      <c r="G655">
        <v>4</v>
      </c>
      <c r="I655">
        <v>0</v>
      </c>
      <c r="J655">
        <f>DropAnalityka[[#This Row],[Sell Drop]]+IF(DropAnalityka[[#This Row],[Drop]]="Scroll", 2000*DropAnalityka[[#This Row],[Quality/Quantity]],0)</f>
        <v>0</v>
      </c>
      <c r="K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240</v>
      </c>
      <c r="G656">
        <v>1</v>
      </c>
      <c r="I656">
        <v>0</v>
      </c>
      <c r="J656">
        <f>DropAnalityka[[#This Row],[Sell Drop]]+IF(DropAnalityka[[#This Row],[Drop]]="Scroll", 2000*DropAnalityka[[#This Row],[Quality/Quantity]],0)</f>
        <v>0</v>
      </c>
      <c r="K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62</v>
      </c>
      <c r="G657">
        <v>1</v>
      </c>
      <c r="I657">
        <v>0</v>
      </c>
      <c r="J657">
        <f>DropAnalityka[[#This Row],[Sell Drop]]+IF(DropAnalityka[[#This Row],[Drop]]="Scroll", 2000*DropAnalityka[[#This Row],[Quality/Quantity]],0)</f>
        <v>0</v>
      </c>
      <c r="K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234</v>
      </c>
      <c r="G658">
        <v>1</v>
      </c>
      <c r="I658">
        <v>0</v>
      </c>
      <c r="J658">
        <f>DropAnalityka[[#This Row],[Sell Drop]]+IF(DropAnalityka[[#This Row],[Drop]]="Scroll", 2000*DropAnalityka[[#This Row],[Quality/Quantity]],0)</f>
        <v>0</v>
      </c>
      <c r="K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307</v>
      </c>
      <c r="I659">
        <v>0</v>
      </c>
      <c r="J659">
        <f>DropAnalityka[[#This Row],[Sell Drop]]+IF(DropAnalityka[[#This Row],[Drop]]="Scroll", 2000*DropAnalityka[[#This Row],[Quality/Quantity]],0)</f>
        <v>8000</v>
      </c>
      <c r="K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62</v>
      </c>
      <c r="G660">
        <v>1</v>
      </c>
      <c r="I660">
        <v>0</v>
      </c>
      <c r="J660">
        <f>DropAnalityka[[#This Row],[Sell Drop]]+IF(DropAnalityka[[#This Row],[Drop]]="Scroll", 2000*DropAnalityka[[#This Row],[Quality/Quantity]],0)</f>
        <v>0</v>
      </c>
      <c r="K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I661">
        <v>0</v>
      </c>
      <c r="J661">
        <f>DropAnalityka[[#This Row],[Sell Drop]]+IF(DropAnalityka[[#This Row],[Drop]]="Scroll", 2000*DropAnalityka[[#This Row],[Quality/Quantity]],0)</f>
        <v>8000</v>
      </c>
      <c r="K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62</v>
      </c>
      <c r="G662">
        <v>1</v>
      </c>
      <c r="I662">
        <v>0</v>
      </c>
      <c r="J662">
        <f>DropAnalityka[[#This Row],[Sell Drop]]+IF(DropAnalityka[[#This Row],[Drop]]="Scroll", 2000*DropAnalityka[[#This Row],[Quality/Quantity]],0)</f>
        <v>0</v>
      </c>
      <c r="K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63</v>
      </c>
      <c r="G663">
        <v>5</v>
      </c>
      <c r="I663">
        <v>0</v>
      </c>
      <c r="J663">
        <f>DropAnalityka[[#This Row],[Sell Drop]]+IF(DropAnalityka[[#This Row],[Drop]]="Scroll", 2000*DropAnalityka[[#This Row],[Quality/Quantity]],0)</f>
        <v>0</v>
      </c>
      <c r="K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63</v>
      </c>
      <c r="G664">
        <v>4</v>
      </c>
      <c r="I664">
        <v>0</v>
      </c>
      <c r="J664">
        <f>DropAnalityka[[#This Row],[Sell Drop]]+IF(DropAnalityka[[#This Row],[Drop]]="Scroll", 2000*DropAnalityka[[#This Row],[Quality/Quantity]],0)</f>
        <v>0</v>
      </c>
      <c r="K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62</v>
      </c>
      <c r="G665">
        <v>2</v>
      </c>
      <c r="I665">
        <v>0</v>
      </c>
      <c r="J665">
        <f>DropAnalityka[[#This Row],[Sell Drop]]+IF(DropAnalityka[[#This Row],[Drop]]="Scroll", 2000*DropAnalityka[[#This Row],[Quality/Quantity]],0)</f>
        <v>0</v>
      </c>
      <c r="K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62</v>
      </c>
      <c r="G666">
        <v>1</v>
      </c>
      <c r="I666">
        <v>0</v>
      </c>
      <c r="J666">
        <f>DropAnalityka[[#This Row],[Sell Drop]]+IF(DropAnalityka[[#This Row],[Drop]]="Scroll", 2000*DropAnalityka[[#This Row],[Quality/Quantity]],0)</f>
        <v>0</v>
      </c>
      <c r="K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63</v>
      </c>
      <c r="G667">
        <v>3</v>
      </c>
      <c r="I667">
        <v>0</v>
      </c>
      <c r="J667">
        <f>DropAnalityka[[#This Row],[Sell Drop]]+IF(DropAnalityka[[#This Row],[Drop]]="Scroll", 2000*DropAnalityka[[#This Row],[Quality/Quantity]],0)</f>
        <v>0</v>
      </c>
      <c r="K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308</v>
      </c>
      <c r="G668">
        <v>1</v>
      </c>
      <c r="I668">
        <v>0</v>
      </c>
      <c r="J668">
        <f>DropAnalityka[[#This Row],[Sell Drop]]+IF(DropAnalityka[[#This Row],[Drop]]="Scroll", 2000*DropAnalityka[[#This Row],[Quality/Quantity]],0)</f>
        <v>0</v>
      </c>
      <c r="K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308</v>
      </c>
      <c r="G669">
        <v>2</v>
      </c>
      <c r="I669">
        <v>0</v>
      </c>
      <c r="J669">
        <f>DropAnalityka[[#This Row],[Sell Drop]]+IF(DropAnalityka[[#This Row],[Drop]]="Scroll", 2000*DropAnalityka[[#This Row],[Quality/Quantity]],0)</f>
        <v>0</v>
      </c>
      <c r="K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63</v>
      </c>
      <c r="G670">
        <v>5</v>
      </c>
      <c r="I670">
        <v>0</v>
      </c>
      <c r="J670">
        <f>DropAnalityka[[#This Row],[Sell Drop]]+IF(DropAnalityka[[#This Row],[Drop]]="Scroll", 2000*DropAnalityka[[#This Row],[Quality/Quantity]],0)</f>
        <v>0</v>
      </c>
      <c r="K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 t="s">
        <v>12</v>
      </c>
      <c r="I671">
        <v>0</v>
      </c>
      <c r="J671">
        <f>DropAnalityka[[#This Row],[Sell Drop]]+IF(DropAnalityka[[#This Row],[Drop]]="Scroll", 2000*DropAnalityka[[#This Row],[Quality/Quantity]],0)</f>
        <v>0</v>
      </c>
      <c r="K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63</v>
      </c>
      <c r="G672">
        <v>3</v>
      </c>
      <c r="I672">
        <v>0</v>
      </c>
      <c r="J672">
        <f>DropAnalityka[[#This Row],[Sell Drop]]+IF(DropAnalityka[[#This Row],[Drop]]="Scroll", 2000*DropAnalityka[[#This Row],[Quality/Quantity]],0)</f>
        <v>0</v>
      </c>
      <c r="K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63</v>
      </c>
      <c r="G673">
        <v>4</v>
      </c>
      <c r="I673">
        <v>0</v>
      </c>
      <c r="J673">
        <f>DropAnalityka[[#This Row],[Sell Drop]]+IF(DropAnalityka[[#This Row],[Drop]]="Scroll", 2000*DropAnalityka[[#This Row],[Quality/Quantity]],0)</f>
        <v>0</v>
      </c>
      <c r="K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308</v>
      </c>
      <c r="G674">
        <v>3</v>
      </c>
      <c r="I674">
        <v>0</v>
      </c>
      <c r="J674">
        <f>DropAnalityka[[#This Row],[Sell Drop]]+IF(DropAnalityka[[#This Row],[Drop]]="Scroll", 2000*DropAnalityka[[#This Row],[Quality/Quantity]],0)</f>
        <v>0</v>
      </c>
      <c r="K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63</v>
      </c>
      <c r="G675">
        <v>5</v>
      </c>
      <c r="I675">
        <v>0</v>
      </c>
      <c r="J675">
        <f>DropAnalityka[[#This Row],[Sell Drop]]+IF(DropAnalityka[[#This Row],[Drop]]="Scroll", 2000*DropAnalityka[[#This Row],[Quality/Quantity]],0)</f>
        <v>0</v>
      </c>
      <c r="K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309</v>
      </c>
      <c r="G676">
        <v>2</v>
      </c>
      <c r="I676">
        <v>0</v>
      </c>
      <c r="J676">
        <f>DropAnalityka[[#This Row],[Sell Drop]]+IF(DropAnalityka[[#This Row],[Drop]]="Scroll", 2000*DropAnalityka[[#This Row],[Quality/Quantity]],0)</f>
        <v>0</v>
      </c>
      <c r="K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63</v>
      </c>
      <c r="G677">
        <v>5</v>
      </c>
      <c r="I677">
        <v>0</v>
      </c>
      <c r="J677">
        <f>DropAnalityka[[#This Row],[Sell Drop]]+IF(DropAnalityka[[#This Row],[Drop]]="Scroll", 2000*DropAnalityka[[#This Row],[Quality/Quantity]],0)</f>
        <v>0</v>
      </c>
      <c r="K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308</v>
      </c>
      <c r="G678">
        <v>1</v>
      </c>
      <c r="I678">
        <v>0</v>
      </c>
      <c r="J678">
        <f>DropAnalityka[[#This Row],[Sell Drop]]+IF(DropAnalityka[[#This Row],[Drop]]="Scroll", 2000*DropAnalityka[[#This Row],[Quality/Quantity]],0)</f>
        <v>0</v>
      </c>
      <c r="K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1:12">
      <c r="A679" t="s">
        <v>197</v>
      </c>
      <c r="B679" t="s">
        <v>9</v>
      </c>
      <c r="C679">
        <v>8</v>
      </c>
      <c r="D679">
        <v>3681</v>
      </c>
      <c r="E679">
        <v>1</v>
      </c>
      <c r="F679" t="s">
        <v>310</v>
      </c>
      <c r="G679" t="s">
        <v>27</v>
      </c>
      <c r="J679">
        <f>DropAnalityka[[#This Row],[Sell Drop]]+IF(DropAnalityka[[#This Row],[Drop]]="Scroll", 2000*DropAnalityka[[#This Row],[Quality/Quantity]],0)</f>
        <v>0</v>
      </c>
      <c r="K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1:12">
      <c r="A680" t="s">
        <v>65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Drop]]+IF(DropAnalityka[[#This Row],[Drop]]="Scroll", 2000*DropAnalityka[[#This Row],[Quality/Quantity]],0)</f>
        <v>1824</v>
      </c>
      <c r="K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1:12">
      <c r="A681" t="s">
        <v>65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Drop]]+IF(DropAnalityka[[#This Row],[Drop]]="Scroll", 2000*DropAnalityka[[#This Row],[Quality/Quantity]],0)</f>
        <v>1824</v>
      </c>
      <c r="K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1:12">
      <c r="A682" t="s">
        <v>65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Drop]]+IF(DropAnalityka[[#This Row],[Drop]]="Scroll", 2000*DropAnalityka[[#This Row],[Quality/Quantity]],0)</f>
        <v>1824</v>
      </c>
      <c r="K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1:12">
      <c r="A683" t="s">
        <v>65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Drop]]+IF(DropAnalityka[[#This Row],[Drop]]="Scroll", 2000*DropAnalityka[[#This Row],[Quality/Quantity]],0)</f>
        <v>1824</v>
      </c>
      <c r="K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1:12">
      <c r="A684" t="s">
        <v>65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Drop]]+IF(DropAnalityka[[#This Row],[Drop]]="Scroll", 2000*DropAnalityka[[#This Row],[Quality/Quantity]],0)</f>
        <v>1824</v>
      </c>
      <c r="K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1:12">
      <c r="A685" t="s">
        <v>65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Drop]]+IF(DropAnalityka[[#This Row],[Drop]]="Scroll", 2000*DropAnalityka[[#This Row],[Quality/Quantity]],0)</f>
        <v>2128</v>
      </c>
      <c r="K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1:12">
      <c r="A686" t="s">
        <v>65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Drop]]+IF(DropAnalityka[[#This Row],[Drop]]="Scroll", 2000*DropAnalityka[[#This Row],[Quality/Quantity]],0)</f>
        <v>1824</v>
      </c>
      <c r="K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1:12">
      <c r="A687" t="s">
        <v>65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Drop]]+IF(DropAnalityka[[#This Row],[Drop]]="Scroll", 2000*DropAnalityka[[#This Row],[Quality/Quantity]],0)</f>
        <v>1824</v>
      </c>
      <c r="K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1:12">
      <c r="A688" t="s">
        <v>65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Drop]]+IF(DropAnalityka[[#This Row],[Drop]]="Scroll", 2000*DropAnalityka[[#This Row],[Quality/Quantity]],0)</f>
        <v>2937</v>
      </c>
      <c r="K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I689">
        <v>0</v>
      </c>
      <c r="J689">
        <f>DropAnalityka[[#This Row],[Sell Drop]]+IF(DropAnalityka[[#This Row],[Drop]]="Scroll", 2000*DropAnalityka[[#This Row],[Quality/Quantity]],0)</f>
        <v>8000</v>
      </c>
      <c r="K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62</v>
      </c>
      <c r="G690">
        <v>1</v>
      </c>
      <c r="I690">
        <v>0</v>
      </c>
      <c r="J690">
        <f>DropAnalityka[[#This Row],[Sell Drop]]+IF(DropAnalityka[[#This Row],[Drop]]="Scroll", 2000*DropAnalityka[[#This Row],[Quality/Quantity]],0)</f>
        <v>0</v>
      </c>
      <c r="K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240</v>
      </c>
      <c r="G691">
        <v>1</v>
      </c>
      <c r="I691">
        <v>0</v>
      </c>
      <c r="J691">
        <f>DropAnalityka[[#This Row],[Sell Drop]]+IF(DropAnalityka[[#This Row],[Drop]]="Scroll", 2000*DropAnalityka[[#This Row],[Quality/Quantity]],0)</f>
        <v>0</v>
      </c>
      <c r="K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62</v>
      </c>
      <c r="G692">
        <v>1</v>
      </c>
      <c r="I692">
        <v>0</v>
      </c>
      <c r="J692">
        <f>DropAnalityka[[#This Row],[Sell Drop]]+IF(DropAnalityka[[#This Row],[Drop]]="Scroll", 2000*DropAnalityka[[#This Row],[Quality/Quantity]],0)</f>
        <v>0</v>
      </c>
      <c r="K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308</v>
      </c>
      <c r="G693">
        <v>1</v>
      </c>
      <c r="I693">
        <v>0</v>
      </c>
      <c r="J693">
        <f>DropAnalityka[[#This Row],[Sell Drop]]+IF(DropAnalityka[[#This Row],[Drop]]="Scroll", 2000*DropAnalityka[[#This Row],[Quality/Quantity]],0)</f>
        <v>0</v>
      </c>
      <c r="K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63</v>
      </c>
      <c r="G694">
        <v>4</v>
      </c>
      <c r="I694">
        <v>0</v>
      </c>
      <c r="J694">
        <f>DropAnalityka[[#This Row],[Sell Drop]]+IF(DropAnalityka[[#This Row],[Drop]]="Scroll", 2000*DropAnalityka[[#This Row],[Quality/Quantity]],0)</f>
        <v>0</v>
      </c>
      <c r="K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309</v>
      </c>
      <c r="G695">
        <v>1</v>
      </c>
      <c r="I695">
        <v>0</v>
      </c>
      <c r="J695">
        <f>DropAnalityka[[#This Row],[Sell Drop]]+IF(DropAnalityka[[#This Row],[Drop]]="Scroll", 2000*DropAnalityka[[#This Row],[Quality/Quantity]],0)</f>
        <v>0</v>
      </c>
      <c r="K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62</v>
      </c>
      <c r="G696">
        <v>1</v>
      </c>
      <c r="I696">
        <v>0</v>
      </c>
      <c r="J696">
        <f>DropAnalityka[[#This Row],[Sell Drop]]+IF(DropAnalityka[[#This Row],[Drop]]="Scroll", 2000*DropAnalityka[[#This Row],[Quality/Quantity]],0)</f>
        <v>0</v>
      </c>
      <c r="K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63</v>
      </c>
      <c r="G697">
        <v>5</v>
      </c>
      <c r="I697">
        <v>0</v>
      </c>
      <c r="J697">
        <f>DropAnalityka[[#This Row],[Sell Drop]]+IF(DropAnalityka[[#This Row],[Drop]]="Scroll", 2000*DropAnalityka[[#This Row],[Quality/Quantity]],0)</f>
        <v>0</v>
      </c>
      <c r="K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240</v>
      </c>
      <c r="G698">
        <v>1</v>
      </c>
      <c r="I698">
        <v>0</v>
      </c>
      <c r="J698">
        <f>DropAnalityka[[#This Row],[Sell Drop]]+IF(DropAnalityka[[#This Row],[Drop]]="Scroll", 2000*DropAnalityka[[#This Row],[Quality/Quantity]],0)</f>
        <v>0</v>
      </c>
      <c r="K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63</v>
      </c>
      <c r="G699">
        <v>3</v>
      </c>
      <c r="I699">
        <v>0</v>
      </c>
      <c r="J699">
        <f>DropAnalityka[[#This Row],[Sell Drop]]+IF(DropAnalityka[[#This Row],[Drop]]="Scroll", 2000*DropAnalityka[[#This Row],[Quality/Quantity]],0)</f>
        <v>0</v>
      </c>
      <c r="K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I700">
        <v>0</v>
      </c>
      <c r="J700">
        <f>DropAnalityka[[#This Row],[Sell Drop]]+IF(DropAnalityka[[#This Row],[Drop]]="Scroll", 2000*DropAnalityka[[#This Row],[Quality/Quantity]],0)</f>
        <v>8000</v>
      </c>
      <c r="K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63</v>
      </c>
      <c r="G701">
        <v>5</v>
      </c>
      <c r="I701">
        <v>0</v>
      </c>
      <c r="J701">
        <f>DropAnalityka[[#This Row],[Sell Drop]]+IF(DropAnalityka[[#This Row],[Drop]]="Scroll", 2000*DropAnalityka[[#This Row],[Quality/Quantity]],0)</f>
        <v>0</v>
      </c>
      <c r="K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62</v>
      </c>
      <c r="G702">
        <v>1</v>
      </c>
      <c r="I702">
        <v>0</v>
      </c>
      <c r="J702">
        <f>DropAnalityka[[#This Row],[Sell Drop]]+IF(DropAnalityka[[#This Row],[Drop]]="Scroll", 2000*DropAnalityka[[#This Row],[Quality/Quantity]],0)</f>
        <v>0</v>
      </c>
      <c r="K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240</v>
      </c>
      <c r="G703">
        <v>1</v>
      </c>
      <c r="I703">
        <v>0</v>
      </c>
      <c r="J703">
        <f>DropAnalityka[[#This Row],[Sell Drop]]+IF(DropAnalityka[[#This Row],[Drop]]="Scroll", 2000*DropAnalityka[[#This Row],[Quality/Quantity]],0)</f>
        <v>0</v>
      </c>
      <c r="K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62</v>
      </c>
      <c r="G704">
        <v>1</v>
      </c>
      <c r="I704">
        <v>0</v>
      </c>
      <c r="J704">
        <f>DropAnalityka[[#This Row],[Sell Drop]]+IF(DropAnalityka[[#This Row],[Drop]]="Scroll", 2000*DropAnalityka[[#This Row],[Quality/Quantity]],0)</f>
        <v>0</v>
      </c>
      <c r="K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I705">
        <v>0</v>
      </c>
      <c r="J705">
        <f>DropAnalityka[[#This Row],[Sell Drop]]+IF(DropAnalityka[[#This Row],[Drop]]="Scroll", 2000*DropAnalityka[[#This Row],[Quality/Quantity]],0)</f>
        <v>8000</v>
      </c>
      <c r="K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63</v>
      </c>
      <c r="G706">
        <v>3</v>
      </c>
      <c r="I706">
        <v>0</v>
      </c>
      <c r="J706">
        <f>DropAnalityka[[#This Row],[Sell Drop]]+IF(DropAnalityka[[#This Row],[Drop]]="Scroll", 2000*DropAnalityka[[#This Row],[Quality/Quantity]],0)</f>
        <v>0</v>
      </c>
      <c r="K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63</v>
      </c>
      <c r="G707">
        <v>4</v>
      </c>
      <c r="I707">
        <v>0</v>
      </c>
      <c r="J707">
        <f>DropAnalityka[[#This Row],[Sell Drop]]+IF(DropAnalityka[[#This Row],[Drop]]="Scroll", 2000*DropAnalityka[[#This Row],[Quality/Quantity]],0)</f>
        <v>0</v>
      </c>
      <c r="K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1:12">
      <c r="A708" t="s">
        <v>199</v>
      </c>
      <c r="B708" t="s">
        <v>9</v>
      </c>
      <c r="C708">
        <v>7</v>
      </c>
      <c r="D708">
        <v>2217</v>
      </c>
      <c r="E708">
        <v>0</v>
      </c>
      <c r="F708" t="s">
        <v>311</v>
      </c>
      <c r="G708">
        <v>2</v>
      </c>
      <c r="I708">
        <v>0</v>
      </c>
      <c r="J708">
        <f>DropAnalityka[[#This Row],[Sell Drop]]+IF(DropAnalityka[[#This Row],[Drop]]="Scroll", 2000*DropAnalityka[[#This Row],[Quality/Quantity]],0)</f>
        <v>0</v>
      </c>
      <c r="K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1:12">
      <c r="A709" t="s">
        <v>199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I709">
        <v>0</v>
      </c>
      <c r="J709">
        <f>DropAnalityka[[#This Row],[Sell Drop]]+IF(DropAnalityka[[#This Row],[Drop]]="Scroll", 2000*DropAnalityka[[#This Row],[Quality/Quantity]],0)</f>
        <v>10000</v>
      </c>
      <c r="K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1:12">
      <c r="A710" t="s">
        <v>199</v>
      </c>
      <c r="B710" t="s">
        <v>9</v>
      </c>
      <c r="C710">
        <v>8</v>
      </c>
      <c r="D710">
        <v>2286</v>
      </c>
      <c r="E710">
        <v>0</v>
      </c>
      <c r="F710" t="s">
        <v>311</v>
      </c>
      <c r="G710">
        <v>2</v>
      </c>
      <c r="I710">
        <v>0</v>
      </c>
      <c r="J710">
        <f>DropAnalityka[[#This Row],[Sell Drop]]+IF(DropAnalityka[[#This Row],[Drop]]="Scroll", 2000*DropAnalityka[[#This Row],[Quality/Quantity]],0)</f>
        <v>0</v>
      </c>
      <c r="K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1:12">
      <c r="A711" t="s">
        <v>199</v>
      </c>
      <c r="B711" t="s">
        <v>9</v>
      </c>
      <c r="C711">
        <v>8</v>
      </c>
      <c r="D711">
        <v>2828</v>
      </c>
      <c r="E711">
        <v>0</v>
      </c>
      <c r="F711" t="s">
        <v>311</v>
      </c>
      <c r="G711">
        <v>1</v>
      </c>
      <c r="I711">
        <v>0</v>
      </c>
      <c r="J711">
        <f>DropAnalityka[[#This Row],[Sell Drop]]+IF(DropAnalityka[[#This Row],[Drop]]="Scroll", 2000*DropAnalityka[[#This Row],[Quality/Quantity]],0)</f>
        <v>0</v>
      </c>
      <c r="K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1:12">
      <c r="A712" t="s">
        <v>199</v>
      </c>
      <c r="B712" t="s">
        <v>9</v>
      </c>
      <c r="C712">
        <v>9</v>
      </c>
      <c r="D712">
        <v>2917</v>
      </c>
      <c r="E712">
        <v>2</v>
      </c>
      <c r="F712" t="s">
        <v>311</v>
      </c>
      <c r="G712">
        <v>3</v>
      </c>
      <c r="I712">
        <v>0</v>
      </c>
      <c r="J712">
        <f>DropAnalityka[[#This Row],[Sell Drop]]+IF(DropAnalityka[[#This Row],[Drop]]="Scroll", 2000*DropAnalityka[[#This Row],[Quality/Quantity]],0)</f>
        <v>0</v>
      </c>
      <c r="K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1:12">
      <c r="A713" t="s">
        <v>199</v>
      </c>
      <c r="B713" t="s">
        <v>9</v>
      </c>
      <c r="C713">
        <v>10</v>
      </c>
      <c r="D713">
        <v>2771</v>
      </c>
      <c r="E713">
        <v>0</v>
      </c>
      <c r="F713" t="s">
        <v>311</v>
      </c>
      <c r="G713">
        <v>1</v>
      </c>
      <c r="I713">
        <v>0</v>
      </c>
      <c r="J713">
        <f>DropAnalityka[[#This Row],[Sell Drop]]+IF(DropAnalityka[[#This Row],[Drop]]="Scroll", 2000*DropAnalityka[[#This Row],[Quality/Quantity]],0)</f>
        <v>0</v>
      </c>
      <c r="K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1:12">
      <c r="A714" t="s">
        <v>199</v>
      </c>
      <c r="B714" t="s">
        <v>9</v>
      </c>
      <c r="C714">
        <v>10</v>
      </c>
      <c r="D714">
        <v>3158</v>
      </c>
      <c r="E714">
        <v>1</v>
      </c>
      <c r="F714" t="s">
        <v>312</v>
      </c>
      <c r="G714">
        <v>3</v>
      </c>
      <c r="I714">
        <v>0</v>
      </c>
      <c r="J714">
        <f>DropAnalityka[[#This Row],[Sell Drop]]+IF(DropAnalityka[[#This Row],[Drop]]="Scroll", 2000*DropAnalityka[[#This Row],[Quality/Quantity]],0)</f>
        <v>0</v>
      </c>
      <c r="K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1:12">
      <c r="A715" t="s">
        <v>199</v>
      </c>
      <c r="B715" t="s">
        <v>9</v>
      </c>
      <c r="C715">
        <v>10</v>
      </c>
      <c r="D715">
        <v>3080</v>
      </c>
      <c r="E715">
        <v>0</v>
      </c>
      <c r="F715" t="s">
        <v>198</v>
      </c>
      <c r="G715">
        <v>5</v>
      </c>
      <c r="I715">
        <v>0</v>
      </c>
      <c r="J715">
        <f>DropAnalityka[[#This Row],[Sell Drop]]+IF(DropAnalityka[[#This Row],[Drop]]="Scroll", 2000*DropAnalityka[[#This Row],[Quality/Quantity]],0)</f>
        <v>0</v>
      </c>
      <c r="K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1:12">
      <c r="A716" t="s">
        <v>199</v>
      </c>
      <c r="B716" t="s">
        <v>9</v>
      </c>
      <c r="C716">
        <v>10</v>
      </c>
      <c r="D716">
        <v>3091</v>
      </c>
      <c r="E716">
        <v>2</v>
      </c>
      <c r="F716" t="s">
        <v>198</v>
      </c>
      <c r="G716">
        <v>5</v>
      </c>
      <c r="I716">
        <v>0</v>
      </c>
      <c r="J716">
        <f>DropAnalityka[[#This Row],[Sell Drop]]+IF(DropAnalityka[[#This Row],[Drop]]="Scroll", 2000*DropAnalityka[[#This Row],[Quality/Quantity]],0)</f>
        <v>0</v>
      </c>
      <c r="K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240</v>
      </c>
      <c r="G717">
        <v>2</v>
      </c>
      <c r="I717">
        <v>0</v>
      </c>
      <c r="J717">
        <f>DropAnalityka[[#This Row],[Sell Drop]]+IF(DropAnalityka[[#This Row],[Drop]]="Scroll", 2000*DropAnalityka[[#This Row],[Quality/Quantity]],0)</f>
        <v>0</v>
      </c>
      <c r="K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62</v>
      </c>
      <c r="G718">
        <v>1</v>
      </c>
      <c r="I718">
        <v>0</v>
      </c>
      <c r="J718">
        <f>DropAnalityka[[#This Row],[Sell Drop]]+IF(DropAnalityka[[#This Row],[Drop]]="Scroll", 2000*DropAnalityka[[#This Row],[Quality/Quantity]],0)</f>
        <v>0</v>
      </c>
      <c r="K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63</v>
      </c>
      <c r="G719">
        <v>5</v>
      </c>
      <c r="I719">
        <v>0</v>
      </c>
      <c r="J719">
        <f>DropAnalityka[[#This Row],[Sell Drop]]+IF(DropAnalityka[[#This Row],[Drop]]="Scroll", 2000*DropAnalityka[[#This Row],[Quality/Quantity]],0)</f>
        <v>0</v>
      </c>
      <c r="K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63</v>
      </c>
      <c r="G720">
        <v>5</v>
      </c>
      <c r="I720">
        <v>0</v>
      </c>
      <c r="J720">
        <f>DropAnalityka[[#This Row],[Sell Drop]]+IF(DropAnalityka[[#This Row],[Drop]]="Scroll", 2000*DropAnalityka[[#This Row],[Quality/Quantity]],0)</f>
        <v>0</v>
      </c>
      <c r="K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62</v>
      </c>
      <c r="G721">
        <v>1</v>
      </c>
      <c r="I721">
        <v>0</v>
      </c>
      <c r="J721">
        <f>DropAnalityka[[#This Row],[Sell Drop]]+IF(DropAnalityka[[#This Row],[Drop]]="Scroll", 2000*DropAnalityka[[#This Row],[Quality/Quantity]],0)</f>
        <v>0</v>
      </c>
      <c r="K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63</v>
      </c>
      <c r="G722">
        <v>5</v>
      </c>
      <c r="I722">
        <v>0</v>
      </c>
      <c r="J722">
        <f>DropAnalityka[[#This Row],[Sell Drop]]+IF(DropAnalityka[[#This Row],[Drop]]="Scroll", 2000*DropAnalityka[[#This Row],[Quality/Quantity]],0)</f>
        <v>0</v>
      </c>
      <c r="K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62</v>
      </c>
      <c r="G723">
        <v>2</v>
      </c>
      <c r="I723">
        <v>0</v>
      </c>
      <c r="J723">
        <f>DropAnalityka[[#This Row],[Sell Drop]]+IF(DropAnalityka[[#This Row],[Drop]]="Scroll", 2000*DropAnalityka[[#This Row],[Quality/Quantity]],0)</f>
        <v>0</v>
      </c>
      <c r="K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63</v>
      </c>
      <c r="G724">
        <v>3</v>
      </c>
      <c r="I724">
        <v>0</v>
      </c>
      <c r="J724">
        <f>DropAnalityka[[#This Row],[Sell Drop]]+IF(DropAnalityka[[#This Row],[Drop]]="Scroll", 2000*DropAnalityka[[#This Row],[Quality/Quantity]],0)</f>
        <v>0</v>
      </c>
      <c r="K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 t="s">
        <v>12</v>
      </c>
      <c r="I725">
        <v>0</v>
      </c>
      <c r="J725">
        <f>DropAnalityka[[#This Row],[Sell Drop]]+IF(DropAnalityka[[#This Row],[Drop]]="Scroll", 2000*DropAnalityka[[#This Row],[Quality/Quantity]],0)</f>
        <v>0</v>
      </c>
      <c r="K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26" spans="1:13">
      <c r="A726" t="s">
        <v>197</v>
      </c>
      <c r="B726" t="s">
        <v>9</v>
      </c>
      <c r="C726">
        <v>8</v>
      </c>
      <c r="D726">
        <v>3502</v>
      </c>
      <c r="E726">
        <v>1</v>
      </c>
      <c r="F726" t="s">
        <v>310</v>
      </c>
      <c r="G726" t="s">
        <v>28</v>
      </c>
      <c r="I726">
        <v>0</v>
      </c>
      <c r="J726">
        <f>DropAnalityka[[#This Row],[Sell Drop]]+IF(DropAnalityka[[#This Row],[Drop]]="Scroll", 2000*DropAnalityka[[#This Row],[Quality/Quantity]],0)</f>
        <v>0</v>
      </c>
      <c r="K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Drop]]+IF(DropAnalityka[[#This Row],[Drop]]="Scroll", 2000*DropAnalityka[[#This Row],[Quality/Quantity]],0)</f>
        <v>0</v>
      </c>
      <c r="K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27" t="s">
        <v>233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240</v>
      </c>
      <c r="G728">
        <v>1</v>
      </c>
      <c r="I728">
        <v>0</v>
      </c>
      <c r="J728">
        <f>DropAnalityka[[#This Row],[Sell Drop]]+IF(DropAnalityka[[#This Row],[Drop]]="Scroll", 2000*DropAnalityka[[#This Row],[Quality/Quantity]],0)</f>
        <v>0</v>
      </c>
      <c r="K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 t="s">
        <v>12</v>
      </c>
      <c r="I729">
        <v>0</v>
      </c>
      <c r="J729">
        <f>DropAnalityka[[#This Row],[Sell Drop]]+IF(DropAnalityka[[#This Row],[Drop]]="Scroll", 2000*DropAnalityka[[#This Row],[Quality/Quantity]],0)</f>
        <v>0</v>
      </c>
      <c r="K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62</v>
      </c>
      <c r="G730">
        <v>3</v>
      </c>
      <c r="I730">
        <v>0</v>
      </c>
      <c r="J730">
        <f>DropAnalityka[[#This Row],[Sell Drop]]+IF(DropAnalityka[[#This Row],[Drop]]="Scroll", 2000*DropAnalityka[[#This Row],[Quality/Quantity]],0)</f>
        <v>0</v>
      </c>
      <c r="K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234</v>
      </c>
      <c r="G731">
        <v>2</v>
      </c>
      <c r="I731">
        <v>0</v>
      </c>
      <c r="J731">
        <f>DropAnalityka[[#This Row],[Sell Drop]]+IF(DropAnalityka[[#This Row],[Drop]]="Scroll", 2000*DropAnalityka[[#This Row],[Quality/Quantity]],0)</f>
        <v>0</v>
      </c>
      <c r="K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61</v>
      </c>
      <c r="G732">
        <v>4</v>
      </c>
      <c r="I732">
        <v>0</v>
      </c>
      <c r="J732">
        <f>DropAnalityka[[#This Row],[Sell Drop]]+IF(DropAnalityka[[#This Row],[Drop]]="Scroll", 2000*DropAnalityka[[#This Row],[Quality/Quantity]],0)</f>
        <v>0</v>
      </c>
      <c r="K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240</v>
      </c>
      <c r="G733">
        <v>1</v>
      </c>
      <c r="I733">
        <v>0</v>
      </c>
      <c r="J733">
        <f>DropAnalityka[[#This Row],[Sell Drop]]+IF(DropAnalityka[[#This Row],[Drop]]="Scroll", 2000*DropAnalityka[[#This Row],[Quality/Quantity]],0)</f>
        <v>0</v>
      </c>
      <c r="K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 t="s">
        <v>26</v>
      </c>
      <c r="I734">
        <v>0</v>
      </c>
      <c r="J734">
        <f>DropAnalityka[[#This Row],[Sell Drop]]+IF(DropAnalityka[[#This Row],[Drop]]="Scroll", 2000*DropAnalityka[[#This Row],[Quality/Quantity]],0)</f>
        <v>0</v>
      </c>
      <c r="K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L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Drop]]+IF(DropAnalityka[[#This Row],[Drop]]="Scroll", 2000*DropAnalityka[[#This Row],[Quality/Quantity]],0)</f>
        <v>1824</v>
      </c>
      <c r="K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Drop]]+IF(DropAnalityka[[#This Row],[Drop]]="Scroll", 2000*DropAnalityka[[#This Row],[Quality/Quantity]],0)</f>
        <v>1824</v>
      </c>
      <c r="K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Drop]]+IF(DropAnalityka[[#This Row],[Drop]]="Scroll", 2000*DropAnalityka[[#This Row],[Quality/Quantity]],0)</f>
        <v>1824</v>
      </c>
      <c r="K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I738">
        <v>0</v>
      </c>
      <c r="J738">
        <f>DropAnalityka[[#This Row],[Sell Drop]]+IF(DropAnalityka[[#This Row],[Drop]]="Scroll", 2000*DropAnalityka[[#This Row],[Quality/Quantity]],0)</f>
        <v>4000</v>
      </c>
      <c r="K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Drop]]+IF(DropAnalityka[[#This Row],[Drop]]="Scroll", 2000*DropAnalityka[[#This Row],[Quality/Quantity]],0)</f>
        <v>2937</v>
      </c>
      <c r="K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Drop]]+IF(DropAnalityka[[#This Row],[Drop]]="Scroll", 2000*DropAnalityka[[#This Row],[Quality/Quantity]],0)</f>
        <v>2937</v>
      </c>
      <c r="K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Drop]]+IF(DropAnalityka[[#This Row],[Drop]]="Scroll", 2000*DropAnalityka[[#This Row],[Quality/Quantity]],0)</f>
        <v>1824</v>
      </c>
      <c r="K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Drop]]+IF(DropAnalityka[[#This Row],[Drop]]="Scroll", 2000*DropAnalityka[[#This Row],[Quality/Quantity]],0)</f>
        <v>2937</v>
      </c>
      <c r="K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Drop]]+IF(DropAnalityka[[#This Row],[Drop]]="Scroll", 2000*DropAnalityka[[#This Row],[Quality/Quantity]],0)</f>
        <v>1824</v>
      </c>
      <c r="K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4" spans="1:13">
      <c r="A744" t="s">
        <v>65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Drop]]+IF(DropAnalityka[[#This Row],[Drop]]="Scroll", 2000*DropAnalityka[[#This Row],[Quality/Quantity]],0)</f>
        <v>1824</v>
      </c>
      <c r="K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5" spans="1:13">
      <c r="A745" t="s">
        <v>65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 t="s">
        <v>12</v>
      </c>
      <c r="J745">
        <f>DropAnalityka[[#This Row],[Sell Drop]]+IF(DropAnalityka[[#This Row],[Drop]]="Scroll", 2000*DropAnalityka[[#This Row],[Quality/Quantity]],0)</f>
        <v>0</v>
      </c>
      <c r="K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746" spans="1:13">
      <c r="A746" t="s">
        <v>65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 t="s">
        <v>12</v>
      </c>
      <c r="J746">
        <f>DropAnalityka[[#This Row],[Sell Drop]]+IF(DropAnalityka[[#This Row],[Drop]]="Scroll", 2000*DropAnalityka[[#This Row],[Quality/Quantity]],0)</f>
        <v>0</v>
      </c>
      <c r="K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L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47" spans="1:13">
      <c r="A747" t="s">
        <v>65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Drop]]+IF(DropAnalityka[[#This Row],[Drop]]="Scroll", 2000*DropAnalityka[[#This Row],[Quality/Quantity]],0)</f>
        <v>2937</v>
      </c>
      <c r="K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8" spans="1:13">
      <c r="A748" t="s">
        <v>65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Drop]]+IF(DropAnalityka[[#This Row],[Drop]]="Scroll", 2000*DropAnalityka[[#This Row],[Quality/Quantity]],0)</f>
        <v>2280</v>
      </c>
      <c r="K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9" spans="1:13">
      <c r="A749" t="s">
        <v>65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Drop]]+IF(DropAnalityka[[#This Row],[Drop]]="Scroll", 2000*DropAnalityka[[#This Row],[Quality/Quantity]],0)</f>
        <v>2937</v>
      </c>
      <c r="K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0" spans="1:13">
      <c r="A750" t="s">
        <v>65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Drop]]+IF(DropAnalityka[[#This Row],[Drop]]="Scroll", 2000*DropAnalityka[[#This Row],[Quality/Quantity]],0)</f>
        <v>1824</v>
      </c>
      <c r="K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1" spans="1:13">
      <c r="A751" t="s">
        <v>65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Drop]]+IF(DropAnalityka[[#This Row],[Drop]]="Scroll", 2000*DropAnalityka[[#This Row],[Quality/Quantity]],0)</f>
        <v>1824</v>
      </c>
      <c r="K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2" spans="1:13">
      <c r="A752" t="s">
        <v>65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Drop]]+IF(DropAnalityka[[#This Row],[Drop]]="Scroll", 2000*DropAnalityka[[#This Row],[Quality/Quantity]],0)</f>
        <v>2937</v>
      </c>
      <c r="K752" s="98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2" s="98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752" s="6"/>
    </row>
    <row r="753" spans="10:12">
      <c r="J753">
        <f>DropAnalityka[[#This Row],[Sell Drop]]+IF(DropAnalityka[[#This Row],[Drop]]="Scroll", 2000*DropAnalityka[[#This Row],[Quality/Quantity]],0)</f>
        <v>0</v>
      </c>
      <c r="K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4" spans="10:12">
      <c r="J754">
        <f>DropAnalityka[[#This Row],[Sell Drop]]+IF(DropAnalityka[[#This Row],[Drop]]="Scroll", 2000*DropAnalityka[[#This Row],[Quality/Quantity]],0)</f>
        <v>0</v>
      </c>
      <c r="K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5" spans="10:12">
      <c r="J755">
        <f>DropAnalityka[[#This Row],[Sell Drop]]+IF(DropAnalityka[[#This Row],[Drop]]="Scroll", 2000*DropAnalityka[[#This Row],[Quality/Quantity]],0)</f>
        <v>0</v>
      </c>
      <c r="K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6" spans="10:12">
      <c r="J756">
        <f>DropAnalityka[[#This Row],[Sell Drop]]+IF(DropAnalityka[[#This Row],[Drop]]="Scroll", 2000*DropAnalityka[[#This Row],[Quality/Quantity]],0)</f>
        <v>0</v>
      </c>
      <c r="K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7" spans="10:12">
      <c r="J757">
        <f>DropAnalityka[[#This Row],[Sell Drop]]+IF(DropAnalityka[[#This Row],[Drop]]="Scroll", 2000*DropAnalityka[[#This Row],[Quality/Quantity]],0)</f>
        <v>0</v>
      </c>
      <c r="K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8" spans="10:12">
      <c r="J758">
        <f>DropAnalityka[[#This Row],[Sell Drop]]+IF(DropAnalityka[[#This Row],[Drop]]="Scroll", 2000*DropAnalityka[[#This Row],[Quality/Quantity]],0)</f>
        <v>0</v>
      </c>
      <c r="K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9" spans="10:12">
      <c r="J759">
        <f>DropAnalityka[[#This Row],[Sell Drop]]+IF(DropAnalityka[[#This Row],[Drop]]="Scroll", 2000*DropAnalityka[[#This Row],[Quality/Quantity]],0)</f>
        <v>0</v>
      </c>
      <c r="K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0" spans="10:12">
      <c r="J760">
        <f>DropAnalityka[[#This Row],[Sell Drop]]+IF(DropAnalityka[[#This Row],[Drop]]="Scroll", 2000*DropAnalityka[[#This Row],[Quality/Quantity]],0)</f>
        <v>0</v>
      </c>
      <c r="K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1" spans="10:12">
      <c r="J761">
        <f>DropAnalityka[[#This Row],[Sell Drop]]+IF(DropAnalityka[[#This Row],[Drop]]="Scroll", 2000*DropAnalityka[[#This Row],[Quality/Quantity]],0)</f>
        <v>0</v>
      </c>
      <c r="K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2" spans="10:12">
      <c r="J762">
        <f>DropAnalityka[[#This Row],[Sell Drop]]+IF(DropAnalityka[[#This Row],[Drop]]="Scroll", 2000*DropAnalityka[[#This Row],[Quality/Quantity]],0)</f>
        <v>0</v>
      </c>
      <c r="K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3" spans="10:12">
      <c r="J763">
        <f>DropAnalityka[[#This Row],[Sell Drop]]+IF(DropAnalityka[[#This Row],[Drop]]="Scroll", 2000*DropAnalityka[[#This Row],[Quality/Quantity]],0)</f>
        <v>0</v>
      </c>
      <c r="K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4" spans="10:12">
      <c r="J764">
        <f>DropAnalityka[[#This Row],[Sell Drop]]+IF(DropAnalityka[[#This Row],[Drop]]="Scroll", 2000*DropAnalityka[[#This Row],[Quality/Quantity]],0)</f>
        <v>0</v>
      </c>
      <c r="K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5" spans="10:12">
      <c r="J765">
        <f>DropAnalityka[[#This Row],[Sell Drop]]+IF(DropAnalityka[[#This Row],[Drop]]="Scroll", 2000*DropAnalityka[[#This Row],[Quality/Quantity]],0)</f>
        <v>0</v>
      </c>
      <c r="K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6" spans="10:12">
      <c r="J766">
        <f>DropAnalityka[[#This Row],[Sell Drop]]+IF(DropAnalityka[[#This Row],[Drop]]="Scroll", 2000*DropAnalityka[[#This Row],[Quality/Quantity]],0)</f>
        <v>0</v>
      </c>
      <c r="K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7" spans="10:12">
      <c r="J767">
        <f>DropAnalityka[[#This Row],[Sell Drop]]+IF(DropAnalityka[[#This Row],[Drop]]="Scroll", 2000*DropAnalityka[[#This Row],[Quality/Quantity]],0)</f>
        <v>0</v>
      </c>
      <c r="K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8" spans="10:12">
      <c r="J768">
        <f>DropAnalityka[[#This Row],[Sell Drop]]+IF(DropAnalityka[[#This Row],[Drop]]="Scroll", 2000*DropAnalityka[[#This Row],[Quality/Quantity]],0)</f>
        <v>0</v>
      </c>
      <c r="K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69" spans="10:12">
      <c r="J769">
        <f>DropAnalityka[[#This Row],[Sell Drop]]+IF(DropAnalityka[[#This Row],[Drop]]="Scroll", 2000*DropAnalityka[[#This Row],[Quality/Quantity]],0)</f>
        <v>0</v>
      </c>
      <c r="K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0" spans="10:12">
      <c r="J770">
        <f>DropAnalityka[[#This Row],[Sell Drop]]+IF(DropAnalityka[[#This Row],[Drop]]="Scroll", 2000*DropAnalityka[[#This Row],[Quality/Quantity]],0)</f>
        <v>0</v>
      </c>
      <c r="K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1" spans="10:12">
      <c r="J771">
        <f>DropAnalityka[[#This Row],[Sell Drop]]+IF(DropAnalityka[[#This Row],[Drop]]="Scroll", 2000*DropAnalityka[[#This Row],[Quality/Quantity]],0)</f>
        <v>0</v>
      </c>
      <c r="K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2" spans="10:12">
      <c r="J772">
        <f>DropAnalityka[[#This Row],[Sell Drop]]+IF(DropAnalityka[[#This Row],[Drop]]="Scroll", 2000*DropAnalityka[[#This Row],[Quality/Quantity]],0)</f>
        <v>0</v>
      </c>
      <c r="K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3" spans="10:12">
      <c r="J773">
        <f>DropAnalityka[[#This Row],[Sell Drop]]+IF(DropAnalityka[[#This Row],[Drop]]="Scroll", 2000*DropAnalityka[[#This Row],[Quality/Quantity]],0)</f>
        <v>0</v>
      </c>
      <c r="K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4" spans="10:12">
      <c r="J774">
        <f>DropAnalityka[[#This Row],[Sell Drop]]+IF(DropAnalityka[[#This Row],[Drop]]="Scroll", 2000*DropAnalityka[[#This Row],[Quality/Quantity]],0)</f>
        <v>0</v>
      </c>
      <c r="K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5" spans="10:12">
      <c r="J775">
        <f>DropAnalityka[[#This Row],[Sell Drop]]+IF(DropAnalityka[[#This Row],[Drop]]="Scroll", 2000*DropAnalityka[[#This Row],[Quality/Quantity]],0)</f>
        <v>0</v>
      </c>
      <c r="K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6" spans="10:12">
      <c r="J776">
        <f>DropAnalityka[[#This Row],[Sell Drop]]+IF(DropAnalityka[[#This Row],[Drop]]="Scroll", 2000*DropAnalityka[[#This Row],[Quality/Quantity]],0)</f>
        <v>0</v>
      </c>
      <c r="K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7" spans="10:12">
      <c r="J777">
        <f>DropAnalityka[[#This Row],[Sell Drop]]+IF(DropAnalityka[[#This Row],[Drop]]="Scroll", 2000*DropAnalityka[[#This Row],[Quality/Quantity]],0)</f>
        <v>0</v>
      </c>
      <c r="K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8" spans="10:12">
      <c r="J778">
        <f>DropAnalityka[[#This Row],[Sell Drop]]+IF(DropAnalityka[[#This Row],[Drop]]="Scroll", 2000*DropAnalityka[[#This Row],[Quality/Quantity]],0)</f>
        <v>0</v>
      </c>
      <c r="K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9" spans="10:12">
      <c r="J779">
        <f>DropAnalityka[[#This Row],[Sell Drop]]+IF(DropAnalityka[[#This Row],[Drop]]="Scroll", 2000*DropAnalityka[[#This Row],[Quality/Quantity]],0)</f>
        <v>0</v>
      </c>
      <c r="K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0" spans="10:12">
      <c r="J780">
        <f>DropAnalityka[[#This Row],[Sell Drop]]+IF(DropAnalityka[[#This Row],[Drop]]="Scroll", 2000*DropAnalityka[[#This Row],[Quality/Quantity]],0)</f>
        <v>0</v>
      </c>
      <c r="K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1" spans="10:12">
      <c r="J781">
        <f>DropAnalityka[[#This Row],[Sell Drop]]+IF(DropAnalityka[[#This Row],[Drop]]="Scroll", 2000*DropAnalityka[[#This Row],[Quality/Quantity]],0)</f>
        <v>0</v>
      </c>
      <c r="K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2" spans="10:12">
      <c r="J782">
        <f>DropAnalityka[[#This Row],[Sell Drop]]+IF(DropAnalityka[[#This Row],[Drop]]="Scroll", 2000*DropAnalityka[[#This Row],[Quality/Quantity]],0)</f>
        <v>0</v>
      </c>
      <c r="K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3" spans="10:12">
      <c r="J783">
        <f>DropAnalityka[[#This Row],[Sell Drop]]+IF(DropAnalityka[[#This Row],[Drop]]="Scroll", 2000*DropAnalityka[[#This Row],[Quality/Quantity]],0)</f>
        <v>0</v>
      </c>
      <c r="K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4" spans="10:12">
      <c r="J784">
        <f>DropAnalityka[[#This Row],[Sell Drop]]+IF(DropAnalityka[[#This Row],[Drop]]="Scroll", 2000*DropAnalityka[[#This Row],[Quality/Quantity]],0)</f>
        <v>0</v>
      </c>
      <c r="K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5" spans="10:12">
      <c r="J785">
        <f>DropAnalityka[[#This Row],[Sell Drop]]+IF(DropAnalityka[[#This Row],[Drop]]="Scroll", 2000*DropAnalityka[[#This Row],[Quality/Quantity]],0)</f>
        <v>0</v>
      </c>
      <c r="K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6" spans="10:12">
      <c r="J786">
        <f>DropAnalityka[[#This Row],[Sell Drop]]+IF(DropAnalityka[[#This Row],[Drop]]="Scroll", 2000*DropAnalityka[[#This Row],[Quality/Quantity]],0)</f>
        <v>0</v>
      </c>
      <c r="K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7" spans="10:12">
      <c r="J787">
        <f>DropAnalityka[[#This Row],[Sell Drop]]+IF(DropAnalityka[[#This Row],[Drop]]="Scroll", 2000*DropAnalityka[[#This Row],[Quality/Quantity]],0)</f>
        <v>0</v>
      </c>
      <c r="K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8" spans="10:12">
      <c r="J788">
        <f>DropAnalityka[[#This Row],[Sell Drop]]+IF(DropAnalityka[[#This Row],[Drop]]="Scroll", 2000*DropAnalityka[[#This Row],[Quality/Quantity]],0)</f>
        <v>0</v>
      </c>
      <c r="K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9" spans="10:12">
      <c r="J789">
        <f>DropAnalityka[[#This Row],[Sell Drop]]+IF(DropAnalityka[[#This Row],[Drop]]="Scroll", 2000*DropAnalityka[[#This Row],[Quality/Quantity]],0)</f>
        <v>0</v>
      </c>
      <c r="K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0" spans="10:12">
      <c r="J790">
        <f>DropAnalityka[[#This Row],[Sell Drop]]+IF(DropAnalityka[[#This Row],[Drop]]="Scroll", 2000*DropAnalityka[[#This Row],[Quality/Quantity]],0)</f>
        <v>0</v>
      </c>
      <c r="K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1" spans="10:12">
      <c r="J791">
        <f>DropAnalityka[[#This Row],[Sell Drop]]+IF(DropAnalityka[[#This Row],[Drop]]="Scroll", 2000*DropAnalityka[[#This Row],[Quality/Quantity]],0)</f>
        <v>0</v>
      </c>
      <c r="K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2" spans="10:12">
      <c r="J792">
        <f>DropAnalityka[[#This Row],[Sell Drop]]+IF(DropAnalityka[[#This Row],[Drop]]="Scroll", 2000*DropAnalityka[[#This Row],[Quality/Quantity]],0)</f>
        <v>0</v>
      </c>
      <c r="K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3" spans="10:12">
      <c r="J793">
        <f>DropAnalityka[[#This Row],[Sell Drop]]+IF(DropAnalityka[[#This Row],[Drop]]="Scroll", 2000*DropAnalityka[[#This Row],[Quality/Quantity]],0)</f>
        <v>0</v>
      </c>
      <c r="K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4" spans="10:12">
      <c r="J794">
        <f>DropAnalityka[[#This Row],[Sell Drop]]+IF(DropAnalityka[[#This Row],[Drop]]="Scroll", 2000*DropAnalityka[[#This Row],[Quality/Quantity]],0)</f>
        <v>0</v>
      </c>
      <c r="K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5" spans="10:12">
      <c r="J795">
        <f>DropAnalityka[[#This Row],[Sell Drop]]+IF(DropAnalityka[[#This Row],[Drop]]="Scroll", 2000*DropAnalityka[[#This Row],[Quality/Quantity]],0)</f>
        <v>0</v>
      </c>
      <c r="K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6" spans="10:12">
      <c r="J796">
        <f>DropAnalityka[[#This Row],[Sell Drop]]+IF(DropAnalityka[[#This Row],[Drop]]="Scroll", 2000*DropAnalityka[[#This Row],[Quality/Quantity]],0)</f>
        <v>0</v>
      </c>
      <c r="K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7" spans="10:12">
      <c r="J797">
        <f>DropAnalityka[[#This Row],[Sell Drop]]+IF(DropAnalityka[[#This Row],[Drop]]="Scroll", 2000*DropAnalityka[[#This Row],[Quality/Quantity]],0)</f>
        <v>0</v>
      </c>
      <c r="K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8" spans="10:12">
      <c r="J798">
        <f>DropAnalityka[[#This Row],[Sell Drop]]+IF(DropAnalityka[[#This Row],[Drop]]="Scroll", 2000*DropAnalityka[[#This Row],[Quality/Quantity]],0)</f>
        <v>0</v>
      </c>
      <c r="K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9" spans="10:12">
      <c r="J799">
        <f>DropAnalityka[[#This Row],[Sell Drop]]+IF(DropAnalityka[[#This Row],[Drop]]="Scroll", 2000*DropAnalityka[[#This Row],[Quality/Quantity]],0)</f>
        <v>0</v>
      </c>
      <c r="K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0" spans="10:12">
      <c r="J800">
        <f>DropAnalityka[[#This Row],[Sell Drop]]+IF(DropAnalityka[[#This Row],[Drop]]="Scroll", 2000*DropAnalityka[[#This Row],[Quality/Quantity]],0)</f>
        <v>0</v>
      </c>
      <c r="K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1" spans="1:13">
      <c r="J801">
        <f>DropAnalityka[[#This Row],[Sell Drop]]+IF(DropAnalityka[[#This Row],[Drop]]="Scroll", 2000*DropAnalityka[[#This Row],[Quality/Quantity]],0)</f>
        <v>0</v>
      </c>
      <c r="K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2" spans="1:13">
      <c r="A802" s="6"/>
      <c r="B802" s="6"/>
      <c r="C802" s="6"/>
      <c r="D802" s="6"/>
      <c r="E802" s="6"/>
      <c r="F802" s="6"/>
      <c r="G802" s="6"/>
      <c r="H802" s="6"/>
      <c r="I802" s="6"/>
      <c r="J802">
        <f>DropAnalityka[[#This Row],[Sell Drop]]+IF(DropAnalityka[[#This Row],[Drop]]="Scroll", 2000*DropAnalityka[[#This Row],[Quality/Quantity]],0)</f>
        <v>0</v>
      </c>
      <c r="K802" s="98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2" s="98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802" s="6"/>
    </row>
    <row r="803" spans="1:13">
      <c r="J803">
        <f>DropAnalityka[[#This Row],[Sell Drop]]+IF(DropAnalityka[[#This Row],[Drop]]="Scroll", 2000*DropAnalityka[[#This Row],[Quality/Quantity]],0)</f>
        <v>0</v>
      </c>
      <c r="K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4" spans="1:13">
      <c r="J804">
        <f>DropAnalityka[[#This Row],[Sell Drop]]+IF(DropAnalityka[[#This Row],[Drop]]="Scroll", 2000*DropAnalityka[[#This Row],[Quality/Quantity]],0)</f>
        <v>0</v>
      </c>
      <c r="K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5" spans="1:13">
      <c r="J805">
        <f>DropAnalityka[[#This Row],[Sell Drop]]+IF(DropAnalityka[[#This Row],[Drop]]="Scroll", 2000*DropAnalityka[[#This Row],[Quality/Quantity]],0)</f>
        <v>0</v>
      </c>
      <c r="K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6" spans="1:13">
      <c r="J806">
        <f>DropAnalityka[[#This Row],[Sell Drop]]+IF(DropAnalityka[[#This Row],[Drop]]="Scroll", 2000*DropAnalityka[[#This Row],[Quality/Quantity]],0)</f>
        <v>0</v>
      </c>
      <c r="K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7" spans="1:13">
      <c r="J807">
        <f>DropAnalityka[[#This Row],[Sell Drop]]+IF(DropAnalityka[[#This Row],[Drop]]="Scroll", 2000*DropAnalityka[[#This Row],[Quality/Quantity]],0)</f>
        <v>0</v>
      </c>
      <c r="K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8" spans="1:13">
      <c r="J808">
        <f>DropAnalityka[[#This Row],[Sell Drop]]+IF(DropAnalityka[[#This Row],[Drop]]="Scroll", 2000*DropAnalityka[[#This Row],[Quality/Quantity]],0)</f>
        <v>0</v>
      </c>
      <c r="K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9" spans="1:13">
      <c r="J809">
        <f>DropAnalityka[[#This Row],[Sell Drop]]+IF(DropAnalityka[[#This Row],[Drop]]="Scroll", 2000*DropAnalityka[[#This Row],[Quality/Quantity]],0)</f>
        <v>0</v>
      </c>
      <c r="K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0" spans="1:13">
      <c r="J810">
        <f>DropAnalityka[[#This Row],[Sell Drop]]+IF(DropAnalityka[[#This Row],[Drop]]="Scroll", 2000*DropAnalityka[[#This Row],[Quality/Quantity]],0)</f>
        <v>0</v>
      </c>
      <c r="K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1" spans="1:13">
      <c r="J811">
        <f>DropAnalityka[[#This Row],[Sell Drop]]+IF(DropAnalityka[[#This Row],[Drop]]="Scroll", 2000*DropAnalityka[[#This Row],[Quality/Quantity]],0)</f>
        <v>0</v>
      </c>
      <c r="K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2" spans="1:13">
      <c r="J812">
        <f>DropAnalityka[[#This Row],[Sell Drop]]+IF(DropAnalityka[[#This Row],[Drop]]="Scroll", 2000*DropAnalityka[[#This Row],[Quality/Quantity]],0)</f>
        <v>0</v>
      </c>
      <c r="K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3" spans="1:13">
      <c r="J813">
        <f>DropAnalityka[[#This Row],[Sell Drop]]+IF(DropAnalityka[[#This Row],[Drop]]="Scroll", 2000*DropAnalityka[[#This Row],[Quality/Quantity]],0)</f>
        <v>0</v>
      </c>
      <c r="K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4" spans="1:13">
      <c r="J814">
        <f>DropAnalityka[[#This Row],[Sell Drop]]+IF(DropAnalityka[[#This Row],[Drop]]="Scroll", 2000*DropAnalityka[[#This Row],[Quality/Quantity]],0)</f>
        <v>0</v>
      </c>
      <c r="K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5" spans="1:13">
      <c r="J815">
        <f>DropAnalityka[[#This Row],[Sell Drop]]+IF(DropAnalityka[[#This Row],[Drop]]="Scroll", 2000*DropAnalityka[[#This Row],[Quality/Quantity]],0)</f>
        <v>0</v>
      </c>
      <c r="K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6" spans="1:13">
      <c r="J816">
        <f>DropAnalityka[[#This Row],[Sell Drop]]+IF(DropAnalityka[[#This Row],[Drop]]="Scroll", 2000*DropAnalityka[[#This Row],[Quality/Quantity]],0)</f>
        <v>0</v>
      </c>
      <c r="K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7" spans="10:12">
      <c r="J817">
        <f>DropAnalityka[[#This Row],[Sell Drop]]+IF(DropAnalityka[[#This Row],[Drop]]="Scroll", 2000*DropAnalityka[[#This Row],[Quality/Quantity]],0)</f>
        <v>0</v>
      </c>
      <c r="K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8" spans="10:12">
      <c r="J818">
        <f>DropAnalityka[[#This Row],[Sell Drop]]+IF(DropAnalityka[[#This Row],[Drop]]="Scroll", 2000*DropAnalityka[[#This Row],[Quality/Quantity]],0)</f>
        <v>0</v>
      </c>
      <c r="K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9" spans="10:12">
      <c r="J819">
        <f>DropAnalityka[[#This Row],[Sell Drop]]+IF(DropAnalityka[[#This Row],[Drop]]="Scroll", 2000*DropAnalityka[[#This Row],[Quality/Quantity]],0)</f>
        <v>0</v>
      </c>
      <c r="K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0" spans="10:12">
      <c r="J820">
        <f>DropAnalityka[[#This Row],[Sell Drop]]+IF(DropAnalityka[[#This Row],[Drop]]="Scroll", 2000*DropAnalityka[[#This Row],[Quality/Quantity]],0)</f>
        <v>0</v>
      </c>
      <c r="K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1" spans="10:12">
      <c r="J821">
        <f>DropAnalityka[[#This Row],[Sell Drop]]+IF(DropAnalityka[[#This Row],[Drop]]="Scroll", 2000*DropAnalityka[[#This Row],[Quality/Quantity]],0)</f>
        <v>0</v>
      </c>
      <c r="K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2" spans="10:12">
      <c r="J822">
        <f>DropAnalityka[[#This Row],[Sell Drop]]+IF(DropAnalityka[[#This Row],[Drop]]="Scroll", 2000*DropAnalityka[[#This Row],[Quality/Quantity]],0)</f>
        <v>0</v>
      </c>
      <c r="K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3" spans="10:12">
      <c r="J823">
        <f>DropAnalityka[[#This Row],[Sell Drop]]+IF(DropAnalityka[[#This Row],[Drop]]="Scroll", 2000*DropAnalityka[[#This Row],[Quality/Quantity]],0)</f>
        <v>0</v>
      </c>
      <c r="K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4" spans="10:12">
      <c r="J824">
        <f>DropAnalityka[[#This Row],[Sell Drop]]+IF(DropAnalityka[[#This Row],[Drop]]="Scroll", 2000*DropAnalityka[[#This Row],[Quality/Quantity]],0)</f>
        <v>0</v>
      </c>
      <c r="K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5" spans="10:12">
      <c r="J825">
        <f>DropAnalityka[[#This Row],[Sell Drop]]+IF(DropAnalityka[[#This Row],[Drop]]="Scroll", 2000*DropAnalityka[[#This Row],[Quality/Quantity]],0)</f>
        <v>0</v>
      </c>
      <c r="K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6" spans="10:12">
      <c r="J826">
        <f>DropAnalityka[[#This Row],[Sell Drop]]+IF(DropAnalityka[[#This Row],[Drop]]="Scroll", 2000*DropAnalityka[[#This Row],[Quality/Quantity]],0)</f>
        <v>0</v>
      </c>
      <c r="K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7" spans="10:12">
      <c r="J827">
        <f>DropAnalityka[[#This Row],[Sell Drop]]+IF(DropAnalityka[[#This Row],[Drop]]="Scroll", 2000*DropAnalityka[[#This Row],[Quality/Quantity]],0)</f>
        <v>0</v>
      </c>
      <c r="K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8" spans="10:12">
      <c r="J828">
        <f>DropAnalityka[[#This Row],[Sell Drop]]+IF(DropAnalityka[[#This Row],[Drop]]="Scroll", 2000*DropAnalityka[[#This Row],[Quality/Quantity]],0)</f>
        <v>0</v>
      </c>
      <c r="K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9" spans="10:12">
      <c r="J829">
        <f>DropAnalityka[[#This Row],[Sell Drop]]+IF(DropAnalityka[[#This Row],[Drop]]="Scroll", 2000*DropAnalityka[[#This Row],[Quality/Quantity]],0)</f>
        <v>0</v>
      </c>
      <c r="K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0" spans="10:12">
      <c r="J830">
        <f>DropAnalityka[[#This Row],[Sell Drop]]+IF(DropAnalityka[[#This Row],[Drop]]="Scroll", 2000*DropAnalityka[[#This Row],[Quality/Quantity]],0)</f>
        <v>0</v>
      </c>
      <c r="K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1" spans="10:12">
      <c r="J831">
        <f>DropAnalityka[[#This Row],[Sell Drop]]+IF(DropAnalityka[[#This Row],[Drop]]="Scroll", 2000*DropAnalityka[[#This Row],[Quality/Quantity]],0)</f>
        <v>0</v>
      </c>
      <c r="K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2" spans="10:12">
      <c r="J832">
        <f>DropAnalityka[[#This Row],[Sell Drop]]+IF(DropAnalityka[[#This Row],[Drop]]="Scroll", 2000*DropAnalityka[[#This Row],[Quality/Quantity]],0)</f>
        <v>0</v>
      </c>
      <c r="K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3" spans="10:12">
      <c r="J833">
        <f>DropAnalityka[[#This Row],[Sell Drop]]+IF(DropAnalityka[[#This Row],[Drop]]="Scroll", 2000*DropAnalityka[[#This Row],[Quality/Quantity]],0)</f>
        <v>0</v>
      </c>
      <c r="K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4" spans="10:12">
      <c r="J834">
        <f>DropAnalityka[[#This Row],[Sell Drop]]+IF(DropAnalityka[[#This Row],[Drop]]="Scroll", 2000*DropAnalityka[[#This Row],[Quality/Quantity]],0)</f>
        <v>0</v>
      </c>
      <c r="K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5" spans="10:12">
      <c r="J835">
        <f>DropAnalityka[[#This Row],[Sell Drop]]+IF(DropAnalityka[[#This Row],[Drop]]="Scroll", 2000*DropAnalityka[[#This Row],[Quality/Quantity]],0)</f>
        <v>0</v>
      </c>
      <c r="K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6" spans="10:12">
      <c r="J836">
        <f>DropAnalityka[[#This Row],[Sell Drop]]+IF(DropAnalityka[[#This Row],[Drop]]="Scroll", 2000*DropAnalityka[[#This Row],[Quality/Quantity]],0)</f>
        <v>0</v>
      </c>
      <c r="K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7" spans="10:12">
      <c r="J837">
        <f>DropAnalityka[[#This Row],[Sell Drop]]+IF(DropAnalityka[[#This Row],[Drop]]="Scroll", 2000*DropAnalityka[[#This Row],[Quality/Quantity]],0)</f>
        <v>0</v>
      </c>
      <c r="K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8" spans="10:12">
      <c r="J838">
        <f>DropAnalityka[[#This Row],[Sell Drop]]+IF(DropAnalityka[[#This Row],[Drop]]="Scroll", 2000*DropAnalityka[[#This Row],[Quality/Quantity]],0)</f>
        <v>0</v>
      </c>
      <c r="K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9" spans="10:12">
      <c r="J839">
        <f>DropAnalityka[[#This Row],[Sell Drop]]+IF(DropAnalityka[[#This Row],[Drop]]="Scroll", 2000*DropAnalityka[[#This Row],[Quality/Quantity]],0)</f>
        <v>0</v>
      </c>
      <c r="K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0" spans="10:12">
      <c r="J840">
        <f>DropAnalityka[[#This Row],[Sell Drop]]+IF(DropAnalityka[[#This Row],[Drop]]="Scroll", 2000*DropAnalityka[[#This Row],[Quality/Quantity]],0)</f>
        <v>0</v>
      </c>
      <c r="K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1" spans="10:12">
      <c r="J841">
        <f>DropAnalityka[[#This Row],[Sell Drop]]+IF(DropAnalityka[[#This Row],[Drop]]="Scroll", 2000*DropAnalityka[[#This Row],[Quality/Quantity]],0)</f>
        <v>0</v>
      </c>
      <c r="K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2" spans="10:12">
      <c r="J842">
        <f>DropAnalityka[[#This Row],[Sell Drop]]+IF(DropAnalityka[[#This Row],[Drop]]="Scroll", 2000*DropAnalityka[[#This Row],[Quality/Quantity]],0)</f>
        <v>0</v>
      </c>
      <c r="K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3" spans="10:12">
      <c r="J843">
        <f>DropAnalityka[[#This Row],[Sell Drop]]+IF(DropAnalityka[[#This Row],[Drop]]="Scroll", 2000*DropAnalityka[[#This Row],[Quality/Quantity]],0)</f>
        <v>0</v>
      </c>
      <c r="K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4" spans="10:12">
      <c r="J844">
        <f>DropAnalityka[[#This Row],[Sell Drop]]+IF(DropAnalityka[[#This Row],[Drop]]="Scroll", 2000*DropAnalityka[[#This Row],[Quality/Quantity]],0)</f>
        <v>0</v>
      </c>
      <c r="K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5" spans="10:12">
      <c r="J845">
        <f>DropAnalityka[[#This Row],[Sell Drop]]+IF(DropAnalityka[[#This Row],[Drop]]="Scroll", 2000*DropAnalityka[[#This Row],[Quality/Quantity]],0)</f>
        <v>0</v>
      </c>
      <c r="K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6" spans="10:12">
      <c r="J846">
        <f>DropAnalityka[[#This Row],[Sell Drop]]+IF(DropAnalityka[[#This Row],[Drop]]="Scroll", 2000*DropAnalityka[[#This Row],[Quality/Quantity]],0)</f>
        <v>0</v>
      </c>
      <c r="K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7" spans="10:12">
      <c r="J847">
        <f>DropAnalityka[[#This Row],[Sell Drop]]+IF(DropAnalityka[[#This Row],[Drop]]="Scroll", 2000*DropAnalityka[[#This Row],[Quality/Quantity]],0)</f>
        <v>0</v>
      </c>
      <c r="K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8" spans="10:12">
      <c r="J848">
        <f>DropAnalityka[[#This Row],[Sell Drop]]+IF(DropAnalityka[[#This Row],[Drop]]="Scroll", 2000*DropAnalityka[[#This Row],[Quality/Quantity]],0)</f>
        <v>0</v>
      </c>
      <c r="K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9" spans="10:12">
      <c r="J849">
        <f>DropAnalityka[[#This Row],[Sell Drop]]+IF(DropAnalityka[[#This Row],[Drop]]="Scroll", 2000*DropAnalityka[[#This Row],[Quality/Quantity]],0)</f>
        <v>0</v>
      </c>
      <c r="K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0" spans="10:12">
      <c r="J850">
        <f>DropAnalityka[[#This Row],[Sell Drop]]+IF(DropAnalityka[[#This Row],[Drop]]="Scroll", 2000*DropAnalityka[[#This Row],[Quality/Quantity]],0)</f>
        <v>0</v>
      </c>
      <c r="K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1" spans="10:12">
      <c r="J851">
        <f>DropAnalityka[[#This Row],[Sell Drop]]+IF(DropAnalityka[[#This Row],[Drop]]="Scroll", 2000*DropAnalityka[[#This Row],[Quality/Quantity]],0)</f>
        <v>0</v>
      </c>
      <c r="K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2" spans="10:12">
      <c r="J852">
        <f>DropAnalityka[[#This Row],[Sell Drop]]+IF(DropAnalityka[[#This Row],[Drop]]="Scroll", 2000*DropAnalityka[[#This Row],[Quality/Quantity]],0)</f>
        <v>0</v>
      </c>
      <c r="K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3" spans="10:12">
      <c r="J853">
        <f>DropAnalityka[[#This Row],[Sell Drop]]+IF(DropAnalityka[[#This Row],[Drop]]="Scroll", 2000*DropAnalityka[[#This Row],[Quality/Quantity]],0)</f>
        <v>0</v>
      </c>
      <c r="K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4" spans="10:12">
      <c r="J854">
        <f>DropAnalityka[[#This Row],[Sell Drop]]+IF(DropAnalityka[[#This Row],[Drop]]="Scroll", 2000*DropAnalityka[[#This Row],[Quality/Quantity]],0)</f>
        <v>0</v>
      </c>
      <c r="K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5" spans="10:12">
      <c r="J855">
        <f>DropAnalityka[[#This Row],[Sell Drop]]+IF(DropAnalityka[[#This Row],[Drop]]="Scroll", 2000*DropAnalityka[[#This Row],[Quality/Quantity]],0)</f>
        <v>0</v>
      </c>
      <c r="K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6" spans="10:12">
      <c r="J856">
        <f>DropAnalityka[[#This Row],[Sell Drop]]+IF(DropAnalityka[[#This Row],[Drop]]="Scroll", 2000*DropAnalityka[[#This Row],[Quality/Quantity]],0)</f>
        <v>0</v>
      </c>
      <c r="K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7" spans="10:12">
      <c r="J857">
        <f>DropAnalityka[[#This Row],[Sell Drop]]+IF(DropAnalityka[[#This Row],[Drop]]="Scroll", 2000*DropAnalityka[[#This Row],[Quality/Quantity]],0)</f>
        <v>0</v>
      </c>
      <c r="K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8" spans="10:12">
      <c r="J858">
        <f>DropAnalityka[[#This Row],[Sell Drop]]+IF(DropAnalityka[[#This Row],[Drop]]="Scroll", 2000*DropAnalityka[[#This Row],[Quality/Quantity]],0)</f>
        <v>0</v>
      </c>
      <c r="K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9" spans="10:12">
      <c r="J859">
        <f>DropAnalityka[[#This Row],[Sell Drop]]+IF(DropAnalityka[[#This Row],[Drop]]="Scroll", 2000*DropAnalityka[[#This Row],[Quality/Quantity]],0)</f>
        <v>0</v>
      </c>
      <c r="K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0" spans="10:12">
      <c r="J860">
        <f>DropAnalityka[[#This Row],[Sell Drop]]+IF(DropAnalityka[[#This Row],[Drop]]="Scroll", 2000*DropAnalityka[[#This Row],[Quality/Quantity]],0)</f>
        <v>0</v>
      </c>
      <c r="K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1" spans="10:12">
      <c r="J861">
        <f>DropAnalityka[[#This Row],[Sell Drop]]+IF(DropAnalityka[[#This Row],[Drop]]="Scroll", 2000*DropAnalityka[[#This Row],[Quality/Quantity]],0)</f>
        <v>0</v>
      </c>
      <c r="K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2" spans="10:12">
      <c r="J862">
        <f>DropAnalityka[[#This Row],[Sell Drop]]+IF(DropAnalityka[[#This Row],[Drop]]="Scroll", 2000*DropAnalityka[[#This Row],[Quality/Quantity]],0)</f>
        <v>0</v>
      </c>
      <c r="K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3" spans="10:12">
      <c r="J863">
        <f>DropAnalityka[[#This Row],[Sell Drop]]+IF(DropAnalityka[[#This Row],[Drop]]="Scroll", 2000*DropAnalityka[[#This Row],[Quality/Quantity]],0)</f>
        <v>0</v>
      </c>
      <c r="K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4" spans="10:12">
      <c r="J864">
        <f>DropAnalityka[[#This Row],[Sell Drop]]+IF(DropAnalityka[[#This Row],[Drop]]="Scroll", 2000*DropAnalityka[[#This Row],[Quality/Quantity]],0)</f>
        <v>0</v>
      </c>
      <c r="K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5" spans="10:12">
      <c r="J865">
        <f>DropAnalityka[[#This Row],[Sell Drop]]+IF(DropAnalityka[[#This Row],[Drop]]="Scroll", 2000*DropAnalityka[[#This Row],[Quality/Quantity]],0)</f>
        <v>0</v>
      </c>
      <c r="K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6" spans="10:12">
      <c r="J866">
        <f>DropAnalityka[[#This Row],[Sell Drop]]+IF(DropAnalityka[[#This Row],[Drop]]="Scroll", 2000*DropAnalityka[[#This Row],[Quality/Quantity]],0)</f>
        <v>0</v>
      </c>
      <c r="K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7" spans="10:12">
      <c r="J867">
        <f>DropAnalityka[[#This Row],[Sell Drop]]+IF(DropAnalityka[[#This Row],[Drop]]="Scroll", 2000*DropAnalityka[[#This Row],[Quality/Quantity]],0)</f>
        <v>0</v>
      </c>
      <c r="K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8" spans="10:12">
      <c r="J868">
        <f>DropAnalityka[[#This Row],[Sell Drop]]+IF(DropAnalityka[[#This Row],[Drop]]="Scroll", 2000*DropAnalityka[[#This Row],[Quality/Quantity]],0)</f>
        <v>0</v>
      </c>
      <c r="K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9" spans="10:12">
      <c r="J869">
        <f>DropAnalityka[[#This Row],[Sell Drop]]+IF(DropAnalityka[[#This Row],[Drop]]="Scroll", 2000*DropAnalityka[[#This Row],[Quality/Quantity]],0)</f>
        <v>0</v>
      </c>
      <c r="K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0" spans="10:12">
      <c r="J870">
        <f>DropAnalityka[[#This Row],[Sell Drop]]+IF(DropAnalityka[[#This Row],[Drop]]="Scroll", 2000*DropAnalityka[[#This Row],[Quality/Quantity]],0)</f>
        <v>0</v>
      </c>
      <c r="K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1" spans="10:12">
      <c r="J871">
        <f>DropAnalityka[[#This Row],[Sell Drop]]+IF(DropAnalityka[[#This Row],[Drop]]="Scroll", 2000*DropAnalityka[[#This Row],[Quality/Quantity]],0)</f>
        <v>0</v>
      </c>
      <c r="K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2" spans="10:12">
      <c r="J872">
        <f>DropAnalityka[[#This Row],[Sell Drop]]+IF(DropAnalityka[[#This Row],[Drop]]="Scroll", 2000*DropAnalityka[[#This Row],[Quality/Quantity]],0)</f>
        <v>0</v>
      </c>
      <c r="K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3" spans="10:12">
      <c r="J873">
        <f>DropAnalityka[[#This Row],[Sell Drop]]+IF(DropAnalityka[[#This Row],[Drop]]="Scroll", 2000*DropAnalityka[[#This Row],[Quality/Quantity]],0)</f>
        <v>0</v>
      </c>
      <c r="K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4" spans="10:12">
      <c r="J874">
        <f>DropAnalityka[[#This Row],[Sell Drop]]+IF(DropAnalityka[[#This Row],[Drop]]="Scroll", 2000*DropAnalityka[[#This Row],[Quality/Quantity]],0)</f>
        <v>0</v>
      </c>
      <c r="K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5" spans="10:12">
      <c r="J875">
        <f>DropAnalityka[[#This Row],[Sell Drop]]+IF(DropAnalityka[[#This Row],[Drop]]="Scroll", 2000*DropAnalityka[[#This Row],[Quality/Quantity]],0)</f>
        <v>0</v>
      </c>
      <c r="K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6" spans="10:12">
      <c r="J876">
        <f>DropAnalityka[[#This Row],[Sell Drop]]+IF(DropAnalityka[[#This Row],[Drop]]="Scroll", 2000*DropAnalityka[[#This Row],[Quality/Quantity]],0)</f>
        <v>0</v>
      </c>
      <c r="K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7" spans="10:12">
      <c r="J877">
        <f>DropAnalityka[[#This Row],[Sell Drop]]+IF(DropAnalityka[[#This Row],[Drop]]="Scroll", 2000*DropAnalityka[[#This Row],[Quality/Quantity]],0)</f>
        <v>0</v>
      </c>
      <c r="K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8" spans="10:12">
      <c r="J878">
        <f>DropAnalityka[[#This Row],[Sell Drop]]+IF(DropAnalityka[[#This Row],[Drop]]="Scroll", 2000*DropAnalityka[[#This Row],[Quality/Quantity]],0)</f>
        <v>0</v>
      </c>
      <c r="K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9" spans="10:12">
      <c r="J879">
        <f>DropAnalityka[[#This Row],[Sell Drop]]+IF(DropAnalityka[[#This Row],[Drop]]="Scroll", 2000*DropAnalityka[[#This Row],[Quality/Quantity]],0)</f>
        <v>0</v>
      </c>
      <c r="K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0" spans="10:12">
      <c r="J880">
        <f>DropAnalityka[[#This Row],[Sell Drop]]+IF(DropAnalityka[[#This Row],[Drop]]="Scroll", 2000*DropAnalityka[[#This Row],[Quality/Quantity]],0)</f>
        <v>0</v>
      </c>
      <c r="K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1" spans="10:12">
      <c r="J881">
        <f>DropAnalityka[[#This Row],[Sell Drop]]+IF(DropAnalityka[[#This Row],[Drop]]="Scroll", 2000*DropAnalityka[[#This Row],[Quality/Quantity]],0)</f>
        <v>0</v>
      </c>
      <c r="K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2" spans="10:12">
      <c r="J882">
        <f>DropAnalityka[[#This Row],[Sell Drop]]+IF(DropAnalityka[[#This Row],[Drop]]="Scroll", 2000*DropAnalityka[[#This Row],[Quality/Quantity]],0)</f>
        <v>0</v>
      </c>
      <c r="K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3" spans="10:12">
      <c r="J883">
        <f>DropAnalityka[[#This Row],[Sell Drop]]+IF(DropAnalityka[[#This Row],[Drop]]="Scroll", 2000*DropAnalityka[[#This Row],[Quality/Quantity]],0)</f>
        <v>0</v>
      </c>
      <c r="K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4" spans="10:12">
      <c r="J884">
        <f>DropAnalityka[[#This Row],[Sell Drop]]+IF(DropAnalityka[[#This Row],[Drop]]="Scroll", 2000*DropAnalityka[[#This Row],[Quality/Quantity]],0)</f>
        <v>0</v>
      </c>
      <c r="K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5" spans="10:12">
      <c r="J885">
        <f>DropAnalityka[[#This Row],[Sell Drop]]+IF(DropAnalityka[[#This Row],[Drop]]="Scroll", 2000*DropAnalityka[[#This Row],[Quality/Quantity]],0)</f>
        <v>0</v>
      </c>
      <c r="K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6" spans="10:12">
      <c r="J886">
        <f>DropAnalityka[[#This Row],[Sell Drop]]+IF(DropAnalityka[[#This Row],[Drop]]="Scroll", 2000*DropAnalityka[[#This Row],[Quality/Quantity]],0)</f>
        <v>0</v>
      </c>
      <c r="K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7" spans="10:12">
      <c r="J887">
        <f>DropAnalityka[[#This Row],[Sell Drop]]+IF(DropAnalityka[[#This Row],[Drop]]="Scroll", 2000*DropAnalityka[[#This Row],[Quality/Quantity]],0)</f>
        <v>0</v>
      </c>
      <c r="K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8" spans="10:12">
      <c r="J888">
        <f>DropAnalityka[[#This Row],[Sell Drop]]+IF(DropAnalityka[[#This Row],[Drop]]="Scroll", 2000*DropAnalityka[[#This Row],[Quality/Quantity]],0)</f>
        <v>0</v>
      </c>
      <c r="K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9" spans="10:12">
      <c r="J889">
        <f>DropAnalityka[[#This Row],[Sell Drop]]+IF(DropAnalityka[[#This Row],[Drop]]="Scroll", 2000*DropAnalityka[[#This Row],[Quality/Quantity]],0)</f>
        <v>0</v>
      </c>
      <c r="K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0" spans="10:12">
      <c r="J890">
        <f>DropAnalityka[[#This Row],[Sell Drop]]+IF(DropAnalityka[[#This Row],[Drop]]="Scroll", 2000*DropAnalityka[[#This Row],[Quality/Quantity]],0)</f>
        <v>0</v>
      </c>
      <c r="K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1" spans="10:12">
      <c r="J891">
        <f>DropAnalityka[[#This Row],[Sell Drop]]+IF(DropAnalityka[[#This Row],[Drop]]="Scroll", 2000*DropAnalityka[[#This Row],[Quality/Quantity]],0)</f>
        <v>0</v>
      </c>
      <c r="K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2" spans="10:12">
      <c r="J892">
        <f>DropAnalityka[[#This Row],[Sell Drop]]+IF(DropAnalityka[[#This Row],[Drop]]="Scroll", 2000*DropAnalityka[[#This Row],[Quality/Quantity]],0)</f>
        <v>0</v>
      </c>
      <c r="K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3" spans="10:12">
      <c r="J893">
        <f>DropAnalityka[[#This Row],[Sell Drop]]+IF(DropAnalityka[[#This Row],[Drop]]="Scroll", 2000*DropAnalityka[[#This Row],[Quality/Quantity]],0)</f>
        <v>0</v>
      </c>
      <c r="K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4" spans="10:12">
      <c r="J894">
        <f>DropAnalityka[[#This Row],[Sell Drop]]+IF(DropAnalityka[[#This Row],[Drop]]="Scroll", 2000*DropAnalityka[[#This Row],[Quality/Quantity]],0)</f>
        <v>0</v>
      </c>
      <c r="K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5" spans="10:12">
      <c r="J895">
        <f>DropAnalityka[[#This Row],[Sell Drop]]+IF(DropAnalityka[[#This Row],[Drop]]="Scroll", 2000*DropAnalityka[[#This Row],[Quality/Quantity]],0)</f>
        <v>0</v>
      </c>
      <c r="K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6" spans="10:12">
      <c r="J896">
        <f>DropAnalityka[[#This Row],[Sell Drop]]+IF(DropAnalityka[[#This Row],[Drop]]="Scroll", 2000*DropAnalityka[[#This Row],[Quality/Quantity]],0)</f>
        <v>0</v>
      </c>
      <c r="K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7" spans="10:12">
      <c r="J897">
        <f>DropAnalityka[[#This Row],[Sell Drop]]+IF(DropAnalityka[[#This Row],[Drop]]="Scroll", 2000*DropAnalityka[[#This Row],[Quality/Quantity]],0)</f>
        <v>0</v>
      </c>
      <c r="K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8" spans="10:12">
      <c r="J898">
        <f>DropAnalityka[[#This Row],[Sell Drop]]+IF(DropAnalityka[[#This Row],[Drop]]="Scroll", 2000*DropAnalityka[[#This Row],[Quality/Quantity]],0)</f>
        <v>0</v>
      </c>
      <c r="K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9" spans="10:12">
      <c r="J899">
        <f>DropAnalityka[[#This Row],[Sell Drop]]+IF(DropAnalityka[[#This Row],[Drop]]="Scroll", 2000*DropAnalityka[[#This Row],[Quality/Quantity]],0)</f>
        <v>0</v>
      </c>
      <c r="K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0" spans="10:12">
      <c r="J900">
        <f>DropAnalityka[[#This Row],[Sell Drop]]+IF(DropAnalityka[[#This Row],[Drop]]="Scroll", 2000*DropAnalityka[[#This Row],[Quality/Quantity]],0)</f>
        <v>0</v>
      </c>
      <c r="K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1" spans="10:12">
      <c r="J901">
        <f>DropAnalityka[[#This Row],[Sell Drop]]+IF(DropAnalityka[[#This Row],[Drop]]="Scroll", 2000*DropAnalityka[[#This Row],[Quality/Quantity]],0)</f>
        <v>0</v>
      </c>
      <c r="K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2" spans="10:12">
      <c r="J902">
        <f>DropAnalityka[[#This Row],[Sell Drop]]+IF(DropAnalityka[[#This Row],[Drop]]="Scroll", 2000*DropAnalityka[[#This Row],[Quality/Quantity]],0)</f>
        <v>0</v>
      </c>
      <c r="K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3" spans="10:12">
      <c r="J903">
        <f>DropAnalityka[[#This Row],[Sell Drop]]+IF(DropAnalityka[[#This Row],[Drop]]="Scroll", 2000*DropAnalityka[[#This Row],[Quality/Quantity]],0)</f>
        <v>0</v>
      </c>
      <c r="K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4" spans="10:12">
      <c r="J904">
        <f>DropAnalityka[[#This Row],[Sell Drop]]+IF(DropAnalityka[[#This Row],[Drop]]="Scroll", 2000*DropAnalityka[[#This Row],[Quality/Quantity]],0)</f>
        <v>0</v>
      </c>
      <c r="K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5" spans="10:12">
      <c r="J905">
        <f>DropAnalityka[[#This Row],[Sell Drop]]+IF(DropAnalityka[[#This Row],[Drop]]="Scroll", 2000*DropAnalityka[[#This Row],[Quality/Quantity]],0)</f>
        <v>0</v>
      </c>
      <c r="K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6" spans="10:12">
      <c r="J906">
        <f>DropAnalityka[[#This Row],[Sell Drop]]+IF(DropAnalityka[[#This Row],[Drop]]="Scroll", 2000*DropAnalityka[[#This Row],[Quality/Quantity]],0)</f>
        <v>0</v>
      </c>
      <c r="K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7" spans="10:12">
      <c r="J907">
        <f>DropAnalityka[[#This Row],[Sell Drop]]+IF(DropAnalityka[[#This Row],[Drop]]="Scroll", 2000*DropAnalityka[[#This Row],[Quality/Quantity]],0)</f>
        <v>0</v>
      </c>
      <c r="K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8" spans="10:12">
      <c r="J908">
        <f>DropAnalityka[[#This Row],[Sell Drop]]+IF(DropAnalityka[[#This Row],[Drop]]="Scroll", 2000*DropAnalityka[[#This Row],[Quality/Quantity]],0)</f>
        <v>0</v>
      </c>
      <c r="K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9" spans="10:12">
      <c r="J909">
        <f>DropAnalityka[[#This Row],[Sell Drop]]+IF(DropAnalityka[[#This Row],[Drop]]="Scroll", 2000*DropAnalityka[[#This Row],[Quality/Quantity]],0)</f>
        <v>0</v>
      </c>
      <c r="K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0" spans="10:12">
      <c r="J910">
        <f>DropAnalityka[[#This Row],[Sell Drop]]+IF(DropAnalityka[[#This Row],[Drop]]="Scroll", 2000*DropAnalityka[[#This Row],[Quality/Quantity]],0)</f>
        <v>0</v>
      </c>
      <c r="K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1" spans="10:12">
      <c r="J911">
        <f>DropAnalityka[[#This Row],[Sell Drop]]+IF(DropAnalityka[[#This Row],[Drop]]="Scroll", 2000*DropAnalityka[[#This Row],[Quality/Quantity]],0)</f>
        <v>0</v>
      </c>
      <c r="K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2" spans="10:12">
      <c r="J912">
        <f>DropAnalityka[[#This Row],[Sell Drop]]+IF(DropAnalityka[[#This Row],[Drop]]="Scroll", 2000*DropAnalityka[[#This Row],[Quality/Quantity]],0)</f>
        <v>0</v>
      </c>
      <c r="K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3" spans="10:12">
      <c r="J913">
        <f>DropAnalityka[[#This Row],[Sell Drop]]+IF(DropAnalityka[[#This Row],[Drop]]="Scroll", 2000*DropAnalityka[[#This Row],[Quality/Quantity]],0)</f>
        <v>0</v>
      </c>
      <c r="K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4" spans="10:12">
      <c r="J914">
        <f>DropAnalityka[[#This Row],[Sell Drop]]+IF(DropAnalityka[[#This Row],[Drop]]="Scroll", 2000*DropAnalityka[[#This Row],[Quality/Quantity]],0)</f>
        <v>0</v>
      </c>
      <c r="K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5" spans="10:12">
      <c r="J915">
        <f>DropAnalityka[[#This Row],[Sell Drop]]+IF(DropAnalityka[[#This Row],[Drop]]="Scroll", 2000*DropAnalityka[[#This Row],[Quality/Quantity]],0)</f>
        <v>0</v>
      </c>
      <c r="K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6" spans="10:12">
      <c r="J916">
        <f>DropAnalityka[[#This Row],[Sell Drop]]+IF(DropAnalityka[[#This Row],[Drop]]="Scroll", 2000*DropAnalityka[[#This Row],[Quality/Quantity]],0)</f>
        <v>0</v>
      </c>
      <c r="K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7" spans="10:12">
      <c r="J917">
        <f>DropAnalityka[[#This Row],[Sell Drop]]+IF(DropAnalityka[[#This Row],[Drop]]="Scroll", 2000*DropAnalityka[[#This Row],[Quality/Quantity]],0)</f>
        <v>0</v>
      </c>
      <c r="K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8" spans="10:12">
      <c r="J918">
        <f>DropAnalityka[[#This Row],[Sell Drop]]+IF(DropAnalityka[[#This Row],[Drop]]="Scroll", 2000*DropAnalityka[[#This Row],[Quality/Quantity]],0)</f>
        <v>0</v>
      </c>
      <c r="K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9" spans="10:12">
      <c r="J919">
        <f>DropAnalityka[[#This Row],[Sell Drop]]+IF(DropAnalityka[[#This Row],[Drop]]="Scroll", 2000*DropAnalityka[[#This Row],[Quality/Quantity]],0)</f>
        <v>0</v>
      </c>
      <c r="K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0" spans="10:12">
      <c r="J920">
        <f>DropAnalityka[[#This Row],[Sell Drop]]+IF(DropAnalityka[[#This Row],[Drop]]="Scroll", 2000*DropAnalityka[[#This Row],[Quality/Quantity]],0)</f>
        <v>0</v>
      </c>
      <c r="K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1" spans="10:12">
      <c r="J921">
        <f>DropAnalityka[[#This Row],[Sell Drop]]+IF(DropAnalityka[[#This Row],[Drop]]="Scroll", 2000*DropAnalityka[[#This Row],[Quality/Quantity]],0)</f>
        <v>0</v>
      </c>
      <c r="K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2" spans="10:12">
      <c r="J922">
        <f>DropAnalityka[[#This Row],[Sell Drop]]+IF(DropAnalityka[[#This Row],[Drop]]="Scroll", 2000*DropAnalityka[[#This Row],[Quality/Quantity]],0)</f>
        <v>0</v>
      </c>
      <c r="K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3" spans="10:12">
      <c r="J923">
        <f>DropAnalityka[[#This Row],[Sell Drop]]+IF(DropAnalityka[[#This Row],[Drop]]="Scroll", 2000*DropAnalityka[[#This Row],[Quality/Quantity]],0)</f>
        <v>0</v>
      </c>
      <c r="K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4" spans="10:12">
      <c r="J924">
        <f>DropAnalityka[[#This Row],[Sell Drop]]+IF(DropAnalityka[[#This Row],[Drop]]="Scroll", 2000*DropAnalityka[[#This Row],[Quality/Quantity]],0)</f>
        <v>0</v>
      </c>
      <c r="K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5" spans="10:12">
      <c r="J925">
        <f>DropAnalityka[[#This Row],[Sell Drop]]+IF(DropAnalityka[[#This Row],[Drop]]="Scroll", 2000*DropAnalityka[[#This Row],[Quality/Quantity]],0)</f>
        <v>0</v>
      </c>
      <c r="K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6" spans="10:12">
      <c r="J926">
        <f>DropAnalityka[[#This Row],[Sell Drop]]+IF(DropAnalityka[[#This Row],[Drop]]="Scroll", 2000*DropAnalityka[[#This Row],[Quality/Quantity]],0)</f>
        <v>0</v>
      </c>
      <c r="K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7" spans="10:12">
      <c r="J927">
        <f>DropAnalityka[[#This Row],[Sell Drop]]+IF(DropAnalityka[[#This Row],[Drop]]="Scroll", 2000*DropAnalityka[[#This Row],[Quality/Quantity]],0)</f>
        <v>0</v>
      </c>
      <c r="K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8" spans="10:12">
      <c r="J928">
        <f>DropAnalityka[[#This Row],[Sell Drop]]+IF(DropAnalityka[[#This Row],[Drop]]="Scroll", 2000*DropAnalityka[[#This Row],[Quality/Quantity]],0)</f>
        <v>0</v>
      </c>
      <c r="K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9" spans="10:12">
      <c r="J929">
        <f>DropAnalityka[[#This Row],[Sell Drop]]+IF(DropAnalityka[[#This Row],[Drop]]="Scroll", 2000*DropAnalityka[[#This Row],[Quality/Quantity]],0)</f>
        <v>0</v>
      </c>
      <c r="K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0" spans="10:12">
      <c r="J930">
        <f>DropAnalityka[[#This Row],[Sell Drop]]+IF(DropAnalityka[[#This Row],[Drop]]="Scroll", 2000*DropAnalityka[[#This Row],[Quality/Quantity]],0)</f>
        <v>0</v>
      </c>
      <c r="K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1" spans="10:12">
      <c r="J931">
        <f>DropAnalityka[[#This Row],[Sell Drop]]+IF(DropAnalityka[[#This Row],[Drop]]="Scroll", 2000*DropAnalityka[[#This Row],[Quality/Quantity]],0)</f>
        <v>0</v>
      </c>
      <c r="K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2" spans="10:12">
      <c r="J932">
        <f>DropAnalityka[[#This Row],[Sell Drop]]+IF(DropAnalityka[[#This Row],[Drop]]="Scroll", 2000*DropAnalityka[[#This Row],[Quality/Quantity]],0)</f>
        <v>0</v>
      </c>
      <c r="K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3" spans="10:12">
      <c r="J933">
        <f>DropAnalityka[[#This Row],[Sell Drop]]+IF(DropAnalityka[[#This Row],[Drop]]="Scroll", 2000*DropAnalityka[[#This Row],[Quality/Quantity]],0)</f>
        <v>0</v>
      </c>
      <c r="K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4" spans="10:12">
      <c r="J934">
        <f>DropAnalityka[[#This Row],[Sell Drop]]+IF(DropAnalityka[[#This Row],[Drop]]="Scroll", 2000*DropAnalityka[[#This Row],[Quality/Quantity]],0)</f>
        <v>0</v>
      </c>
      <c r="K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5" spans="10:12">
      <c r="J935">
        <f>DropAnalityka[[#This Row],[Sell Drop]]+IF(DropAnalityka[[#This Row],[Drop]]="Scroll", 2000*DropAnalityka[[#This Row],[Quality/Quantity]],0)</f>
        <v>0</v>
      </c>
      <c r="K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6" spans="10:12">
      <c r="J936">
        <f>DropAnalityka[[#This Row],[Sell Drop]]+IF(DropAnalityka[[#This Row],[Drop]]="Scroll", 2000*DropAnalityka[[#This Row],[Quality/Quantity]],0)</f>
        <v>0</v>
      </c>
      <c r="K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7" spans="10:12">
      <c r="J937">
        <f>DropAnalityka[[#This Row],[Sell Drop]]+IF(DropAnalityka[[#This Row],[Drop]]="Scroll", 2000*DropAnalityka[[#This Row],[Quality/Quantity]],0)</f>
        <v>0</v>
      </c>
      <c r="K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8" spans="10:12">
      <c r="J938">
        <f>DropAnalityka[[#This Row],[Sell Drop]]+IF(DropAnalityka[[#This Row],[Drop]]="Scroll", 2000*DropAnalityka[[#This Row],[Quality/Quantity]],0)</f>
        <v>0</v>
      </c>
      <c r="K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9" spans="10:12">
      <c r="J939">
        <f>DropAnalityka[[#This Row],[Sell Drop]]+IF(DropAnalityka[[#This Row],[Drop]]="Scroll", 2000*DropAnalityka[[#This Row],[Quality/Quantity]],0)</f>
        <v>0</v>
      </c>
      <c r="K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0" spans="10:12">
      <c r="J940">
        <f>DropAnalityka[[#This Row],[Sell Drop]]+IF(DropAnalityka[[#This Row],[Drop]]="Scroll", 2000*DropAnalityka[[#This Row],[Quality/Quantity]],0)</f>
        <v>0</v>
      </c>
      <c r="K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1" spans="10:12">
      <c r="J941">
        <f>DropAnalityka[[#This Row],[Sell Drop]]+IF(DropAnalityka[[#This Row],[Drop]]="Scroll", 2000*DropAnalityka[[#This Row],[Quality/Quantity]],0)</f>
        <v>0</v>
      </c>
      <c r="K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2" spans="10:12">
      <c r="J942">
        <f>DropAnalityka[[#This Row],[Sell Drop]]+IF(DropAnalityka[[#This Row],[Drop]]="Scroll", 2000*DropAnalityka[[#This Row],[Quality/Quantity]],0)</f>
        <v>0</v>
      </c>
      <c r="K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3" spans="10:12">
      <c r="J943">
        <f>DropAnalityka[[#This Row],[Sell Drop]]+IF(DropAnalityka[[#This Row],[Drop]]="Scroll", 2000*DropAnalityka[[#This Row],[Quality/Quantity]],0)</f>
        <v>0</v>
      </c>
      <c r="K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4" spans="10:12">
      <c r="J944">
        <f>DropAnalityka[[#This Row],[Sell Drop]]+IF(DropAnalityka[[#This Row],[Drop]]="Scroll", 2000*DropAnalityka[[#This Row],[Quality/Quantity]],0)</f>
        <v>0</v>
      </c>
      <c r="K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5" spans="10:12">
      <c r="J945">
        <f>DropAnalityka[[#This Row],[Sell Drop]]+IF(DropAnalityka[[#This Row],[Drop]]="Scroll", 2000*DropAnalityka[[#This Row],[Quality/Quantity]],0)</f>
        <v>0</v>
      </c>
      <c r="K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6" spans="10:12">
      <c r="J946">
        <f>DropAnalityka[[#This Row],[Sell Drop]]+IF(DropAnalityka[[#This Row],[Drop]]="Scroll", 2000*DropAnalityka[[#This Row],[Quality/Quantity]],0)</f>
        <v>0</v>
      </c>
      <c r="K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7" spans="10:12">
      <c r="J947">
        <f>DropAnalityka[[#This Row],[Sell Drop]]+IF(DropAnalityka[[#This Row],[Drop]]="Scroll", 2000*DropAnalityka[[#This Row],[Quality/Quantity]],0)</f>
        <v>0</v>
      </c>
      <c r="K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8" spans="10:12">
      <c r="J948">
        <f>DropAnalityka[[#This Row],[Sell Drop]]+IF(DropAnalityka[[#This Row],[Drop]]="Scroll", 2000*DropAnalityka[[#This Row],[Quality/Quantity]],0)</f>
        <v>0</v>
      </c>
      <c r="K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9" spans="10:12">
      <c r="J949">
        <f>DropAnalityka[[#This Row],[Sell Drop]]+IF(DropAnalityka[[#This Row],[Drop]]="Scroll", 2000*DropAnalityka[[#This Row],[Quality/Quantity]],0)</f>
        <v>0</v>
      </c>
      <c r="K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0" spans="10:12">
      <c r="J950">
        <f>DropAnalityka[[#This Row],[Sell Drop]]+IF(DropAnalityka[[#This Row],[Drop]]="Scroll", 2000*DropAnalityka[[#This Row],[Quality/Quantity]],0)</f>
        <v>0</v>
      </c>
      <c r="K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1" spans="10:12">
      <c r="J951">
        <f>DropAnalityka[[#This Row],[Sell Drop]]+IF(DropAnalityka[[#This Row],[Drop]]="Scroll", 2000*DropAnalityka[[#This Row],[Quality/Quantity]],0)</f>
        <v>0</v>
      </c>
      <c r="K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2" spans="10:12">
      <c r="J952">
        <f>DropAnalityka[[#This Row],[Sell Drop]]+IF(DropAnalityka[[#This Row],[Drop]]="Scroll", 2000*DropAnalityka[[#This Row],[Quality/Quantity]],0)</f>
        <v>0</v>
      </c>
      <c r="K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3" spans="10:12">
      <c r="J953">
        <f>DropAnalityka[[#This Row],[Sell Drop]]+IF(DropAnalityka[[#This Row],[Drop]]="Scroll", 2000*DropAnalityka[[#This Row],[Quality/Quantity]],0)</f>
        <v>0</v>
      </c>
      <c r="K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4" spans="10:12">
      <c r="J954">
        <f>DropAnalityka[[#This Row],[Sell Drop]]+IF(DropAnalityka[[#This Row],[Drop]]="Scroll", 2000*DropAnalityka[[#This Row],[Quality/Quantity]],0)</f>
        <v>0</v>
      </c>
      <c r="K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5" spans="10:12">
      <c r="J955">
        <f>DropAnalityka[[#This Row],[Sell Drop]]+IF(DropAnalityka[[#This Row],[Drop]]="Scroll", 2000*DropAnalityka[[#This Row],[Quality/Quantity]],0)</f>
        <v>0</v>
      </c>
      <c r="K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6" spans="10:12">
      <c r="J956">
        <f>DropAnalityka[[#This Row],[Sell Drop]]+IF(DropAnalityka[[#This Row],[Drop]]="Scroll", 2000*DropAnalityka[[#This Row],[Quality/Quantity]],0)</f>
        <v>0</v>
      </c>
      <c r="K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7" spans="10:12">
      <c r="J957">
        <f>DropAnalityka[[#This Row],[Sell Drop]]+IF(DropAnalityka[[#This Row],[Drop]]="Scroll", 2000*DropAnalityka[[#This Row],[Quality/Quantity]],0)</f>
        <v>0</v>
      </c>
      <c r="K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8" spans="10:12">
      <c r="J958">
        <f>DropAnalityka[[#This Row],[Sell Drop]]+IF(DropAnalityka[[#This Row],[Drop]]="Scroll", 2000*DropAnalityka[[#This Row],[Quality/Quantity]],0)</f>
        <v>0</v>
      </c>
      <c r="K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9" spans="10:12">
      <c r="J959">
        <f>DropAnalityka[[#This Row],[Sell Drop]]+IF(DropAnalityka[[#This Row],[Drop]]="Scroll", 2000*DropAnalityka[[#This Row],[Quality/Quantity]],0)</f>
        <v>0</v>
      </c>
      <c r="K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0" spans="10:12">
      <c r="J960">
        <f>DropAnalityka[[#This Row],[Sell Drop]]+IF(DropAnalityka[[#This Row],[Drop]]="Scroll", 2000*DropAnalityka[[#This Row],[Quality/Quantity]],0)</f>
        <v>0</v>
      </c>
      <c r="K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1" spans="10:12">
      <c r="J961">
        <f>DropAnalityka[[#This Row],[Sell Drop]]+IF(DropAnalityka[[#This Row],[Drop]]="Scroll", 2000*DropAnalityka[[#This Row],[Quality/Quantity]],0)</f>
        <v>0</v>
      </c>
      <c r="K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2" spans="10:12">
      <c r="J962">
        <f>DropAnalityka[[#This Row],[Sell Drop]]+IF(DropAnalityka[[#This Row],[Drop]]="Scroll", 2000*DropAnalityka[[#This Row],[Quality/Quantity]],0)</f>
        <v>0</v>
      </c>
      <c r="K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3" spans="10:12">
      <c r="J963">
        <f>DropAnalityka[[#This Row],[Sell Drop]]+IF(DropAnalityka[[#This Row],[Drop]]="Scroll", 2000*DropAnalityka[[#This Row],[Quality/Quantity]],0)</f>
        <v>0</v>
      </c>
      <c r="K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4" spans="10:12">
      <c r="J964">
        <f>DropAnalityka[[#This Row],[Sell Drop]]+IF(DropAnalityka[[#This Row],[Drop]]="Scroll", 2000*DropAnalityka[[#This Row],[Quality/Quantity]],0)</f>
        <v>0</v>
      </c>
      <c r="K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5" spans="10:12">
      <c r="J965">
        <f>DropAnalityka[[#This Row],[Sell Drop]]+IF(DropAnalityka[[#This Row],[Drop]]="Scroll", 2000*DropAnalityka[[#This Row],[Quality/Quantity]],0)</f>
        <v>0</v>
      </c>
      <c r="K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6" spans="10:12">
      <c r="J966">
        <f>DropAnalityka[[#This Row],[Sell Drop]]+IF(DropAnalityka[[#This Row],[Drop]]="Scroll", 2000*DropAnalityka[[#This Row],[Quality/Quantity]],0)</f>
        <v>0</v>
      </c>
      <c r="K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7" spans="10:12">
      <c r="J967">
        <f>DropAnalityka[[#This Row],[Sell Drop]]+IF(DropAnalityka[[#This Row],[Drop]]="Scroll", 2000*DropAnalityka[[#This Row],[Quality/Quantity]],0)</f>
        <v>0</v>
      </c>
      <c r="K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8" spans="10:12">
      <c r="J968">
        <f>DropAnalityka[[#This Row],[Sell Drop]]+IF(DropAnalityka[[#This Row],[Drop]]="Scroll", 2000*DropAnalityka[[#This Row],[Quality/Quantity]],0)</f>
        <v>0</v>
      </c>
      <c r="K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9" spans="10:12">
      <c r="J969">
        <f>DropAnalityka[[#This Row],[Sell Drop]]+IF(DropAnalityka[[#This Row],[Drop]]="Scroll", 2000*DropAnalityka[[#This Row],[Quality/Quantity]],0)</f>
        <v>0</v>
      </c>
      <c r="K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0" spans="10:12">
      <c r="J970">
        <f>DropAnalityka[[#This Row],[Sell Drop]]+IF(DropAnalityka[[#This Row],[Drop]]="Scroll", 2000*DropAnalityka[[#This Row],[Quality/Quantity]],0)</f>
        <v>0</v>
      </c>
      <c r="K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1" spans="10:12">
      <c r="J971">
        <f>DropAnalityka[[#This Row],[Sell Drop]]+IF(DropAnalityka[[#This Row],[Drop]]="Scroll", 2000*DropAnalityka[[#This Row],[Quality/Quantity]],0)</f>
        <v>0</v>
      </c>
      <c r="K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2" spans="10:12">
      <c r="J972">
        <f>DropAnalityka[[#This Row],[Sell Drop]]+IF(DropAnalityka[[#This Row],[Drop]]="Scroll", 2000*DropAnalityka[[#This Row],[Quality/Quantity]],0)</f>
        <v>0</v>
      </c>
      <c r="K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3" spans="10:12">
      <c r="J973">
        <f>DropAnalityka[[#This Row],[Sell Drop]]+IF(DropAnalityka[[#This Row],[Drop]]="Scroll", 2000*DropAnalityka[[#This Row],[Quality/Quantity]],0)</f>
        <v>0</v>
      </c>
      <c r="K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4" spans="10:12">
      <c r="J974">
        <f>DropAnalityka[[#This Row],[Sell Drop]]+IF(DropAnalityka[[#This Row],[Drop]]="Scroll", 2000*DropAnalityka[[#This Row],[Quality/Quantity]],0)</f>
        <v>0</v>
      </c>
      <c r="K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5" spans="10:12">
      <c r="J975">
        <f>DropAnalityka[[#This Row],[Sell Drop]]+IF(DropAnalityka[[#This Row],[Drop]]="Scroll", 2000*DropAnalityka[[#This Row],[Quality/Quantity]],0)</f>
        <v>0</v>
      </c>
      <c r="K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6" spans="10:12">
      <c r="J976">
        <f>DropAnalityka[[#This Row],[Sell Drop]]+IF(DropAnalityka[[#This Row],[Drop]]="Scroll", 2000*DropAnalityka[[#This Row],[Quality/Quantity]],0)</f>
        <v>0</v>
      </c>
      <c r="K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7" spans="10:12">
      <c r="J977">
        <f>DropAnalityka[[#This Row],[Sell Drop]]+IF(DropAnalityka[[#This Row],[Drop]]="Scroll", 2000*DropAnalityka[[#This Row],[Quality/Quantity]],0)</f>
        <v>0</v>
      </c>
      <c r="K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8" spans="10:12">
      <c r="J978">
        <f>DropAnalityka[[#This Row],[Sell Drop]]+IF(DropAnalityka[[#This Row],[Drop]]="Scroll", 2000*DropAnalityka[[#This Row],[Quality/Quantity]],0)</f>
        <v>0</v>
      </c>
      <c r="K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9" spans="10:12">
      <c r="J979">
        <f>DropAnalityka[[#This Row],[Sell Drop]]+IF(DropAnalityka[[#This Row],[Drop]]="Scroll", 2000*DropAnalityka[[#This Row],[Quality/Quantity]],0)</f>
        <v>0</v>
      </c>
      <c r="K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0" spans="10:12">
      <c r="J980">
        <f>DropAnalityka[[#This Row],[Sell Drop]]+IF(DropAnalityka[[#This Row],[Drop]]="Scroll", 2000*DropAnalityka[[#This Row],[Quality/Quantity]],0)</f>
        <v>0</v>
      </c>
      <c r="K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1" spans="10:12">
      <c r="J981">
        <f>DropAnalityka[[#This Row],[Sell Drop]]+IF(DropAnalityka[[#This Row],[Drop]]="Scroll", 2000*DropAnalityka[[#This Row],[Quality/Quantity]],0)</f>
        <v>0</v>
      </c>
      <c r="K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2" spans="10:12">
      <c r="J982">
        <f>DropAnalityka[[#This Row],[Sell Drop]]+IF(DropAnalityka[[#This Row],[Drop]]="Scroll", 2000*DropAnalityka[[#This Row],[Quality/Quantity]],0)</f>
        <v>0</v>
      </c>
      <c r="K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3" spans="10:12">
      <c r="J983">
        <f>DropAnalityka[[#This Row],[Sell Drop]]+IF(DropAnalityka[[#This Row],[Drop]]="Scroll", 2000*DropAnalityka[[#This Row],[Quality/Quantity]],0)</f>
        <v>0</v>
      </c>
      <c r="K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4" spans="10:12">
      <c r="J984">
        <f>DropAnalityka[[#This Row],[Sell Drop]]+IF(DropAnalityka[[#This Row],[Drop]]="Scroll", 2000*DropAnalityka[[#This Row],[Quality/Quantity]],0)</f>
        <v>0</v>
      </c>
      <c r="K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5" spans="10:12">
      <c r="J985">
        <f>DropAnalityka[[#This Row],[Sell Drop]]+IF(DropAnalityka[[#This Row],[Drop]]="Scroll", 2000*DropAnalityka[[#This Row],[Quality/Quantity]],0)</f>
        <v>0</v>
      </c>
      <c r="K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6" spans="10:12">
      <c r="J986">
        <f>DropAnalityka[[#This Row],[Sell Drop]]+IF(DropAnalityka[[#This Row],[Drop]]="Scroll", 2000*DropAnalityka[[#This Row],[Quality/Quantity]],0)</f>
        <v>0</v>
      </c>
      <c r="K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7" spans="10:12">
      <c r="J987">
        <f>DropAnalityka[[#This Row],[Sell Drop]]+IF(DropAnalityka[[#This Row],[Drop]]="Scroll", 2000*DropAnalityka[[#This Row],[Quality/Quantity]],0)</f>
        <v>0</v>
      </c>
      <c r="K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8" spans="10:12">
      <c r="J988">
        <f>DropAnalityka[[#This Row],[Sell Drop]]+IF(DropAnalityka[[#This Row],[Drop]]="Scroll", 2000*DropAnalityka[[#This Row],[Quality/Quantity]],0)</f>
        <v>0</v>
      </c>
      <c r="K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9" spans="10:12">
      <c r="J989">
        <f>DropAnalityka[[#This Row],[Sell Drop]]+IF(DropAnalityka[[#This Row],[Drop]]="Scroll", 2000*DropAnalityka[[#This Row],[Quality/Quantity]],0)</f>
        <v>0</v>
      </c>
      <c r="K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0" spans="10:12">
      <c r="J990">
        <f>DropAnalityka[[#This Row],[Sell Drop]]+IF(DropAnalityka[[#This Row],[Drop]]="Scroll", 2000*DropAnalityka[[#This Row],[Quality/Quantity]],0)</f>
        <v>0</v>
      </c>
      <c r="K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1" spans="10:12">
      <c r="J991">
        <f>DropAnalityka[[#This Row],[Sell Drop]]+IF(DropAnalityka[[#This Row],[Drop]]="Scroll", 2000*DropAnalityka[[#This Row],[Quality/Quantity]],0)</f>
        <v>0</v>
      </c>
      <c r="K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2" spans="10:12">
      <c r="J992">
        <f>DropAnalityka[[#This Row],[Sell Drop]]+IF(DropAnalityka[[#This Row],[Drop]]="Scroll", 2000*DropAnalityka[[#This Row],[Quality/Quantity]],0)</f>
        <v>0</v>
      </c>
      <c r="K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3" spans="10:12">
      <c r="J993">
        <f>DropAnalityka[[#This Row],[Sell Drop]]+IF(DropAnalityka[[#This Row],[Drop]]="Scroll", 2000*DropAnalityka[[#This Row],[Quality/Quantity]],0)</f>
        <v>0</v>
      </c>
      <c r="K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4" spans="10:12">
      <c r="J994">
        <f>DropAnalityka[[#This Row],[Sell Drop]]+IF(DropAnalityka[[#This Row],[Drop]]="Scroll", 2000*DropAnalityka[[#This Row],[Quality/Quantity]],0)</f>
        <v>0</v>
      </c>
      <c r="K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5" spans="10:12">
      <c r="J995">
        <f>DropAnalityka[[#This Row],[Sell Drop]]+IF(DropAnalityka[[#This Row],[Drop]]="Scroll", 2000*DropAnalityka[[#This Row],[Quality/Quantity]],0)</f>
        <v>0</v>
      </c>
      <c r="K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6" spans="10:12">
      <c r="J996">
        <f>DropAnalityka[[#This Row],[Sell Drop]]+IF(DropAnalityka[[#This Row],[Drop]]="Scroll", 2000*DropAnalityka[[#This Row],[Quality/Quantity]],0)</f>
        <v>0</v>
      </c>
      <c r="K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7" spans="10:12">
      <c r="J997">
        <f>DropAnalityka[[#This Row],[Sell Drop]]+IF(DropAnalityka[[#This Row],[Drop]]="Scroll", 2000*DropAnalityka[[#This Row],[Quality/Quantity]],0)</f>
        <v>0</v>
      </c>
      <c r="K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8" spans="10:12">
      <c r="J998">
        <f>DropAnalityka[[#This Row],[Sell Drop]]+IF(DropAnalityka[[#This Row],[Drop]]="Scroll", 2000*DropAnalityka[[#This Row],[Quality/Quantity]],0)</f>
        <v>0</v>
      </c>
      <c r="K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9" spans="10:12">
      <c r="J999">
        <f>DropAnalityka[[#This Row],[Sell Drop]]+IF(DropAnalityka[[#This Row],[Drop]]="Scroll", 2000*DropAnalityka[[#This Row],[Quality/Quantity]],0)</f>
        <v>0</v>
      </c>
      <c r="K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0" spans="10:12">
      <c r="J1000">
        <f>DropAnalityka[[#This Row],[Sell Drop]]+IF(DropAnalityka[[#This Row],[Drop]]="Scroll", 2000*DropAnalityka[[#This Row],[Quality/Quantity]],0)</f>
        <v>0</v>
      </c>
      <c r="K10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1" spans="10:12">
      <c r="J1001">
        <f>DropAnalityka[[#This Row],[Sell Drop]]+IF(DropAnalityka[[#This Row],[Drop]]="Scroll", 2000*DropAnalityka[[#This Row],[Quality/Quantity]],0)</f>
        <v>0</v>
      </c>
      <c r="K10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2" spans="10:12">
      <c r="J1002">
        <f>DropAnalityka[[#This Row],[Sell Drop]]+IF(DropAnalityka[[#This Row],[Drop]]="Scroll", 2000*DropAnalityka[[#This Row],[Quality/Quantity]],0)</f>
        <v>0</v>
      </c>
      <c r="K10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3" spans="10:12">
      <c r="J1003">
        <f>DropAnalityka[[#This Row],[Sell Drop]]+IF(DropAnalityka[[#This Row],[Drop]]="Scroll", 2000*DropAnalityka[[#This Row],[Quality/Quantity]],0)</f>
        <v>0</v>
      </c>
      <c r="K10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4" spans="10:12">
      <c r="J1004">
        <f>DropAnalityka[[#This Row],[Sell Drop]]+IF(DropAnalityka[[#This Row],[Drop]]="Scroll", 2000*DropAnalityka[[#This Row],[Quality/Quantity]],0)</f>
        <v>0</v>
      </c>
      <c r="K10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5" spans="10:12">
      <c r="J1005">
        <f>DropAnalityka[[#This Row],[Sell Drop]]+IF(DropAnalityka[[#This Row],[Drop]]="Scroll", 2000*DropAnalityka[[#This Row],[Quality/Quantity]],0)</f>
        <v>0</v>
      </c>
      <c r="K10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6" spans="10:12">
      <c r="J1006">
        <f>DropAnalityka[[#This Row],[Sell Drop]]+IF(DropAnalityka[[#This Row],[Drop]]="Scroll", 2000*DropAnalityka[[#This Row],[Quality/Quantity]],0)</f>
        <v>0</v>
      </c>
      <c r="K10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7" spans="10:12">
      <c r="J1007">
        <f>DropAnalityka[[#This Row],[Sell Drop]]+IF(DropAnalityka[[#This Row],[Drop]]="Scroll", 2000*DropAnalityka[[#This Row],[Quality/Quantity]],0)</f>
        <v>0</v>
      </c>
      <c r="K10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8" spans="10:12">
      <c r="J1008">
        <f>DropAnalityka[[#This Row],[Sell Drop]]+IF(DropAnalityka[[#This Row],[Drop]]="Scroll", 2000*DropAnalityka[[#This Row],[Quality/Quantity]],0)</f>
        <v>0</v>
      </c>
      <c r="K10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9" spans="10:12">
      <c r="J1009">
        <f>DropAnalityka[[#This Row],[Sell Drop]]+IF(DropAnalityka[[#This Row],[Drop]]="Scroll", 2000*DropAnalityka[[#This Row],[Quality/Quantity]],0)</f>
        <v>0</v>
      </c>
      <c r="K10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0" spans="10:12">
      <c r="J1010">
        <f>DropAnalityka[[#This Row],[Sell Drop]]+IF(DropAnalityka[[#This Row],[Drop]]="Scroll", 2000*DropAnalityka[[#This Row],[Quality/Quantity]],0)</f>
        <v>0</v>
      </c>
      <c r="K10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1" spans="10:12">
      <c r="J1011">
        <f>DropAnalityka[[#This Row],[Sell Drop]]+IF(DropAnalityka[[#This Row],[Drop]]="Scroll", 2000*DropAnalityka[[#This Row],[Quality/Quantity]],0)</f>
        <v>0</v>
      </c>
      <c r="K10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2" spans="10:12">
      <c r="J1012">
        <f>DropAnalityka[[#This Row],[Sell Drop]]+IF(DropAnalityka[[#This Row],[Drop]]="Scroll", 2000*DropAnalityka[[#This Row],[Quality/Quantity]],0)</f>
        <v>0</v>
      </c>
      <c r="K10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3" spans="10:12">
      <c r="J1013">
        <f>DropAnalityka[[#This Row],[Sell Drop]]+IF(DropAnalityka[[#This Row],[Drop]]="Scroll", 2000*DropAnalityka[[#This Row],[Quality/Quantity]],0)</f>
        <v>0</v>
      </c>
      <c r="K10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4" spans="10:12">
      <c r="J1014">
        <f>DropAnalityka[[#This Row],[Sell Drop]]+IF(DropAnalityka[[#This Row],[Drop]]="Scroll", 2000*DropAnalityka[[#This Row],[Quality/Quantity]],0)</f>
        <v>0</v>
      </c>
      <c r="K10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5" spans="10:12">
      <c r="J1015">
        <f>DropAnalityka[[#This Row],[Sell Drop]]+IF(DropAnalityka[[#This Row],[Drop]]="Scroll", 2000*DropAnalityka[[#This Row],[Quality/Quantity]],0)</f>
        <v>0</v>
      </c>
      <c r="K10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6" spans="10:12">
      <c r="J1016">
        <f>DropAnalityka[[#This Row],[Sell Drop]]+IF(DropAnalityka[[#This Row],[Drop]]="Scroll", 2000*DropAnalityka[[#This Row],[Quality/Quantity]],0)</f>
        <v>0</v>
      </c>
      <c r="K10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7" spans="10:12">
      <c r="J1017">
        <f>DropAnalityka[[#This Row],[Sell Drop]]+IF(DropAnalityka[[#This Row],[Drop]]="Scroll", 2000*DropAnalityka[[#This Row],[Quality/Quantity]],0)</f>
        <v>0</v>
      </c>
      <c r="K10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8" spans="10:12">
      <c r="J1018">
        <f>DropAnalityka[[#This Row],[Sell Drop]]+IF(DropAnalityka[[#This Row],[Drop]]="Scroll", 2000*DropAnalityka[[#This Row],[Quality/Quantity]],0)</f>
        <v>0</v>
      </c>
      <c r="K10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9" spans="10:12">
      <c r="J1019">
        <f>DropAnalityka[[#This Row],[Sell Drop]]+IF(DropAnalityka[[#This Row],[Drop]]="Scroll", 2000*DropAnalityka[[#This Row],[Quality/Quantity]],0)</f>
        <v>0</v>
      </c>
      <c r="K10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0" spans="10:12">
      <c r="J1020">
        <f>DropAnalityka[[#This Row],[Sell Drop]]+IF(DropAnalityka[[#This Row],[Drop]]="Scroll", 2000*DropAnalityka[[#This Row],[Quality/Quantity]],0)</f>
        <v>0</v>
      </c>
      <c r="K10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1" spans="10:12">
      <c r="J1021">
        <f>DropAnalityka[[#This Row],[Sell Drop]]+IF(DropAnalityka[[#This Row],[Drop]]="Scroll", 2000*DropAnalityka[[#This Row],[Quality/Quantity]],0)</f>
        <v>0</v>
      </c>
      <c r="K10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2" spans="10:12">
      <c r="J1022">
        <f>DropAnalityka[[#This Row],[Sell Drop]]+IF(DropAnalityka[[#This Row],[Drop]]="Scroll", 2000*DropAnalityka[[#This Row],[Quality/Quantity]],0)</f>
        <v>0</v>
      </c>
      <c r="K10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3" spans="10:12">
      <c r="J1023">
        <f>DropAnalityka[[#This Row],[Sell Drop]]+IF(DropAnalityka[[#This Row],[Drop]]="Scroll", 2000*DropAnalityka[[#This Row],[Quality/Quantity]],0)</f>
        <v>0</v>
      </c>
      <c r="K10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4" spans="10:12">
      <c r="J1024">
        <f>DropAnalityka[[#This Row],[Sell Drop]]+IF(DropAnalityka[[#This Row],[Drop]]="Scroll", 2000*DropAnalityka[[#This Row],[Quality/Quantity]],0)</f>
        <v>0</v>
      </c>
      <c r="K10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5" spans="10:12">
      <c r="J1025">
        <f>DropAnalityka[[#This Row],[Sell Drop]]+IF(DropAnalityka[[#This Row],[Drop]]="Scroll", 2000*DropAnalityka[[#This Row],[Quality/Quantity]],0)</f>
        <v>0</v>
      </c>
      <c r="K10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6" spans="10:12">
      <c r="J1026">
        <f>DropAnalityka[[#This Row],[Sell Drop]]+IF(DropAnalityka[[#This Row],[Drop]]="Scroll", 2000*DropAnalityka[[#This Row],[Quality/Quantity]],0)</f>
        <v>0</v>
      </c>
      <c r="K10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7" spans="10:12">
      <c r="J1027">
        <f>DropAnalityka[[#This Row],[Sell Drop]]+IF(DropAnalityka[[#This Row],[Drop]]="Scroll", 2000*DropAnalityka[[#This Row],[Quality/Quantity]],0)</f>
        <v>0</v>
      </c>
      <c r="K10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8" spans="10:12">
      <c r="J1028">
        <f>DropAnalityka[[#This Row],[Sell Drop]]+IF(DropAnalityka[[#This Row],[Drop]]="Scroll", 2000*DropAnalityka[[#This Row],[Quality/Quantity]],0)</f>
        <v>0</v>
      </c>
      <c r="K10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9" spans="10:12">
      <c r="J1029">
        <f>DropAnalityka[[#This Row],[Sell Drop]]+IF(DropAnalityka[[#This Row],[Drop]]="Scroll", 2000*DropAnalityka[[#This Row],[Quality/Quantity]],0)</f>
        <v>0</v>
      </c>
      <c r="K10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0" spans="10:12">
      <c r="J1030">
        <f>DropAnalityka[[#This Row],[Sell Drop]]+IF(DropAnalityka[[#This Row],[Drop]]="Scroll", 2000*DropAnalityka[[#This Row],[Quality/Quantity]],0)</f>
        <v>0</v>
      </c>
      <c r="K10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1" spans="10:12">
      <c r="J1031">
        <f>DropAnalityka[[#This Row],[Sell Drop]]+IF(DropAnalityka[[#This Row],[Drop]]="Scroll", 2000*DropAnalityka[[#This Row],[Quality/Quantity]],0)</f>
        <v>0</v>
      </c>
      <c r="K10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2" spans="10:12">
      <c r="J1032">
        <f>DropAnalityka[[#This Row],[Sell Drop]]+IF(DropAnalityka[[#This Row],[Drop]]="Scroll", 2000*DropAnalityka[[#This Row],[Quality/Quantity]],0)</f>
        <v>0</v>
      </c>
      <c r="K10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3" spans="10:12">
      <c r="J1033">
        <f>DropAnalityka[[#This Row],[Sell Drop]]+IF(DropAnalityka[[#This Row],[Drop]]="Scroll", 2000*DropAnalityka[[#This Row],[Quality/Quantity]],0)</f>
        <v>0</v>
      </c>
      <c r="K10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4" spans="10:12">
      <c r="J1034">
        <f>DropAnalityka[[#This Row],[Sell Drop]]+IF(DropAnalityka[[#This Row],[Drop]]="Scroll", 2000*DropAnalityka[[#This Row],[Quality/Quantity]],0)</f>
        <v>0</v>
      </c>
      <c r="K10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5" spans="10:12">
      <c r="J1035">
        <f>DropAnalityka[[#This Row],[Sell Drop]]+IF(DropAnalityka[[#This Row],[Drop]]="Scroll", 2000*DropAnalityka[[#This Row],[Quality/Quantity]],0)</f>
        <v>0</v>
      </c>
      <c r="K10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6" spans="10:12">
      <c r="J1036">
        <f>DropAnalityka[[#This Row],[Sell Drop]]+IF(DropAnalityka[[#This Row],[Drop]]="Scroll", 2000*DropAnalityka[[#This Row],[Quality/Quantity]],0)</f>
        <v>0</v>
      </c>
      <c r="K10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7" spans="10:12">
      <c r="J1037">
        <f>DropAnalityka[[#This Row],[Sell Drop]]+IF(DropAnalityka[[#This Row],[Drop]]="Scroll", 2000*DropAnalityka[[#This Row],[Quality/Quantity]],0)</f>
        <v>0</v>
      </c>
      <c r="K10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8" spans="10:12">
      <c r="J1038">
        <f>DropAnalityka[[#This Row],[Sell Drop]]+IF(DropAnalityka[[#This Row],[Drop]]="Scroll", 2000*DropAnalityka[[#This Row],[Quality/Quantity]],0)</f>
        <v>0</v>
      </c>
      <c r="K10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9" spans="10:12">
      <c r="J1039">
        <f>DropAnalityka[[#This Row],[Sell Drop]]+IF(DropAnalityka[[#This Row],[Drop]]="Scroll", 2000*DropAnalityka[[#This Row],[Quality/Quantity]],0)</f>
        <v>0</v>
      </c>
      <c r="K10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0" spans="10:12">
      <c r="J1040">
        <f>DropAnalityka[[#This Row],[Sell Drop]]+IF(DropAnalityka[[#This Row],[Drop]]="Scroll", 2000*DropAnalityka[[#This Row],[Quality/Quantity]],0)</f>
        <v>0</v>
      </c>
      <c r="K10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1" spans="10:12">
      <c r="J1041">
        <f>DropAnalityka[[#This Row],[Sell Drop]]+IF(DropAnalityka[[#This Row],[Drop]]="Scroll", 2000*DropAnalityka[[#This Row],[Quality/Quantity]],0)</f>
        <v>0</v>
      </c>
      <c r="K10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2" spans="10:12">
      <c r="J1042">
        <f>DropAnalityka[[#This Row],[Sell Drop]]+IF(DropAnalityka[[#This Row],[Drop]]="Scroll", 2000*DropAnalityka[[#This Row],[Quality/Quantity]],0)</f>
        <v>0</v>
      </c>
      <c r="K10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3" spans="10:12">
      <c r="J1043">
        <f>DropAnalityka[[#This Row],[Sell Drop]]+IF(DropAnalityka[[#This Row],[Drop]]="Scroll", 2000*DropAnalityka[[#This Row],[Quality/Quantity]],0)</f>
        <v>0</v>
      </c>
      <c r="K10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4" spans="10:12">
      <c r="J1044">
        <f>DropAnalityka[[#This Row],[Sell Drop]]+IF(DropAnalityka[[#This Row],[Drop]]="Scroll", 2000*DropAnalityka[[#This Row],[Quality/Quantity]],0)</f>
        <v>0</v>
      </c>
      <c r="K10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5" spans="10:12">
      <c r="J1045">
        <f>DropAnalityka[[#This Row],[Sell Drop]]+IF(DropAnalityka[[#This Row],[Drop]]="Scroll", 2000*DropAnalityka[[#This Row],[Quality/Quantity]],0)</f>
        <v>0</v>
      </c>
      <c r="K10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6" spans="10:12">
      <c r="J1046">
        <f>DropAnalityka[[#This Row],[Sell Drop]]+IF(DropAnalityka[[#This Row],[Drop]]="Scroll", 2000*DropAnalityka[[#This Row],[Quality/Quantity]],0)</f>
        <v>0</v>
      </c>
      <c r="K10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7" spans="10:12">
      <c r="J1047">
        <f>DropAnalityka[[#This Row],[Sell Drop]]+IF(DropAnalityka[[#This Row],[Drop]]="Scroll", 2000*DropAnalityka[[#This Row],[Quality/Quantity]],0)</f>
        <v>0</v>
      </c>
      <c r="K10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8" spans="10:12">
      <c r="J1048">
        <f>DropAnalityka[[#This Row],[Sell Drop]]+IF(DropAnalityka[[#This Row],[Drop]]="Scroll", 2000*DropAnalityka[[#This Row],[Quality/Quantity]],0)</f>
        <v>0</v>
      </c>
      <c r="K10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9" spans="10:12">
      <c r="J1049">
        <f>DropAnalityka[[#This Row],[Sell Drop]]+IF(DropAnalityka[[#This Row],[Drop]]="Scroll", 2000*DropAnalityka[[#This Row],[Quality/Quantity]],0)</f>
        <v>0</v>
      </c>
      <c r="K10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0" spans="10:12">
      <c r="J1050">
        <f>DropAnalityka[[#This Row],[Sell Drop]]+IF(DropAnalityka[[#This Row],[Drop]]="Scroll", 2000*DropAnalityka[[#This Row],[Quality/Quantity]],0)</f>
        <v>0</v>
      </c>
      <c r="K10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1" spans="10:12">
      <c r="J1051">
        <f>DropAnalityka[[#This Row],[Sell Drop]]+IF(DropAnalityka[[#This Row],[Drop]]="Scroll", 2000*DropAnalityka[[#This Row],[Quality/Quantity]],0)</f>
        <v>0</v>
      </c>
      <c r="K10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2" spans="10:12">
      <c r="J1052">
        <f>DropAnalityka[[#This Row],[Sell Drop]]+IF(DropAnalityka[[#This Row],[Drop]]="Scroll", 2000*DropAnalityka[[#This Row],[Quality/Quantity]],0)</f>
        <v>0</v>
      </c>
      <c r="K10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3" spans="10:12">
      <c r="J1053">
        <f>DropAnalityka[[#This Row],[Sell Drop]]+IF(DropAnalityka[[#This Row],[Drop]]="Scroll", 2000*DropAnalityka[[#This Row],[Quality/Quantity]],0)</f>
        <v>0</v>
      </c>
      <c r="K10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4" spans="10:12">
      <c r="J1054">
        <f>DropAnalityka[[#This Row],[Sell Drop]]+IF(DropAnalityka[[#This Row],[Drop]]="Scroll", 2000*DropAnalityka[[#This Row],[Quality/Quantity]],0)</f>
        <v>0</v>
      </c>
      <c r="K10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5" spans="10:12">
      <c r="J1055">
        <f>DropAnalityka[[#This Row],[Sell Drop]]+IF(DropAnalityka[[#This Row],[Drop]]="Scroll", 2000*DropAnalityka[[#This Row],[Quality/Quantity]],0)</f>
        <v>0</v>
      </c>
      <c r="K10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6" spans="10:12">
      <c r="J1056">
        <f>DropAnalityka[[#This Row],[Sell Drop]]+IF(DropAnalityka[[#This Row],[Drop]]="Scroll", 2000*DropAnalityka[[#This Row],[Quality/Quantity]],0)</f>
        <v>0</v>
      </c>
      <c r="K10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7" spans="10:12">
      <c r="J1057">
        <f>DropAnalityka[[#This Row],[Sell Drop]]+IF(DropAnalityka[[#This Row],[Drop]]="Scroll", 2000*DropAnalityka[[#This Row],[Quality/Quantity]],0)</f>
        <v>0</v>
      </c>
      <c r="K10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8" spans="10:12">
      <c r="J1058">
        <f>DropAnalityka[[#This Row],[Sell Drop]]+IF(DropAnalityka[[#This Row],[Drop]]="Scroll", 2000*DropAnalityka[[#This Row],[Quality/Quantity]],0)</f>
        <v>0</v>
      </c>
      <c r="K10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9" spans="10:12">
      <c r="J1059">
        <f>DropAnalityka[[#This Row],[Sell Drop]]+IF(DropAnalityka[[#This Row],[Drop]]="Scroll", 2000*DropAnalityka[[#This Row],[Quality/Quantity]],0)</f>
        <v>0</v>
      </c>
      <c r="K10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0" spans="10:12">
      <c r="J1060">
        <f>DropAnalityka[[#This Row],[Sell Drop]]+IF(DropAnalityka[[#This Row],[Drop]]="Scroll", 2000*DropAnalityka[[#This Row],[Quality/Quantity]],0)</f>
        <v>0</v>
      </c>
      <c r="K10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1" spans="10:12">
      <c r="J1061">
        <f>DropAnalityka[[#This Row],[Sell Drop]]+IF(DropAnalityka[[#This Row],[Drop]]="Scroll", 2000*DropAnalityka[[#This Row],[Quality/Quantity]],0)</f>
        <v>0</v>
      </c>
      <c r="K10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2" spans="10:12">
      <c r="J1062">
        <f>DropAnalityka[[#This Row],[Sell Drop]]+IF(DropAnalityka[[#This Row],[Drop]]="Scroll", 2000*DropAnalityka[[#This Row],[Quality/Quantity]],0)</f>
        <v>0</v>
      </c>
      <c r="K10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3" spans="10:12">
      <c r="J1063">
        <f>DropAnalityka[[#This Row],[Sell Drop]]+IF(DropAnalityka[[#This Row],[Drop]]="Scroll", 2000*DropAnalityka[[#This Row],[Quality/Quantity]],0)</f>
        <v>0</v>
      </c>
      <c r="K10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4" spans="10:12">
      <c r="J1064">
        <f>DropAnalityka[[#This Row],[Sell Drop]]+IF(DropAnalityka[[#This Row],[Drop]]="Scroll", 2000*DropAnalityka[[#This Row],[Quality/Quantity]],0)</f>
        <v>0</v>
      </c>
      <c r="K10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5" spans="10:12">
      <c r="J1065">
        <f>DropAnalityka[[#This Row],[Sell Drop]]+IF(DropAnalityka[[#This Row],[Drop]]="Scroll", 2000*DropAnalityka[[#This Row],[Quality/Quantity]],0)</f>
        <v>0</v>
      </c>
      <c r="K10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6" spans="10:12">
      <c r="J1066">
        <f>DropAnalityka[[#This Row],[Sell Drop]]+IF(DropAnalityka[[#This Row],[Drop]]="Scroll", 2000*DropAnalityka[[#This Row],[Quality/Quantity]],0)</f>
        <v>0</v>
      </c>
      <c r="K10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7" spans="10:12">
      <c r="J1067">
        <f>DropAnalityka[[#This Row],[Sell Drop]]+IF(DropAnalityka[[#This Row],[Drop]]="Scroll", 2000*DropAnalityka[[#This Row],[Quality/Quantity]],0)</f>
        <v>0</v>
      </c>
      <c r="K10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8" spans="10:12">
      <c r="J1068">
        <f>DropAnalityka[[#This Row],[Sell Drop]]+IF(DropAnalityka[[#This Row],[Drop]]="Scroll", 2000*DropAnalityka[[#This Row],[Quality/Quantity]],0)</f>
        <v>0</v>
      </c>
      <c r="K10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9" spans="10:12">
      <c r="J1069">
        <f>DropAnalityka[[#This Row],[Sell Drop]]+IF(DropAnalityka[[#This Row],[Drop]]="Scroll", 2000*DropAnalityka[[#This Row],[Quality/Quantity]],0)</f>
        <v>0</v>
      </c>
      <c r="K10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0" spans="10:12">
      <c r="J1070">
        <f>DropAnalityka[[#This Row],[Sell Drop]]+IF(DropAnalityka[[#This Row],[Drop]]="Scroll", 2000*DropAnalityka[[#This Row],[Quality/Quantity]],0)</f>
        <v>0</v>
      </c>
      <c r="K10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1" spans="10:12">
      <c r="J1071">
        <f>DropAnalityka[[#This Row],[Sell Drop]]+IF(DropAnalityka[[#This Row],[Drop]]="Scroll", 2000*DropAnalityka[[#This Row],[Quality/Quantity]],0)</f>
        <v>0</v>
      </c>
      <c r="K10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2" spans="10:12">
      <c r="J1072">
        <f>DropAnalityka[[#This Row],[Sell Drop]]+IF(DropAnalityka[[#This Row],[Drop]]="Scroll", 2000*DropAnalityka[[#This Row],[Quality/Quantity]],0)</f>
        <v>0</v>
      </c>
      <c r="K10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3" spans="10:12">
      <c r="J1073">
        <f>DropAnalityka[[#This Row],[Sell Drop]]+IF(DropAnalityka[[#This Row],[Drop]]="Scroll", 2000*DropAnalityka[[#This Row],[Quality/Quantity]],0)</f>
        <v>0</v>
      </c>
      <c r="K10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4" spans="10:12">
      <c r="J1074">
        <f>DropAnalityka[[#This Row],[Sell Drop]]+IF(DropAnalityka[[#This Row],[Drop]]="Scroll", 2000*DropAnalityka[[#This Row],[Quality/Quantity]],0)</f>
        <v>0</v>
      </c>
      <c r="K10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5" spans="10:12">
      <c r="J1075">
        <f>DropAnalityka[[#This Row],[Sell Drop]]+IF(DropAnalityka[[#This Row],[Drop]]="Scroll", 2000*DropAnalityka[[#This Row],[Quality/Quantity]],0)</f>
        <v>0</v>
      </c>
      <c r="K10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6" spans="10:12">
      <c r="J1076">
        <f>DropAnalityka[[#This Row],[Sell Drop]]+IF(DropAnalityka[[#This Row],[Drop]]="Scroll", 2000*DropAnalityka[[#This Row],[Quality/Quantity]],0)</f>
        <v>0</v>
      </c>
      <c r="K10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7" spans="10:12">
      <c r="J1077">
        <f>DropAnalityka[[#This Row],[Sell Drop]]+IF(DropAnalityka[[#This Row],[Drop]]="Scroll", 2000*DropAnalityka[[#This Row],[Quality/Quantity]],0)</f>
        <v>0</v>
      </c>
      <c r="K10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8" spans="10:12">
      <c r="J1078">
        <f>DropAnalityka[[#This Row],[Sell Drop]]+IF(DropAnalityka[[#This Row],[Drop]]="Scroll", 2000*DropAnalityka[[#This Row],[Quality/Quantity]],0)</f>
        <v>0</v>
      </c>
      <c r="K10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9" spans="10:12">
      <c r="J1079">
        <f>DropAnalityka[[#This Row],[Sell Drop]]+IF(DropAnalityka[[#This Row],[Drop]]="Scroll", 2000*DropAnalityka[[#This Row],[Quality/Quantity]],0)</f>
        <v>0</v>
      </c>
      <c r="K10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0" spans="10:12">
      <c r="J1080">
        <f>DropAnalityka[[#This Row],[Sell Drop]]+IF(DropAnalityka[[#This Row],[Drop]]="Scroll", 2000*DropAnalityka[[#This Row],[Quality/Quantity]],0)</f>
        <v>0</v>
      </c>
      <c r="K10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1" spans="10:12">
      <c r="J1081">
        <f>DropAnalityka[[#This Row],[Sell Drop]]+IF(DropAnalityka[[#This Row],[Drop]]="Scroll", 2000*DropAnalityka[[#This Row],[Quality/Quantity]],0)</f>
        <v>0</v>
      </c>
      <c r="K10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2" spans="10:12">
      <c r="J1082">
        <f>DropAnalityka[[#This Row],[Sell Drop]]+IF(DropAnalityka[[#This Row],[Drop]]="Scroll", 2000*DropAnalityka[[#This Row],[Quality/Quantity]],0)</f>
        <v>0</v>
      </c>
      <c r="K10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3" spans="10:12">
      <c r="J1083">
        <f>DropAnalityka[[#This Row],[Sell Drop]]+IF(DropAnalityka[[#This Row],[Drop]]="Scroll", 2000*DropAnalityka[[#This Row],[Quality/Quantity]],0)</f>
        <v>0</v>
      </c>
      <c r="K10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4" spans="10:12">
      <c r="J1084">
        <f>DropAnalityka[[#This Row],[Sell Drop]]+IF(DropAnalityka[[#This Row],[Drop]]="Scroll", 2000*DropAnalityka[[#This Row],[Quality/Quantity]],0)</f>
        <v>0</v>
      </c>
      <c r="K10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5" spans="10:12">
      <c r="J1085">
        <f>DropAnalityka[[#This Row],[Sell Drop]]+IF(DropAnalityka[[#This Row],[Drop]]="Scroll", 2000*DropAnalityka[[#This Row],[Quality/Quantity]],0)</f>
        <v>0</v>
      </c>
      <c r="K10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6" spans="10:12">
      <c r="J1086">
        <f>DropAnalityka[[#This Row],[Sell Drop]]+IF(DropAnalityka[[#This Row],[Drop]]="Scroll", 2000*DropAnalityka[[#This Row],[Quality/Quantity]],0)</f>
        <v>0</v>
      </c>
      <c r="K10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7" spans="10:12">
      <c r="J1087">
        <f>DropAnalityka[[#This Row],[Sell Drop]]+IF(DropAnalityka[[#This Row],[Drop]]="Scroll", 2000*DropAnalityka[[#This Row],[Quality/Quantity]],0)</f>
        <v>0</v>
      </c>
      <c r="K10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8" spans="10:12">
      <c r="J1088">
        <f>DropAnalityka[[#This Row],[Sell Drop]]+IF(DropAnalityka[[#This Row],[Drop]]="Scroll", 2000*DropAnalityka[[#This Row],[Quality/Quantity]],0)</f>
        <v>0</v>
      </c>
      <c r="K10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9" spans="10:12">
      <c r="J1089">
        <f>DropAnalityka[[#This Row],[Sell Drop]]+IF(DropAnalityka[[#This Row],[Drop]]="Scroll", 2000*DropAnalityka[[#This Row],[Quality/Quantity]],0)</f>
        <v>0</v>
      </c>
      <c r="K10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0" spans="10:12">
      <c r="J1090">
        <f>DropAnalityka[[#This Row],[Sell Drop]]+IF(DropAnalityka[[#This Row],[Drop]]="Scroll", 2000*DropAnalityka[[#This Row],[Quality/Quantity]],0)</f>
        <v>0</v>
      </c>
      <c r="K10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1" spans="10:12">
      <c r="J1091">
        <f>DropAnalityka[[#This Row],[Sell Drop]]+IF(DropAnalityka[[#This Row],[Drop]]="Scroll", 2000*DropAnalityka[[#This Row],[Quality/Quantity]],0)</f>
        <v>0</v>
      </c>
      <c r="K10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2" spans="10:12">
      <c r="J1092">
        <f>DropAnalityka[[#This Row],[Sell Drop]]+IF(DropAnalityka[[#This Row],[Drop]]="Scroll", 2000*DropAnalityka[[#This Row],[Quality/Quantity]],0)</f>
        <v>0</v>
      </c>
      <c r="K10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3" spans="10:12">
      <c r="J1093">
        <f>DropAnalityka[[#This Row],[Sell Drop]]+IF(DropAnalityka[[#This Row],[Drop]]="Scroll", 2000*DropAnalityka[[#This Row],[Quality/Quantity]],0)</f>
        <v>0</v>
      </c>
      <c r="K10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4" spans="10:12">
      <c r="J1094">
        <f>DropAnalityka[[#This Row],[Sell Drop]]+IF(DropAnalityka[[#This Row],[Drop]]="Scroll", 2000*DropAnalityka[[#This Row],[Quality/Quantity]],0)</f>
        <v>0</v>
      </c>
      <c r="K10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5" spans="10:12">
      <c r="J1095">
        <f>DropAnalityka[[#This Row],[Sell Drop]]+IF(DropAnalityka[[#This Row],[Drop]]="Scroll", 2000*DropAnalityka[[#This Row],[Quality/Quantity]],0)</f>
        <v>0</v>
      </c>
      <c r="K10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6" spans="10:12">
      <c r="J1096">
        <f>DropAnalityka[[#This Row],[Sell Drop]]+IF(DropAnalityka[[#This Row],[Drop]]="Scroll", 2000*DropAnalityka[[#This Row],[Quality/Quantity]],0)</f>
        <v>0</v>
      </c>
      <c r="K10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7" spans="10:12">
      <c r="J1097">
        <f>DropAnalityka[[#This Row],[Sell Drop]]+IF(DropAnalityka[[#This Row],[Drop]]="Scroll", 2000*DropAnalityka[[#This Row],[Quality/Quantity]],0)</f>
        <v>0</v>
      </c>
      <c r="K10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8" spans="10:12">
      <c r="J1098">
        <f>DropAnalityka[[#This Row],[Sell Drop]]+IF(DropAnalityka[[#This Row],[Drop]]="Scroll", 2000*DropAnalityka[[#This Row],[Quality/Quantity]],0)</f>
        <v>0</v>
      </c>
      <c r="K10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9" spans="10:12">
      <c r="J1099">
        <f>DropAnalityka[[#This Row],[Sell Drop]]+IF(DropAnalityka[[#This Row],[Drop]]="Scroll", 2000*DropAnalityka[[#This Row],[Quality/Quantity]],0)</f>
        <v>0</v>
      </c>
      <c r="K10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0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0" spans="10:12">
      <c r="J1100">
        <f>DropAnalityka[[#This Row],[Sell Drop]]+IF(DropAnalityka[[#This Row],[Drop]]="Scroll", 2000*DropAnalityka[[#This Row],[Quality/Quantity]],0)</f>
        <v>0</v>
      </c>
      <c r="K1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1" spans="10:12">
      <c r="J1101">
        <f>DropAnalityka[[#This Row],[Sell Drop]]+IF(DropAnalityka[[#This Row],[Drop]]="Scroll", 2000*DropAnalityka[[#This Row],[Quality/Quantity]],0)</f>
        <v>0</v>
      </c>
      <c r="K1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2" spans="10:12">
      <c r="J1102">
        <f>DropAnalityka[[#This Row],[Sell Drop]]+IF(DropAnalityka[[#This Row],[Drop]]="Scroll", 2000*DropAnalityka[[#This Row],[Quality/Quantity]],0)</f>
        <v>0</v>
      </c>
      <c r="K1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3" spans="10:12">
      <c r="J1103">
        <f>DropAnalityka[[#This Row],[Sell Drop]]+IF(DropAnalityka[[#This Row],[Drop]]="Scroll", 2000*DropAnalityka[[#This Row],[Quality/Quantity]],0)</f>
        <v>0</v>
      </c>
      <c r="K1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4" spans="10:12">
      <c r="J1104">
        <f>DropAnalityka[[#This Row],[Sell Drop]]+IF(DropAnalityka[[#This Row],[Drop]]="Scroll", 2000*DropAnalityka[[#This Row],[Quality/Quantity]],0)</f>
        <v>0</v>
      </c>
      <c r="K1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5" spans="10:12">
      <c r="J1105">
        <f>DropAnalityka[[#This Row],[Sell Drop]]+IF(DropAnalityka[[#This Row],[Drop]]="Scroll", 2000*DropAnalityka[[#This Row],[Quality/Quantity]],0)</f>
        <v>0</v>
      </c>
      <c r="K1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6" spans="10:12">
      <c r="J1106">
        <f>DropAnalityka[[#This Row],[Sell Drop]]+IF(DropAnalityka[[#This Row],[Drop]]="Scroll", 2000*DropAnalityka[[#This Row],[Quality/Quantity]],0)</f>
        <v>0</v>
      </c>
      <c r="K1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7" spans="10:12">
      <c r="J1107">
        <f>DropAnalityka[[#This Row],[Sell Drop]]+IF(DropAnalityka[[#This Row],[Drop]]="Scroll", 2000*DropAnalityka[[#This Row],[Quality/Quantity]],0)</f>
        <v>0</v>
      </c>
      <c r="K1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8" spans="10:12">
      <c r="J1108">
        <f>DropAnalityka[[#This Row],[Sell Drop]]+IF(DropAnalityka[[#This Row],[Drop]]="Scroll", 2000*DropAnalityka[[#This Row],[Quality/Quantity]],0)</f>
        <v>0</v>
      </c>
      <c r="K1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9" spans="10:12">
      <c r="J1109">
        <f>DropAnalityka[[#This Row],[Sell Drop]]+IF(DropAnalityka[[#This Row],[Drop]]="Scroll", 2000*DropAnalityka[[#This Row],[Quality/Quantity]],0)</f>
        <v>0</v>
      </c>
      <c r="K1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0" spans="10:12">
      <c r="J1110">
        <f>DropAnalityka[[#This Row],[Sell Drop]]+IF(DropAnalityka[[#This Row],[Drop]]="Scroll", 2000*DropAnalityka[[#This Row],[Quality/Quantity]],0)</f>
        <v>0</v>
      </c>
      <c r="K1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1" spans="10:12">
      <c r="J1111">
        <f>DropAnalityka[[#This Row],[Sell Drop]]+IF(DropAnalityka[[#This Row],[Drop]]="Scroll", 2000*DropAnalityka[[#This Row],[Quality/Quantity]],0)</f>
        <v>0</v>
      </c>
      <c r="K1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2" spans="10:12">
      <c r="J1112">
        <f>DropAnalityka[[#This Row],[Sell Drop]]+IF(DropAnalityka[[#This Row],[Drop]]="Scroll", 2000*DropAnalityka[[#This Row],[Quality/Quantity]],0)</f>
        <v>0</v>
      </c>
      <c r="K1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3" spans="10:12">
      <c r="J1113">
        <f>DropAnalityka[[#This Row],[Sell Drop]]+IF(DropAnalityka[[#This Row],[Drop]]="Scroll", 2000*DropAnalityka[[#This Row],[Quality/Quantity]],0)</f>
        <v>0</v>
      </c>
      <c r="K1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4" spans="10:12">
      <c r="J1114">
        <f>DropAnalityka[[#This Row],[Sell Drop]]+IF(DropAnalityka[[#This Row],[Drop]]="Scroll", 2000*DropAnalityka[[#This Row],[Quality/Quantity]],0)</f>
        <v>0</v>
      </c>
      <c r="K1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5" spans="10:12">
      <c r="J1115">
        <f>DropAnalityka[[#This Row],[Sell Drop]]+IF(DropAnalityka[[#This Row],[Drop]]="Scroll", 2000*DropAnalityka[[#This Row],[Quality/Quantity]],0)</f>
        <v>0</v>
      </c>
      <c r="K1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6" spans="10:12">
      <c r="J1116">
        <f>DropAnalityka[[#This Row],[Sell Drop]]+IF(DropAnalityka[[#This Row],[Drop]]="Scroll", 2000*DropAnalityka[[#This Row],[Quality/Quantity]],0)</f>
        <v>0</v>
      </c>
      <c r="K1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7" spans="10:12">
      <c r="J1117">
        <f>DropAnalityka[[#This Row],[Sell Drop]]+IF(DropAnalityka[[#This Row],[Drop]]="Scroll", 2000*DropAnalityka[[#This Row],[Quality/Quantity]],0)</f>
        <v>0</v>
      </c>
      <c r="K1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8" spans="10:12">
      <c r="J1118">
        <f>DropAnalityka[[#This Row],[Sell Drop]]+IF(DropAnalityka[[#This Row],[Drop]]="Scroll", 2000*DropAnalityka[[#This Row],[Quality/Quantity]],0)</f>
        <v>0</v>
      </c>
      <c r="K1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9" spans="10:12">
      <c r="J1119">
        <f>DropAnalityka[[#This Row],[Sell Drop]]+IF(DropAnalityka[[#This Row],[Drop]]="Scroll", 2000*DropAnalityka[[#This Row],[Quality/Quantity]],0)</f>
        <v>0</v>
      </c>
      <c r="K1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0" spans="10:12">
      <c r="J1120">
        <f>DropAnalityka[[#This Row],[Sell Drop]]+IF(DropAnalityka[[#This Row],[Drop]]="Scroll", 2000*DropAnalityka[[#This Row],[Quality/Quantity]],0)</f>
        <v>0</v>
      </c>
      <c r="K1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1" spans="10:12">
      <c r="J1121">
        <f>DropAnalityka[[#This Row],[Sell Drop]]+IF(DropAnalityka[[#This Row],[Drop]]="Scroll", 2000*DropAnalityka[[#This Row],[Quality/Quantity]],0)</f>
        <v>0</v>
      </c>
      <c r="K1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2" spans="10:12">
      <c r="J1122">
        <f>DropAnalityka[[#This Row],[Sell Drop]]+IF(DropAnalityka[[#This Row],[Drop]]="Scroll", 2000*DropAnalityka[[#This Row],[Quality/Quantity]],0)</f>
        <v>0</v>
      </c>
      <c r="K1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3" spans="10:12">
      <c r="J1123">
        <f>DropAnalityka[[#This Row],[Sell Drop]]+IF(DropAnalityka[[#This Row],[Drop]]="Scroll", 2000*DropAnalityka[[#This Row],[Quality/Quantity]],0)</f>
        <v>0</v>
      </c>
      <c r="K1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4" spans="10:12">
      <c r="J1124">
        <f>DropAnalityka[[#This Row],[Sell Drop]]+IF(DropAnalityka[[#This Row],[Drop]]="Scroll", 2000*DropAnalityka[[#This Row],[Quality/Quantity]],0)</f>
        <v>0</v>
      </c>
      <c r="K1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5" spans="10:12">
      <c r="J1125">
        <f>DropAnalityka[[#This Row],[Sell Drop]]+IF(DropAnalityka[[#This Row],[Drop]]="Scroll", 2000*DropAnalityka[[#This Row],[Quality/Quantity]],0)</f>
        <v>0</v>
      </c>
      <c r="K1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6" spans="10:12">
      <c r="J1126">
        <f>DropAnalityka[[#This Row],[Sell Drop]]+IF(DropAnalityka[[#This Row],[Drop]]="Scroll", 2000*DropAnalityka[[#This Row],[Quality/Quantity]],0)</f>
        <v>0</v>
      </c>
      <c r="K1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7" spans="10:12">
      <c r="J1127">
        <f>DropAnalityka[[#This Row],[Sell Drop]]+IF(DropAnalityka[[#This Row],[Drop]]="Scroll", 2000*DropAnalityka[[#This Row],[Quality/Quantity]],0)</f>
        <v>0</v>
      </c>
      <c r="K1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8" spans="10:12">
      <c r="J1128">
        <f>DropAnalityka[[#This Row],[Sell Drop]]+IF(DropAnalityka[[#This Row],[Drop]]="Scroll", 2000*DropAnalityka[[#This Row],[Quality/Quantity]],0)</f>
        <v>0</v>
      </c>
      <c r="K1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9" spans="10:12">
      <c r="J1129">
        <f>DropAnalityka[[#This Row],[Sell Drop]]+IF(DropAnalityka[[#This Row],[Drop]]="Scroll", 2000*DropAnalityka[[#This Row],[Quality/Quantity]],0)</f>
        <v>0</v>
      </c>
      <c r="K1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0" spans="10:12">
      <c r="J1130">
        <f>DropAnalityka[[#This Row],[Sell Drop]]+IF(DropAnalityka[[#This Row],[Drop]]="Scroll", 2000*DropAnalityka[[#This Row],[Quality/Quantity]],0)</f>
        <v>0</v>
      </c>
      <c r="K1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1" spans="10:12">
      <c r="J1131">
        <f>DropAnalityka[[#This Row],[Sell Drop]]+IF(DropAnalityka[[#This Row],[Drop]]="Scroll", 2000*DropAnalityka[[#This Row],[Quality/Quantity]],0)</f>
        <v>0</v>
      </c>
      <c r="K1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2" spans="10:12">
      <c r="J1132">
        <f>DropAnalityka[[#This Row],[Sell Drop]]+IF(DropAnalityka[[#This Row],[Drop]]="Scroll", 2000*DropAnalityka[[#This Row],[Quality/Quantity]],0)</f>
        <v>0</v>
      </c>
      <c r="K1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3" spans="10:12">
      <c r="J1133">
        <f>DropAnalityka[[#This Row],[Sell Drop]]+IF(DropAnalityka[[#This Row],[Drop]]="Scroll", 2000*DropAnalityka[[#This Row],[Quality/Quantity]],0)</f>
        <v>0</v>
      </c>
      <c r="K1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4" spans="10:12">
      <c r="J1134">
        <f>DropAnalityka[[#This Row],[Sell Drop]]+IF(DropAnalityka[[#This Row],[Drop]]="Scroll", 2000*DropAnalityka[[#This Row],[Quality/Quantity]],0)</f>
        <v>0</v>
      </c>
      <c r="K1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5" spans="10:12">
      <c r="J1135">
        <f>DropAnalityka[[#This Row],[Sell Drop]]+IF(DropAnalityka[[#This Row],[Drop]]="Scroll", 2000*DropAnalityka[[#This Row],[Quality/Quantity]],0)</f>
        <v>0</v>
      </c>
      <c r="K1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6" spans="10:12">
      <c r="J1136">
        <f>DropAnalityka[[#This Row],[Sell Drop]]+IF(DropAnalityka[[#This Row],[Drop]]="Scroll", 2000*DropAnalityka[[#This Row],[Quality/Quantity]],0)</f>
        <v>0</v>
      </c>
      <c r="K1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7" spans="10:12">
      <c r="J1137">
        <f>DropAnalityka[[#This Row],[Sell Drop]]+IF(DropAnalityka[[#This Row],[Drop]]="Scroll", 2000*DropAnalityka[[#This Row],[Quality/Quantity]],0)</f>
        <v>0</v>
      </c>
      <c r="K1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8" spans="10:12">
      <c r="J1138">
        <f>DropAnalityka[[#This Row],[Sell Drop]]+IF(DropAnalityka[[#This Row],[Drop]]="Scroll", 2000*DropAnalityka[[#This Row],[Quality/Quantity]],0)</f>
        <v>0</v>
      </c>
      <c r="K1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9" spans="10:12">
      <c r="J1139">
        <f>DropAnalityka[[#This Row],[Sell Drop]]+IF(DropAnalityka[[#This Row],[Drop]]="Scroll", 2000*DropAnalityka[[#This Row],[Quality/Quantity]],0)</f>
        <v>0</v>
      </c>
      <c r="K1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0" spans="10:12">
      <c r="J1140">
        <f>DropAnalityka[[#This Row],[Sell Drop]]+IF(DropAnalityka[[#This Row],[Drop]]="Scroll", 2000*DropAnalityka[[#This Row],[Quality/Quantity]],0)</f>
        <v>0</v>
      </c>
      <c r="K1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1" spans="10:12">
      <c r="J1141">
        <f>DropAnalityka[[#This Row],[Sell Drop]]+IF(DropAnalityka[[#This Row],[Drop]]="Scroll", 2000*DropAnalityka[[#This Row],[Quality/Quantity]],0)</f>
        <v>0</v>
      </c>
      <c r="K1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2" spans="10:12">
      <c r="J1142">
        <f>DropAnalityka[[#This Row],[Sell Drop]]+IF(DropAnalityka[[#This Row],[Drop]]="Scroll", 2000*DropAnalityka[[#This Row],[Quality/Quantity]],0)</f>
        <v>0</v>
      </c>
      <c r="K1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3" spans="10:12">
      <c r="J1143">
        <f>DropAnalityka[[#This Row],[Sell Drop]]+IF(DropAnalityka[[#This Row],[Drop]]="Scroll", 2000*DropAnalityka[[#This Row],[Quality/Quantity]],0)</f>
        <v>0</v>
      </c>
      <c r="K1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4" spans="10:12">
      <c r="J1144">
        <f>DropAnalityka[[#This Row],[Sell Drop]]+IF(DropAnalityka[[#This Row],[Drop]]="Scroll", 2000*DropAnalityka[[#This Row],[Quality/Quantity]],0)</f>
        <v>0</v>
      </c>
      <c r="K1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5" spans="10:12">
      <c r="J1145">
        <f>DropAnalityka[[#This Row],[Sell Drop]]+IF(DropAnalityka[[#This Row],[Drop]]="Scroll", 2000*DropAnalityka[[#This Row],[Quality/Quantity]],0)</f>
        <v>0</v>
      </c>
      <c r="K1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6" spans="10:12">
      <c r="J1146">
        <f>DropAnalityka[[#This Row],[Sell Drop]]+IF(DropAnalityka[[#This Row],[Drop]]="Scroll", 2000*DropAnalityka[[#This Row],[Quality/Quantity]],0)</f>
        <v>0</v>
      </c>
      <c r="K1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7" spans="10:12">
      <c r="J1147">
        <f>DropAnalityka[[#This Row],[Sell Drop]]+IF(DropAnalityka[[#This Row],[Drop]]="Scroll", 2000*DropAnalityka[[#This Row],[Quality/Quantity]],0)</f>
        <v>0</v>
      </c>
      <c r="K1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8" spans="10:12">
      <c r="J1148">
        <f>DropAnalityka[[#This Row],[Sell Drop]]+IF(DropAnalityka[[#This Row],[Drop]]="Scroll", 2000*DropAnalityka[[#This Row],[Quality/Quantity]],0)</f>
        <v>0</v>
      </c>
      <c r="K1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9" spans="10:12">
      <c r="J1149">
        <f>DropAnalityka[[#This Row],[Sell Drop]]+IF(DropAnalityka[[#This Row],[Drop]]="Scroll", 2000*DropAnalityka[[#This Row],[Quality/Quantity]],0)</f>
        <v>0</v>
      </c>
      <c r="K1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0" spans="10:12">
      <c r="J1150">
        <f>DropAnalityka[[#This Row],[Sell Drop]]+IF(DropAnalityka[[#This Row],[Drop]]="Scroll", 2000*DropAnalityka[[#This Row],[Quality/Quantity]],0)</f>
        <v>0</v>
      </c>
      <c r="K1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1" spans="10:12">
      <c r="J1151">
        <f>DropAnalityka[[#This Row],[Sell Drop]]+IF(DropAnalityka[[#This Row],[Drop]]="Scroll", 2000*DropAnalityka[[#This Row],[Quality/Quantity]],0)</f>
        <v>0</v>
      </c>
      <c r="K1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2" spans="10:12">
      <c r="J1152">
        <f>DropAnalityka[[#This Row],[Sell Drop]]+IF(DropAnalityka[[#This Row],[Drop]]="Scroll", 2000*DropAnalityka[[#This Row],[Quality/Quantity]],0)</f>
        <v>0</v>
      </c>
      <c r="K1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3" spans="10:12">
      <c r="J1153">
        <f>DropAnalityka[[#This Row],[Sell Drop]]+IF(DropAnalityka[[#This Row],[Drop]]="Scroll", 2000*DropAnalityka[[#This Row],[Quality/Quantity]],0)</f>
        <v>0</v>
      </c>
      <c r="K1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4" spans="10:12">
      <c r="J1154">
        <f>DropAnalityka[[#This Row],[Sell Drop]]+IF(DropAnalityka[[#This Row],[Drop]]="Scroll", 2000*DropAnalityka[[#This Row],[Quality/Quantity]],0)</f>
        <v>0</v>
      </c>
      <c r="K1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5" spans="10:12">
      <c r="J1155">
        <f>DropAnalityka[[#This Row],[Sell Drop]]+IF(DropAnalityka[[#This Row],[Drop]]="Scroll", 2000*DropAnalityka[[#This Row],[Quality/Quantity]],0)</f>
        <v>0</v>
      </c>
      <c r="K1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6" spans="10:12">
      <c r="J1156">
        <f>DropAnalityka[[#This Row],[Sell Drop]]+IF(DropAnalityka[[#This Row],[Drop]]="Scroll", 2000*DropAnalityka[[#This Row],[Quality/Quantity]],0)</f>
        <v>0</v>
      </c>
      <c r="K1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7" spans="10:12">
      <c r="J1157">
        <f>DropAnalityka[[#This Row],[Sell Drop]]+IF(DropAnalityka[[#This Row],[Drop]]="Scroll", 2000*DropAnalityka[[#This Row],[Quality/Quantity]],0)</f>
        <v>0</v>
      </c>
      <c r="K1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8" spans="10:12">
      <c r="J1158">
        <f>DropAnalityka[[#This Row],[Sell Drop]]+IF(DropAnalityka[[#This Row],[Drop]]="Scroll", 2000*DropAnalityka[[#This Row],[Quality/Quantity]],0)</f>
        <v>0</v>
      </c>
      <c r="K1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9" spans="10:12">
      <c r="J1159">
        <f>DropAnalityka[[#This Row],[Sell Drop]]+IF(DropAnalityka[[#This Row],[Drop]]="Scroll", 2000*DropAnalityka[[#This Row],[Quality/Quantity]],0)</f>
        <v>0</v>
      </c>
      <c r="K1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0" spans="10:12">
      <c r="J1160">
        <f>DropAnalityka[[#This Row],[Sell Drop]]+IF(DropAnalityka[[#This Row],[Drop]]="Scroll", 2000*DropAnalityka[[#This Row],[Quality/Quantity]],0)</f>
        <v>0</v>
      </c>
      <c r="K1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1" spans="10:12">
      <c r="J1161">
        <f>DropAnalityka[[#This Row],[Sell Drop]]+IF(DropAnalityka[[#This Row],[Drop]]="Scroll", 2000*DropAnalityka[[#This Row],[Quality/Quantity]],0)</f>
        <v>0</v>
      </c>
      <c r="K1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2" spans="10:12">
      <c r="J1162">
        <f>DropAnalityka[[#This Row],[Sell Drop]]+IF(DropAnalityka[[#This Row],[Drop]]="Scroll", 2000*DropAnalityka[[#This Row],[Quality/Quantity]],0)</f>
        <v>0</v>
      </c>
      <c r="K1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3" spans="10:12">
      <c r="J1163">
        <f>DropAnalityka[[#This Row],[Sell Drop]]+IF(DropAnalityka[[#This Row],[Drop]]="Scroll", 2000*DropAnalityka[[#This Row],[Quality/Quantity]],0)</f>
        <v>0</v>
      </c>
      <c r="K1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4" spans="10:12">
      <c r="J1164">
        <f>DropAnalityka[[#This Row],[Sell Drop]]+IF(DropAnalityka[[#This Row],[Drop]]="Scroll", 2000*DropAnalityka[[#This Row],[Quality/Quantity]],0)</f>
        <v>0</v>
      </c>
      <c r="K1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5" spans="10:12">
      <c r="J1165">
        <f>DropAnalityka[[#This Row],[Sell Drop]]+IF(DropAnalityka[[#This Row],[Drop]]="Scroll", 2000*DropAnalityka[[#This Row],[Quality/Quantity]],0)</f>
        <v>0</v>
      </c>
      <c r="K1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6" spans="10:12">
      <c r="J1166">
        <f>DropAnalityka[[#This Row],[Sell Drop]]+IF(DropAnalityka[[#This Row],[Drop]]="Scroll", 2000*DropAnalityka[[#This Row],[Quality/Quantity]],0)</f>
        <v>0</v>
      </c>
      <c r="K1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7" spans="10:12">
      <c r="J1167">
        <f>DropAnalityka[[#This Row],[Sell Drop]]+IF(DropAnalityka[[#This Row],[Drop]]="Scroll", 2000*DropAnalityka[[#This Row],[Quality/Quantity]],0)</f>
        <v>0</v>
      </c>
      <c r="K1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8" spans="10:12">
      <c r="J1168">
        <f>DropAnalityka[[#This Row],[Sell Drop]]+IF(DropAnalityka[[#This Row],[Drop]]="Scroll", 2000*DropAnalityka[[#This Row],[Quality/Quantity]],0)</f>
        <v>0</v>
      </c>
      <c r="K1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9" spans="10:12">
      <c r="J1169">
        <f>DropAnalityka[[#This Row],[Sell Drop]]+IF(DropAnalityka[[#This Row],[Drop]]="Scroll", 2000*DropAnalityka[[#This Row],[Quality/Quantity]],0)</f>
        <v>0</v>
      </c>
      <c r="K1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0" spans="10:12">
      <c r="J1170">
        <f>DropAnalityka[[#This Row],[Sell Drop]]+IF(DropAnalityka[[#This Row],[Drop]]="Scroll", 2000*DropAnalityka[[#This Row],[Quality/Quantity]],0)</f>
        <v>0</v>
      </c>
      <c r="K1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1" spans="10:12">
      <c r="J1171">
        <f>DropAnalityka[[#This Row],[Sell Drop]]+IF(DropAnalityka[[#This Row],[Drop]]="Scroll", 2000*DropAnalityka[[#This Row],[Quality/Quantity]],0)</f>
        <v>0</v>
      </c>
      <c r="K1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2" spans="10:12">
      <c r="J1172">
        <f>DropAnalityka[[#This Row],[Sell Drop]]+IF(DropAnalityka[[#This Row],[Drop]]="Scroll", 2000*DropAnalityka[[#This Row],[Quality/Quantity]],0)</f>
        <v>0</v>
      </c>
      <c r="K1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3" spans="10:12">
      <c r="J1173">
        <f>DropAnalityka[[#This Row],[Sell Drop]]+IF(DropAnalityka[[#This Row],[Drop]]="Scroll", 2000*DropAnalityka[[#This Row],[Quality/Quantity]],0)</f>
        <v>0</v>
      </c>
      <c r="K1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4" spans="10:12">
      <c r="J1174">
        <f>DropAnalityka[[#This Row],[Sell Drop]]+IF(DropAnalityka[[#This Row],[Drop]]="Scroll", 2000*DropAnalityka[[#This Row],[Quality/Quantity]],0)</f>
        <v>0</v>
      </c>
      <c r="K1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5" spans="10:12">
      <c r="J1175">
        <f>DropAnalityka[[#This Row],[Sell Drop]]+IF(DropAnalityka[[#This Row],[Drop]]="Scroll", 2000*DropAnalityka[[#This Row],[Quality/Quantity]],0)</f>
        <v>0</v>
      </c>
      <c r="K1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6" spans="10:12">
      <c r="J1176">
        <f>DropAnalityka[[#This Row],[Sell Drop]]+IF(DropAnalityka[[#This Row],[Drop]]="Scroll", 2000*DropAnalityka[[#This Row],[Quality/Quantity]],0)</f>
        <v>0</v>
      </c>
      <c r="K1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7" spans="10:12">
      <c r="J1177">
        <f>DropAnalityka[[#This Row],[Sell Drop]]+IF(DropAnalityka[[#This Row],[Drop]]="Scroll", 2000*DropAnalityka[[#This Row],[Quality/Quantity]],0)</f>
        <v>0</v>
      </c>
      <c r="K1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8" spans="10:12">
      <c r="J1178">
        <f>DropAnalityka[[#This Row],[Sell Drop]]+IF(DropAnalityka[[#This Row],[Drop]]="Scroll", 2000*DropAnalityka[[#This Row],[Quality/Quantity]],0)</f>
        <v>0</v>
      </c>
      <c r="K1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9" spans="10:12">
      <c r="J1179">
        <f>DropAnalityka[[#This Row],[Sell Drop]]+IF(DropAnalityka[[#This Row],[Drop]]="Scroll", 2000*DropAnalityka[[#This Row],[Quality/Quantity]],0)</f>
        <v>0</v>
      </c>
      <c r="K1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0" spans="10:12">
      <c r="J1180">
        <f>DropAnalityka[[#This Row],[Sell Drop]]+IF(DropAnalityka[[#This Row],[Drop]]="Scroll", 2000*DropAnalityka[[#This Row],[Quality/Quantity]],0)</f>
        <v>0</v>
      </c>
      <c r="K1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1" spans="10:12">
      <c r="J1181">
        <f>DropAnalityka[[#This Row],[Sell Drop]]+IF(DropAnalityka[[#This Row],[Drop]]="Scroll", 2000*DropAnalityka[[#This Row],[Quality/Quantity]],0)</f>
        <v>0</v>
      </c>
      <c r="K1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2" spans="10:12">
      <c r="J1182">
        <f>DropAnalityka[[#This Row],[Sell Drop]]+IF(DropAnalityka[[#This Row],[Drop]]="Scroll", 2000*DropAnalityka[[#This Row],[Quality/Quantity]],0)</f>
        <v>0</v>
      </c>
      <c r="K1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3" spans="10:12">
      <c r="J1183">
        <f>DropAnalityka[[#This Row],[Sell Drop]]+IF(DropAnalityka[[#This Row],[Drop]]="Scroll", 2000*DropAnalityka[[#This Row],[Quality/Quantity]],0)</f>
        <v>0</v>
      </c>
      <c r="K1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4" spans="10:12">
      <c r="J1184">
        <f>DropAnalityka[[#This Row],[Sell Drop]]+IF(DropAnalityka[[#This Row],[Drop]]="Scroll", 2000*DropAnalityka[[#This Row],[Quality/Quantity]],0)</f>
        <v>0</v>
      </c>
      <c r="K1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5" spans="10:12">
      <c r="J1185">
        <f>DropAnalityka[[#This Row],[Sell Drop]]+IF(DropAnalityka[[#This Row],[Drop]]="Scroll", 2000*DropAnalityka[[#This Row],[Quality/Quantity]],0)</f>
        <v>0</v>
      </c>
      <c r="K1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6" spans="10:12">
      <c r="J1186">
        <f>DropAnalityka[[#This Row],[Sell Drop]]+IF(DropAnalityka[[#This Row],[Drop]]="Scroll", 2000*DropAnalityka[[#This Row],[Quality/Quantity]],0)</f>
        <v>0</v>
      </c>
      <c r="K1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7" spans="10:12">
      <c r="J1187">
        <f>DropAnalityka[[#This Row],[Sell Drop]]+IF(DropAnalityka[[#This Row],[Drop]]="Scroll", 2000*DropAnalityka[[#This Row],[Quality/Quantity]],0)</f>
        <v>0</v>
      </c>
      <c r="K1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8" spans="10:12">
      <c r="J1188">
        <f>DropAnalityka[[#This Row],[Sell Drop]]+IF(DropAnalityka[[#This Row],[Drop]]="Scroll", 2000*DropAnalityka[[#This Row],[Quality/Quantity]],0)</f>
        <v>0</v>
      </c>
      <c r="K1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9" spans="10:12">
      <c r="J1189">
        <f>DropAnalityka[[#This Row],[Sell Drop]]+IF(DropAnalityka[[#This Row],[Drop]]="Scroll", 2000*DropAnalityka[[#This Row],[Quality/Quantity]],0)</f>
        <v>0</v>
      </c>
      <c r="K1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0" spans="10:12">
      <c r="J1190">
        <f>DropAnalityka[[#This Row],[Sell Drop]]+IF(DropAnalityka[[#This Row],[Drop]]="Scroll", 2000*DropAnalityka[[#This Row],[Quality/Quantity]],0)</f>
        <v>0</v>
      </c>
      <c r="K1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1" spans="10:12">
      <c r="J1191">
        <f>DropAnalityka[[#This Row],[Sell Drop]]+IF(DropAnalityka[[#This Row],[Drop]]="Scroll", 2000*DropAnalityka[[#This Row],[Quality/Quantity]],0)</f>
        <v>0</v>
      </c>
      <c r="K1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2" spans="10:12">
      <c r="J1192">
        <f>DropAnalityka[[#This Row],[Sell Drop]]+IF(DropAnalityka[[#This Row],[Drop]]="Scroll", 2000*DropAnalityka[[#This Row],[Quality/Quantity]],0)</f>
        <v>0</v>
      </c>
      <c r="K1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3" spans="10:12">
      <c r="J1193">
        <f>DropAnalityka[[#This Row],[Sell Drop]]+IF(DropAnalityka[[#This Row],[Drop]]="Scroll", 2000*DropAnalityka[[#This Row],[Quality/Quantity]],0)</f>
        <v>0</v>
      </c>
      <c r="K1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4" spans="10:12">
      <c r="J1194">
        <f>DropAnalityka[[#This Row],[Sell Drop]]+IF(DropAnalityka[[#This Row],[Drop]]="Scroll", 2000*DropAnalityka[[#This Row],[Quality/Quantity]],0)</f>
        <v>0</v>
      </c>
      <c r="K1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5" spans="10:12">
      <c r="J1195">
        <f>DropAnalityka[[#This Row],[Sell Drop]]+IF(DropAnalityka[[#This Row],[Drop]]="Scroll", 2000*DropAnalityka[[#This Row],[Quality/Quantity]],0)</f>
        <v>0</v>
      </c>
      <c r="K1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6" spans="10:12">
      <c r="J1196">
        <f>DropAnalityka[[#This Row],[Sell Drop]]+IF(DropAnalityka[[#This Row],[Drop]]="Scroll", 2000*DropAnalityka[[#This Row],[Quality/Quantity]],0)</f>
        <v>0</v>
      </c>
      <c r="K1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7" spans="10:12">
      <c r="J1197">
        <f>DropAnalityka[[#This Row],[Sell Drop]]+IF(DropAnalityka[[#This Row],[Drop]]="Scroll", 2000*DropAnalityka[[#This Row],[Quality/Quantity]],0)</f>
        <v>0</v>
      </c>
      <c r="K1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8" spans="10:12">
      <c r="J1198">
        <f>DropAnalityka[[#This Row],[Sell Drop]]+IF(DropAnalityka[[#This Row],[Drop]]="Scroll", 2000*DropAnalityka[[#This Row],[Quality/Quantity]],0)</f>
        <v>0</v>
      </c>
      <c r="K1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9" spans="10:12">
      <c r="J1199">
        <f>DropAnalityka[[#This Row],[Sell Drop]]+IF(DropAnalityka[[#This Row],[Drop]]="Scroll", 2000*DropAnalityka[[#This Row],[Quality/Quantity]],0)</f>
        <v>0</v>
      </c>
      <c r="K1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0" spans="10:12">
      <c r="J1200">
        <f>DropAnalityka[[#This Row],[Sell Drop]]+IF(DropAnalityka[[#This Row],[Drop]]="Scroll", 2000*DropAnalityka[[#This Row],[Quality/Quantity]],0)</f>
        <v>0</v>
      </c>
      <c r="K1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1" spans="10:12">
      <c r="J1201">
        <f>DropAnalityka[[#This Row],[Sell Drop]]+IF(DropAnalityka[[#This Row],[Drop]]="Scroll", 2000*DropAnalityka[[#This Row],[Quality/Quantity]],0)</f>
        <v>0</v>
      </c>
      <c r="K1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2" spans="10:12">
      <c r="J1202">
        <f>DropAnalityka[[#This Row],[Sell Drop]]+IF(DropAnalityka[[#This Row],[Drop]]="Scroll", 2000*DropAnalityka[[#This Row],[Quality/Quantity]],0)</f>
        <v>0</v>
      </c>
      <c r="K1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3" spans="10:12">
      <c r="J1203">
        <f>DropAnalityka[[#This Row],[Sell Drop]]+IF(DropAnalityka[[#This Row],[Drop]]="Scroll", 2000*DropAnalityka[[#This Row],[Quality/Quantity]],0)</f>
        <v>0</v>
      </c>
      <c r="K1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4" spans="10:12">
      <c r="J1204">
        <f>DropAnalityka[[#This Row],[Sell Drop]]+IF(DropAnalityka[[#This Row],[Drop]]="Scroll", 2000*DropAnalityka[[#This Row],[Quality/Quantity]],0)</f>
        <v>0</v>
      </c>
      <c r="K1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5" spans="10:12">
      <c r="J1205">
        <f>DropAnalityka[[#This Row],[Sell Drop]]+IF(DropAnalityka[[#This Row],[Drop]]="Scroll", 2000*DropAnalityka[[#This Row],[Quality/Quantity]],0)</f>
        <v>0</v>
      </c>
      <c r="K1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6" spans="10:12">
      <c r="J1206">
        <f>DropAnalityka[[#This Row],[Sell Drop]]+IF(DropAnalityka[[#This Row],[Drop]]="Scroll", 2000*DropAnalityka[[#This Row],[Quality/Quantity]],0)</f>
        <v>0</v>
      </c>
      <c r="K1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7" spans="10:12">
      <c r="J1207">
        <f>DropAnalityka[[#This Row],[Sell Drop]]+IF(DropAnalityka[[#This Row],[Drop]]="Scroll", 2000*DropAnalityka[[#This Row],[Quality/Quantity]],0)</f>
        <v>0</v>
      </c>
      <c r="K1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8" spans="10:12">
      <c r="J1208">
        <f>DropAnalityka[[#This Row],[Sell Drop]]+IF(DropAnalityka[[#This Row],[Drop]]="Scroll", 2000*DropAnalityka[[#This Row],[Quality/Quantity]],0)</f>
        <v>0</v>
      </c>
      <c r="K1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9" spans="10:12">
      <c r="J1209">
        <f>DropAnalityka[[#This Row],[Sell Drop]]+IF(DropAnalityka[[#This Row],[Drop]]="Scroll", 2000*DropAnalityka[[#This Row],[Quality/Quantity]],0)</f>
        <v>0</v>
      </c>
      <c r="K1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0" spans="10:12">
      <c r="J1210">
        <f>DropAnalityka[[#This Row],[Sell Drop]]+IF(DropAnalityka[[#This Row],[Drop]]="Scroll", 2000*DropAnalityka[[#This Row],[Quality/Quantity]],0)</f>
        <v>0</v>
      </c>
      <c r="K1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1" spans="10:12">
      <c r="J1211">
        <f>DropAnalityka[[#This Row],[Sell Drop]]+IF(DropAnalityka[[#This Row],[Drop]]="Scroll", 2000*DropAnalityka[[#This Row],[Quality/Quantity]],0)</f>
        <v>0</v>
      </c>
      <c r="K1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2" spans="10:12">
      <c r="J1212">
        <f>DropAnalityka[[#This Row],[Sell Drop]]+IF(DropAnalityka[[#This Row],[Drop]]="Scroll", 2000*DropAnalityka[[#This Row],[Quality/Quantity]],0)</f>
        <v>0</v>
      </c>
      <c r="K1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3" spans="10:12">
      <c r="J1213">
        <f>DropAnalityka[[#This Row],[Sell Drop]]+IF(DropAnalityka[[#This Row],[Drop]]="Scroll", 2000*DropAnalityka[[#This Row],[Quality/Quantity]],0)</f>
        <v>0</v>
      </c>
      <c r="K1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4" spans="10:12">
      <c r="J1214">
        <f>DropAnalityka[[#This Row],[Sell Drop]]+IF(DropAnalityka[[#This Row],[Drop]]="Scroll", 2000*DropAnalityka[[#This Row],[Quality/Quantity]],0)</f>
        <v>0</v>
      </c>
      <c r="K1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5" spans="10:12">
      <c r="J1215">
        <f>DropAnalityka[[#This Row],[Sell Drop]]+IF(DropAnalityka[[#This Row],[Drop]]="Scroll", 2000*DropAnalityka[[#This Row],[Quality/Quantity]],0)</f>
        <v>0</v>
      </c>
      <c r="K1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6" spans="10:12">
      <c r="J1216">
        <f>DropAnalityka[[#This Row],[Sell Drop]]+IF(DropAnalityka[[#This Row],[Drop]]="Scroll", 2000*DropAnalityka[[#This Row],[Quality/Quantity]],0)</f>
        <v>0</v>
      </c>
      <c r="K1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7" spans="10:12">
      <c r="J1217">
        <f>DropAnalityka[[#This Row],[Sell Drop]]+IF(DropAnalityka[[#This Row],[Drop]]="Scroll", 2000*DropAnalityka[[#This Row],[Quality/Quantity]],0)</f>
        <v>0</v>
      </c>
      <c r="K1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8" spans="10:12">
      <c r="J1218">
        <f>DropAnalityka[[#This Row],[Sell Drop]]+IF(DropAnalityka[[#This Row],[Drop]]="Scroll", 2000*DropAnalityka[[#This Row],[Quality/Quantity]],0)</f>
        <v>0</v>
      </c>
      <c r="K1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9" spans="10:12">
      <c r="J1219">
        <f>DropAnalityka[[#This Row],[Sell Drop]]+IF(DropAnalityka[[#This Row],[Drop]]="Scroll", 2000*DropAnalityka[[#This Row],[Quality/Quantity]],0)</f>
        <v>0</v>
      </c>
      <c r="K1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0" spans="10:12">
      <c r="J1220">
        <f>DropAnalityka[[#This Row],[Sell Drop]]+IF(DropAnalityka[[#This Row],[Drop]]="Scroll", 2000*DropAnalityka[[#This Row],[Quality/Quantity]],0)</f>
        <v>0</v>
      </c>
      <c r="K1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1" spans="10:12">
      <c r="J1221">
        <f>DropAnalityka[[#This Row],[Sell Drop]]+IF(DropAnalityka[[#This Row],[Drop]]="Scroll", 2000*DropAnalityka[[#This Row],[Quality/Quantity]],0)</f>
        <v>0</v>
      </c>
      <c r="K1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2" spans="10:12">
      <c r="J1222">
        <f>DropAnalityka[[#This Row],[Sell Drop]]+IF(DropAnalityka[[#This Row],[Drop]]="Scroll", 2000*DropAnalityka[[#This Row],[Quality/Quantity]],0)</f>
        <v>0</v>
      </c>
      <c r="K1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3" spans="10:12">
      <c r="J1223">
        <f>DropAnalityka[[#This Row],[Sell Drop]]+IF(DropAnalityka[[#This Row],[Drop]]="Scroll", 2000*DropAnalityka[[#This Row],[Quality/Quantity]],0)</f>
        <v>0</v>
      </c>
      <c r="K1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4" spans="10:12">
      <c r="J1224">
        <f>DropAnalityka[[#This Row],[Sell Drop]]+IF(DropAnalityka[[#This Row],[Drop]]="Scroll", 2000*DropAnalityka[[#This Row],[Quality/Quantity]],0)</f>
        <v>0</v>
      </c>
      <c r="K1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5" spans="10:12">
      <c r="J1225">
        <f>DropAnalityka[[#This Row],[Sell Drop]]+IF(DropAnalityka[[#This Row],[Drop]]="Scroll", 2000*DropAnalityka[[#This Row],[Quality/Quantity]],0)</f>
        <v>0</v>
      </c>
      <c r="K1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6" spans="10:12">
      <c r="J1226">
        <f>DropAnalityka[[#This Row],[Sell Drop]]+IF(DropAnalityka[[#This Row],[Drop]]="Scroll", 2000*DropAnalityka[[#This Row],[Quality/Quantity]],0)</f>
        <v>0</v>
      </c>
      <c r="K1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7" spans="10:12">
      <c r="J1227">
        <f>DropAnalityka[[#This Row],[Sell Drop]]+IF(DropAnalityka[[#This Row],[Drop]]="Scroll", 2000*DropAnalityka[[#This Row],[Quality/Quantity]],0)</f>
        <v>0</v>
      </c>
      <c r="K1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8" spans="10:12">
      <c r="J1228">
        <f>DropAnalityka[[#This Row],[Sell Drop]]+IF(DropAnalityka[[#This Row],[Drop]]="Scroll", 2000*DropAnalityka[[#This Row],[Quality/Quantity]],0)</f>
        <v>0</v>
      </c>
      <c r="K1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9" spans="10:12">
      <c r="J1229">
        <f>DropAnalityka[[#This Row],[Sell Drop]]+IF(DropAnalityka[[#This Row],[Drop]]="Scroll", 2000*DropAnalityka[[#This Row],[Quality/Quantity]],0)</f>
        <v>0</v>
      </c>
      <c r="K1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0" spans="10:12">
      <c r="J1230">
        <f>DropAnalityka[[#This Row],[Sell Drop]]+IF(DropAnalityka[[#This Row],[Drop]]="Scroll", 2000*DropAnalityka[[#This Row],[Quality/Quantity]],0)</f>
        <v>0</v>
      </c>
      <c r="K1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1" spans="10:12">
      <c r="J1231">
        <f>DropAnalityka[[#This Row],[Sell Drop]]+IF(DropAnalityka[[#This Row],[Drop]]="Scroll", 2000*DropAnalityka[[#This Row],[Quality/Quantity]],0)</f>
        <v>0</v>
      </c>
      <c r="K1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2" spans="10:12">
      <c r="J1232">
        <f>DropAnalityka[[#This Row],[Sell Drop]]+IF(DropAnalityka[[#This Row],[Drop]]="Scroll", 2000*DropAnalityka[[#This Row],[Quality/Quantity]],0)</f>
        <v>0</v>
      </c>
      <c r="K1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3" spans="10:12">
      <c r="J1233">
        <f>DropAnalityka[[#This Row],[Sell Drop]]+IF(DropAnalityka[[#This Row],[Drop]]="Scroll", 2000*DropAnalityka[[#This Row],[Quality/Quantity]],0)</f>
        <v>0</v>
      </c>
      <c r="K1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4" spans="10:12">
      <c r="J1234">
        <f>DropAnalityka[[#This Row],[Sell Drop]]+IF(DropAnalityka[[#This Row],[Drop]]="Scroll", 2000*DropAnalityka[[#This Row],[Quality/Quantity]],0)</f>
        <v>0</v>
      </c>
      <c r="K1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5" spans="10:12">
      <c r="J1235">
        <f>DropAnalityka[[#This Row],[Sell Drop]]+IF(DropAnalityka[[#This Row],[Drop]]="Scroll", 2000*DropAnalityka[[#This Row],[Quality/Quantity]],0)</f>
        <v>0</v>
      </c>
      <c r="K1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6" spans="10:12">
      <c r="J1236">
        <f>DropAnalityka[[#This Row],[Sell Drop]]+IF(DropAnalityka[[#This Row],[Drop]]="Scroll", 2000*DropAnalityka[[#This Row],[Quality/Quantity]],0)</f>
        <v>0</v>
      </c>
      <c r="K1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7" spans="10:12">
      <c r="J1237">
        <f>DropAnalityka[[#This Row],[Sell Drop]]+IF(DropAnalityka[[#This Row],[Drop]]="Scroll", 2000*DropAnalityka[[#This Row],[Quality/Quantity]],0)</f>
        <v>0</v>
      </c>
      <c r="K1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8" spans="10:12">
      <c r="J1238">
        <f>DropAnalityka[[#This Row],[Sell Drop]]+IF(DropAnalityka[[#This Row],[Drop]]="Scroll", 2000*DropAnalityka[[#This Row],[Quality/Quantity]],0)</f>
        <v>0</v>
      </c>
      <c r="K1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9" spans="10:12">
      <c r="J1239">
        <f>DropAnalityka[[#This Row],[Sell Drop]]+IF(DropAnalityka[[#This Row],[Drop]]="Scroll", 2000*DropAnalityka[[#This Row],[Quality/Quantity]],0)</f>
        <v>0</v>
      </c>
      <c r="K1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0" spans="10:12">
      <c r="J1240">
        <f>DropAnalityka[[#This Row],[Sell Drop]]+IF(DropAnalityka[[#This Row],[Drop]]="Scroll", 2000*DropAnalityka[[#This Row],[Quality/Quantity]],0)</f>
        <v>0</v>
      </c>
      <c r="K1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1" spans="10:12">
      <c r="J1241">
        <f>DropAnalityka[[#This Row],[Sell Drop]]+IF(DropAnalityka[[#This Row],[Drop]]="Scroll", 2000*DropAnalityka[[#This Row],[Quality/Quantity]],0)</f>
        <v>0</v>
      </c>
      <c r="K1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2" spans="10:12">
      <c r="J1242">
        <f>DropAnalityka[[#This Row],[Sell Drop]]+IF(DropAnalityka[[#This Row],[Drop]]="Scroll", 2000*DropAnalityka[[#This Row],[Quality/Quantity]],0)</f>
        <v>0</v>
      </c>
      <c r="K1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3" spans="10:12">
      <c r="J1243">
        <f>DropAnalityka[[#This Row],[Sell Drop]]+IF(DropAnalityka[[#This Row],[Drop]]="Scroll", 2000*DropAnalityka[[#This Row],[Quality/Quantity]],0)</f>
        <v>0</v>
      </c>
      <c r="K1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4" spans="10:12">
      <c r="J1244">
        <f>DropAnalityka[[#This Row],[Sell Drop]]+IF(DropAnalityka[[#This Row],[Drop]]="Scroll", 2000*DropAnalityka[[#This Row],[Quality/Quantity]],0)</f>
        <v>0</v>
      </c>
      <c r="K1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5" spans="10:12">
      <c r="J1245">
        <f>DropAnalityka[[#This Row],[Sell Drop]]+IF(DropAnalityka[[#This Row],[Drop]]="Scroll", 2000*DropAnalityka[[#This Row],[Quality/Quantity]],0)</f>
        <v>0</v>
      </c>
      <c r="K1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6" spans="10:12">
      <c r="J1246">
        <f>DropAnalityka[[#This Row],[Sell Drop]]+IF(DropAnalityka[[#This Row],[Drop]]="Scroll", 2000*DropAnalityka[[#This Row],[Quality/Quantity]],0)</f>
        <v>0</v>
      </c>
      <c r="K1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7" spans="10:12">
      <c r="J1247">
        <f>DropAnalityka[[#This Row],[Sell Drop]]+IF(DropAnalityka[[#This Row],[Drop]]="Scroll", 2000*DropAnalityka[[#This Row],[Quality/Quantity]],0)</f>
        <v>0</v>
      </c>
      <c r="K1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8" spans="10:12">
      <c r="J1248">
        <f>DropAnalityka[[#This Row],[Sell Drop]]+IF(DropAnalityka[[#This Row],[Drop]]="Scroll", 2000*DropAnalityka[[#This Row],[Quality/Quantity]],0)</f>
        <v>0</v>
      </c>
      <c r="K1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9" spans="10:12">
      <c r="J1249">
        <f>DropAnalityka[[#This Row],[Sell Drop]]+IF(DropAnalityka[[#This Row],[Drop]]="Scroll", 2000*DropAnalityka[[#This Row],[Quality/Quantity]],0)</f>
        <v>0</v>
      </c>
      <c r="K1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0" spans="10:12">
      <c r="J1250">
        <f>DropAnalityka[[#This Row],[Sell Drop]]+IF(DropAnalityka[[#This Row],[Drop]]="Scroll", 2000*DropAnalityka[[#This Row],[Quality/Quantity]],0)</f>
        <v>0</v>
      </c>
      <c r="K1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1" spans="10:12">
      <c r="J1251">
        <f>DropAnalityka[[#This Row],[Sell Drop]]+IF(DropAnalityka[[#This Row],[Drop]]="Scroll", 2000*DropAnalityka[[#This Row],[Quality/Quantity]],0)</f>
        <v>0</v>
      </c>
      <c r="K1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2" spans="10:12">
      <c r="J1252">
        <f>DropAnalityka[[#This Row],[Sell Drop]]+IF(DropAnalityka[[#This Row],[Drop]]="Scroll", 2000*DropAnalityka[[#This Row],[Quality/Quantity]],0)</f>
        <v>0</v>
      </c>
      <c r="K1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3" spans="10:12">
      <c r="J1253">
        <f>DropAnalityka[[#This Row],[Sell Drop]]+IF(DropAnalityka[[#This Row],[Drop]]="Scroll", 2000*DropAnalityka[[#This Row],[Quality/Quantity]],0)</f>
        <v>0</v>
      </c>
      <c r="K1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4" spans="10:12">
      <c r="J1254">
        <f>DropAnalityka[[#This Row],[Sell Drop]]+IF(DropAnalityka[[#This Row],[Drop]]="Scroll", 2000*DropAnalityka[[#This Row],[Quality/Quantity]],0)</f>
        <v>0</v>
      </c>
      <c r="K1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5" spans="10:12">
      <c r="J1255">
        <f>DropAnalityka[[#This Row],[Sell Drop]]+IF(DropAnalityka[[#This Row],[Drop]]="Scroll", 2000*DropAnalityka[[#This Row],[Quality/Quantity]],0)</f>
        <v>0</v>
      </c>
      <c r="K1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6" spans="10:12">
      <c r="J1256">
        <f>DropAnalityka[[#This Row],[Sell Drop]]+IF(DropAnalityka[[#This Row],[Drop]]="Scroll", 2000*DropAnalityka[[#This Row],[Quality/Quantity]],0)</f>
        <v>0</v>
      </c>
      <c r="K1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7" spans="10:12">
      <c r="J1257">
        <f>DropAnalityka[[#This Row],[Sell Drop]]+IF(DropAnalityka[[#This Row],[Drop]]="Scroll", 2000*DropAnalityka[[#This Row],[Quality/Quantity]],0)</f>
        <v>0</v>
      </c>
      <c r="K1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8" spans="10:12">
      <c r="J1258">
        <f>DropAnalityka[[#This Row],[Sell Drop]]+IF(DropAnalityka[[#This Row],[Drop]]="Scroll", 2000*DropAnalityka[[#This Row],[Quality/Quantity]],0)</f>
        <v>0</v>
      </c>
      <c r="K1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9" spans="10:12">
      <c r="J1259">
        <f>DropAnalityka[[#This Row],[Sell Drop]]+IF(DropAnalityka[[#This Row],[Drop]]="Scroll", 2000*DropAnalityka[[#This Row],[Quality/Quantity]],0)</f>
        <v>0</v>
      </c>
      <c r="K1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0" spans="10:12">
      <c r="J1260">
        <f>DropAnalityka[[#This Row],[Sell Drop]]+IF(DropAnalityka[[#This Row],[Drop]]="Scroll", 2000*DropAnalityka[[#This Row],[Quality/Quantity]],0)</f>
        <v>0</v>
      </c>
      <c r="K1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1" spans="10:12">
      <c r="J1261">
        <f>DropAnalityka[[#This Row],[Sell Drop]]+IF(DropAnalityka[[#This Row],[Drop]]="Scroll", 2000*DropAnalityka[[#This Row],[Quality/Quantity]],0)</f>
        <v>0</v>
      </c>
      <c r="K1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2" spans="10:12">
      <c r="J1262">
        <f>DropAnalityka[[#This Row],[Sell Drop]]+IF(DropAnalityka[[#This Row],[Drop]]="Scroll", 2000*DropAnalityka[[#This Row],[Quality/Quantity]],0)</f>
        <v>0</v>
      </c>
      <c r="K1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3" spans="10:12">
      <c r="J1263">
        <f>DropAnalityka[[#This Row],[Sell Drop]]+IF(DropAnalityka[[#This Row],[Drop]]="Scroll", 2000*DropAnalityka[[#This Row],[Quality/Quantity]],0)</f>
        <v>0</v>
      </c>
      <c r="K1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4" spans="10:12">
      <c r="J1264">
        <f>DropAnalityka[[#This Row],[Sell Drop]]+IF(DropAnalityka[[#This Row],[Drop]]="Scroll", 2000*DropAnalityka[[#This Row],[Quality/Quantity]],0)</f>
        <v>0</v>
      </c>
      <c r="K1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5" spans="10:12">
      <c r="J1265">
        <f>DropAnalityka[[#This Row],[Sell Drop]]+IF(DropAnalityka[[#This Row],[Drop]]="Scroll", 2000*DropAnalityka[[#This Row],[Quality/Quantity]],0)</f>
        <v>0</v>
      </c>
      <c r="K1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6" spans="10:12">
      <c r="J1266">
        <f>DropAnalityka[[#This Row],[Sell Drop]]+IF(DropAnalityka[[#This Row],[Drop]]="Scroll", 2000*DropAnalityka[[#This Row],[Quality/Quantity]],0)</f>
        <v>0</v>
      </c>
      <c r="K1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7" spans="10:12">
      <c r="J1267">
        <f>DropAnalityka[[#This Row],[Sell Drop]]+IF(DropAnalityka[[#This Row],[Drop]]="Scroll", 2000*DropAnalityka[[#This Row],[Quality/Quantity]],0)</f>
        <v>0</v>
      </c>
      <c r="K1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8" spans="10:12">
      <c r="J1268">
        <f>DropAnalityka[[#This Row],[Sell Drop]]+IF(DropAnalityka[[#This Row],[Drop]]="Scroll", 2000*DropAnalityka[[#This Row],[Quality/Quantity]],0)</f>
        <v>0</v>
      </c>
      <c r="K1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9" spans="10:12">
      <c r="J1269">
        <f>DropAnalityka[[#This Row],[Sell Drop]]+IF(DropAnalityka[[#This Row],[Drop]]="Scroll", 2000*DropAnalityka[[#This Row],[Quality/Quantity]],0)</f>
        <v>0</v>
      </c>
      <c r="K1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0" spans="10:12">
      <c r="J1270">
        <f>DropAnalityka[[#This Row],[Sell Drop]]+IF(DropAnalityka[[#This Row],[Drop]]="Scroll", 2000*DropAnalityka[[#This Row],[Quality/Quantity]],0)</f>
        <v>0</v>
      </c>
      <c r="K1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1" spans="10:12">
      <c r="J1271">
        <f>DropAnalityka[[#This Row],[Sell Drop]]+IF(DropAnalityka[[#This Row],[Drop]]="Scroll", 2000*DropAnalityka[[#This Row],[Quality/Quantity]],0)</f>
        <v>0</v>
      </c>
      <c r="K1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2" spans="10:12">
      <c r="J1272">
        <f>DropAnalityka[[#This Row],[Sell Drop]]+IF(DropAnalityka[[#This Row],[Drop]]="Scroll", 2000*DropAnalityka[[#This Row],[Quality/Quantity]],0)</f>
        <v>0</v>
      </c>
      <c r="K1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3" spans="10:12">
      <c r="J1273">
        <f>DropAnalityka[[#This Row],[Sell Drop]]+IF(DropAnalityka[[#This Row],[Drop]]="Scroll", 2000*DropAnalityka[[#This Row],[Quality/Quantity]],0)</f>
        <v>0</v>
      </c>
      <c r="K1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4" spans="10:12">
      <c r="J1274">
        <f>DropAnalityka[[#This Row],[Sell Drop]]+IF(DropAnalityka[[#This Row],[Drop]]="Scroll", 2000*DropAnalityka[[#This Row],[Quality/Quantity]],0)</f>
        <v>0</v>
      </c>
      <c r="K1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5" spans="10:12">
      <c r="J1275">
        <f>DropAnalityka[[#This Row],[Sell Drop]]+IF(DropAnalityka[[#This Row],[Drop]]="Scroll", 2000*DropAnalityka[[#This Row],[Quality/Quantity]],0)</f>
        <v>0</v>
      </c>
      <c r="K1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6" spans="10:12">
      <c r="J1276">
        <f>DropAnalityka[[#This Row],[Sell Drop]]+IF(DropAnalityka[[#This Row],[Drop]]="Scroll", 2000*DropAnalityka[[#This Row],[Quality/Quantity]],0)</f>
        <v>0</v>
      </c>
      <c r="K1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7" spans="10:12">
      <c r="J1277">
        <f>DropAnalityka[[#This Row],[Sell Drop]]+IF(DropAnalityka[[#This Row],[Drop]]="Scroll", 2000*DropAnalityka[[#This Row],[Quality/Quantity]],0)</f>
        <v>0</v>
      </c>
      <c r="K1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8" spans="10:12">
      <c r="J1278">
        <f>DropAnalityka[[#This Row],[Sell Drop]]+IF(DropAnalityka[[#This Row],[Drop]]="Scroll", 2000*DropAnalityka[[#This Row],[Quality/Quantity]],0)</f>
        <v>0</v>
      </c>
      <c r="K1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9" spans="10:12">
      <c r="J1279">
        <f>DropAnalityka[[#This Row],[Sell Drop]]+IF(DropAnalityka[[#This Row],[Drop]]="Scroll", 2000*DropAnalityka[[#This Row],[Quality/Quantity]],0)</f>
        <v>0</v>
      </c>
      <c r="K1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0" spans="10:12">
      <c r="J1280">
        <f>DropAnalityka[[#This Row],[Sell Drop]]+IF(DropAnalityka[[#This Row],[Drop]]="Scroll", 2000*DropAnalityka[[#This Row],[Quality/Quantity]],0)</f>
        <v>0</v>
      </c>
      <c r="K1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1" spans="10:12">
      <c r="J1281">
        <f>DropAnalityka[[#This Row],[Sell Drop]]+IF(DropAnalityka[[#This Row],[Drop]]="Scroll", 2000*DropAnalityka[[#This Row],[Quality/Quantity]],0)</f>
        <v>0</v>
      </c>
      <c r="K1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2" spans="10:12">
      <c r="J1282">
        <f>DropAnalityka[[#This Row],[Sell Drop]]+IF(DropAnalityka[[#This Row],[Drop]]="Scroll", 2000*DropAnalityka[[#This Row],[Quality/Quantity]],0)</f>
        <v>0</v>
      </c>
      <c r="K1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3" spans="10:12">
      <c r="J1283">
        <f>DropAnalityka[[#This Row],[Sell Drop]]+IF(DropAnalityka[[#This Row],[Drop]]="Scroll", 2000*DropAnalityka[[#This Row],[Quality/Quantity]],0)</f>
        <v>0</v>
      </c>
      <c r="K1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4" spans="10:12">
      <c r="J1284">
        <f>DropAnalityka[[#This Row],[Sell Drop]]+IF(DropAnalityka[[#This Row],[Drop]]="Scroll", 2000*DropAnalityka[[#This Row],[Quality/Quantity]],0)</f>
        <v>0</v>
      </c>
      <c r="K1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5" spans="10:12">
      <c r="J1285">
        <f>DropAnalityka[[#This Row],[Sell Drop]]+IF(DropAnalityka[[#This Row],[Drop]]="Scroll", 2000*DropAnalityka[[#This Row],[Quality/Quantity]],0)</f>
        <v>0</v>
      </c>
      <c r="K1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6" spans="10:12">
      <c r="J1286">
        <f>DropAnalityka[[#This Row],[Sell Drop]]+IF(DropAnalityka[[#This Row],[Drop]]="Scroll", 2000*DropAnalityka[[#This Row],[Quality/Quantity]],0)</f>
        <v>0</v>
      </c>
      <c r="K1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7" spans="10:12">
      <c r="J1287">
        <f>DropAnalityka[[#This Row],[Sell Drop]]+IF(DropAnalityka[[#This Row],[Drop]]="Scroll", 2000*DropAnalityka[[#This Row],[Quality/Quantity]],0)</f>
        <v>0</v>
      </c>
      <c r="K1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8" spans="10:12">
      <c r="J1288">
        <f>DropAnalityka[[#This Row],[Sell Drop]]+IF(DropAnalityka[[#This Row],[Drop]]="Scroll", 2000*DropAnalityka[[#This Row],[Quality/Quantity]],0)</f>
        <v>0</v>
      </c>
      <c r="K1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9" spans="10:12">
      <c r="J1289">
        <f>DropAnalityka[[#This Row],[Sell Drop]]+IF(DropAnalityka[[#This Row],[Drop]]="Scroll", 2000*DropAnalityka[[#This Row],[Quality/Quantity]],0)</f>
        <v>0</v>
      </c>
      <c r="K1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0" spans="10:12">
      <c r="J1290">
        <f>DropAnalityka[[#This Row],[Sell Drop]]+IF(DropAnalityka[[#This Row],[Drop]]="Scroll", 2000*DropAnalityka[[#This Row],[Quality/Quantity]],0)</f>
        <v>0</v>
      </c>
      <c r="K1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1" spans="10:12">
      <c r="J1291">
        <f>DropAnalityka[[#This Row],[Sell Drop]]+IF(DropAnalityka[[#This Row],[Drop]]="Scroll", 2000*DropAnalityka[[#This Row],[Quality/Quantity]],0)</f>
        <v>0</v>
      </c>
      <c r="K1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2" spans="10:12">
      <c r="J1292">
        <f>DropAnalityka[[#This Row],[Sell Drop]]+IF(DropAnalityka[[#This Row],[Drop]]="Scroll", 2000*DropAnalityka[[#This Row],[Quality/Quantity]],0)</f>
        <v>0</v>
      </c>
      <c r="K1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3" spans="10:12">
      <c r="J1293">
        <f>DropAnalityka[[#This Row],[Sell Drop]]+IF(DropAnalityka[[#This Row],[Drop]]="Scroll", 2000*DropAnalityka[[#This Row],[Quality/Quantity]],0)</f>
        <v>0</v>
      </c>
      <c r="K1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4" spans="10:12">
      <c r="J1294">
        <f>DropAnalityka[[#This Row],[Sell Drop]]+IF(DropAnalityka[[#This Row],[Drop]]="Scroll", 2000*DropAnalityka[[#This Row],[Quality/Quantity]],0)</f>
        <v>0</v>
      </c>
      <c r="K1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5" spans="10:12">
      <c r="J1295">
        <f>DropAnalityka[[#This Row],[Sell Drop]]+IF(DropAnalityka[[#This Row],[Drop]]="Scroll", 2000*DropAnalityka[[#This Row],[Quality/Quantity]],0)</f>
        <v>0</v>
      </c>
      <c r="K1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6" spans="10:12">
      <c r="J1296">
        <f>DropAnalityka[[#This Row],[Sell Drop]]+IF(DropAnalityka[[#This Row],[Drop]]="Scroll", 2000*DropAnalityka[[#This Row],[Quality/Quantity]],0)</f>
        <v>0</v>
      </c>
      <c r="K1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7" spans="10:12">
      <c r="J1297">
        <f>DropAnalityka[[#This Row],[Sell Drop]]+IF(DropAnalityka[[#This Row],[Drop]]="Scroll", 2000*DropAnalityka[[#This Row],[Quality/Quantity]],0)</f>
        <v>0</v>
      </c>
      <c r="K1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8" spans="10:12">
      <c r="J1298">
        <f>DropAnalityka[[#This Row],[Sell Drop]]+IF(DropAnalityka[[#This Row],[Drop]]="Scroll", 2000*DropAnalityka[[#This Row],[Quality/Quantity]],0)</f>
        <v>0</v>
      </c>
      <c r="K1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9" spans="10:12">
      <c r="J1299">
        <f>DropAnalityka[[#This Row],[Sell Drop]]+IF(DropAnalityka[[#This Row],[Drop]]="Scroll", 2000*DropAnalityka[[#This Row],[Quality/Quantity]],0)</f>
        <v>0</v>
      </c>
      <c r="K1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0" spans="10:12">
      <c r="J1300">
        <f>DropAnalityka[[#This Row],[Sell Drop]]+IF(DropAnalityka[[#This Row],[Drop]]="Scroll", 2000*DropAnalityka[[#This Row],[Quality/Quantity]],0)</f>
        <v>0</v>
      </c>
      <c r="K1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1" spans="10:12">
      <c r="J1301">
        <f>DropAnalityka[[#This Row],[Sell Drop]]+IF(DropAnalityka[[#This Row],[Drop]]="Scroll", 2000*DropAnalityka[[#This Row],[Quality/Quantity]],0)</f>
        <v>0</v>
      </c>
      <c r="K1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2" spans="10:12">
      <c r="J1302">
        <f>DropAnalityka[[#This Row],[Sell Drop]]+IF(DropAnalityka[[#This Row],[Drop]]="Scroll", 2000*DropAnalityka[[#This Row],[Quality/Quantity]],0)</f>
        <v>0</v>
      </c>
      <c r="K1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3" spans="10:12">
      <c r="J1303">
        <f>DropAnalityka[[#This Row],[Sell Drop]]+IF(DropAnalityka[[#This Row],[Drop]]="Scroll", 2000*DropAnalityka[[#This Row],[Quality/Quantity]],0)</f>
        <v>0</v>
      </c>
      <c r="K1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4" spans="10:12">
      <c r="J1304">
        <f>DropAnalityka[[#This Row],[Sell Drop]]+IF(DropAnalityka[[#This Row],[Drop]]="Scroll", 2000*DropAnalityka[[#This Row],[Quality/Quantity]],0)</f>
        <v>0</v>
      </c>
      <c r="K1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5" spans="10:12">
      <c r="J1305">
        <f>DropAnalityka[[#This Row],[Sell Drop]]+IF(DropAnalityka[[#This Row],[Drop]]="Scroll", 2000*DropAnalityka[[#This Row],[Quality/Quantity]],0)</f>
        <v>0</v>
      </c>
      <c r="K1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6" spans="10:12">
      <c r="J1306">
        <f>DropAnalityka[[#This Row],[Sell Drop]]+IF(DropAnalityka[[#This Row],[Drop]]="Scroll", 2000*DropAnalityka[[#This Row],[Quality/Quantity]],0)</f>
        <v>0</v>
      </c>
      <c r="K1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7" spans="10:12">
      <c r="J1307">
        <f>DropAnalityka[[#This Row],[Sell Drop]]+IF(DropAnalityka[[#This Row],[Drop]]="Scroll", 2000*DropAnalityka[[#This Row],[Quality/Quantity]],0)</f>
        <v>0</v>
      </c>
      <c r="K1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8" spans="10:12">
      <c r="J1308">
        <f>DropAnalityka[[#This Row],[Sell Drop]]+IF(DropAnalityka[[#This Row],[Drop]]="Scroll", 2000*DropAnalityka[[#This Row],[Quality/Quantity]],0)</f>
        <v>0</v>
      </c>
      <c r="K1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09" spans="10:12">
      <c r="J1309">
        <f>DropAnalityka[[#This Row],[Sell Drop]]+IF(DropAnalityka[[#This Row],[Drop]]="Scroll", 2000*DropAnalityka[[#This Row],[Quality/Quantity]],0)</f>
        <v>0</v>
      </c>
      <c r="K1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0" spans="10:12">
      <c r="J1310">
        <f>DropAnalityka[[#This Row],[Sell Drop]]+IF(DropAnalityka[[#This Row],[Drop]]="Scroll", 2000*DropAnalityka[[#This Row],[Quality/Quantity]],0)</f>
        <v>0</v>
      </c>
      <c r="K1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1" spans="10:12">
      <c r="J1311">
        <f>DropAnalityka[[#This Row],[Sell Drop]]+IF(DropAnalityka[[#This Row],[Drop]]="Scroll", 2000*DropAnalityka[[#This Row],[Quality/Quantity]],0)</f>
        <v>0</v>
      </c>
      <c r="K1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2" spans="10:12">
      <c r="J1312">
        <f>DropAnalityka[[#This Row],[Sell Drop]]+IF(DropAnalityka[[#This Row],[Drop]]="Scroll", 2000*DropAnalityka[[#This Row],[Quality/Quantity]],0)</f>
        <v>0</v>
      </c>
      <c r="K1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3" spans="10:12">
      <c r="J1313">
        <f>DropAnalityka[[#This Row],[Sell Drop]]+IF(DropAnalityka[[#This Row],[Drop]]="Scroll", 2000*DropAnalityka[[#This Row],[Quality/Quantity]],0)</f>
        <v>0</v>
      </c>
      <c r="K1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4" spans="10:12">
      <c r="J1314">
        <f>DropAnalityka[[#This Row],[Sell Drop]]+IF(DropAnalityka[[#This Row],[Drop]]="Scroll", 2000*DropAnalityka[[#This Row],[Quality/Quantity]],0)</f>
        <v>0</v>
      </c>
      <c r="K1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5" spans="10:12">
      <c r="J1315">
        <f>DropAnalityka[[#This Row],[Sell Drop]]+IF(DropAnalityka[[#This Row],[Drop]]="Scroll", 2000*DropAnalityka[[#This Row],[Quality/Quantity]],0)</f>
        <v>0</v>
      </c>
      <c r="K1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6" spans="10:12">
      <c r="J1316">
        <f>DropAnalityka[[#This Row],[Sell Drop]]+IF(DropAnalityka[[#This Row],[Drop]]="Scroll", 2000*DropAnalityka[[#This Row],[Quality/Quantity]],0)</f>
        <v>0</v>
      </c>
      <c r="K1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7" spans="10:12">
      <c r="J1317">
        <f>DropAnalityka[[#This Row],[Sell Drop]]+IF(DropAnalityka[[#This Row],[Drop]]="Scroll", 2000*DropAnalityka[[#This Row],[Quality/Quantity]],0)</f>
        <v>0</v>
      </c>
      <c r="K1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8" spans="10:12">
      <c r="J1318">
        <f>DropAnalityka[[#This Row],[Sell Drop]]+IF(DropAnalityka[[#This Row],[Drop]]="Scroll", 2000*DropAnalityka[[#This Row],[Quality/Quantity]],0)</f>
        <v>0</v>
      </c>
      <c r="K1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9" spans="10:12">
      <c r="J1319">
        <f>DropAnalityka[[#This Row],[Sell Drop]]+IF(DropAnalityka[[#This Row],[Drop]]="Scroll", 2000*DropAnalityka[[#This Row],[Quality/Quantity]],0)</f>
        <v>0</v>
      </c>
      <c r="K1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0" spans="10:12">
      <c r="J1320">
        <f>DropAnalityka[[#This Row],[Sell Drop]]+IF(DropAnalityka[[#This Row],[Drop]]="Scroll", 2000*DropAnalityka[[#This Row],[Quality/Quantity]],0)</f>
        <v>0</v>
      </c>
      <c r="K1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1" spans="10:12">
      <c r="J1321">
        <f>DropAnalityka[[#This Row],[Sell Drop]]+IF(DropAnalityka[[#This Row],[Drop]]="Scroll", 2000*DropAnalityka[[#This Row],[Quality/Quantity]],0)</f>
        <v>0</v>
      </c>
      <c r="K1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2" spans="10:12">
      <c r="J1322">
        <f>DropAnalityka[[#This Row],[Sell Drop]]+IF(DropAnalityka[[#This Row],[Drop]]="Scroll", 2000*DropAnalityka[[#This Row],[Quality/Quantity]],0)</f>
        <v>0</v>
      </c>
      <c r="K1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3" spans="10:12">
      <c r="J1323">
        <f>DropAnalityka[[#This Row],[Sell Drop]]+IF(DropAnalityka[[#This Row],[Drop]]="Scroll", 2000*DropAnalityka[[#This Row],[Quality/Quantity]],0)</f>
        <v>0</v>
      </c>
      <c r="K1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4" spans="10:12">
      <c r="J1324">
        <f>DropAnalityka[[#This Row],[Sell Drop]]+IF(DropAnalityka[[#This Row],[Drop]]="Scroll", 2000*DropAnalityka[[#This Row],[Quality/Quantity]],0)</f>
        <v>0</v>
      </c>
      <c r="K1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5" spans="10:12">
      <c r="J1325">
        <f>DropAnalityka[[#This Row],[Sell Drop]]+IF(DropAnalityka[[#This Row],[Drop]]="Scroll", 2000*DropAnalityka[[#This Row],[Quality/Quantity]],0)</f>
        <v>0</v>
      </c>
      <c r="K1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6" spans="10:12">
      <c r="J1326">
        <f>DropAnalityka[[#This Row],[Sell Drop]]+IF(DropAnalityka[[#This Row],[Drop]]="Scroll", 2000*DropAnalityka[[#This Row],[Quality/Quantity]],0)</f>
        <v>0</v>
      </c>
      <c r="K1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7" spans="10:12">
      <c r="J1327">
        <f>DropAnalityka[[#This Row],[Sell Drop]]+IF(DropAnalityka[[#This Row],[Drop]]="Scroll", 2000*DropAnalityka[[#This Row],[Quality/Quantity]],0)</f>
        <v>0</v>
      </c>
      <c r="K1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8" spans="10:12">
      <c r="J1328">
        <f>DropAnalityka[[#This Row],[Sell Drop]]+IF(DropAnalityka[[#This Row],[Drop]]="Scroll", 2000*DropAnalityka[[#This Row],[Quality/Quantity]],0)</f>
        <v>0</v>
      </c>
      <c r="K1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29" spans="10:12">
      <c r="J1329">
        <f>DropAnalityka[[#This Row],[Sell Drop]]+IF(DropAnalityka[[#This Row],[Drop]]="Scroll", 2000*DropAnalityka[[#This Row],[Quality/Quantity]],0)</f>
        <v>0</v>
      </c>
      <c r="K1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0" spans="10:12">
      <c r="J1330">
        <f>DropAnalityka[[#This Row],[Sell Drop]]+IF(DropAnalityka[[#This Row],[Drop]]="Scroll", 2000*DropAnalityka[[#This Row],[Quality/Quantity]],0)</f>
        <v>0</v>
      </c>
      <c r="K1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1" spans="10:12">
      <c r="J1331">
        <f>DropAnalityka[[#This Row],[Sell Drop]]+IF(DropAnalityka[[#This Row],[Drop]]="Scroll", 2000*DropAnalityka[[#This Row],[Quality/Quantity]],0)</f>
        <v>0</v>
      </c>
      <c r="K1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2" spans="10:12">
      <c r="J1332">
        <f>DropAnalityka[[#This Row],[Sell Drop]]+IF(DropAnalityka[[#This Row],[Drop]]="Scroll", 2000*DropAnalityka[[#This Row],[Quality/Quantity]],0)</f>
        <v>0</v>
      </c>
      <c r="K1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3" spans="10:12">
      <c r="J1333">
        <f>DropAnalityka[[#This Row],[Sell Drop]]+IF(DropAnalityka[[#This Row],[Drop]]="Scroll", 2000*DropAnalityka[[#This Row],[Quality/Quantity]],0)</f>
        <v>0</v>
      </c>
      <c r="K1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4" spans="10:12">
      <c r="J1334">
        <f>DropAnalityka[[#This Row],[Sell Drop]]+IF(DropAnalityka[[#This Row],[Drop]]="Scroll", 2000*DropAnalityka[[#This Row],[Quality/Quantity]],0)</f>
        <v>0</v>
      </c>
      <c r="K1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5" spans="10:12">
      <c r="J1335">
        <f>DropAnalityka[[#This Row],[Sell Drop]]+IF(DropAnalityka[[#This Row],[Drop]]="Scroll", 2000*DropAnalityka[[#This Row],[Quality/Quantity]],0)</f>
        <v>0</v>
      </c>
      <c r="K1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6" spans="10:12">
      <c r="J1336">
        <f>DropAnalityka[[#This Row],[Sell Drop]]+IF(DropAnalityka[[#This Row],[Drop]]="Scroll", 2000*DropAnalityka[[#This Row],[Quality/Quantity]],0)</f>
        <v>0</v>
      </c>
      <c r="K1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7" spans="10:12">
      <c r="J1337">
        <f>DropAnalityka[[#This Row],[Sell Drop]]+IF(DropAnalityka[[#This Row],[Drop]]="Scroll", 2000*DropAnalityka[[#This Row],[Quality/Quantity]],0)</f>
        <v>0</v>
      </c>
      <c r="K1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8" spans="10:12">
      <c r="J1338">
        <f>DropAnalityka[[#This Row],[Sell Drop]]+IF(DropAnalityka[[#This Row],[Drop]]="Scroll", 2000*DropAnalityka[[#This Row],[Quality/Quantity]],0)</f>
        <v>0</v>
      </c>
      <c r="K1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9" spans="10:12">
      <c r="J1339">
        <f>DropAnalityka[[#This Row],[Sell Drop]]+IF(DropAnalityka[[#This Row],[Drop]]="Scroll", 2000*DropAnalityka[[#This Row],[Quality/Quantity]],0)</f>
        <v>0</v>
      </c>
      <c r="K1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0" spans="10:12">
      <c r="J1340">
        <f>DropAnalityka[[#This Row],[Sell Drop]]+IF(DropAnalityka[[#This Row],[Drop]]="Scroll", 2000*DropAnalityka[[#This Row],[Quality/Quantity]],0)</f>
        <v>0</v>
      </c>
      <c r="K1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1" spans="10:12">
      <c r="J1341">
        <f>DropAnalityka[[#This Row],[Sell Drop]]+IF(DropAnalityka[[#This Row],[Drop]]="Scroll", 2000*DropAnalityka[[#This Row],[Quality/Quantity]],0)</f>
        <v>0</v>
      </c>
      <c r="K1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2" spans="10:12">
      <c r="J1342">
        <f>DropAnalityka[[#This Row],[Sell Drop]]+IF(DropAnalityka[[#This Row],[Drop]]="Scroll", 2000*DropAnalityka[[#This Row],[Quality/Quantity]],0)</f>
        <v>0</v>
      </c>
      <c r="K1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3" spans="10:12">
      <c r="J1343">
        <f>DropAnalityka[[#This Row],[Sell Drop]]+IF(DropAnalityka[[#This Row],[Drop]]="Scroll", 2000*DropAnalityka[[#This Row],[Quality/Quantity]],0)</f>
        <v>0</v>
      </c>
      <c r="K1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4" spans="10:12">
      <c r="J1344">
        <f>DropAnalityka[[#This Row],[Sell Drop]]+IF(DropAnalityka[[#This Row],[Drop]]="Scroll", 2000*DropAnalityka[[#This Row],[Quality/Quantity]],0)</f>
        <v>0</v>
      </c>
      <c r="K1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5" spans="10:12">
      <c r="J1345">
        <f>DropAnalityka[[#This Row],[Sell Drop]]+IF(DropAnalityka[[#This Row],[Drop]]="Scroll", 2000*DropAnalityka[[#This Row],[Quality/Quantity]],0)</f>
        <v>0</v>
      </c>
      <c r="K1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6" spans="10:12">
      <c r="J1346">
        <f>DropAnalityka[[#This Row],[Sell Drop]]+IF(DropAnalityka[[#This Row],[Drop]]="Scroll", 2000*DropAnalityka[[#This Row],[Quality/Quantity]],0)</f>
        <v>0</v>
      </c>
      <c r="K1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7" spans="10:12">
      <c r="J1347">
        <f>DropAnalityka[[#This Row],[Sell Drop]]+IF(DropAnalityka[[#This Row],[Drop]]="Scroll", 2000*DropAnalityka[[#This Row],[Quality/Quantity]],0)</f>
        <v>0</v>
      </c>
      <c r="K1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8" spans="10:12">
      <c r="J1348">
        <f>DropAnalityka[[#This Row],[Sell Drop]]+IF(DropAnalityka[[#This Row],[Drop]]="Scroll", 2000*DropAnalityka[[#This Row],[Quality/Quantity]],0)</f>
        <v>0</v>
      </c>
      <c r="K1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49" spans="10:12">
      <c r="J1349">
        <f>DropAnalityka[[#This Row],[Sell Drop]]+IF(DropAnalityka[[#This Row],[Drop]]="Scroll", 2000*DropAnalityka[[#This Row],[Quality/Quantity]],0)</f>
        <v>0</v>
      </c>
      <c r="K1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0" spans="10:12">
      <c r="J1350">
        <f>DropAnalityka[[#This Row],[Sell Drop]]+IF(DropAnalityka[[#This Row],[Drop]]="Scroll", 2000*DropAnalityka[[#This Row],[Quality/Quantity]],0)</f>
        <v>0</v>
      </c>
      <c r="K1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1" spans="10:12">
      <c r="J1351">
        <f>DropAnalityka[[#This Row],[Sell Drop]]+IF(DropAnalityka[[#This Row],[Drop]]="Scroll", 2000*DropAnalityka[[#This Row],[Quality/Quantity]],0)</f>
        <v>0</v>
      </c>
      <c r="K1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2" spans="10:12">
      <c r="J1352">
        <f>DropAnalityka[[#This Row],[Sell Drop]]+IF(DropAnalityka[[#This Row],[Drop]]="Scroll", 2000*DropAnalityka[[#This Row],[Quality/Quantity]],0)</f>
        <v>0</v>
      </c>
      <c r="K1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3" spans="10:12">
      <c r="J1353">
        <f>DropAnalityka[[#This Row],[Sell Drop]]+IF(DropAnalityka[[#This Row],[Drop]]="Scroll", 2000*DropAnalityka[[#This Row],[Quality/Quantity]],0)</f>
        <v>0</v>
      </c>
      <c r="K1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4" spans="10:12">
      <c r="J1354">
        <f>DropAnalityka[[#This Row],[Sell Drop]]+IF(DropAnalityka[[#This Row],[Drop]]="Scroll", 2000*DropAnalityka[[#This Row],[Quality/Quantity]],0)</f>
        <v>0</v>
      </c>
      <c r="K1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5" spans="10:12">
      <c r="J1355">
        <f>DropAnalityka[[#This Row],[Sell Drop]]+IF(DropAnalityka[[#This Row],[Drop]]="Scroll", 2000*DropAnalityka[[#This Row],[Quality/Quantity]],0)</f>
        <v>0</v>
      </c>
      <c r="K1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6" spans="10:12">
      <c r="J1356">
        <f>DropAnalityka[[#This Row],[Sell Drop]]+IF(DropAnalityka[[#This Row],[Drop]]="Scroll", 2000*DropAnalityka[[#This Row],[Quality/Quantity]],0)</f>
        <v>0</v>
      </c>
      <c r="K1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7" spans="10:12">
      <c r="J1357">
        <f>DropAnalityka[[#This Row],[Sell Drop]]+IF(DropAnalityka[[#This Row],[Drop]]="Scroll", 2000*DropAnalityka[[#This Row],[Quality/Quantity]],0)</f>
        <v>0</v>
      </c>
      <c r="K1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8" spans="10:12">
      <c r="J1358">
        <f>DropAnalityka[[#This Row],[Sell Drop]]+IF(DropAnalityka[[#This Row],[Drop]]="Scroll", 2000*DropAnalityka[[#This Row],[Quality/Quantity]],0)</f>
        <v>0</v>
      </c>
      <c r="K1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9" spans="10:12">
      <c r="J1359">
        <f>DropAnalityka[[#This Row],[Sell Drop]]+IF(DropAnalityka[[#This Row],[Drop]]="Scroll", 2000*DropAnalityka[[#This Row],[Quality/Quantity]],0)</f>
        <v>0</v>
      </c>
      <c r="K1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0" spans="10:12">
      <c r="J1360">
        <f>DropAnalityka[[#This Row],[Sell Drop]]+IF(DropAnalityka[[#This Row],[Drop]]="Scroll", 2000*DropAnalityka[[#This Row],[Quality/Quantity]],0)</f>
        <v>0</v>
      </c>
      <c r="K1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1" spans="10:12">
      <c r="J1361">
        <f>DropAnalityka[[#This Row],[Sell Drop]]+IF(DropAnalityka[[#This Row],[Drop]]="Scroll", 2000*DropAnalityka[[#This Row],[Quality/Quantity]],0)</f>
        <v>0</v>
      </c>
      <c r="K1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2" spans="10:12">
      <c r="J1362">
        <f>DropAnalityka[[#This Row],[Sell Drop]]+IF(DropAnalityka[[#This Row],[Drop]]="Scroll", 2000*DropAnalityka[[#This Row],[Quality/Quantity]],0)</f>
        <v>0</v>
      </c>
      <c r="K1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3" spans="10:12">
      <c r="J1363">
        <f>DropAnalityka[[#This Row],[Sell Drop]]+IF(DropAnalityka[[#This Row],[Drop]]="Scroll", 2000*DropAnalityka[[#This Row],[Quality/Quantity]],0)</f>
        <v>0</v>
      </c>
      <c r="K1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4" spans="10:12">
      <c r="J1364">
        <f>DropAnalityka[[#This Row],[Sell Drop]]+IF(DropAnalityka[[#This Row],[Drop]]="Scroll", 2000*DropAnalityka[[#This Row],[Quality/Quantity]],0)</f>
        <v>0</v>
      </c>
      <c r="K1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5" spans="10:12">
      <c r="J1365">
        <f>DropAnalityka[[#This Row],[Sell Drop]]+IF(DropAnalityka[[#This Row],[Drop]]="Scroll", 2000*DropAnalityka[[#This Row],[Quality/Quantity]],0)</f>
        <v>0</v>
      </c>
      <c r="K1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6" spans="10:12">
      <c r="J1366">
        <f>DropAnalityka[[#This Row],[Sell Drop]]+IF(DropAnalityka[[#This Row],[Drop]]="Scroll", 2000*DropAnalityka[[#This Row],[Quality/Quantity]],0)</f>
        <v>0</v>
      </c>
      <c r="K1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7" spans="10:12">
      <c r="J1367">
        <f>DropAnalityka[[#This Row],[Sell Drop]]+IF(DropAnalityka[[#This Row],[Drop]]="Scroll", 2000*DropAnalityka[[#This Row],[Quality/Quantity]],0)</f>
        <v>0</v>
      </c>
      <c r="K1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8" spans="10:12">
      <c r="J1368">
        <f>DropAnalityka[[#This Row],[Sell Drop]]+IF(DropAnalityka[[#This Row],[Drop]]="Scroll", 2000*DropAnalityka[[#This Row],[Quality/Quantity]],0)</f>
        <v>0</v>
      </c>
      <c r="K1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9" spans="10:12">
      <c r="J1369">
        <f>DropAnalityka[[#This Row],[Sell Drop]]+IF(DropAnalityka[[#This Row],[Drop]]="Scroll", 2000*DropAnalityka[[#This Row],[Quality/Quantity]],0)</f>
        <v>0</v>
      </c>
      <c r="K1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0" spans="10:12">
      <c r="J1370">
        <f>DropAnalityka[[#This Row],[Sell Drop]]+IF(DropAnalityka[[#This Row],[Drop]]="Scroll", 2000*DropAnalityka[[#This Row],[Quality/Quantity]],0)</f>
        <v>0</v>
      </c>
      <c r="K1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1" spans="10:12">
      <c r="J1371">
        <f>DropAnalityka[[#This Row],[Sell Drop]]+IF(DropAnalityka[[#This Row],[Drop]]="Scroll", 2000*DropAnalityka[[#This Row],[Quality/Quantity]],0)</f>
        <v>0</v>
      </c>
      <c r="K1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2" spans="10:12">
      <c r="J1372">
        <f>DropAnalityka[[#This Row],[Sell Drop]]+IF(DropAnalityka[[#This Row],[Drop]]="Scroll", 2000*DropAnalityka[[#This Row],[Quality/Quantity]],0)</f>
        <v>0</v>
      </c>
      <c r="K1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3" spans="10:12">
      <c r="J1373">
        <f>DropAnalityka[[#This Row],[Sell Drop]]+IF(DropAnalityka[[#This Row],[Drop]]="Scroll", 2000*DropAnalityka[[#This Row],[Quality/Quantity]],0)</f>
        <v>0</v>
      </c>
      <c r="K1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4" spans="10:12">
      <c r="J1374">
        <f>DropAnalityka[[#This Row],[Sell Drop]]+IF(DropAnalityka[[#This Row],[Drop]]="Scroll", 2000*DropAnalityka[[#This Row],[Quality/Quantity]],0)</f>
        <v>0</v>
      </c>
      <c r="K1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5" spans="10:12">
      <c r="J1375">
        <f>DropAnalityka[[#This Row],[Sell Drop]]+IF(DropAnalityka[[#This Row],[Drop]]="Scroll", 2000*DropAnalityka[[#This Row],[Quality/Quantity]],0)</f>
        <v>0</v>
      </c>
      <c r="K1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6" spans="10:12">
      <c r="J1376">
        <f>DropAnalityka[[#This Row],[Sell Drop]]+IF(DropAnalityka[[#This Row],[Drop]]="Scroll", 2000*DropAnalityka[[#This Row],[Quality/Quantity]],0)</f>
        <v>0</v>
      </c>
      <c r="K1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7" spans="10:12">
      <c r="J1377">
        <f>DropAnalityka[[#This Row],[Sell Drop]]+IF(DropAnalityka[[#This Row],[Drop]]="Scroll", 2000*DropAnalityka[[#This Row],[Quality/Quantity]],0)</f>
        <v>0</v>
      </c>
      <c r="K1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8" spans="10:12">
      <c r="J1378">
        <f>DropAnalityka[[#This Row],[Sell Drop]]+IF(DropAnalityka[[#This Row],[Drop]]="Scroll", 2000*DropAnalityka[[#This Row],[Quality/Quantity]],0)</f>
        <v>0</v>
      </c>
      <c r="K1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9" spans="10:12">
      <c r="J1379">
        <f>DropAnalityka[[#This Row],[Sell Drop]]+IF(DropAnalityka[[#This Row],[Drop]]="Scroll", 2000*DropAnalityka[[#This Row],[Quality/Quantity]],0)</f>
        <v>0</v>
      </c>
      <c r="K1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0" spans="10:12">
      <c r="J1380">
        <f>DropAnalityka[[#This Row],[Sell Drop]]+IF(DropAnalityka[[#This Row],[Drop]]="Scroll", 2000*DropAnalityka[[#This Row],[Quality/Quantity]],0)</f>
        <v>0</v>
      </c>
      <c r="K1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1" spans="10:12">
      <c r="J1381">
        <f>DropAnalityka[[#This Row],[Sell Drop]]+IF(DropAnalityka[[#This Row],[Drop]]="Scroll", 2000*DropAnalityka[[#This Row],[Quality/Quantity]],0)</f>
        <v>0</v>
      </c>
      <c r="K1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2" spans="10:12">
      <c r="J1382">
        <f>DropAnalityka[[#This Row],[Sell Drop]]+IF(DropAnalityka[[#This Row],[Drop]]="Scroll", 2000*DropAnalityka[[#This Row],[Quality/Quantity]],0)</f>
        <v>0</v>
      </c>
      <c r="K1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3" spans="10:12">
      <c r="J1383">
        <f>DropAnalityka[[#This Row],[Sell Drop]]+IF(DropAnalityka[[#This Row],[Drop]]="Scroll", 2000*DropAnalityka[[#This Row],[Quality/Quantity]],0)</f>
        <v>0</v>
      </c>
      <c r="K1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4" spans="10:12">
      <c r="J1384">
        <f>DropAnalityka[[#This Row],[Sell Drop]]+IF(DropAnalityka[[#This Row],[Drop]]="Scroll", 2000*DropAnalityka[[#This Row],[Quality/Quantity]],0)</f>
        <v>0</v>
      </c>
      <c r="K1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5" spans="10:12">
      <c r="J1385">
        <f>DropAnalityka[[#This Row],[Sell Drop]]+IF(DropAnalityka[[#This Row],[Drop]]="Scroll", 2000*DropAnalityka[[#This Row],[Quality/Quantity]],0)</f>
        <v>0</v>
      </c>
      <c r="K1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6" spans="10:12">
      <c r="J1386">
        <f>DropAnalityka[[#This Row],[Sell Drop]]+IF(DropAnalityka[[#This Row],[Drop]]="Scroll", 2000*DropAnalityka[[#This Row],[Quality/Quantity]],0)</f>
        <v>0</v>
      </c>
      <c r="K1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7" spans="10:12">
      <c r="J1387">
        <f>DropAnalityka[[#This Row],[Sell Drop]]+IF(DropAnalityka[[#This Row],[Drop]]="Scroll", 2000*DropAnalityka[[#This Row],[Quality/Quantity]],0)</f>
        <v>0</v>
      </c>
      <c r="K1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8" spans="10:12">
      <c r="J1388">
        <f>DropAnalityka[[#This Row],[Sell Drop]]+IF(DropAnalityka[[#This Row],[Drop]]="Scroll", 2000*DropAnalityka[[#This Row],[Quality/Quantity]],0)</f>
        <v>0</v>
      </c>
      <c r="K1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89" spans="10:12">
      <c r="J1389">
        <f>DropAnalityka[[#This Row],[Sell Drop]]+IF(DropAnalityka[[#This Row],[Drop]]="Scroll", 2000*DropAnalityka[[#This Row],[Quality/Quantity]],0)</f>
        <v>0</v>
      </c>
      <c r="K1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0" spans="10:12">
      <c r="J1390">
        <f>DropAnalityka[[#This Row],[Sell Drop]]+IF(DropAnalityka[[#This Row],[Drop]]="Scroll", 2000*DropAnalityka[[#This Row],[Quality/Quantity]],0)</f>
        <v>0</v>
      </c>
      <c r="K1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1" spans="10:12">
      <c r="J1391">
        <f>DropAnalityka[[#This Row],[Sell Drop]]+IF(DropAnalityka[[#This Row],[Drop]]="Scroll", 2000*DropAnalityka[[#This Row],[Quality/Quantity]],0)</f>
        <v>0</v>
      </c>
      <c r="K1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2" spans="10:12">
      <c r="J1392">
        <f>DropAnalityka[[#This Row],[Sell Drop]]+IF(DropAnalityka[[#This Row],[Drop]]="Scroll", 2000*DropAnalityka[[#This Row],[Quality/Quantity]],0)</f>
        <v>0</v>
      </c>
      <c r="K1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3" spans="10:12">
      <c r="J1393">
        <f>DropAnalityka[[#This Row],[Sell Drop]]+IF(DropAnalityka[[#This Row],[Drop]]="Scroll", 2000*DropAnalityka[[#This Row],[Quality/Quantity]],0)</f>
        <v>0</v>
      </c>
      <c r="K1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4" spans="10:12">
      <c r="J1394">
        <f>DropAnalityka[[#This Row],[Sell Drop]]+IF(DropAnalityka[[#This Row],[Drop]]="Scroll", 2000*DropAnalityka[[#This Row],[Quality/Quantity]],0)</f>
        <v>0</v>
      </c>
      <c r="K1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5" spans="10:12">
      <c r="J1395">
        <f>DropAnalityka[[#This Row],[Sell Drop]]+IF(DropAnalityka[[#This Row],[Drop]]="Scroll", 2000*DropAnalityka[[#This Row],[Quality/Quantity]],0)</f>
        <v>0</v>
      </c>
      <c r="K1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6" spans="10:12">
      <c r="J1396">
        <f>DropAnalityka[[#This Row],[Sell Drop]]+IF(DropAnalityka[[#This Row],[Drop]]="Scroll", 2000*DropAnalityka[[#This Row],[Quality/Quantity]],0)</f>
        <v>0</v>
      </c>
      <c r="K1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7" spans="10:12">
      <c r="J1397">
        <f>DropAnalityka[[#This Row],[Sell Drop]]+IF(DropAnalityka[[#This Row],[Drop]]="Scroll", 2000*DropAnalityka[[#This Row],[Quality/Quantity]],0)</f>
        <v>0</v>
      </c>
      <c r="K1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8" spans="10:12">
      <c r="J1398">
        <f>DropAnalityka[[#This Row],[Sell Drop]]+IF(DropAnalityka[[#This Row],[Drop]]="Scroll", 2000*DropAnalityka[[#This Row],[Quality/Quantity]],0)</f>
        <v>0</v>
      </c>
      <c r="K1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9" spans="10:12">
      <c r="J1399">
        <f>DropAnalityka[[#This Row],[Sell Drop]]+IF(DropAnalityka[[#This Row],[Drop]]="Scroll", 2000*DropAnalityka[[#This Row],[Quality/Quantity]],0)</f>
        <v>0</v>
      </c>
      <c r="K1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0" spans="10:12">
      <c r="J1400">
        <f>DropAnalityka[[#This Row],[Sell Drop]]+IF(DropAnalityka[[#This Row],[Drop]]="Scroll", 2000*DropAnalityka[[#This Row],[Quality/Quantity]],0)</f>
        <v>0</v>
      </c>
      <c r="K1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1" spans="10:12">
      <c r="J1401">
        <f>DropAnalityka[[#This Row],[Sell Drop]]+IF(DropAnalityka[[#This Row],[Drop]]="Scroll", 2000*DropAnalityka[[#This Row],[Quality/Quantity]],0)</f>
        <v>0</v>
      </c>
      <c r="K1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2" spans="10:12">
      <c r="J1402">
        <f>DropAnalityka[[#This Row],[Sell Drop]]+IF(DropAnalityka[[#This Row],[Drop]]="Scroll", 2000*DropAnalityka[[#This Row],[Quality/Quantity]],0)</f>
        <v>0</v>
      </c>
      <c r="K1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3" spans="10:12">
      <c r="J1403">
        <f>DropAnalityka[[#This Row],[Sell Drop]]+IF(DropAnalityka[[#This Row],[Drop]]="Scroll", 2000*DropAnalityka[[#This Row],[Quality/Quantity]],0)</f>
        <v>0</v>
      </c>
      <c r="K1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4" spans="10:12">
      <c r="J1404">
        <f>DropAnalityka[[#This Row],[Sell Drop]]+IF(DropAnalityka[[#This Row],[Drop]]="Scroll", 2000*DropAnalityka[[#This Row],[Quality/Quantity]],0)</f>
        <v>0</v>
      </c>
      <c r="K1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5" spans="10:12">
      <c r="J1405">
        <f>DropAnalityka[[#This Row],[Sell Drop]]+IF(DropAnalityka[[#This Row],[Drop]]="Scroll", 2000*DropAnalityka[[#This Row],[Quality/Quantity]],0)</f>
        <v>0</v>
      </c>
      <c r="K1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6" spans="10:12">
      <c r="J1406">
        <f>DropAnalityka[[#This Row],[Sell Drop]]+IF(DropAnalityka[[#This Row],[Drop]]="Scroll", 2000*DropAnalityka[[#This Row],[Quality/Quantity]],0)</f>
        <v>0</v>
      </c>
      <c r="K1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7" spans="10:12">
      <c r="J1407">
        <f>DropAnalityka[[#This Row],[Sell Drop]]+IF(DropAnalityka[[#This Row],[Drop]]="Scroll", 2000*DropAnalityka[[#This Row],[Quality/Quantity]],0)</f>
        <v>0</v>
      </c>
      <c r="K1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8" spans="10:12">
      <c r="J1408">
        <f>DropAnalityka[[#This Row],[Sell Drop]]+IF(DropAnalityka[[#This Row],[Drop]]="Scroll", 2000*DropAnalityka[[#This Row],[Quality/Quantity]],0)</f>
        <v>0</v>
      </c>
      <c r="K1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9" spans="10:12">
      <c r="J1409">
        <f>DropAnalityka[[#This Row],[Sell Drop]]+IF(DropAnalityka[[#This Row],[Drop]]="Scroll", 2000*DropAnalityka[[#This Row],[Quality/Quantity]],0)</f>
        <v>0</v>
      </c>
      <c r="K1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0" spans="10:12">
      <c r="J1410">
        <f>DropAnalityka[[#This Row],[Sell Drop]]+IF(DropAnalityka[[#This Row],[Drop]]="Scroll", 2000*DropAnalityka[[#This Row],[Quality/Quantity]],0)</f>
        <v>0</v>
      </c>
      <c r="K1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1" spans="10:12">
      <c r="J1411">
        <f>DropAnalityka[[#This Row],[Sell Drop]]+IF(DropAnalityka[[#This Row],[Drop]]="Scroll", 2000*DropAnalityka[[#This Row],[Quality/Quantity]],0)</f>
        <v>0</v>
      </c>
      <c r="K1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2" spans="10:12">
      <c r="J1412">
        <f>DropAnalityka[[#This Row],[Sell Drop]]+IF(DropAnalityka[[#This Row],[Drop]]="Scroll", 2000*DropAnalityka[[#This Row],[Quality/Quantity]],0)</f>
        <v>0</v>
      </c>
      <c r="K1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3" spans="10:12">
      <c r="J1413">
        <f>DropAnalityka[[#This Row],[Sell Drop]]+IF(DropAnalityka[[#This Row],[Drop]]="Scroll", 2000*DropAnalityka[[#This Row],[Quality/Quantity]],0)</f>
        <v>0</v>
      </c>
      <c r="K1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4" spans="10:12">
      <c r="J1414">
        <f>DropAnalityka[[#This Row],[Sell Drop]]+IF(DropAnalityka[[#This Row],[Drop]]="Scroll", 2000*DropAnalityka[[#This Row],[Quality/Quantity]],0)</f>
        <v>0</v>
      </c>
      <c r="K1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5" spans="10:12">
      <c r="J1415">
        <f>DropAnalityka[[#This Row],[Sell Drop]]+IF(DropAnalityka[[#This Row],[Drop]]="Scroll", 2000*DropAnalityka[[#This Row],[Quality/Quantity]],0)</f>
        <v>0</v>
      </c>
      <c r="K1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6" spans="10:12">
      <c r="J1416">
        <f>DropAnalityka[[#This Row],[Sell Drop]]+IF(DropAnalityka[[#This Row],[Drop]]="Scroll", 2000*DropAnalityka[[#This Row],[Quality/Quantity]],0)</f>
        <v>0</v>
      </c>
      <c r="K1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7" spans="10:12">
      <c r="J1417">
        <f>DropAnalityka[[#This Row],[Sell Drop]]+IF(DropAnalityka[[#This Row],[Drop]]="Scroll", 2000*DropAnalityka[[#This Row],[Quality/Quantity]],0)</f>
        <v>0</v>
      </c>
      <c r="K1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8" spans="10:12">
      <c r="J1418">
        <f>DropAnalityka[[#This Row],[Sell Drop]]+IF(DropAnalityka[[#This Row],[Drop]]="Scroll", 2000*DropAnalityka[[#This Row],[Quality/Quantity]],0)</f>
        <v>0</v>
      </c>
      <c r="K1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9" spans="10:12">
      <c r="J1419">
        <f>DropAnalityka[[#This Row],[Sell Drop]]+IF(DropAnalityka[[#This Row],[Drop]]="Scroll", 2000*DropAnalityka[[#This Row],[Quality/Quantity]],0)</f>
        <v>0</v>
      </c>
      <c r="K1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0" spans="10:12">
      <c r="J1420">
        <f>DropAnalityka[[#This Row],[Sell Drop]]+IF(DropAnalityka[[#This Row],[Drop]]="Scroll", 2000*DropAnalityka[[#This Row],[Quality/Quantity]],0)</f>
        <v>0</v>
      </c>
      <c r="K1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1" spans="10:12">
      <c r="J1421">
        <f>DropAnalityka[[#This Row],[Sell Drop]]+IF(DropAnalityka[[#This Row],[Drop]]="Scroll", 2000*DropAnalityka[[#This Row],[Quality/Quantity]],0)</f>
        <v>0</v>
      </c>
      <c r="K1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2" spans="10:12">
      <c r="J1422">
        <f>DropAnalityka[[#This Row],[Sell Drop]]+IF(DropAnalityka[[#This Row],[Drop]]="Scroll", 2000*DropAnalityka[[#This Row],[Quality/Quantity]],0)</f>
        <v>0</v>
      </c>
      <c r="K1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3" spans="10:12">
      <c r="J1423">
        <f>DropAnalityka[[#This Row],[Sell Drop]]+IF(DropAnalityka[[#This Row],[Drop]]="Scroll", 2000*DropAnalityka[[#This Row],[Quality/Quantity]],0)</f>
        <v>0</v>
      </c>
      <c r="K1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4" spans="10:12">
      <c r="J1424">
        <f>DropAnalityka[[#This Row],[Sell Drop]]+IF(DropAnalityka[[#This Row],[Drop]]="Scroll", 2000*DropAnalityka[[#This Row],[Quality/Quantity]],0)</f>
        <v>0</v>
      </c>
      <c r="K1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5" spans="10:12">
      <c r="J1425">
        <f>DropAnalityka[[#This Row],[Sell Drop]]+IF(DropAnalityka[[#This Row],[Drop]]="Scroll", 2000*DropAnalityka[[#This Row],[Quality/Quantity]],0)</f>
        <v>0</v>
      </c>
      <c r="K1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6" spans="10:12">
      <c r="J1426">
        <f>DropAnalityka[[#This Row],[Sell Drop]]+IF(DropAnalityka[[#This Row],[Drop]]="Scroll", 2000*DropAnalityka[[#This Row],[Quality/Quantity]],0)</f>
        <v>0</v>
      </c>
      <c r="K1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7" spans="10:12">
      <c r="J1427">
        <f>DropAnalityka[[#This Row],[Sell Drop]]+IF(DropAnalityka[[#This Row],[Drop]]="Scroll", 2000*DropAnalityka[[#This Row],[Quality/Quantity]],0)</f>
        <v>0</v>
      </c>
      <c r="K1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8" spans="10:12">
      <c r="J1428">
        <f>DropAnalityka[[#This Row],[Sell Drop]]+IF(DropAnalityka[[#This Row],[Drop]]="Scroll", 2000*DropAnalityka[[#This Row],[Quality/Quantity]],0)</f>
        <v>0</v>
      </c>
      <c r="K1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9" spans="10:12">
      <c r="J1429">
        <f>DropAnalityka[[#This Row],[Sell Drop]]+IF(DropAnalityka[[#This Row],[Drop]]="Scroll", 2000*DropAnalityka[[#This Row],[Quality/Quantity]],0)</f>
        <v>0</v>
      </c>
      <c r="K1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0" spans="10:12">
      <c r="J1430">
        <f>DropAnalityka[[#This Row],[Sell Drop]]+IF(DropAnalityka[[#This Row],[Drop]]="Scroll", 2000*DropAnalityka[[#This Row],[Quality/Quantity]],0)</f>
        <v>0</v>
      </c>
      <c r="K1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1" spans="10:12">
      <c r="J1431">
        <f>DropAnalityka[[#This Row],[Sell Drop]]+IF(DropAnalityka[[#This Row],[Drop]]="Scroll", 2000*DropAnalityka[[#This Row],[Quality/Quantity]],0)</f>
        <v>0</v>
      </c>
      <c r="K1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2" spans="10:12">
      <c r="J1432">
        <f>DropAnalityka[[#This Row],[Sell Drop]]+IF(DropAnalityka[[#This Row],[Drop]]="Scroll", 2000*DropAnalityka[[#This Row],[Quality/Quantity]],0)</f>
        <v>0</v>
      </c>
      <c r="K1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3" spans="10:12">
      <c r="J1433">
        <f>DropAnalityka[[#This Row],[Sell Drop]]+IF(DropAnalityka[[#This Row],[Drop]]="Scroll", 2000*DropAnalityka[[#This Row],[Quality/Quantity]],0)</f>
        <v>0</v>
      </c>
      <c r="K1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4" spans="10:12">
      <c r="J1434">
        <f>DropAnalityka[[#This Row],[Sell Drop]]+IF(DropAnalityka[[#This Row],[Drop]]="Scroll", 2000*DropAnalityka[[#This Row],[Quality/Quantity]],0)</f>
        <v>0</v>
      </c>
      <c r="K1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5" spans="10:12">
      <c r="J1435">
        <f>DropAnalityka[[#This Row],[Sell Drop]]+IF(DropAnalityka[[#This Row],[Drop]]="Scroll", 2000*DropAnalityka[[#This Row],[Quality/Quantity]],0)</f>
        <v>0</v>
      </c>
      <c r="K1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6" spans="10:12">
      <c r="J1436">
        <f>DropAnalityka[[#This Row],[Sell Drop]]+IF(DropAnalityka[[#This Row],[Drop]]="Scroll", 2000*DropAnalityka[[#This Row],[Quality/Quantity]],0)</f>
        <v>0</v>
      </c>
      <c r="K1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7" spans="10:12">
      <c r="J1437">
        <f>DropAnalityka[[#This Row],[Sell Drop]]+IF(DropAnalityka[[#This Row],[Drop]]="Scroll", 2000*DropAnalityka[[#This Row],[Quality/Quantity]],0)</f>
        <v>0</v>
      </c>
      <c r="K1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8" spans="10:12">
      <c r="J1438">
        <f>DropAnalityka[[#This Row],[Sell Drop]]+IF(DropAnalityka[[#This Row],[Drop]]="Scroll", 2000*DropAnalityka[[#This Row],[Quality/Quantity]],0)</f>
        <v>0</v>
      </c>
      <c r="K1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9" spans="10:12">
      <c r="J1439">
        <f>DropAnalityka[[#This Row],[Sell Drop]]+IF(DropAnalityka[[#This Row],[Drop]]="Scroll", 2000*DropAnalityka[[#This Row],[Quality/Quantity]],0)</f>
        <v>0</v>
      </c>
      <c r="K1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0" spans="10:12">
      <c r="J1440">
        <f>DropAnalityka[[#This Row],[Sell Drop]]+IF(DropAnalityka[[#This Row],[Drop]]="Scroll", 2000*DropAnalityka[[#This Row],[Quality/Quantity]],0)</f>
        <v>0</v>
      </c>
      <c r="K1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1" spans="10:12">
      <c r="J1441">
        <f>DropAnalityka[[#This Row],[Sell Drop]]+IF(DropAnalityka[[#This Row],[Drop]]="Scroll", 2000*DropAnalityka[[#This Row],[Quality/Quantity]],0)</f>
        <v>0</v>
      </c>
      <c r="K1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2" spans="10:12">
      <c r="J1442">
        <f>DropAnalityka[[#This Row],[Sell Drop]]+IF(DropAnalityka[[#This Row],[Drop]]="Scroll", 2000*DropAnalityka[[#This Row],[Quality/Quantity]],0)</f>
        <v>0</v>
      </c>
      <c r="K1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3" spans="10:12">
      <c r="J1443">
        <f>DropAnalityka[[#This Row],[Sell Drop]]+IF(DropAnalityka[[#This Row],[Drop]]="Scroll", 2000*DropAnalityka[[#This Row],[Quality/Quantity]],0)</f>
        <v>0</v>
      </c>
      <c r="K1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4" spans="10:12">
      <c r="J1444">
        <f>DropAnalityka[[#This Row],[Sell Drop]]+IF(DropAnalityka[[#This Row],[Drop]]="Scroll", 2000*DropAnalityka[[#This Row],[Quality/Quantity]],0)</f>
        <v>0</v>
      </c>
      <c r="K1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5" spans="10:12">
      <c r="J1445">
        <f>DropAnalityka[[#This Row],[Sell Drop]]+IF(DropAnalityka[[#This Row],[Drop]]="Scroll", 2000*DropAnalityka[[#This Row],[Quality/Quantity]],0)</f>
        <v>0</v>
      </c>
      <c r="K1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6" spans="10:12">
      <c r="J1446">
        <f>DropAnalityka[[#This Row],[Sell Drop]]+IF(DropAnalityka[[#This Row],[Drop]]="Scroll", 2000*DropAnalityka[[#This Row],[Quality/Quantity]],0)</f>
        <v>0</v>
      </c>
      <c r="K1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7" spans="10:12">
      <c r="J1447">
        <f>DropAnalityka[[#This Row],[Sell Drop]]+IF(DropAnalityka[[#This Row],[Drop]]="Scroll", 2000*DropAnalityka[[#This Row],[Quality/Quantity]],0)</f>
        <v>0</v>
      </c>
      <c r="K1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8" spans="10:12">
      <c r="J1448">
        <f>DropAnalityka[[#This Row],[Sell Drop]]+IF(DropAnalityka[[#This Row],[Drop]]="Scroll", 2000*DropAnalityka[[#This Row],[Quality/Quantity]],0)</f>
        <v>0</v>
      </c>
      <c r="K1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9" spans="10:12">
      <c r="J1449">
        <f>DropAnalityka[[#This Row],[Sell Drop]]+IF(DropAnalityka[[#This Row],[Drop]]="Scroll", 2000*DropAnalityka[[#This Row],[Quality/Quantity]],0)</f>
        <v>0</v>
      </c>
      <c r="K1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0" spans="10:12">
      <c r="J1450">
        <f>DropAnalityka[[#This Row],[Sell Drop]]+IF(DropAnalityka[[#This Row],[Drop]]="Scroll", 2000*DropAnalityka[[#This Row],[Quality/Quantity]],0)</f>
        <v>0</v>
      </c>
      <c r="K1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1" spans="10:12">
      <c r="J1451">
        <f>DropAnalityka[[#This Row],[Sell Drop]]+IF(DropAnalityka[[#This Row],[Drop]]="Scroll", 2000*DropAnalityka[[#This Row],[Quality/Quantity]],0)</f>
        <v>0</v>
      </c>
      <c r="K1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2" spans="10:12">
      <c r="J1452">
        <f>DropAnalityka[[#This Row],[Sell Drop]]+IF(DropAnalityka[[#This Row],[Drop]]="Scroll", 2000*DropAnalityka[[#This Row],[Quality/Quantity]],0)</f>
        <v>0</v>
      </c>
      <c r="K1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3" spans="10:12">
      <c r="J1453">
        <f>DropAnalityka[[#This Row],[Sell Drop]]+IF(DropAnalityka[[#This Row],[Drop]]="Scroll", 2000*DropAnalityka[[#This Row],[Quality/Quantity]],0)</f>
        <v>0</v>
      </c>
      <c r="K1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4" spans="10:12">
      <c r="J1454">
        <f>DropAnalityka[[#This Row],[Sell Drop]]+IF(DropAnalityka[[#This Row],[Drop]]="Scroll", 2000*DropAnalityka[[#This Row],[Quality/Quantity]],0)</f>
        <v>0</v>
      </c>
      <c r="K1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5" spans="10:12">
      <c r="J1455">
        <f>DropAnalityka[[#This Row],[Sell Drop]]+IF(DropAnalityka[[#This Row],[Drop]]="Scroll", 2000*DropAnalityka[[#This Row],[Quality/Quantity]],0)</f>
        <v>0</v>
      </c>
      <c r="K1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6" spans="10:12">
      <c r="J1456">
        <f>DropAnalityka[[#This Row],[Sell Drop]]+IF(DropAnalityka[[#This Row],[Drop]]="Scroll", 2000*DropAnalityka[[#This Row],[Quality/Quantity]],0)</f>
        <v>0</v>
      </c>
      <c r="K1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7" spans="10:12">
      <c r="J1457">
        <f>DropAnalityka[[#This Row],[Sell Drop]]+IF(DropAnalityka[[#This Row],[Drop]]="Scroll", 2000*DropAnalityka[[#This Row],[Quality/Quantity]],0)</f>
        <v>0</v>
      </c>
      <c r="K1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8" spans="10:12">
      <c r="J1458">
        <f>DropAnalityka[[#This Row],[Sell Drop]]+IF(DropAnalityka[[#This Row],[Drop]]="Scroll", 2000*DropAnalityka[[#This Row],[Quality/Quantity]],0)</f>
        <v>0</v>
      </c>
      <c r="K1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9" spans="10:12">
      <c r="J1459">
        <f>DropAnalityka[[#This Row],[Sell Drop]]+IF(DropAnalityka[[#This Row],[Drop]]="Scroll", 2000*DropAnalityka[[#This Row],[Quality/Quantity]],0)</f>
        <v>0</v>
      </c>
      <c r="K1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0" spans="10:12">
      <c r="J1460">
        <f>DropAnalityka[[#This Row],[Sell Drop]]+IF(DropAnalityka[[#This Row],[Drop]]="Scroll", 2000*DropAnalityka[[#This Row],[Quality/Quantity]],0)</f>
        <v>0</v>
      </c>
      <c r="K1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1" spans="10:12">
      <c r="J1461">
        <f>DropAnalityka[[#This Row],[Sell Drop]]+IF(DropAnalityka[[#This Row],[Drop]]="Scroll", 2000*DropAnalityka[[#This Row],[Quality/Quantity]],0)</f>
        <v>0</v>
      </c>
      <c r="K1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2" spans="10:12">
      <c r="J1462">
        <f>DropAnalityka[[#This Row],[Sell Drop]]+IF(DropAnalityka[[#This Row],[Drop]]="Scroll", 2000*DropAnalityka[[#This Row],[Quality/Quantity]],0)</f>
        <v>0</v>
      </c>
      <c r="K1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3" spans="10:12">
      <c r="J1463">
        <f>DropAnalityka[[#This Row],[Sell Drop]]+IF(DropAnalityka[[#This Row],[Drop]]="Scroll", 2000*DropAnalityka[[#This Row],[Quality/Quantity]],0)</f>
        <v>0</v>
      </c>
      <c r="K1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4" spans="10:12">
      <c r="J1464">
        <f>DropAnalityka[[#This Row],[Sell Drop]]+IF(DropAnalityka[[#This Row],[Drop]]="Scroll", 2000*DropAnalityka[[#This Row],[Quality/Quantity]],0)</f>
        <v>0</v>
      </c>
      <c r="K1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5" spans="10:12">
      <c r="J1465">
        <f>DropAnalityka[[#This Row],[Sell Drop]]+IF(DropAnalityka[[#This Row],[Drop]]="Scroll", 2000*DropAnalityka[[#This Row],[Quality/Quantity]],0)</f>
        <v>0</v>
      </c>
      <c r="K1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6" spans="10:12">
      <c r="J1466">
        <f>DropAnalityka[[#This Row],[Sell Drop]]+IF(DropAnalityka[[#This Row],[Drop]]="Scroll", 2000*DropAnalityka[[#This Row],[Quality/Quantity]],0)</f>
        <v>0</v>
      </c>
      <c r="K1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7" spans="10:12">
      <c r="J1467">
        <f>DropAnalityka[[#This Row],[Sell Drop]]+IF(DropAnalityka[[#This Row],[Drop]]="Scroll", 2000*DropAnalityka[[#This Row],[Quality/Quantity]],0)</f>
        <v>0</v>
      </c>
      <c r="K1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8" spans="10:12">
      <c r="J1468">
        <f>DropAnalityka[[#This Row],[Sell Drop]]+IF(DropAnalityka[[#This Row],[Drop]]="Scroll", 2000*DropAnalityka[[#This Row],[Quality/Quantity]],0)</f>
        <v>0</v>
      </c>
      <c r="K1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9" spans="10:12">
      <c r="J1469">
        <f>DropAnalityka[[#This Row],[Sell Drop]]+IF(DropAnalityka[[#This Row],[Drop]]="Scroll", 2000*DropAnalityka[[#This Row],[Quality/Quantity]],0)</f>
        <v>0</v>
      </c>
      <c r="K1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0" spans="10:12">
      <c r="J1470">
        <f>DropAnalityka[[#This Row],[Sell Drop]]+IF(DropAnalityka[[#This Row],[Drop]]="Scroll", 2000*DropAnalityka[[#This Row],[Quality/Quantity]],0)</f>
        <v>0</v>
      </c>
      <c r="K1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1" spans="10:12">
      <c r="J1471">
        <f>DropAnalityka[[#This Row],[Sell Drop]]+IF(DropAnalityka[[#This Row],[Drop]]="Scroll", 2000*DropAnalityka[[#This Row],[Quality/Quantity]],0)</f>
        <v>0</v>
      </c>
      <c r="K1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2" spans="10:12">
      <c r="J1472">
        <f>DropAnalityka[[#This Row],[Sell Drop]]+IF(DropAnalityka[[#This Row],[Drop]]="Scroll", 2000*DropAnalityka[[#This Row],[Quality/Quantity]],0)</f>
        <v>0</v>
      </c>
      <c r="K1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3" spans="10:12">
      <c r="J1473">
        <f>DropAnalityka[[#This Row],[Sell Drop]]+IF(DropAnalityka[[#This Row],[Drop]]="Scroll", 2000*DropAnalityka[[#This Row],[Quality/Quantity]],0)</f>
        <v>0</v>
      </c>
      <c r="K1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4" spans="10:12">
      <c r="J1474">
        <f>DropAnalityka[[#This Row],[Sell Drop]]+IF(DropAnalityka[[#This Row],[Drop]]="Scroll", 2000*DropAnalityka[[#This Row],[Quality/Quantity]],0)</f>
        <v>0</v>
      </c>
      <c r="K1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5" spans="10:12">
      <c r="J1475">
        <f>DropAnalityka[[#This Row],[Sell Drop]]+IF(DropAnalityka[[#This Row],[Drop]]="Scroll", 2000*DropAnalityka[[#This Row],[Quality/Quantity]],0)</f>
        <v>0</v>
      </c>
      <c r="K1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6" spans="10:12">
      <c r="J1476">
        <f>DropAnalityka[[#This Row],[Sell Drop]]+IF(DropAnalityka[[#This Row],[Drop]]="Scroll", 2000*DropAnalityka[[#This Row],[Quality/Quantity]],0)</f>
        <v>0</v>
      </c>
      <c r="K1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7" spans="10:12">
      <c r="J1477">
        <f>DropAnalityka[[#This Row],[Sell Drop]]+IF(DropAnalityka[[#This Row],[Drop]]="Scroll", 2000*DropAnalityka[[#This Row],[Quality/Quantity]],0)</f>
        <v>0</v>
      </c>
      <c r="K1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8" spans="10:12">
      <c r="J1478">
        <f>DropAnalityka[[#This Row],[Sell Drop]]+IF(DropAnalityka[[#This Row],[Drop]]="Scroll", 2000*DropAnalityka[[#This Row],[Quality/Quantity]],0)</f>
        <v>0</v>
      </c>
      <c r="K1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9" spans="10:12">
      <c r="J1479">
        <f>DropAnalityka[[#This Row],[Sell Drop]]+IF(DropAnalityka[[#This Row],[Drop]]="Scroll", 2000*DropAnalityka[[#This Row],[Quality/Quantity]],0)</f>
        <v>0</v>
      </c>
      <c r="K1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0" spans="10:12">
      <c r="J1480">
        <f>DropAnalityka[[#This Row],[Sell Drop]]+IF(DropAnalityka[[#This Row],[Drop]]="Scroll", 2000*DropAnalityka[[#This Row],[Quality/Quantity]],0)</f>
        <v>0</v>
      </c>
      <c r="K1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1" spans="10:12">
      <c r="J1481">
        <f>DropAnalityka[[#This Row],[Sell Drop]]+IF(DropAnalityka[[#This Row],[Drop]]="Scroll", 2000*DropAnalityka[[#This Row],[Quality/Quantity]],0)</f>
        <v>0</v>
      </c>
      <c r="K1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2" spans="10:12">
      <c r="J1482">
        <f>DropAnalityka[[#This Row],[Sell Drop]]+IF(DropAnalityka[[#This Row],[Drop]]="Scroll", 2000*DropAnalityka[[#This Row],[Quality/Quantity]],0)</f>
        <v>0</v>
      </c>
      <c r="K1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3" spans="10:12">
      <c r="J1483">
        <f>DropAnalityka[[#This Row],[Sell Drop]]+IF(DropAnalityka[[#This Row],[Drop]]="Scroll", 2000*DropAnalityka[[#This Row],[Quality/Quantity]],0)</f>
        <v>0</v>
      </c>
      <c r="K1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4" spans="10:12">
      <c r="J1484">
        <f>DropAnalityka[[#This Row],[Sell Drop]]+IF(DropAnalityka[[#This Row],[Drop]]="Scroll", 2000*DropAnalityka[[#This Row],[Quality/Quantity]],0)</f>
        <v>0</v>
      </c>
      <c r="K1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5" spans="10:12">
      <c r="J1485">
        <f>DropAnalityka[[#This Row],[Sell Drop]]+IF(DropAnalityka[[#This Row],[Drop]]="Scroll", 2000*DropAnalityka[[#This Row],[Quality/Quantity]],0)</f>
        <v>0</v>
      </c>
      <c r="K1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6" spans="10:12">
      <c r="J1486">
        <f>DropAnalityka[[#This Row],[Sell Drop]]+IF(DropAnalityka[[#This Row],[Drop]]="Scroll", 2000*DropAnalityka[[#This Row],[Quality/Quantity]],0)</f>
        <v>0</v>
      </c>
      <c r="K1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7" spans="10:12">
      <c r="J1487">
        <f>DropAnalityka[[#This Row],[Sell Drop]]+IF(DropAnalityka[[#This Row],[Drop]]="Scroll", 2000*DropAnalityka[[#This Row],[Quality/Quantity]],0)</f>
        <v>0</v>
      </c>
      <c r="K1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8" spans="10:12">
      <c r="J1488">
        <f>DropAnalityka[[#This Row],[Sell Drop]]+IF(DropAnalityka[[#This Row],[Drop]]="Scroll", 2000*DropAnalityka[[#This Row],[Quality/Quantity]],0)</f>
        <v>0</v>
      </c>
      <c r="K1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9" spans="10:12">
      <c r="J1489">
        <f>DropAnalityka[[#This Row],[Sell Drop]]+IF(DropAnalityka[[#This Row],[Drop]]="Scroll", 2000*DropAnalityka[[#This Row],[Quality/Quantity]],0)</f>
        <v>0</v>
      </c>
      <c r="K1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0" spans="10:12">
      <c r="J1490">
        <f>DropAnalityka[[#This Row],[Sell Drop]]+IF(DropAnalityka[[#This Row],[Drop]]="Scroll", 2000*DropAnalityka[[#This Row],[Quality/Quantity]],0)</f>
        <v>0</v>
      </c>
      <c r="K1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1" spans="10:12">
      <c r="J1491">
        <f>DropAnalityka[[#This Row],[Sell Drop]]+IF(DropAnalityka[[#This Row],[Drop]]="Scroll", 2000*DropAnalityka[[#This Row],[Quality/Quantity]],0)</f>
        <v>0</v>
      </c>
      <c r="K1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2" spans="10:12">
      <c r="J1492">
        <f>DropAnalityka[[#This Row],[Sell Drop]]+IF(DropAnalityka[[#This Row],[Drop]]="Scroll", 2000*DropAnalityka[[#This Row],[Quality/Quantity]],0)</f>
        <v>0</v>
      </c>
      <c r="K1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3" spans="10:12">
      <c r="J1493">
        <f>DropAnalityka[[#This Row],[Sell Drop]]+IF(DropAnalityka[[#This Row],[Drop]]="Scroll", 2000*DropAnalityka[[#This Row],[Quality/Quantity]],0)</f>
        <v>0</v>
      </c>
      <c r="K1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4" spans="10:12">
      <c r="J1494">
        <f>DropAnalityka[[#This Row],[Sell Drop]]+IF(DropAnalityka[[#This Row],[Drop]]="Scroll", 2000*DropAnalityka[[#This Row],[Quality/Quantity]],0)</f>
        <v>0</v>
      </c>
      <c r="K1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5" spans="10:12">
      <c r="J1495">
        <f>DropAnalityka[[#This Row],[Sell Drop]]+IF(DropAnalityka[[#This Row],[Drop]]="Scroll", 2000*DropAnalityka[[#This Row],[Quality/Quantity]],0)</f>
        <v>0</v>
      </c>
      <c r="K1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6" spans="10:12">
      <c r="J1496">
        <f>DropAnalityka[[#This Row],[Sell Drop]]+IF(DropAnalityka[[#This Row],[Drop]]="Scroll", 2000*DropAnalityka[[#This Row],[Quality/Quantity]],0)</f>
        <v>0</v>
      </c>
      <c r="K1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7" spans="10:12">
      <c r="J1497">
        <f>DropAnalityka[[#This Row],[Sell Drop]]+IF(DropAnalityka[[#This Row],[Drop]]="Scroll", 2000*DropAnalityka[[#This Row],[Quality/Quantity]],0)</f>
        <v>0</v>
      </c>
      <c r="K1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8" spans="10:12">
      <c r="J1498">
        <f>DropAnalityka[[#This Row],[Sell Drop]]+IF(DropAnalityka[[#This Row],[Drop]]="Scroll", 2000*DropAnalityka[[#This Row],[Quality/Quantity]],0)</f>
        <v>0</v>
      </c>
      <c r="K1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9" spans="10:12">
      <c r="J1499">
        <f>DropAnalityka[[#This Row],[Sell Drop]]+IF(DropAnalityka[[#This Row],[Drop]]="Scroll", 2000*DropAnalityka[[#This Row],[Quality/Quantity]],0)</f>
        <v>0</v>
      </c>
      <c r="K1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0" spans="10:12">
      <c r="J1500">
        <f>DropAnalityka[[#This Row],[Sell Drop]]+IF(DropAnalityka[[#This Row],[Drop]]="Scroll", 2000*DropAnalityka[[#This Row],[Quality/Quantity]],0)</f>
        <v>0</v>
      </c>
      <c r="K1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1" spans="10:12">
      <c r="J1501">
        <f>DropAnalityka[[#This Row],[Sell Drop]]+IF(DropAnalityka[[#This Row],[Drop]]="Scroll", 2000*DropAnalityka[[#This Row],[Quality/Quantity]],0)</f>
        <v>0</v>
      </c>
      <c r="K1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2" spans="10:12">
      <c r="J1502">
        <f>DropAnalityka[[#This Row],[Sell Drop]]+IF(DropAnalityka[[#This Row],[Drop]]="Scroll", 2000*DropAnalityka[[#This Row],[Quality/Quantity]],0)</f>
        <v>0</v>
      </c>
      <c r="K1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3" spans="10:12">
      <c r="J1503">
        <f>DropAnalityka[[#This Row],[Sell Drop]]+IF(DropAnalityka[[#This Row],[Drop]]="Scroll", 2000*DropAnalityka[[#This Row],[Quality/Quantity]],0)</f>
        <v>0</v>
      </c>
      <c r="K1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4" spans="10:12">
      <c r="J1504">
        <f>DropAnalityka[[#This Row],[Sell Drop]]+IF(DropAnalityka[[#This Row],[Drop]]="Scroll", 2000*DropAnalityka[[#This Row],[Quality/Quantity]],0)</f>
        <v>0</v>
      </c>
      <c r="K1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5" spans="10:12">
      <c r="J1505">
        <f>DropAnalityka[[#This Row],[Sell Drop]]+IF(DropAnalityka[[#This Row],[Drop]]="Scroll", 2000*DropAnalityka[[#This Row],[Quality/Quantity]],0)</f>
        <v>0</v>
      </c>
      <c r="K1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6" spans="10:12">
      <c r="J1506">
        <f>DropAnalityka[[#This Row],[Sell Drop]]+IF(DropAnalityka[[#This Row],[Drop]]="Scroll", 2000*DropAnalityka[[#This Row],[Quality/Quantity]],0)</f>
        <v>0</v>
      </c>
      <c r="K1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7" spans="10:12">
      <c r="J1507">
        <f>DropAnalityka[[#This Row],[Sell Drop]]+IF(DropAnalityka[[#This Row],[Drop]]="Scroll", 2000*DropAnalityka[[#This Row],[Quality/Quantity]],0)</f>
        <v>0</v>
      </c>
      <c r="K1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8" spans="10:12">
      <c r="J1508">
        <f>DropAnalityka[[#This Row],[Sell Drop]]+IF(DropAnalityka[[#This Row],[Drop]]="Scroll", 2000*DropAnalityka[[#This Row],[Quality/Quantity]],0)</f>
        <v>0</v>
      </c>
      <c r="K1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9" spans="10:12">
      <c r="J1509">
        <f>DropAnalityka[[#This Row],[Sell Drop]]+IF(DropAnalityka[[#This Row],[Drop]]="Scroll", 2000*DropAnalityka[[#This Row],[Quality/Quantity]],0)</f>
        <v>0</v>
      </c>
      <c r="K1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0" spans="10:12">
      <c r="J1510">
        <f>DropAnalityka[[#This Row],[Sell Drop]]+IF(DropAnalityka[[#This Row],[Drop]]="Scroll", 2000*DropAnalityka[[#This Row],[Quality/Quantity]],0)</f>
        <v>0</v>
      </c>
      <c r="K1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1" spans="10:12">
      <c r="J1511">
        <f>DropAnalityka[[#This Row],[Sell Drop]]+IF(DropAnalityka[[#This Row],[Drop]]="Scroll", 2000*DropAnalityka[[#This Row],[Quality/Quantity]],0)</f>
        <v>0</v>
      </c>
      <c r="K1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2" spans="10:12">
      <c r="J1512">
        <f>DropAnalityka[[#This Row],[Sell Drop]]+IF(DropAnalityka[[#This Row],[Drop]]="Scroll", 2000*DropAnalityka[[#This Row],[Quality/Quantity]],0)</f>
        <v>0</v>
      </c>
      <c r="K1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3" spans="10:12">
      <c r="J1513">
        <f>DropAnalityka[[#This Row],[Sell Drop]]+IF(DropAnalityka[[#This Row],[Drop]]="Scroll", 2000*DropAnalityka[[#This Row],[Quality/Quantity]],0)</f>
        <v>0</v>
      </c>
      <c r="K1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4" spans="10:12">
      <c r="J1514">
        <f>DropAnalityka[[#This Row],[Sell Drop]]+IF(DropAnalityka[[#This Row],[Drop]]="Scroll", 2000*DropAnalityka[[#This Row],[Quality/Quantity]],0)</f>
        <v>0</v>
      </c>
      <c r="K1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5" spans="10:12">
      <c r="J1515">
        <f>DropAnalityka[[#This Row],[Sell Drop]]+IF(DropAnalityka[[#This Row],[Drop]]="Scroll", 2000*DropAnalityka[[#This Row],[Quality/Quantity]],0)</f>
        <v>0</v>
      </c>
      <c r="K1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6" spans="10:12">
      <c r="J1516">
        <f>DropAnalityka[[#This Row],[Sell Drop]]+IF(DropAnalityka[[#This Row],[Drop]]="Scroll", 2000*DropAnalityka[[#This Row],[Quality/Quantity]],0)</f>
        <v>0</v>
      </c>
      <c r="K1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7" spans="10:12">
      <c r="J1517">
        <f>DropAnalityka[[#This Row],[Sell Drop]]+IF(DropAnalityka[[#This Row],[Drop]]="Scroll", 2000*DropAnalityka[[#This Row],[Quality/Quantity]],0)</f>
        <v>0</v>
      </c>
      <c r="K1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8" spans="10:12">
      <c r="J1518">
        <f>DropAnalityka[[#This Row],[Sell Drop]]+IF(DropAnalityka[[#This Row],[Drop]]="Scroll", 2000*DropAnalityka[[#This Row],[Quality/Quantity]],0)</f>
        <v>0</v>
      </c>
      <c r="K1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9" spans="10:12">
      <c r="J1519">
        <f>DropAnalityka[[#This Row],[Sell Drop]]+IF(DropAnalityka[[#This Row],[Drop]]="Scroll", 2000*DropAnalityka[[#This Row],[Quality/Quantity]],0)</f>
        <v>0</v>
      </c>
      <c r="K1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0" spans="10:12">
      <c r="J1520">
        <f>DropAnalityka[[#This Row],[Sell Drop]]+IF(DropAnalityka[[#This Row],[Drop]]="Scroll", 2000*DropAnalityka[[#This Row],[Quality/Quantity]],0)</f>
        <v>0</v>
      </c>
      <c r="K1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1" spans="10:12">
      <c r="J1521">
        <f>DropAnalityka[[#This Row],[Sell Drop]]+IF(DropAnalityka[[#This Row],[Drop]]="Scroll", 2000*DropAnalityka[[#This Row],[Quality/Quantity]],0)</f>
        <v>0</v>
      </c>
      <c r="K1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2" spans="10:12">
      <c r="J1522">
        <f>DropAnalityka[[#This Row],[Sell Drop]]+IF(DropAnalityka[[#This Row],[Drop]]="Scroll", 2000*DropAnalityka[[#This Row],[Quality/Quantity]],0)</f>
        <v>0</v>
      </c>
      <c r="K1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3" spans="10:12">
      <c r="J1523">
        <f>DropAnalityka[[#This Row],[Sell Drop]]+IF(DropAnalityka[[#This Row],[Drop]]="Scroll", 2000*DropAnalityka[[#This Row],[Quality/Quantity]],0)</f>
        <v>0</v>
      </c>
      <c r="K1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4" spans="10:12">
      <c r="J1524">
        <f>DropAnalityka[[#This Row],[Sell Drop]]+IF(DropAnalityka[[#This Row],[Drop]]="Scroll", 2000*DropAnalityka[[#This Row],[Quality/Quantity]],0)</f>
        <v>0</v>
      </c>
      <c r="K1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5" spans="10:12">
      <c r="J1525">
        <f>DropAnalityka[[#This Row],[Sell Drop]]+IF(DropAnalityka[[#This Row],[Drop]]="Scroll", 2000*DropAnalityka[[#This Row],[Quality/Quantity]],0)</f>
        <v>0</v>
      </c>
      <c r="K1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6" spans="10:12">
      <c r="J1526">
        <f>DropAnalityka[[#This Row],[Sell Drop]]+IF(DropAnalityka[[#This Row],[Drop]]="Scroll", 2000*DropAnalityka[[#This Row],[Quality/Quantity]],0)</f>
        <v>0</v>
      </c>
      <c r="K1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7" spans="10:12">
      <c r="J1527">
        <f>DropAnalityka[[#This Row],[Sell Drop]]+IF(DropAnalityka[[#This Row],[Drop]]="Scroll", 2000*DropAnalityka[[#This Row],[Quality/Quantity]],0)</f>
        <v>0</v>
      </c>
      <c r="K1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8" spans="10:12">
      <c r="J1528">
        <f>DropAnalityka[[#This Row],[Sell Drop]]+IF(DropAnalityka[[#This Row],[Drop]]="Scroll", 2000*DropAnalityka[[#This Row],[Quality/Quantity]],0)</f>
        <v>0</v>
      </c>
      <c r="K1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9" spans="10:12">
      <c r="J1529">
        <f>DropAnalityka[[#This Row],[Sell Drop]]+IF(DropAnalityka[[#This Row],[Drop]]="Scroll", 2000*DropAnalityka[[#This Row],[Quality/Quantity]],0)</f>
        <v>0</v>
      </c>
      <c r="K1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0" spans="10:12">
      <c r="J1530">
        <f>DropAnalityka[[#This Row],[Sell Drop]]+IF(DropAnalityka[[#This Row],[Drop]]="Scroll", 2000*DropAnalityka[[#This Row],[Quality/Quantity]],0)</f>
        <v>0</v>
      </c>
      <c r="K1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1" spans="10:12">
      <c r="J1531">
        <f>DropAnalityka[[#This Row],[Sell Drop]]+IF(DropAnalityka[[#This Row],[Drop]]="Scroll", 2000*DropAnalityka[[#This Row],[Quality/Quantity]],0)</f>
        <v>0</v>
      </c>
      <c r="K1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2" spans="10:12">
      <c r="J1532">
        <f>DropAnalityka[[#This Row],[Sell Drop]]+IF(DropAnalityka[[#This Row],[Drop]]="Scroll", 2000*DropAnalityka[[#This Row],[Quality/Quantity]],0)</f>
        <v>0</v>
      </c>
      <c r="K1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3" spans="10:12">
      <c r="J1533">
        <f>DropAnalityka[[#This Row],[Sell Drop]]+IF(DropAnalityka[[#This Row],[Drop]]="Scroll", 2000*DropAnalityka[[#This Row],[Quality/Quantity]],0)</f>
        <v>0</v>
      </c>
      <c r="K1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4" spans="10:12">
      <c r="J1534">
        <f>DropAnalityka[[#This Row],[Sell Drop]]+IF(DropAnalityka[[#This Row],[Drop]]="Scroll", 2000*DropAnalityka[[#This Row],[Quality/Quantity]],0)</f>
        <v>0</v>
      </c>
      <c r="K1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5" spans="10:12">
      <c r="J1535">
        <f>DropAnalityka[[#This Row],[Sell Drop]]+IF(DropAnalityka[[#This Row],[Drop]]="Scroll", 2000*DropAnalityka[[#This Row],[Quality/Quantity]],0)</f>
        <v>0</v>
      </c>
      <c r="K1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6" spans="10:12">
      <c r="J1536">
        <f>DropAnalityka[[#This Row],[Sell Drop]]+IF(DropAnalityka[[#This Row],[Drop]]="Scroll", 2000*DropAnalityka[[#This Row],[Quality/Quantity]],0)</f>
        <v>0</v>
      </c>
      <c r="K1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7" spans="10:12">
      <c r="J1537">
        <f>DropAnalityka[[#This Row],[Sell Drop]]+IF(DropAnalityka[[#This Row],[Drop]]="Scroll", 2000*DropAnalityka[[#This Row],[Quality/Quantity]],0)</f>
        <v>0</v>
      </c>
      <c r="K1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8" spans="10:12">
      <c r="J1538">
        <f>DropAnalityka[[#This Row],[Sell Drop]]+IF(DropAnalityka[[#This Row],[Drop]]="Scroll", 2000*DropAnalityka[[#This Row],[Quality/Quantity]],0)</f>
        <v>0</v>
      </c>
      <c r="K1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9" spans="10:12">
      <c r="J1539">
        <f>DropAnalityka[[#This Row],[Sell Drop]]+IF(DropAnalityka[[#This Row],[Drop]]="Scroll", 2000*DropAnalityka[[#This Row],[Quality/Quantity]],0)</f>
        <v>0</v>
      </c>
      <c r="K1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0" spans="10:12">
      <c r="J1540">
        <f>DropAnalityka[[#This Row],[Sell Drop]]+IF(DropAnalityka[[#This Row],[Drop]]="Scroll", 2000*DropAnalityka[[#This Row],[Quality/Quantity]],0)</f>
        <v>0</v>
      </c>
      <c r="K1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1" spans="10:12">
      <c r="J1541">
        <f>DropAnalityka[[#This Row],[Sell Drop]]+IF(DropAnalityka[[#This Row],[Drop]]="Scroll", 2000*DropAnalityka[[#This Row],[Quality/Quantity]],0)</f>
        <v>0</v>
      </c>
      <c r="K1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2" spans="10:12">
      <c r="J1542">
        <f>DropAnalityka[[#This Row],[Sell Drop]]+IF(DropAnalityka[[#This Row],[Drop]]="Scroll", 2000*DropAnalityka[[#This Row],[Quality/Quantity]],0)</f>
        <v>0</v>
      </c>
      <c r="K1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3" spans="10:12">
      <c r="J1543">
        <f>DropAnalityka[[#This Row],[Sell Drop]]+IF(DropAnalityka[[#This Row],[Drop]]="Scroll", 2000*DropAnalityka[[#This Row],[Quality/Quantity]],0)</f>
        <v>0</v>
      </c>
      <c r="K1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4" spans="10:12">
      <c r="J1544">
        <f>DropAnalityka[[#This Row],[Sell Drop]]+IF(DropAnalityka[[#This Row],[Drop]]="Scroll", 2000*DropAnalityka[[#This Row],[Quality/Quantity]],0)</f>
        <v>0</v>
      </c>
      <c r="K1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5" spans="10:12">
      <c r="J1545">
        <f>DropAnalityka[[#This Row],[Sell Drop]]+IF(DropAnalityka[[#This Row],[Drop]]="Scroll", 2000*DropAnalityka[[#This Row],[Quality/Quantity]],0)</f>
        <v>0</v>
      </c>
      <c r="K1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6" spans="10:12">
      <c r="J1546">
        <f>DropAnalityka[[#This Row],[Sell Drop]]+IF(DropAnalityka[[#This Row],[Drop]]="Scroll", 2000*DropAnalityka[[#This Row],[Quality/Quantity]],0)</f>
        <v>0</v>
      </c>
      <c r="K1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7" spans="10:12">
      <c r="J1547">
        <f>DropAnalityka[[#This Row],[Sell Drop]]+IF(DropAnalityka[[#This Row],[Drop]]="Scroll", 2000*DropAnalityka[[#This Row],[Quality/Quantity]],0)</f>
        <v>0</v>
      </c>
      <c r="K1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8" spans="10:12">
      <c r="J1548">
        <f>DropAnalityka[[#This Row],[Sell Drop]]+IF(DropAnalityka[[#This Row],[Drop]]="Scroll", 2000*DropAnalityka[[#This Row],[Quality/Quantity]],0)</f>
        <v>0</v>
      </c>
      <c r="K1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9" spans="10:12">
      <c r="J1549">
        <f>DropAnalityka[[#This Row],[Sell Drop]]+IF(DropAnalityka[[#This Row],[Drop]]="Scroll", 2000*DropAnalityka[[#This Row],[Quality/Quantity]],0)</f>
        <v>0</v>
      </c>
      <c r="K1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0" spans="10:12">
      <c r="J1550">
        <f>DropAnalityka[[#This Row],[Sell Drop]]+IF(DropAnalityka[[#This Row],[Drop]]="Scroll", 2000*DropAnalityka[[#This Row],[Quality/Quantity]],0)</f>
        <v>0</v>
      </c>
      <c r="K1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1" spans="10:12">
      <c r="J1551">
        <f>DropAnalityka[[#This Row],[Sell Drop]]+IF(DropAnalityka[[#This Row],[Drop]]="Scroll", 2000*DropAnalityka[[#This Row],[Quality/Quantity]],0)</f>
        <v>0</v>
      </c>
      <c r="K1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2" spans="10:12">
      <c r="J1552">
        <f>DropAnalityka[[#This Row],[Sell Drop]]+IF(DropAnalityka[[#This Row],[Drop]]="Scroll", 2000*DropAnalityka[[#This Row],[Quality/Quantity]],0)</f>
        <v>0</v>
      </c>
      <c r="K1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3" spans="10:12">
      <c r="J1553">
        <f>DropAnalityka[[#This Row],[Sell Drop]]+IF(DropAnalityka[[#This Row],[Drop]]="Scroll", 2000*DropAnalityka[[#This Row],[Quality/Quantity]],0)</f>
        <v>0</v>
      </c>
      <c r="K1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4" spans="10:12">
      <c r="J1554">
        <f>DropAnalityka[[#This Row],[Sell Drop]]+IF(DropAnalityka[[#This Row],[Drop]]="Scroll", 2000*DropAnalityka[[#This Row],[Quality/Quantity]],0)</f>
        <v>0</v>
      </c>
      <c r="K1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5" spans="10:12">
      <c r="J1555">
        <f>DropAnalityka[[#This Row],[Sell Drop]]+IF(DropAnalityka[[#This Row],[Drop]]="Scroll", 2000*DropAnalityka[[#This Row],[Quality/Quantity]],0)</f>
        <v>0</v>
      </c>
      <c r="K1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6" spans="10:12">
      <c r="J1556">
        <f>DropAnalityka[[#This Row],[Sell Drop]]+IF(DropAnalityka[[#This Row],[Drop]]="Scroll", 2000*DropAnalityka[[#This Row],[Quality/Quantity]],0)</f>
        <v>0</v>
      </c>
      <c r="K1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7" spans="10:12">
      <c r="J1557">
        <f>DropAnalityka[[#This Row],[Sell Drop]]+IF(DropAnalityka[[#This Row],[Drop]]="Scroll", 2000*DropAnalityka[[#This Row],[Quality/Quantity]],0)</f>
        <v>0</v>
      </c>
      <c r="K1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8" spans="10:12">
      <c r="J1558">
        <f>DropAnalityka[[#This Row],[Sell Drop]]+IF(DropAnalityka[[#This Row],[Drop]]="Scroll", 2000*DropAnalityka[[#This Row],[Quality/Quantity]],0)</f>
        <v>0</v>
      </c>
      <c r="K1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9" spans="10:12">
      <c r="J1559">
        <f>DropAnalityka[[#This Row],[Sell Drop]]+IF(DropAnalityka[[#This Row],[Drop]]="Scroll", 2000*DropAnalityka[[#This Row],[Quality/Quantity]],0)</f>
        <v>0</v>
      </c>
      <c r="K1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0" spans="10:12">
      <c r="J1560">
        <f>DropAnalityka[[#This Row],[Sell Drop]]+IF(DropAnalityka[[#This Row],[Drop]]="Scroll", 2000*DropAnalityka[[#This Row],[Quality/Quantity]],0)</f>
        <v>0</v>
      </c>
      <c r="K1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1" spans="10:12">
      <c r="J1561">
        <f>DropAnalityka[[#This Row],[Sell Drop]]+IF(DropAnalityka[[#This Row],[Drop]]="Scroll", 2000*DropAnalityka[[#This Row],[Quality/Quantity]],0)</f>
        <v>0</v>
      </c>
      <c r="K1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2" spans="10:12">
      <c r="J1562">
        <f>DropAnalityka[[#This Row],[Sell Drop]]+IF(DropAnalityka[[#This Row],[Drop]]="Scroll", 2000*DropAnalityka[[#This Row],[Quality/Quantity]],0)</f>
        <v>0</v>
      </c>
      <c r="K1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3" spans="10:12">
      <c r="J1563">
        <f>DropAnalityka[[#This Row],[Sell Drop]]+IF(DropAnalityka[[#This Row],[Drop]]="Scroll", 2000*DropAnalityka[[#This Row],[Quality/Quantity]],0)</f>
        <v>0</v>
      </c>
      <c r="K1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4" spans="10:12">
      <c r="J1564">
        <f>DropAnalityka[[#This Row],[Sell Drop]]+IF(DropAnalityka[[#This Row],[Drop]]="Scroll", 2000*DropAnalityka[[#This Row],[Quality/Quantity]],0)</f>
        <v>0</v>
      </c>
      <c r="K1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5" spans="10:12">
      <c r="J1565">
        <f>DropAnalityka[[#This Row],[Sell Drop]]+IF(DropAnalityka[[#This Row],[Drop]]="Scroll", 2000*DropAnalityka[[#This Row],[Quality/Quantity]],0)</f>
        <v>0</v>
      </c>
      <c r="K1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6" spans="10:12">
      <c r="J1566">
        <f>DropAnalityka[[#This Row],[Sell Drop]]+IF(DropAnalityka[[#This Row],[Drop]]="Scroll", 2000*DropAnalityka[[#This Row],[Quality/Quantity]],0)</f>
        <v>0</v>
      </c>
      <c r="K1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7" spans="10:12">
      <c r="J1567">
        <f>DropAnalityka[[#This Row],[Sell Drop]]+IF(DropAnalityka[[#This Row],[Drop]]="Scroll", 2000*DropAnalityka[[#This Row],[Quality/Quantity]],0)</f>
        <v>0</v>
      </c>
      <c r="K1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8" spans="10:12">
      <c r="J1568">
        <f>DropAnalityka[[#This Row],[Sell Drop]]+IF(DropAnalityka[[#This Row],[Drop]]="Scroll", 2000*DropAnalityka[[#This Row],[Quality/Quantity]],0)</f>
        <v>0</v>
      </c>
      <c r="K1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9" spans="10:12">
      <c r="J1569">
        <f>DropAnalityka[[#This Row],[Sell Drop]]+IF(DropAnalityka[[#This Row],[Drop]]="Scroll", 2000*DropAnalityka[[#This Row],[Quality/Quantity]],0)</f>
        <v>0</v>
      </c>
      <c r="K1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0" spans="10:12">
      <c r="J1570">
        <f>DropAnalityka[[#This Row],[Sell Drop]]+IF(DropAnalityka[[#This Row],[Drop]]="Scroll", 2000*DropAnalityka[[#This Row],[Quality/Quantity]],0)</f>
        <v>0</v>
      </c>
      <c r="K1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1" spans="10:12">
      <c r="J1571">
        <f>DropAnalityka[[#This Row],[Sell Drop]]+IF(DropAnalityka[[#This Row],[Drop]]="Scroll", 2000*DropAnalityka[[#This Row],[Quality/Quantity]],0)</f>
        <v>0</v>
      </c>
      <c r="K1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2" spans="10:12">
      <c r="J1572">
        <f>DropAnalityka[[#This Row],[Sell Drop]]+IF(DropAnalityka[[#This Row],[Drop]]="Scroll", 2000*DropAnalityka[[#This Row],[Quality/Quantity]],0)</f>
        <v>0</v>
      </c>
      <c r="K1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3" spans="10:12">
      <c r="J1573">
        <f>DropAnalityka[[#This Row],[Sell Drop]]+IF(DropAnalityka[[#This Row],[Drop]]="Scroll", 2000*DropAnalityka[[#This Row],[Quality/Quantity]],0)</f>
        <v>0</v>
      </c>
      <c r="K1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4" spans="10:12">
      <c r="J1574">
        <f>DropAnalityka[[#This Row],[Sell Drop]]+IF(DropAnalityka[[#This Row],[Drop]]="Scroll", 2000*DropAnalityka[[#This Row],[Quality/Quantity]],0)</f>
        <v>0</v>
      </c>
      <c r="K1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5" spans="10:12">
      <c r="J1575">
        <f>DropAnalityka[[#This Row],[Sell Drop]]+IF(DropAnalityka[[#This Row],[Drop]]="Scroll", 2000*DropAnalityka[[#This Row],[Quality/Quantity]],0)</f>
        <v>0</v>
      </c>
      <c r="K1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6" spans="10:12">
      <c r="J1576">
        <f>DropAnalityka[[#This Row],[Sell Drop]]+IF(DropAnalityka[[#This Row],[Drop]]="Scroll", 2000*DropAnalityka[[#This Row],[Quality/Quantity]],0)</f>
        <v>0</v>
      </c>
      <c r="K1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7" spans="10:12">
      <c r="J1577">
        <f>DropAnalityka[[#This Row],[Sell Drop]]+IF(DropAnalityka[[#This Row],[Drop]]="Scroll", 2000*DropAnalityka[[#This Row],[Quality/Quantity]],0)</f>
        <v>0</v>
      </c>
      <c r="K1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8" spans="10:12">
      <c r="J1578">
        <f>DropAnalityka[[#This Row],[Sell Drop]]+IF(DropAnalityka[[#This Row],[Drop]]="Scroll", 2000*DropAnalityka[[#This Row],[Quality/Quantity]],0)</f>
        <v>0</v>
      </c>
      <c r="K1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9" spans="10:12">
      <c r="J1579">
        <f>DropAnalityka[[#This Row],[Sell Drop]]+IF(DropAnalityka[[#This Row],[Drop]]="Scroll", 2000*DropAnalityka[[#This Row],[Quality/Quantity]],0)</f>
        <v>0</v>
      </c>
      <c r="K1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0" spans="10:12">
      <c r="J1580">
        <f>DropAnalityka[[#This Row],[Sell Drop]]+IF(DropAnalityka[[#This Row],[Drop]]="Scroll", 2000*DropAnalityka[[#This Row],[Quality/Quantity]],0)</f>
        <v>0</v>
      </c>
      <c r="K1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1" spans="10:12">
      <c r="J1581">
        <f>DropAnalityka[[#This Row],[Sell Drop]]+IF(DropAnalityka[[#This Row],[Drop]]="Scroll", 2000*DropAnalityka[[#This Row],[Quality/Quantity]],0)</f>
        <v>0</v>
      </c>
      <c r="K1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2" spans="10:12">
      <c r="J1582">
        <f>DropAnalityka[[#This Row],[Sell Drop]]+IF(DropAnalityka[[#This Row],[Drop]]="Scroll", 2000*DropAnalityka[[#This Row],[Quality/Quantity]],0)</f>
        <v>0</v>
      </c>
      <c r="K1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3" spans="10:12">
      <c r="J1583">
        <f>DropAnalityka[[#This Row],[Sell Drop]]+IF(DropAnalityka[[#This Row],[Drop]]="Scroll", 2000*DropAnalityka[[#This Row],[Quality/Quantity]],0)</f>
        <v>0</v>
      </c>
      <c r="K1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4" spans="10:12">
      <c r="J1584">
        <f>DropAnalityka[[#This Row],[Sell Drop]]+IF(DropAnalityka[[#This Row],[Drop]]="Scroll", 2000*DropAnalityka[[#This Row],[Quality/Quantity]],0)</f>
        <v>0</v>
      </c>
      <c r="K1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5" spans="10:12">
      <c r="J1585">
        <f>DropAnalityka[[#This Row],[Sell Drop]]+IF(DropAnalityka[[#This Row],[Drop]]="Scroll", 2000*DropAnalityka[[#This Row],[Quality/Quantity]],0)</f>
        <v>0</v>
      </c>
      <c r="K1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6" spans="10:12">
      <c r="J1586">
        <f>DropAnalityka[[#This Row],[Sell Drop]]+IF(DropAnalityka[[#This Row],[Drop]]="Scroll", 2000*DropAnalityka[[#This Row],[Quality/Quantity]],0)</f>
        <v>0</v>
      </c>
      <c r="K1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7" spans="10:12">
      <c r="J1587">
        <f>DropAnalityka[[#This Row],[Sell Drop]]+IF(DropAnalityka[[#This Row],[Drop]]="Scroll", 2000*DropAnalityka[[#This Row],[Quality/Quantity]],0)</f>
        <v>0</v>
      </c>
      <c r="K1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8" spans="10:12">
      <c r="J1588">
        <f>DropAnalityka[[#This Row],[Sell Drop]]+IF(DropAnalityka[[#This Row],[Drop]]="Scroll", 2000*DropAnalityka[[#This Row],[Quality/Quantity]],0)</f>
        <v>0</v>
      </c>
      <c r="K1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9" spans="10:12">
      <c r="J1589">
        <f>DropAnalityka[[#This Row],[Sell Drop]]+IF(DropAnalityka[[#This Row],[Drop]]="Scroll", 2000*DropAnalityka[[#This Row],[Quality/Quantity]],0)</f>
        <v>0</v>
      </c>
      <c r="K1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0" spans="10:12">
      <c r="J1590">
        <f>DropAnalityka[[#This Row],[Sell Drop]]+IF(DropAnalityka[[#This Row],[Drop]]="Scroll", 2000*DropAnalityka[[#This Row],[Quality/Quantity]],0)</f>
        <v>0</v>
      </c>
      <c r="K1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1" spans="10:12">
      <c r="J1591">
        <f>DropAnalityka[[#This Row],[Sell Drop]]+IF(DropAnalityka[[#This Row],[Drop]]="Scroll", 2000*DropAnalityka[[#This Row],[Quality/Quantity]],0)</f>
        <v>0</v>
      </c>
      <c r="K1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2" spans="10:12">
      <c r="J1592">
        <f>DropAnalityka[[#This Row],[Sell Drop]]+IF(DropAnalityka[[#This Row],[Drop]]="Scroll", 2000*DropAnalityka[[#This Row],[Quality/Quantity]],0)</f>
        <v>0</v>
      </c>
      <c r="K1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3" spans="10:12">
      <c r="J1593">
        <f>DropAnalityka[[#This Row],[Sell Drop]]+IF(DropAnalityka[[#This Row],[Drop]]="Scroll", 2000*DropAnalityka[[#This Row],[Quality/Quantity]],0)</f>
        <v>0</v>
      </c>
      <c r="K1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4" spans="10:12">
      <c r="J1594">
        <f>DropAnalityka[[#This Row],[Sell Drop]]+IF(DropAnalityka[[#This Row],[Drop]]="Scroll", 2000*DropAnalityka[[#This Row],[Quality/Quantity]],0)</f>
        <v>0</v>
      </c>
      <c r="K1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5" spans="10:12">
      <c r="J1595">
        <f>DropAnalityka[[#This Row],[Sell Drop]]+IF(DropAnalityka[[#This Row],[Drop]]="Scroll", 2000*DropAnalityka[[#This Row],[Quality/Quantity]],0)</f>
        <v>0</v>
      </c>
      <c r="K1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6" spans="10:12">
      <c r="J1596">
        <f>DropAnalityka[[#This Row],[Sell Drop]]+IF(DropAnalityka[[#This Row],[Drop]]="Scroll", 2000*DropAnalityka[[#This Row],[Quality/Quantity]],0)</f>
        <v>0</v>
      </c>
      <c r="K1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7" spans="10:12">
      <c r="J1597">
        <f>DropAnalityka[[#This Row],[Sell Drop]]+IF(DropAnalityka[[#This Row],[Drop]]="Scroll", 2000*DropAnalityka[[#This Row],[Quality/Quantity]],0)</f>
        <v>0</v>
      </c>
      <c r="K1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8" spans="10:12">
      <c r="J1598">
        <f>DropAnalityka[[#This Row],[Sell Drop]]+IF(DropAnalityka[[#This Row],[Drop]]="Scroll", 2000*DropAnalityka[[#This Row],[Quality/Quantity]],0)</f>
        <v>0</v>
      </c>
      <c r="K1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9" spans="10:12">
      <c r="J1599">
        <f>DropAnalityka[[#This Row],[Sell Drop]]+IF(DropAnalityka[[#This Row],[Drop]]="Scroll", 2000*DropAnalityka[[#This Row],[Quality/Quantity]],0)</f>
        <v>0</v>
      </c>
      <c r="K1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0" spans="10:12">
      <c r="J1600">
        <f>DropAnalityka[[#This Row],[Sell Drop]]+IF(DropAnalityka[[#This Row],[Drop]]="Scroll", 2000*DropAnalityka[[#This Row],[Quality/Quantity]],0)</f>
        <v>0</v>
      </c>
      <c r="K1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1" spans="10:12">
      <c r="J1601">
        <f>DropAnalityka[[#This Row],[Sell Drop]]+IF(DropAnalityka[[#This Row],[Drop]]="Scroll", 2000*DropAnalityka[[#This Row],[Quality/Quantity]],0)</f>
        <v>0</v>
      </c>
      <c r="K1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2" spans="10:12">
      <c r="J1602">
        <f>DropAnalityka[[#This Row],[Sell Drop]]+IF(DropAnalityka[[#This Row],[Drop]]="Scroll", 2000*DropAnalityka[[#This Row],[Quality/Quantity]],0)</f>
        <v>0</v>
      </c>
      <c r="K1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3" spans="10:12">
      <c r="J1603">
        <f>DropAnalityka[[#This Row],[Sell Drop]]+IF(DropAnalityka[[#This Row],[Drop]]="Scroll", 2000*DropAnalityka[[#This Row],[Quality/Quantity]],0)</f>
        <v>0</v>
      </c>
      <c r="K1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4" spans="10:12">
      <c r="J1604">
        <f>DropAnalityka[[#This Row],[Sell Drop]]+IF(DropAnalityka[[#This Row],[Drop]]="Scroll", 2000*DropAnalityka[[#This Row],[Quality/Quantity]],0)</f>
        <v>0</v>
      </c>
      <c r="K1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5" spans="10:12">
      <c r="J1605">
        <f>DropAnalityka[[#This Row],[Sell Drop]]+IF(DropAnalityka[[#This Row],[Drop]]="Scroll", 2000*DropAnalityka[[#This Row],[Quality/Quantity]],0)</f>
        <v>0</v>
      </c>
      <c r="K1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6" spans="10:12">
      <c r="J1606">
        <f>DropAnalityka[[#This Row],[Sell Drop]]+IF(DropAnalityka[[#This Row],[Drop]]="Scroll", 2000*DropAnalityka[[#This Row],[Quality/Quantity]],0)</f>
        <v>0</v>
      </c>
      <c r="K1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7" spans="10:12">
      <c r="J1607">
        <f>DropAnalityka[[#This Row],[Sell Drop]]+IF(DropAnalityka[[#This Row],[Drop]]="Scroll", 2000*DropAnalityka[[#This Row],[Quality/Quantity]],0)</f>
        <v>0</v>
      </c>
      <c r="K1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8" spans="10:12">
      <c r="J1608">
        <f>DropAnalityka[[#This Row],[Sell Drop]]+IF(DropAnalityka[[#This Row],[Drop]]="Scroll", 2000*DropAnalityka[[#This Row],[Quality/Quantity]],0)</f>
        <v>0</v>
      </c>
      <c r="K1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9" spans="10:12">
      <c r="J1609">
        <f>DropAnalityka[[#This Row],[Sell Drop]]+IF(DropAnalityka[[#This Row],[Drop]]="Scroll", 2000*DropAnalityka[[#This Row],[Quality/Quantity]],0)</f>
        <v>0</v>
      </c>
      <c r="K1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0" spans="10:12">
      <c r="J1610">
        <f>DropAnalityka[[#This Row],[Sell Drop]]+IF(DropAnalityka[[#This Row],[Drop]]="Scroll", 2000*DropAnalityka[[#This Row],[Quality/Quantity]],0)</f>
        <v>0</v>
      </c>
      <c r="K1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1" spans="10:12">
      <c r="J1611">
        <f>DropAnalityka[[#This Row],[Sell Drop]]+IF(DropAnalityka[[#This Row],[Drop]]="Scroll", 2000*DropAnalityka[[#This Row],[Quality/Quantity]],0)</f>
        <v>0</v>
      </c>
      <c r="K1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2" spans="10:12">
      <c r="J1612">
        <f>DropAnalityka[[#This Row],[Sell Drop]]+IF(DropAnalityka[[#This Row],[Drop]]="Scroll", 2000*DropAnalityka[[#This Row],[Quality/Quantity]],0)</f>
        <v>0</v>
      </c>
      <c r="K1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3" spans="10:12">
      <c r="J1613">
        <f>DropAnalityka[[#This Row],[Sell Drop]]+IF(DropAnalityka[[#This Row],[Drop]]="Scroll", 2000*DropAnalityka[[#This Row],[Quality/Quantity]],0)</f>
        <v>0</v>
      </c>
      <c r="K1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4" spans="10:12">
      <c r="J1614">
        <f>DropAnalityka[[#This Row],[Sell Drop]]+IF(DropAnalityka[[#This Row],[Drop]]="Scroll", 2000*DropAnalityka[[#This Row],[Quality/Quantity]],0)</f>
        <v>0</v>
      </c>
      <c r="K1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5" spans="10:12">
      <c r="J1615">
        <f>DropAnalityka[[#This Row],[Sell Drop]]+IF(DropAnalityka[[#This Row],[Drop]]="Scroll", 2000*DropAnalityka[[#This Row],[Quality/Quantity]],0)</f>
        <v>0</v>
      </c>
      <c r="K1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6" spans="10:12">
      <c r="J1616">
        <f>DropAnalityka[[#This Row],[Sell Drop]]+IF(DropAnalityka[[#This Row],[Drop]]="Scroll", 2000*DropAnalityka[[#This Row],[Quality/Quantity]],0)</f>
        <v>0</v>
      </c>
      <c r="K1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7" spans="10:12">
      <c r="J1617">
        <f>DropAnalityka[[#This Row],[Sell Drop]]+IF(DropAnalityka[[#This Row],[Drop]]="Scroll", 2000*DropAnalityka[[#This Row],[Quality/Quantity]],0)</f>
        <v>0</v>
      </c>
      <c r="K1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8" spans="10:12">
      <c r="J1618">
        <f>DropAnalityka[[#This Row],[Sell Drop]]+IF(DropAnalityka[[#This Row],[Drop]]="Scroll", 2000*DropAnalityka[[#This Row],[Quality/Quantity]],0)</f>
        <v>0</v>
      </c>
      <c r="K1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9" spans="10:12">
      <c r="J1619">
        <f>DropAnalityka[[#This Row],[Sell Drop]]+IF(DropAnalityka[[#This Row],[Drop]]="Scroll", 2000*DropAnalityka[[#This Row],[Quality/Quantity]],0)</f>
        <v>0</v>
      </c>
      <c r="K1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0" spans="10:12">
      <c r="J1620">
        <f>DropAnalityka[[#This Row],[Sell Drop]]+IF(DropAnalityka[[#This Row],[Drop]]="Scroll", 2000*DropAnalityka[[#This Row],[Quality/Quantity]],0)</f>
        <v>0</v>
      </c>
      <c r="K1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1" spans="10:12">
      <c r="J1621">
        <f>DropAnalityka[[#This Row],[Sell Drop]]+IF(DropAnalityka[[#This Row],[Drop]]="Scroll", 2000*DropAnalityka[[#This Row],[Quality/Quantity]],0)</f>
        <v>0</v>
      </c>
      <c r="K1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2" spans="10:12">
      <c r="J1622">
        <f>DropAnalityka[[#This Row],[Sell Drop]]+IF(DropAnalityka[[#This Row],[Drop]]="Scroll", 2000*DropAnalityka[[#This Row],[Quality/Quantity]],0)</f>
        <v>0</v>
      </c>
      <c r="K1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3" spans="10:12">
      <c r="J1623">
        <f>DropAnalityka[[#This Row],[Sell Drop]]+IF(DropAnalityka[[#This Row],[Drop]]="Scroll", 2000*DropAnalityka[[#This Row],[Quality/Quantity]],0)</f>
        <v>0</v>
      </c>
      <c r="K1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4" spans="10:12">
      <c r="J1624">
        <f>DropAnalityka[[#This Row],[Sell Drop]]+IF(DropAnalityka[[#This Row],[Drop]]="Scroll", 2000*DropAnalityka[[#This Row],[Quality/Quantity]],0)</f>
        <v>0</v>
      </c>
      <c r="K1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5" spans="10:12">
      <c r="J1625">
        <f>DropAnalityka[[#This Row],[Sell Drop]]+IF(DropAnalityka[[#This Row],[Drop]]="Scroll", 2000*DropAnalityka[[#This Row],[Quality/Quantity]],0)</f>
        <v>0</v>
      </c>
      <c r="K1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6" spans="10:12">
      <c r="J1626">
        <f>DropAnalityka[[#This Row],[Sell Drop]]+IF(DropAnalityka[[#This Row],[Drop]]="Scroll", 2000*DropAnalityka[[#This Row],[Quality/Quantity]],0)</f>
        <v>0</v>
      </c>
      <c r="K1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7" spans="10:12">
      <c r="J1627">
        <f>DropAnalityka[[#This Row],[Sell Drop]]+IF(DropAnalityka[[#This Row],[Drop]]="Scroll", 2000*DropAnalityka[[#This Row],[Quality/Quantity]],0)</f>
        <v>0</v>
      </c>
      <c r="K1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8" spans="10:12">
      <c r="J1628">
        <f>DropAnalityka[[#This Row],[Sell Drop]]+IF(DropAnalityka[[#This Row],[Drop]]="Scroll", 2000*DropAnalityka[[#This Row],[Quality/Quantity]],0)</f>
        <v>0</v>
      </c>
      <c r="K1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9" spans="10:12">
      <c r="J1629">
        <f>DropAnalityka[[#This Row],[Sell Drop]]+IF(DropAnalityka[[#This Row],[Drop]]="Scroll", 2000*DropAnalityka[[#This Row],[Quality/Quantity]],0)</f>
        <v>0</v>
      </c>
      <c r="K1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0" spans="10:12">
      <c r="J1630">
        <f>DropAnalityka[[#This Row],[Sell Drop]]+IF(DropAnalityka[[#This Row],[Drop]]="Scroll", 2000*DropAnalityka[[#This Row],[Quality/Quantity]],0)</f>
        <v>0</v>
      </c>
      <c r="K1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1" spans="10:12">
      <c r="J1631">
        <f>DropAnalityka[[#This Row],[Sell Drop]]+IF(DropAnalityka[[#This Row],[Drop]]="Scroll", 2000*DropAnalityka[[#This Row],[Quality/Quantity]],0)</f>
        <v>0</v>
      </c>
      <c r="K1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2" spans="10:12">
      <c r="J1632">
        <f>DropAnalityka[[#This Row],[Sell Drop]]+IF(DropAnalityka[[#This Row],[Drop]]="Scroll", 2000*DropAnalityka[[#This Row],[Quality/Quantity]],0)</f>
        <v>0</v>
      </c>
      <c r="K1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3" spans="10:12">
      <c r="J1633">
        <f>DropAnalityka[[#This Row],[Sell Drop]]+IF(DropAnalityka[[#This Row],[Drop]]="Scroll", 2000*DropAnalityka[[#This Row],[Quality/Quantity]],0)</f>
        <v>0</v>
      </c>
      <c r="K1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4" spans="10:12">
      <c r="J1634">
        <f>DropAnalityka[[#This Row],[Sell Drop]]+IF(DropAnalityka[[#This Row],[Drop]]="Scroll", 2000*DropAnalityka[[#This Row],[Quality/Quantity]],0)</f>
        <v>0</v>
      </c>
      <c r="K1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5" spans="10:12">
      <c r="J1635">
        <f>DropAnalityka[[#This Row],[Sell Drop]]+IF(DropAnalityka[[#This Row],[Drop]]="Scroll", 2000*DropAnalityka[[#This Row],[Quality/Quantity]],0)</f>
        <v>0</v>
      </c>
      <c r="K1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6" spans="10:12">
      <c r="J1636">
        <f>DropAnalityka[[#This Row],[Sell Drop]]+IF(DropAnalityka[[#This Row],[Drop]]="Scroll", 2000*DropAnalityka[[#This Row],[Quality/Quantity]],0)</f>
        <v>0</v>
      </c>
      <c r="K1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7" spans="10:12">
      <c r="J1637">
        <f>DropAnalityka[[#This Row],[Sell Drop]]+IF(DropAnalityka[[#This Row],[Drop]]="Scroll", 2000*DropAnalityka[[#This Row],[Quality/Quantity]],0)</f>
        <v>0</v>
      </c>
      <c r="K1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8" spans="10:12">
      <c r="J1638">
        <f>DropAnalityka[[#This Row],[Sell Drop]]+IF(DropAnalityka[[#This Row],[Drop]]="Scroll", 2000*DropAnalityka[[#This Row],[Quality/Quantity]],0)</f>
        <v>0</v>
      </c>
      <c r="K1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9" spans="10:12">
      <c r="J1639">
        <f>DropAnalityka[[#This Row],[Sell Drop]]+IF(DropAnalityka[[#This Row],[Drop]]="Scroll", 2000*DropAnalityka[[#This Row],[Quality/Quantity]],0)</f>
        <v>0</v>
      </c>
      <c r="K1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0" spans="10:12">
      <c r="J1640">
        <f>DropAnalityka[[#This Row],[Sell Drop]]+IF(DropAnalityka[[#This Row],[Drop]]="Scroll", 2000*DropAnalityka[[#This Row],[Quality/Quantity]],0)</f>
        <v>0</v>
      </c>
      <c r="K1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1" spans="10:12">
      <c r="J1641">
        <f>DropAnalityka[[#This Row],[Sell Drop]]+IF(DropAnalityka[[#This Row],[Drop]]="Scroll", 2000*DropAnalityka[[#This Row],[Quality/Quantity]],0)</f>
        <v>0</v>
      </c>
      <c r="K1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2" spans="10:12">
      <c r="J1642">
        <f>DropAnalityka[[#This Row],[Sell Drop]]+IF(DropAnalityka[[#This Row],[Drop]]="Scroll", 2000*DropAnalityka[[#This Row],[Quality/Quantity]],0)</f>
        <v>0</v>
      </c>
      <c r="K1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3" spans="10:12">
      <c r="J1643">
        <f>DropAnalityka[[#This Row],[Sell Drop]]+IF(DropAnalityka[[#This Row],[Drop]]="Scroll", 2000*DropAnalityka[[#This Row],[Quality/Quantity]],0)</f>
        <v>0</v>
      </c>
      <c r="K1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4" spans="10:12">
      <c r="J1644">
        <f>DropAnalityka[[#This Row],[Sell Drop]]+IF(DropAnalityka[[#This Row],[Drop]]="Scroll", 2000*DropAnalityka[[#This Row],[Quality/Quantity]],0)</f>
        <v>0</v>
      </c>
      <c r="K1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5" spans="10:12">
      <c r="J1645">
        <f>DropAnalityka[[#This Row],[Sell Drop]]+IF(DropAnalityka[[#This Row],[Drop]]="Scroll", 2000*DropAnalityka[[#This Row],[Quality/Quantity]],0)</f>
        <v>0</v>
      </c>
      <c r="K1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6" spans="10:12">
      <c r="J1646">
        <f>DropAnalityka[[#This Row],[Sell Drop]]+IF(DropAnalityka[[#This Row],[Drop]]="Scroll", 2000*DropAnalityka[[#This Row],[Quality/Quantity]],0)</f>
        <v>0</v>
      </c>
      <c r="K1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7" spans="10:12">
      <c r="J1647">
        <f>DropAnalityka[[#This Row],[Sell Drop]]+IF(DropAnalityka[[#This Row],[Drop]]="Scroll", 2000*DropAnalityka[[#This Row],[Quality/Quantity]],0)</f>
        <v>0</v>
      </c>
      <c r="K1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8" spans="10:12">
      <c r="J1648">
        <f>DropAnalityka[[#This Row],[Sell Drop]]+IF(DropAnalityka[[#This Row],[Drop]]="Scroll", 2000*DropAnalityka[[#This Row],[Quality/Quantity]],0)</f>
        <v>0</v>
      </c>
      <c r="K1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49" spans="10:12">
      <c r="J1649">
        <f>DropAnalityka[[#This Row],[Sell Drop]]+IF(DropAnalityka[[#This Row],[Drop]]="Scroll", 2000*DropAnalityka[[#This Row],[Quality/Quantity]],0)</f>
        <v>0</v>
      </c>
      <c r="K1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0" spans="10:12">
      <c r="J1650">
        <f>DropAnalityka[[#This Row],[Sell Drop]]+IF(DropAnalityka[[#This Row],[Drop]]="Scroll", 2000*DropAnalityka[[#This Row],[Quality/Quantity]],0)</f>
        <v>0</v>
      </c>
      <c r="K1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1" spans="10:12">
      <c r="J1651">
        <f>DropAnalityka[[#This Row],[Sell Drop]]+IF(DropAnalityka[[#This Row],[Drop]]="Scroll", 2000*DropAnalityka[[#This Row],[Quality/Quantity]],0)</f>
        <v>0</v>
      </c>
      <c r="K1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2" spans="10:12">
      <c r="J1652">
        <f>DropAnalityka[[#This Row],[Sell Drop]]+IF(DropAnalityka[[#This Row],[Drop]]="Scroll", 2000*DropAnalityka[[#This Row],[Quality/Quantity]],0)</f>
        <v>0</v>
      </c>
      <c r="K1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3" spans="10:12">
      <c r="J1653">
        <f>DropAnalityka[[#This Row],[Sell Drop]]+IF(DropAnalityka[[#This Row],[Drop]]="Scroll", 2000*DropAnalityka[[#This Row],[Quality/Quantity]],0)</f>
        <v>0</v>
      </c>
      <c r="K1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4" spans="10:12">
      <c r="J1654">
        <f>DropAnalityka[[#This Row],[Sell Drop]]+IF(DropAnalityka[[#This Row],[Drop]]="Scroll", 2000*DropAnalityka[[#This Row],[Quality/Quantity]],0)</f>
        <v>0</v>
      </c>
      <c r="K1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5" spans="10:12">
      <c r="J1655">
        <f>DropAnalityka[[#This Row],[Sell Drop]]+IF(DropAnalityka[[#This Row],[Drop]]="Scroll", 2000*DropAnalityka[[#This Row],[Quality/Quantity]],0)</f>
        <v>0</v>
      </c>
      <c r="K1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6" spans="10:12">
      <c r="J1656">
        <f>DropAnalityka[[#This Row],[Sell Drop]]+IF(DropAnalityka[[#This Row],[Drop]]="Scroll", 2000*DropAnalityka[[#This Row],[Quality/Quantity]],0)</f>
        <v>0</v>
      </c>
      <c r="K1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7" spans="10:12">
      <c r="J1657">
        <f>DropAnalityka[[#This Row],[Sell Drop]]+IF(DropAnalityka[[#This Row],[Drop]]="Scroll", 2000*DropAnalityka[[#This Row],[Quality/Quantity]],0)</f>
        <v>0</v>
      </c>
      <c r="K1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8" spans="10:12">
      <c r="J1658">
        <f>DropAnalityka[[#This Row],[Sell Drop]]+IF(DropAnalityka[[#This Row],[Drop]]="Scroll", 2000*DropAnalityka[[#This Row],[Quality/Quantity]],0)</f>
        <v>0</v>
      </c>
      <c r="K1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9" spans="10:12">
      <c r="J1659">
        <f>DropAnalityka[[#This Row],[Sell Drop]]+IF(DropAnalityka[[#This Row],[Drop]]="Scroll", 2000*DropAnalityka[[#This Row],[Quality/Quantity]],0)</f>
        <v>0</v>
      </c>
      <c r="K1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0" spans="10:12">
      <c r="J1660">
        <f>DropAnalityka[[#This Row],[Sell Drop]]+IF(DropAnalityka[[#This Row],[Drop]]="Scroll", 2000*DropAnalityka[[#This Row],[Quality/Quantity]],0)</f>
        <v>0</v>
      </c>
      <c r="K1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1" spans="10:12">
      <c r="J1661">
        <f>DropAnalityka[[#This Row],[Sell Drop]]+IF(DropAnalityka[[#This Row],[Drop]]="Scroll", 2000*DropAnalityka[[#This Row],[Quality/Quantity]],0)</f>
        <v>0</v>
      </c>
      <c r="K1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2" spans="10:12">
      <c r="J1662">
        <f>DropAnalityka[[#This Row],[Sell Drop]]+IF(DropAnalityka[[#This Row],[Drop]]="Scroll", 2000*DropAnalityka[[#This Row],[Quality/Quantity]],0)</f>
        <v>0</v>
      </c>
      <c r="K1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3" spans="10:12">
      <c r="J1663">
        <f>DropAnalityka[[#This Row],[Sell Drop]]+IF(DropAnalityka[[#This Row],[Drop]]="Scroll", 2000*DropAnalityka[[#This Row],[Quality/Quantity]],0)</f>
        <v>0</v>
      </c>
      <c r="K1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4" spans="10:12">
      <c r="J1664">
        <f>DropAnalityka[[#This Row],[Sell Drop]]+IF(DropAnalityka[[#This Row],[Drop]]="Scroll", 2000*DropAnalityka[[#This Row],[Quality/Quantity]],0)</f>
        <v>0</v>
      </c>
      <c r="K1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5" spans="10:12">
      <c r="J1665">
        <f>DropAnalityka[[#This Row],[Sell Drop]]+IF(DropAnalityka[[#This Row],[Drop]]="Scroll", 2000*DropAnalityka[[#This Row],[Quality/Quantity]],0)</f>
        <v>0</v>
      </c>
      <c r="K1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6" spans="10:12">
      <c r="J1666">
        <f>DropAnalityka[[#This Row],[Sell Drop]]+IF(DropAnalityka[[#This Row],[Drop]]="Scroll", 2000*DropAnalityka[[#This Row],[Quality/Quantity]],0)</f>
        <v>0</v>
      </c>
      <c r="K1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7" spans="10:12">
      <c r="J1667">
        <f>DropAnalityka[[#This Row],[Sell Drop]]+IF(DropAnalityka[[#This Row],[Drop]]="Scroll", 2000*DropAnalityka[[#This Row],[Quality/Quantity]],0)</f>
        <v>0</v>
      </c>
      <c r="K1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8" spans="10:12">
      <c r="J1668">
        <f>DropAnalityka[[#This Row],[Sell Drop]]+IF(DropAnalityka[[#This Row],[Drop]]="Scroll", 2000*DropAnalityka[[#This Row],[Quality/Quantity]],0)</f>
        <v>0</v>
      </c>
      <c r="K1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9" spans="10:12">
      <c r="J1669">
        <f>DropAnalityka[[#This Row],[Sell Drop]]+IF(DropAnalityka[[#This Row],[Drop]]="Scroll", 2000*DropAnalityka[[#This Row],[Quality/Quantity]],0)</f>
        <v>0</v>
      </c>
      <c r="K1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0" spans="10:12">
      <c r="J1670">
        <f>DropAnalityka[[#This Row],[Sell Drop]]+IF(DropAnalityka[[#This Row],[Drop]]="Scroll", 2000*DropAnalityka[[#This Row],[Quality/Quantity]],0)</f>
        <v>0</v>
      </c>
      <c r="K1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1" spans="10:12">
      <c r="J1671">
        <f>DropAnalityka[[#This Row],[Sell Drop]]+IF(DropAnalityka[[#This Row],[Drop]]="Scroll", 2000*DropAnalityka[[#This Row],[Quality/Quantity]],0)</f>
        <v>0</v>
      </c>
      <c r="K1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2" spans="10:12">
      <c r="J1672">
        <f>DropAnalityka[[#This Row],[Sell Drop]]+IF(DropAnalityka[[#This Row],[Drop]]="Scroll", 2000*DropAnalityka[[#This Row],[Quality/Quantity]],0)</f>
        <v>0</v>
      </c>
      <c r="K1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3" spans="10:12">
      <c r="J1673">
        <f>DropAnalityka[[#This Row],[Sell Drop]]+IF(DropAnalityka[[#This Row],[Drop]]="Scroll", 2000*DropAnalityka[[#This Row],[Quality/Quantity]],0)</f>
        <v>0</v>
      </c>
      <c r="K1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4" spans="10:12">
      <c r="J1674">
        <f>DropAnalityka[[#This Row],[Sell Drop]]+IF(DropAnalityka[[#This Row],[Drop]]="Scroll", 2000*DropAnalityka[[#This Row],[Quality/Quantity]],0)</f>
        <v>0</v>
      </c>
      <c r="K1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5" spans="10:12">
      <c r="J1675">
        <f>DropAnalityka[[#This Row],[Sell Drop]]+IF(DropAnalityka[[#This Row],[Drop]]="Scroll", 2000*DropAnalityka[[#This Row],[Quality/Quantity]],0)</f>
        <v>0</v>
      </c>
      <c r="K1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6" spans="10:12">
      <c r="J1676">
        <f>DropAnalityka[[#This Row],[Sell Drop]]+IF(DropAnalityka[[#This Row],[Drop]]="Scroll", 2000*DropAnalityka[[#This Row],[Quality/Quantity]],0)</f>
        <v>0</v>
      </c>
      <c r="K1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7" spans="10:12">
      <c r="J1677">
        <f>DropAnalityka[[#This Row],[Sell Drop]]+IF(DropAnalityka[[#This Row],[Drop]]="Scroll", 2000*DropAnalityka[[#This Row],[Quality/Quantity]],0)</f>
        <v>0</v>
      </c>
      <c r="K1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8" spans="10:12">
      <c r="J1678">
        <f>DropAnalityka[[#This Row],[Sell Drop]]+IF(DropAnalityka[[#This Row],[Drop]]="Scroll", 2000*DropAnalityka[[#This Row],[Quality/Quantity]],0)</f>
        <v>0</v>
      </c>
      <c r="K1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9" spans="10:12">
      <c r="J1679">
        <f>DropAnalityka[[#This Row],[Sell Drop]]+IF(DropAnalityka[[#This Row],[Drop]]="Scroll", 2000*DropAnalityka[[#This Row],[Quality/Quantity]],0)</f>
        <v>0</v>
      </c>
      <c r="K1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0" spans="10:12">
      <c r="J1680">
        <f>DropAnalityka[[#This Row],[Sell Drop]]+IF(DropAnalityka[[#This Row],[Drop]]="Scroll", 2000*DropAnalityka[[#This Row],[Quality/Quantity]],0)</f>
        <v>0</v>
      </c>
      <c r="K1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1" spans="10:12">
      <c r="J1681">
        <f>DropAnalityka[[#This Row],[Sell Drop]]+IF(DropAnalityka[[#This Row],[Drop]]="Scroll", 2000*DropAnalityka[[#This Row],[Quality/Quantity]],0)</f>
        <v>0</v>
      </c>
      <c r="K1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2" spans="10:12">
      <c r="J1682">
        <f>DropAnalityka[[#This Row],[Sell Drop]]+IF(DropAnalityka[[#This Row],[Drop]]="Scroll", 2000*DropAnalityka[[#This Row],[Quality/Quantity]],0)</f>
        <v>0</v>
      </c>
      <c r="K1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3" spans="10:12">
      <c r="J1683">
        <f>DropAnalityka[[#This Row],[Sell Drop]]+IF(DropAnalityka[[#This Row],[Drop]]="Scroll", 2000*DropAnalityka[[#This Row],[Quality/Quantity]],0)</f>
        <v>0</v>
      </c>
      <c r="K1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4" spans="10:12">
      <c r="J1684">
        <f>DropAnalityka[[#This Row],[Sell Drop]]+IF(DropAnalityka[[#This Row],[Drop]]="Scroll", 2000*DropAnalityka[[#This Row],[Quality/Quantity]],0)</f>
        <v>0</v>
      </c>
      <c r="K1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5" spans="10:12">
      <c r="J1685">
        <f>DropAnalityka[[#This Row],[Sell Drop]]+IF(DropAnalityka[[#This Row],[Drop]]="Scroll", 2000*DropAnalityka[[#This Row],[Quality/Quantity]],0)</f>
        <v>0</v>
      </c>
      <c r="K1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6" spans="10:12">
      <c r="J1686">
        <f>DropAnalityka[[#This Row],[Sell Drop]]+IF(DropAnalityka[[#This Row],[Drop]]="Scroll", 2000*DropAnalityka[[#This Row],[Quality/Quantity]],0)</f>
        <v>0</v>
      </c>
      <c r="K1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7" spans="10:12">
      <c r="J1687">
        <f>DropAnalityka[[#This Row],[Sell Drop]]+IF(DropAnalityka[[#This Row],[Drop]]="Scroll", 2000*DropAnalityka[[#This Row],[Quality/Quantity]],0)</f>
        <v>0</v>
      </c>
      <c r="K1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8" spans="10:12">
      <c r="J1688">
        <f>DropAnalityka[[#This Row],[Sell Drop]]+IF(DropAnalityka[[#This Row],[Drop]]="Scroll", 2000*DropAnalityka[[#This Row],[Quality/Quantity]],0)</f>
        <v>0</v>
      </c>
      <c r="K1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9" spans="10:12">
      <c r="J1689">
        <f>DropAnalityka[[#This Row],[Sell Drop]]+IF(DropAnalityka[[#This Row],[Drop]]="Scroll", 2000*DropAnalityka[[#This Row],[Quality/Quantity]],0)</f>
        <v>0</v>
      </c>
      <c r="K1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0" spans="10:12">
      <c r="J1690">
        <f>DropAnalityka[[#This Row],[Sell Drop]]+IF(DropAnalityka[[#This Row],[Drop]]="Scroll", 2000*DropAnalityka[[#This Row],[Quality/Quantity]],0)</f>
        <v>0</v>
      </c>
      <c r="K1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1" spans="10:12">
      <c r="J1691">
        <f>DropAnalityka[[#This Row],[Sell Drop]]+IF(DropAnalityka[[#This Row],[Drop]]="Scroll", 2000*DropAnalityka[[#This Row],[Quality/Quantity]],0)</f>
        <v>0</v>
      </c>
      <c r="K1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2" spans="10:12">
      <c r="J1692">
        <f>DropAnalityka[[#This Row],[Sell Drop]]+IF(DropAnalityka[[#This Row],[Drop]]="Scroll", 2000*DropAnalityka[[#This Row],[Quality/Quantity]],0)</f>
        <v>0</v>
      </c>
      <c r="K1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3" spans="10:12">
      <c r="J1693">
        <f>DropAnalityka[[#This Row],[Sell Drop]]+IF(DropAnalityka[[#This Row],[Drop]]="Scroll", 2000*DropAnalityka[[#This Row],[Quality/Quantity]],0)</f>
        <v>0</v>
      </c>
      <c r="K1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4" spans="10:12">
      <c r="J1694">
        <f>DropAnalityka[[#This Row],[Sell Drop]]+IF(DropAnalityka[[#This Row],[Drop]]="Scroll", 2000*DropAnalityka[[#This Row],[Quality/Quantity]],0)</f>
        <v>0</v>
      </c>
      <c r="K1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5" spans="10:12">
      <c r="J1695">
        <f>DropAnalityka[[#This Row],[Sell Drop]]+IF(DropAnalityka[[#This Row],[Drop]]="Scroll", 2000*DropAnalityka[[#This Row],[Quality/Quantity]],0)</f>
        <v>0</v>
      </c>
      <c r="K1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6" spans="10:12">
      <c r="J1696">
        <f>DropAnalityka[[#This Row],[Sell Drop]]+IF(DropAnalityka[[#This Row],[Drop]]="Scroll", 2000*DropAnalityka[[#This Row],[Quality/Quantity]],0)</f>
        <v>0</v>
      </c>
      <c r="K1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7" spans="10:12">
      <c r="J1697">
        <f>DropAnalityka[[#This Row],[Sell Drop]]+IF(DropAnalityka[[#This Row],[Drop]]="Scroll", 2000*DropAnalityka[[#This Row],[Quality/Quantity]],0)</f>
        <v>0</v>
      </c>
      <c r="K1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8" spans="10:12">
      <c r="J1698">
        <f>DropAnalityka[[#This Row],[Sell Drop]]+IF(DropAnalityka[[#This Row],[Drop]]="Scroll", 2000*DropAnalityka[[#This Row],[Quality/Quantity]],0)</f>
        <v>0</v>
      </c>
      <c r="K1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9" spans="10:12">
      <c r="J1699">
        <f>DropAnalityka[[#This Row],[Sell Drop]]+IF(DropAnalityka[[#This Row],[Drop]]="Scroll", 2000*DropAnalityka[[#This Row],[Quality/Quantity]],0)</f>
        <v>0</v>
      </c>
      <c r="K1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0" spans="10:12">
      <c r="J1700">
        <f>DropAnalityka[[#This Row],[Sell Drop]]+IF(DropAnalityka[[#This Row],[Drop]]="Scroll", 2000*DropAnalityka[[#This Row],[Quality/Quantity]],0)</f>
        <v>0</v>
      </c>
      <c r="K1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1" spans="10:12">
      <c r="J1701">
        <f>DropAnalityka[[#This Row],[Sell Drop]]+IF(DropAnalityka[[#This Row],[Drop]]="Scroll", 2000*DropAnalityka[[#This Row],[Quality/Quantity]],0)</f>
        <v>0</v>
      </c>
      <c r="K1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2" spans="10:12">
      <c r="J1702">
        <f>DropAnalityka[[#This Row],[Sell Drop]]+IF(DropAnalityka[[#This Row],[Drop]]="Scroll", 2000*DropAnalityka[[#This Row],[Quality/Quantity]],0)</f>
        <v>0</v>
      </c>
      <c r="K1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3" spans="10:12">
      <c r="J1703">
        <f>DropAnalityka[[#This Row],[Sell Drop]]+IF(DropAnalityka[[#This Row],[Drop]]="Scroll", 2000*DropAnalityka[[#This Row],[Quality/Quantity]],0)</f>
        <v>0</v>
      </c>
      <c r="K1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4" spans="10:12">
      <c r="J1704">
        <f>DropAnalityka[[#This Row],[Sell Drop]]+IF(DropAnalityka[[#This Row],[Drop]]="Scroll", 2000*DropAnalityka[[#This Row],[Quality/Quantity]],0)</f>
        <v>0</v>
      </c>
      <c r="K1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5" spans="10:12">
      <c r="J1705">
        <f>DropAnalityka[[#This Row],[Sell Drop]]+IF(DropAnalityka[[#This Row],[Drop]]="Scroll", 2000*DropAnalityka[[#This Row],[Quality/Quantity]],0)</f>
        <v>0</v>
      </c>
      <c r="K1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6" spans="10:12">
      <c r="J1706">
        <f>DropAnalityka[[#This Row],[Sell Drop]]+IF(DropAnalityka[[#This Row],[Drop]]="Scroll", 2000*DropAnalityka[[#This Row],[Quality/Quantity]],0)</f>
        <v>0</v>
      </c>
      <c r="K1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7" spans="10:12">
      <c r="J1707">
        <f>DropAnalityka[[#This Row],[Sell Drop]]+IF(DropAnalityka[[#This Row],[Drop]]="Scroll", 2000*DropAnalityka[[#This Row],[Quality/Quantity]],0)</f>
        <v>0</v>
      </c>
      <c r="K1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8" spans="10:12">
      <c r="J1708">
        <f>DropAnalityka[[#This Row],[Sell Drop]]+IF(DropAnalityka[[#This Row],[Drop]]="Scroll", 2000*DropAnalityka[[#This Row],[Quality/Quantity]],0)</f>
        <v>0</v>
      </c>
      <c r="K1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9" spans="10:12">
      <c r="J1709">
        <f>DropAnalityka[[#This Row],[Sell Drop]]+IF(DropAnalityka[[#This Row],[Drop]]="Scroll", 2000*DropAnalityka[[#This Row],[Quality/Quantity]],0)</f>
        <v>0</v>
      </c>
      <c r="K1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0" spans="10:12">
      <c r="J1710">
        <f>DropAnalityka[[#This Row],[Sell Drop]]+IF(DropAnalityka[[#This Row],[Drop]]="Scroll", 2000*DropAnalityka[[#This Row],[Quality/Quantity]],0)</f>
        <v>0</v>
      </c>
      <c r="K1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1" spans="10:12">
      <c r="J1711">
        <f>DropAnalityka[[#This Row],[Sell Drop]]+IF(DropAnalityka[[#This Row],[Drop]]="Scroll", 2000*DropAnalityka[[#This Row],[Quality/Quantity]],0)</f>
        <v>0</v>
      </c>
      <c r="K1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2" spans="10:12">
      <c r="J1712">
        <f>DropAnalityka[[#This Row],[Sell Drop]]+IF(DropAnalityka[[#This Row],[Drop]]="Scroll", 2000*DropAnalityka[[#This Row],[Quality/Quantity]],0)</f>
        <v>0</v>
      </c>
      <c r="K1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3" spans="10:12">
      <c r="J1713">
        <f>DropAnalityka[[#This Row],[Sell Drop]]+IF(DropAnalityka[[#This Row],[Drop]]="Scroll", 2000*DropAnalityka[[#This Row],[Quality/Quantity]],0)</f>
        <v>0</v>
      </c>
      <c r="K1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4" spans="10:12">
      <c r="J1714">
        <f>DropAnalityka[[#This Row],[Sell Drop]]+IF(DropAnalityka[[#This Row],[Drop]]="Scroll", 2000*DropAnalityka[[#This Row],[Quality/Quantity]],0)</f>
        <v>0</v>
      </c>
      <c r="K1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5" spans="10:12">
      <c r="J1715">
        <f>DropAnalityka[[#This Row],[Sell Drop]]+IF(DropAnalityka[[#This Row],[Drop]]="Scroll", 2000*DropAnalityka[[#This Row],[Quality/Quantity]],0)</f>
        <v>0</v>
      </c>
      <c r="K1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6" spans="10:12">
      <c r="J1716">
        <f>DropAnalityka[[#This Row],[Sell Drop]]+IF(DropAnalityka[[#This Row],[Drop]]="Scroll", 2000*DropAnalityka[[#This Row],[Quality/Quantity]],0)</f>
        <v>0</v>
      </c>
      <c r="K1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7" spans="10:12">
      <c r="J1717">
        <f>DropAnalityka[[#This Row],[Sell Drop]]+IF(DropAnalityka[[#This Row],[Drop]]="Scroll", 2000*DropAnalityka[[#This Row],[Quality/Quantity]],0)</f>
        <v>0</v>
      </c>
      <c r="K1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8" spans="10:12">
      <c r="J1718">
        <f>DropAnalityka[[#This Row],[Sell Drop]]+IF(DropAnalityka[[#This Row],[Drop]]="Scroll", 2000*DropAnalityka[[#This Row],[Quality/Quantity]],0)</f>
        <v>0</v>
      </c>
      <c r="K1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9" spans="10:12">
      <c r="J1719">
        <f>DropAnalityka[[#This Row],[Sell Drop]]+IF(DropAnalityka[[#This Row],[Drop]]="Scroll", 2000*DropAnalityka[[#This Row],[Quality/Quantity]],0)</f>
        <v>0</v>
      </c>
      <c r="K1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0" spans="10:12">
      <c r="J1720">
        <f>DropAnalityka[[#This Row],[Sell Drop]]+IF(DropAnalityka[[#This Row],[Drop]]="Scroll", 2000*DropAnalityka[[#This Row],[Quality/Quantity]],0)</f>
        <v>0</v>
      </c>
      <c r="K1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1" spans="10:12">
      <c r="J1721">
        <f>DropAnalityka[[#This Row],[Sell Drop]]+IF(DropAnalityka[[#This Row],[Drop]]="Scroll", 2000*DropAnalityka[[#This Row],[Quality/Quantity]],0)</f>
        <v>0</v>
      </c>
      <c r="K1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2" spans="10:12">
      <c r="J1722">
        <f>DropAnalityka[[#This Row],[Sell Drop]]+IF(DropAnalityka[[#This Row],[Drop]]="Scroll", 2000*DropAnalityka[[#This Row],[Quality/Quantity]],0)</f>
        <v>0</v>
      </c>
      <c r="K1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3" spans="10:12">
      <c r="J1723">
        <f>DropAnalityka[[#This Row],[Sell Drop]]+IF(DropAnalityka[[#This Row],[Drop]]="Scroll", 2000*DropAnalityka[[#This Row],[Quality/Quantity]],0)</f>
        <v>0</v>
      </c>
      <c r="K1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4" spans="10:12">
      <c r="J1724">
        <f>DropAnalityka[[#This Row],[Sell Drop]]+IF(DropAnalityka[[#This Row],[Drop]]="Scroll", 2000*DropAnalityka[[#This Row],[Quality/Quantity]],0)</f>
        <v>0</v>
      </c>
      <c r="K1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5" spans="10:12">
      <c r="J1725">
        <f>DropAnalityka[[#This Row],[Sell Drop]]+IF(DropAnalityka[[#This Row],[Drop]]="Scroll", 2000*DropAnalityka[[#This Row],[Quality/Quantity]],0)</f>
        <v>0</v>
      </c>
      <c r="K1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6" spans="10:12">
      <c r="J1726">
        <f>DropAnalityka[[#This Row],[Sell Drop]]+IF(DropAnalityka[[#This Row],[Drop]]="Scroll", 2000*DropAnalityka[[#This Row],[Quality/Quantity]],0)</f>
        <v>0</v>
      </c>
      <c r="K1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7" spans="10:12">
      <c r="J1727">
        <f>DropAnalityka[[#This Row],[Sell Drop]]+IF(DropAnalityka[[#This Row],[Drop]]="Scroll", 2000*DropAnalityka[[#This Row],[Quality/Quantity]],0)</f>
        <v>0</v>
      </c>
      <c r="K1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8" spans="10:12">
      <c r="J1728">
        <f>DropAnalityka[[#This Row],[Sell Drop]]+IF(DropAnalityka[[#This Row],[Drop]]="Scroll", 2000*DropAnalityka[[#This Row],[Quality/Quantity]],0)</f>
        <v>0</v>
      </c>
      <c r="K1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9" spans="10:12">
      <c r="J1729">
        <f>DropAnalityka[[#This Row],[Sell Drop]]+IF(DropAnalityka[[#This Row],[Drop]]="Scroll", 2000*DropAnalityka[[#This Row],[Quality/Quantity]],0)</f>
        <v>0</v>
      </c>
      <c r="K1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0" spans="10:12">
      <c r="J1730">
        <f>DropAnalityka[[#This Row],[Sell Drop]]+IF(DropAnalityka[[#This Row],[Drop]]="Scroll", 2000*DropAnalityka[[#This Row],[Quality/Quantity]],0)</f>
        <v>0</v>
      </c>
      <c r="K1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1" spans="10:12">
      <c r="J1731">
        <f>DropAnalityka[[#This Row],[Sell Drop]]+IF(DropAnalityka[[#This Row],[Drop]]="Scroll", 2000*DropAnalityka[[#This Row],[Quality/Quantity]],0)</f>
        <v>0</v>
      </c>
      <c r="K1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2" spans="10:12">
      <c r="J1732">
        <f>DropAnalityka[[#This Row],[Sell Drop]]+IF(DropAnalityka[[#This Row],[Drop]]="Scroll", 2000*DropAnalityka[[#This Row],[Quality/Quantity]],0)</f>
        <v>0</v>
      </c>
      <c r="K1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3" spans="10:12">
      <c r="J1733">
        <f>DropAnalityka[[#This Row],[Sell Drop]]+IF(DropAnalityka[[#This Row],[Drop]]="Scroll", 2000*DropAnalityka[[#This Row],[Quality/Quantity]],0)</f>
        <v>0</v>
      </c>
      <c r="K1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4" spans="10:12">
      <c r="J1734">
        <f>DropAnalityka[[#This Row],[Sell Drop]]+IF(DropAnalityka[[#This Row],[Drop]]="Scroll", 2000*DropAnalityka[[#This Row],[Quality/Quantity]],0)</f>
        <v>0</v>
      </c>
      <c r="K1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5" spans="10:12">
      <c r="J1735">
        <f>DropAnalityka[[#This Row],[Sell Drop]]+IF(DropAnalityka[[#This Row],[Drop]]="Scroll", 2000*DropAnalityka[[#This Row],[Quality/Quantity]],0)</f>
        <v>0</v>
      </c>
      <c r="K1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6" spans="10:12">
      <c r="J1736">
        <f>DropAnalityka[[#This Row],[Sell Drop]]+IF(DropAnalityka[[#This Row],[Drop]]="Scroll", 2000*DropAnalityka[[#This Row],[Quality/Quantity]],0)</f>
        <v>0</v>
      </c>
      <c r="K1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7" spans="10:12">
      <c r="J1737">
        <f>DropAnalityka[[#This Row],[Sell Drop]]+IF(DropAnalityka[[#This Row],[Drop]]="Scroll", 2000*DropAnalityka[[#This Row],[Quality/Quantity]],0)</f>
        <v>0</v>
      </c>
      <c r="K1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8" spans="10:12">
      <c r="J1738">
        <f>DropAnalityka[[#This Row],[Sell Drop]]+IF(DropAnalityka[[#This Row],[Drop]]="Scroll", 2000*DropAnalityka[[#This Row],[Quality/Quantity]],0)</f>
        <v>0</v>
      </c>
      <c r="K1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9" spans="10:12">
      <c r="J1739">
        <f>DropAnalityka[[#This Row],[Sell Drop]]+IF(DropAnalityka[[#This Row],[Drop]]="Scroll", 2000*DropAnalityka[[#This Row],[Quality/Quantity]],0)</f>
        <v>0</v>
      </c>
      <c r="K1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0" spans="10:12">
      <c r="J1740">
        <f>DropAnalityka[[#This Row],[Sell Drop]]+IF(DropAnalityka[[#This Row],[Drop]]="Scroll", 2000*DropAnalityka[[#This Row],[Quality/Quantity]],0)</f>
        <v>0</v>
      </c>
      <c r="K1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1" spans="10:12">
      <c r="J1741">
        <f>DropAnalityka[[#This Row],[Sell Drop]]+IF(DropAnalityka[[#This Row],[Drop]]="Scroll", 2000*DropAnalityka[[#This Row],[Quality/Quantity]],0)</f>
        <v>0</v>
      </c>
      <c r="K1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2" spans="10:12">
      <c r="J1742">
        <f>DropAnalityka[[#This Row],[Sell Drop]]+IF(DropAnalityka[[#This Row],[Drop]]="Scroll", 2000*DropAnalityka[[#This Row],[Quality/Quantity]],0)</f>
        <v>0</v>
      </c>
      <c r="K1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3" spans="10:12">
      <c r="J1743">
        <f>DropAnalityka[[#This Row],[Sell Drop]]+IF(DropAnalityka[[#This Row],[Drop]]="Scroll", 2000*DropAnalityka[[#This Row],[Quality/Quantity]],0)</f>
        <v>0</v>
      </c>
      <c r="K1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4" spans="10:12">
      <c r="J1744">
        <f>DropAnalityka[[#This Row],[Sell Drop]]+IF(DropAnalityka[[#This Row],[Drop]]="Scroll", 2000*DropAnalityka[[#This Row],[Quality/Quantity]],0)</f>
        <v>0</v>
      </c>
      <c r="K17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5" spans="10:12">
      <c r="J1745">
        <f>DropAnalityka[[#This Row],[Sell Drop]]+IF(DropAnalityka[[#This Row],[Drop]]="Scroll", 2000*DropAnalityka[[#This Row],[Quality/Quantity]],0)</f>
        <v>0</v>
      </c>
      <c r="K17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6" spans="10:12">
      <c r="J1746">
        <f>DropAnalityka[[#This Row],[Sell Drop]]+IF(DropAnalityka[[#This Row],[Drop]]="Scroll", 2000*DropAnalityka[[#This Row],[Quality/Quantity]],0)</f>
        <v>0</v>
      </c>
      <c r="K17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7" spans="10:12">
      <c r="J1747">
        <f>DropAnalityka[[#This Row],[Sell Drop]]+IF(DropAnalityka[[#This Row],[Drop]]="Scroll", 2000*DropAnalityka[[#This Row],[Quality/Quantity]],0)</f>
        <v>0</v>
      </c>
      <c r="K17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8" spans="10:12">
      <c r="J1748">
        <f>DropAnalityka[[#This Row],[Sell Drop]]+IF(DropAnalityka[[#This Row],[Drop]]="Scroll", 2000*DropAnalityka[[#This Row],[Quality/Quantity]],0)</f>
        <v>0</v>
      </c>
      <c r="K17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9" spans="10:12">
      <c r="J1749">
        <f>DropAnalityka[[#This Row],[Sell Drop]]+IF(DropAnalityka[[#This Row],[Drop]]="Scroll", 2000*DropAnalityka[[#This Row],[Quality/Quantity]],0)</f>
        <v>0</v>
      </c>
      <c r="K17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0" spans="10:12">
      <c r="J1750">
        <f>DropAnalityka[[#This Row],[Sell Drop]]+IF(DropAnalityka[[#This Row],[Drop]]="Scroll", 2000*DropAnalityka[[#This Row],[Quality/Quantity]],0)</f>
        <v>0</v>
      </c>
      <c r="K17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1" spans="10:12">
      <c r="J1751">
        <f>DropAnalityka[[#This Row],[Sell Drop]]+IF(DropAnalityka[[#This Row],[Drop]]="Scroll", 2000*DropAnalityka[[#This Row],[Quality/Quantity]],0)</f>
        <v>0</v>
      </c>
      <c r="K17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2" spans="10:12">
      <c r="J1752">
        <f>DropAnalityka[[#This Row],[Sell Drop]]+IF(DropAnalityka[[#This Row],[Drop]]="Scroll", 2000*DropAnalityka[[#This Row],[Quality/Quantity]],0)</f>
        <v>0</v>
      </c>
      <c r="K17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3" spans="10:12">
      <c r="J1753">
        <f>DropAnalityka[[#This Row],[Sell Drop]]+IF(DropAnalityka[[#This Row],[Drop]]="Scroll", 2000*DropAnalityka[[#This Row],[Quality/Quantity]],0)</f>
        <v>0</v>
      </c>
      <c r="K17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4" spans="10:12">
      <c r="J1754">
        <f>DropAnalityka[[#This Row],[Sell Drop]]+IF(DropAnalityka[[#This Row],[Drop]]="Scroll", 2000*DropAnalityka[[#This Row],[Quality/Quantity]],0)</f>
        <v>0</v>
      </c>
      <c r="K17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5" spans="10:12">
      <c r="J1755">
        <f>DropAnalityka[[#This Row],[Sell Drop]]+IF(DropAnalityka[[#This Row],[Drop]]="Scroll", 2000*DropAnalityka[[#This Row],[Quality/Quantity]],0)</f>
        <v>0</v>
      </c>
      <c r="K17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6" spans="10:12">
      <c r="J1756">
        <f>DropAnalityka[[#This Row],[Sell Drop]]+IF(DropAnalityka[[#This Row],[Drop]]="Scroll", 2000*DropAnalityka[[#This Row],[Quality/Quantity]],0)</f>
        <v>0</v>
      </c>
      <c r="K17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7" spans="10:12">
      <c r="J1757">
        <f>DropAnalityka[[#This Row],[Sell Drop]]+IF(DropAnalityka[[#This Row],[Drop]]="Scroll", 2000*DropAnalityka[[#This Row],[Quality/Quantity]],0)</f>
        <v>0</v>
      </c>
      <c r="K17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8" spans="10:12">
      <c r="J1758">
        <f>DropAnalityka[[#This Row],[Sell Drop]]+IF(DropAnalityka[[#This Row],[Drop]]="Scroll", 2000*DropAnalityka[[#This Row],[Quality/Quantity]],0)</f>
        <v>0</v>
      </c>
      <c r="K17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9" spans="10:12">
      <c r="J1759">
        <f>DropAnalityka[[#This Row],[Sell Drop]]+IF(DropAnalityka[[#This Row],[Drop]]="Scroll", 2000*DropAnalityka[[#This Row],[Quality/Quantity]],0)</f>
        <v>0</v>
      </c>
      <c r="K17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0" spans="10:12">
      <c r="J1760">
        <f>DropAnalityka[[#This Row],[Sell Drop]]+IF(DropAnalityka[[#This Row],[Drop]]="Scroll", 2000*DropAnalityka[[#This Row],[Quality/Quantity]],0)</f>
        <v>0</v>
      </c>
      <c r="K17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1" spans="10:12">
      <c r="J1761">
        <f>DropAnalityka[[#This Row],[Sell Drop]]+IF(DropAnalityka[[#This Row],[Drop]]="Scroll", 2000*DropAnalityka[[#This Row],[Quality/Quantity]],0)</f>
        <v>0</v>
      </c>
      <c r="K17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2" spans="10:12">
      <c r="J1762">
        <f>DropAnalityka[[#This Row],[Sell Drop]]+IF(DropAnalityka[[#This Row],[Drop]]="Scroll", 2000*DropAnalityka[[#This Row],[Quality/Quantity]],0)</f>
        <v>0</v>
      </c>
      <c r="K17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3" spans="10:12">
      <c r="J1763">
        <f>DropAnalityka[[#This Row],[Sell Drop]]+IF(DropAnalityka[[#This Row],[Drop]]="Scroll", 2000*DropAnalityka[[#This Row],[Quality/Quantity]],0)</f>
        <v>0</v>
      </c>
      <c r="K17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4" spans="10:12">
      <c r="J1764">
        <f>DropAnalityka[[#This Row],[Sell Drop]]+IF(DropAnalityka[[#This Row],[Drop]]="Scroll", 2000*DropAnalityka[[#This Row],[Quality/Quantity]],0)</f>
        <v>0</v>
      </c>
      <c r="K17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5" spans="10:12">
      <c r="J1765">
        <f>DropAnalityka[[#This Row],[Sell Drop]]+IF(DropAnalityka[[#This Row],[Drop]]="Scroll", 2000*DropAnalityka[[#This Row],[Quality/Quantity]],0)</f>
        <v>0</v>
      </c>
      <c r="K17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6" spans="10:12">
      <c r="J1766">
        <f>DropAnalityka[[#This Row],[Sell Drop]]+IF(DropAnalityka[[#This Row],[Drop]]="Scroll", 2000*DropAnalityka[[#This Row],[Quality/Quantity]],0)</f>
        <v>0</v>
      </c>
      <c r="K17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7" spans="10:12">
      <c r="J1767">
        <f>DropAnalityka[[#This Row],[Sell Drop]]+IF(DropAnalityka[[#This Row],[Drop]]="Scroll", 2000*DropAnalityka[[#This Row],[Quality/Quantity]],0)</f>
        <v>0</v>
      </c>
      <c r="K17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8" spans="10:12">
      <c r="J1768">
        <f>DropAnalityka[[#This Row],[Sell Drop]]+IF(DropAnalityka[[#This Row],[Drop]]="Scroll", 2000*DropAnalityka[[#This Row],[Quality/Quantity]],0)</f>
        <v>0</v>
      </c>
      <c r="K17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9" spans="10:12">
      <c r="J1769">
        <f>DropAnalityka[[#This Row],[Sell Drop]]+IF(DropAnalityka[[#This Row],[Drop]]="Scroll", 2000*DropAnalityka[[#This Row],[Quality/Quantity]],0)</f>
        <v>0</v>
      </c>
      <c r="K17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0" spans="10:12">
      <c r="J1770">
        <f>DropAnalityka[[#This Row],[Sell Drop]]+IF(DropAnalityka[[#This Row],[Drop]]="Scroll", 2000*DropAnalityka[[#This Row],[Quality/Quantity]],0)</f>
        <v>0</v>
      </c>
      <c r="K17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1" spans="10:12">
      <c r="J1771">
        <f>DropAnalityka[[#This Row],[Sell Drop]]+IF(DropAnalityka[[#This Row],[Drop]]="Scroll", 2000*DropAnalityka[[#This Row],[Quality/Quantity]],0)</f>
        <v>0</v>
      </c>
      <c r="K17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2" spans="10:12">
      <c r="J1772">
        <f>DropAnalityka[[#This Row],[Sell Drop]]+IF(DropAnalityka[[#This Row],[Drop]]="Scroll", 2000*DropAnalityka[[#This Row],[Quality/Quantity]],0)</f>
        <v>0</v>
      </c>
      <c r="K17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3" spans="10:12">
      <c r="J1773">
        <f>DropAnalityka[[#This Row],[Sell Drop]]+IF(DropAnalityka[[#This Row],[Drop]]="Scroll", 2000*DropAnalityka[[#This Row],[Quality/Quantity]],0)</f>
        <v>0</v>
      </c>
      <c r="K17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4" spans="10:12">
      <c r="J1774">
        <f>DropAnalityka[[#This Row],[Sell Drop]]+IF(DropAnalityka[[#This Row],[Drop]]="Scroll", 2000*DropAnalityka[[#This Row],[Quality/Quantity]],0)</f>
        <v>0</v>
      </c>
      <c r="K17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5" spans="10:12">
      <c r="J1775">
        <f>DropAnalityka[[#This Row],[Sell Drop]]+IF(DropAnalityka[[#This Row],[Drop]]="Scroll", 2000*DropAnalityka[[#This Row],[Quality/Quantity]],0)</f>
        <v>0</v>
      </c>
      <c r="K17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6" spans="10:12">
      <c r="J1776">
        <f>DropAnalityka[[#This Row],[Sell Drop]]+IF(DropAnalityka[[#This Row],[Drop]]="Scroll", 2000*DropAnalityka[[#This Row],[Quality/Quantity]],0)</f>
        <v>0</v>
      </c>
      <c r="K17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7" spans="10:12">
      <c r="J1777">
        <f>DropAnalityka[[#This Row],[Sell Drop]]+IF(DropAnalityka[[#This Row],[Drop]]="Scroll", 2000*DropAnalityka[[#This Row],[Quality/Quantity]],0)</f>
        <v>0</v>
      </c>
      <c r="K17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8" spans="10:12">
      <c r="J1778">
        <f>DropAnalityka[[#This Row],[Sell Drop]]+IF(DropAnalityka[[#This Row],[Drop]]="Scroll", 2000*DropAnalityka[[#This Row],[Quality/Quantity]],0)</f>
        <v>0</v>
      </c>
      <c r="K17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9" spans="10:12">
      <c r="J1779">
        <f>DropAnalityka[[#This Row],[Sell Drop]]+IF(DropAnalityka[[#This Row],[Drop]]="Scroll", 2000*DropAnalityka[[#This Row],[Quality/Quantity]],0)</f>
        <v>0</v>
      </c>
      <c r="K17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0" spans="10:12">
      <c r="J1780">
        <f>DropAnalityka[[#This Row],[Sell Drop]]+IF(DropAnalityka[[#This Row],[Drop]]="Scroll", 2000*DropAnalityka[[#This Row],[Quality/Quantity]],0)</f>
        <v>0</v>
      </c>
      <c r="K17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1" spans="10:12">
      <c r="J1781">
        <f>DropAnalityka[[#This Row],[Sell Drop]]+IF(DropAnalityka[[#This Row],[Drop]]="Scroll", 2000*DropAnalityka[[#This Row],[Quality/Quantity]],0)</f>
        <v>0</v>
      </c>
      <c r="K17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2" spans="10:12">
      <c r="J1782">
        <f>DropAnalityka[[#This Row],[Sell Drop]]+IF(DropAnalityka[[#This Row],[Drop]]="Scroll", 2000*DropAnalityka[[#This Row],[Quality/Quantity]],0)</f>
        <v>0</v>
      </c>
      <c r="K17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3" spans="10:12">
      <c r="J1783">
        <f>DropAnalityka[[#This Row],[Sell Drop]]+IF(DropAnalityka[[#This Row],[Drop]]="Scroll", 2000*DropAnalityka[[#This Row],[Quality/Quantity]],0)</f>
        <v>0</v>
      </c>
      <c r="K17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4" spans="10:12">
      <c r="J1784">
        <f>DropAnalityka[[#This Row],[Sell Drop]]+IF(DropAnalityka[[#This Row],[Drop]]="Scroll", 2000*DropAnalityka[[#This Row],[Quality/Quantity]],0)</f>
        <v>0</v>
      </c>
      <c r="K17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5" spans="10:12">
      <c r="J1785">
        <f>DropAnalityka[[#This Row],[Sell Drop]]+IF(DropAnalityka[[#This Row],[Drop]]="Scroll", 2000*DropAnalityka[[#This Row],[Quality/Quantity]],0)</f>
        <v>0</v>
      </c>
      <c r="K17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6" spans="10:12">
      <c r="J1786">
        <f>DropAnalityka[[#This Row],[Sell Drop]]+IF(DropAnalityka[[#This Row],[Drop]]="Scroll", 2000*DropAnalityka[[#This Row],[Quality/Quantity]],0)</f>
        <v>0</v>
      </c>
      <c r="K17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7" spans="10:12">
      <c r="J1787">
        <f>DropAnalityka[[#This Row],[Sell Drop]]+IF(DropAnalityka[[#This Row],[Drop]]="Scroll", 2000*DropAnalityka[[#This Row],[Quality/Quantity]],0)</f>
        <v>0</v>
      </c>
      <c r="K17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8" spans="10:12">
      <c r="J1788">
        <f>DropAnalityka[[#This Row],[Sell Drop]]+IF(DropAnalityka[[#This Row],[Drop]]="Scroll", 2000*DropAnalityka[[#This Row],[Quality/Quantity]],0)</f>
        <v>0</v>
      </c>
      <c r="K17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9" spans="10:12">
      <c r="J1789">
        <f>DropAnalityka[[#This Row],[Sell Drop]]+IF(DropAnalityka[[#This Row],[Drop]]="Scroll", 2000*DropAnalityka[[#This Row],[Quality/Quantity]],0)</f>
        <v>0</v>
      </c>
      <c r="K17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0" spans="10:12">
      <c r="J1790">
        <f>DropAnalityka[[#This Row],[Sell Drop]]+IF(DropAnalityka[[#This Row],[Drop]]="Scroll", 2000*DropAnalityka[[#This Row],[Quality/Quantity]],0)</f>
        <v>0</v>
      </c>
      <c r="K17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1" spans="10:12">
      <c r="J1791">
        <f>DropAnalityka[[#This Row],[Sell Drop]]+IF(DropAnalityka[[#This Row],[Drop]]="Scroll", 2000*DropAnalityka[[#This Row],[Quality/Quantity]],0)</f>
        <v>0</v>
      </c>
      <c r="K17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2" spans="10:12">
      <c r="J1792">
        <f>DropAnalityka[[#This Row],[Sell Drop]]+IF(DropAnalityka[[#This Row],[Drop]]="Scroll", 2000*DropAnalityka[[#This Row],[Quality/Quantity]],0)</f>
        <v>0</v>
      </c>
      <c r="K17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3" spans="10:12">
      <c r="J1793">
        <f>DropAnalityka[[#This Row],[Sell Drop]]+IF(DropAnalityka[[#This Row],[Drop]]="Scroll", 2000*DropAnalityka[[#This Row],[Quality/Quantity]],0)</f>
        <v>0</v>
      </c>
      <c r="K17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4" spans="10:12">
      <c r="J1794">
        <f>DropAnalityka[[#This Row],[Sell Drop]]+IF(DropAnalityka[[#This Row],[Drop]]="Scroll", 2000*DropAnalityka[[#This Row],[Quality/Quantity]],0)</f>
        <v>0</v>
      </c>
      <c r="K17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5" spans="10:12">
      <c r="J1795">
        <f>DropAnalityka[[#This Row],[Sell Drop]]+IF(DropAnalityka[[#This Row],[Drop]]="Scroll", 2000*DropAnalityka[[#This Row],[Quality/Quantity]],0)</f>
        <v>0</v>
      </c>
      <c r="K17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6" spans="10:12">
      <c r="J1796">
        <f>DropAnalityka[[#This Row],[Sell Drop]]+IF(DropAnalityka[[#This Row],[Drop]]="Scroll", 2000*DropAnalityka[[#This Row],[Quality/Quantity]],0)</f>
        <v>0</v>
      </c>
      <c r="K17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7" spans="10:12">
      <c r="J1797">
        <f>DropAnalityka[[#This Row],[Sell Drop]]+IF(DropAnalityka[[#This Row],[Drop]]="Scroll", 2000*DropAnalityka[[#This Row],[Quality/Quantity]],0)</f>
        <v>0</v>
      </c>
      <c r="K17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8" spans="10:12">
      <c r="J1798">
        <f>DropAnalityka[[#This Row],[Sell Drop]]+IF(DropAnalityka[[#This Row],[Drop]]="Scroll", 2000*DropAnalityka[[#This Row],[Quality/Quantity]],0)</f>
        <v>0</v>
      </c>
      <c r="K17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99" spans="10:12">
      <c r="J1799">
        <f>DropAnalityka[[#This Row],[Sell Drop]]+IF(DropAnalityka[[#This Row],[Drop]]="Scroll", 2000*DropAnalityka[[#This Row],[Quality/Quantity]],0)</f>
        <v>0</v>
      </c>
      <c r="K17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7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0" spans="10:12">
      <c r="J1800">
        <f>DropAnalityka[[#This Row],[Sell Drop]]+IF(DropAnalityka[[#This Row],[Drop]]="Scroll", 2000*DropAnalityka[[#This Row],[Quality/Quantity]],0)</f>
        <v>0</v>
      </c>
      <c r="K18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1" spans="10:12">
      <c r="J1801">
        <f>DropAnalityka[[#This Row],[Sell Drop]]+IF(DropAnalityka[[#This Row],[Drop]]="Scroll", 2000*DropAnalityka[[#This Row],[Quality/Quantity]],0)</f>
        <v>0</v>
      </c>
      <c r="K18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2" spans="10:12">
      <c r="J1802">
        <f>DropAnalityka[[#This Row],[Sell Drop]]+IF(DropAnalityka[[#This Row],[Drop]]="Scroll", 2000*DropAnalityka[[#This Row],[Quality/Quantity]],0)</f>
        <v>0</v>
      </c>
      <c r="K18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3" spans="10:12">
      <c r="J1803">
        <f>DropAnalityka[[#This Row],[Sell Drop]]+IF(DropAnalityka[[#This Row],[Drop]]="Scroll", 2000*DropAnalityka[[#This Row],[Quality/Quantity]],0)</f>
        <v>0</v>
      </c>
      <c r="K18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4" spans="10:12">
      <c r="J1804">
        <f>DropAnalityka[[#This Row],[Sell Drop]]+IF(DropAnalityka[[#This Row],[Drop]]="Scroll", 2000*DropAnalityka[[#This Row],[Quality/Quantity]],0)</f>
        <v>0</v>
      </c>
      <c r="K18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5" spans="10:12">
      <c r="J1805">
        <f>DropAnalityka[[#This Row],[Sell Drop]]+IF(DropAnalityka[[#This Row],[Drop]]="Scroll", 2000*DropAnalityka[[#This Row],[Quality/Quantity]],0)</f>
        <v>0</v>
      </c>
      <c r="K18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6" spans="10:12">
      <c r="J1806">
        <f>DropAnalityka[[#This Row],[Sell Drop]]+IF(DropAnalityka[[#This Row],[Drop]]="Scroll", 2000*DropAnalityka[[#This Row],[Quality/Quantity]],0)</f>
        <v>0</v>
      </c>
      <c r="K18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7" spans="10:12">
      <c r="J1807">
        <f>DropAnalityka[[#This Row],[Sell Drop]]+IF(DropAnalityka[[#This Row],[Drop]]="Scroll", 2000*DropAnalityka[[#This Row],[Quality/Quantity]],0)</f>
        <v>0</v>
      </c>
      <c r="K18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8" spans="10:12">
      <c r="J1808">
        <f>DropAnalityka[[#This Row],[Sell Drop]]+IF(DropAnalityka[[#This Row],[Drop]]="Scroll", 2000*DropAnalityka[[#This Row],[Quality/Quantity]],0)</f>
        <v>0</v>
      </c>
      <c r="K18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9" spans="10:12">
      <c r="J1809">
        <f>DropAnalityka[[#This Row],[Sell Drop]]+IF(DropAnalityka[[#This Row],[Drop]]="Scroll", 2000*DropAnalityka[[#This Row],[Quality/Quantity]],0)</f>
        <v>0</v>
      </c>
      <c r="K18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0" spans="10:12">
      <c r="J1810">
        <f>DropAnalityka[[#This Row],[Sell Drop]]+IF(DropAnalityka[[#This Row],[Drop]]="Scroll", 2000*DropAnalityka[[#This Row],[Quality/Quantity]],0)</f>
        <v>0</v>
      </c>
      <c r="K18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1" spans="10:12">
      <c r="J1811">
        <f>DropAnalityka[[#This Row],[Sell Drop]]+IF(DropAnalityka[[#This Row],[Drop]]="Scroll", 2000*DropAnalityka[[#This Row],[Quality/Quantity]],0)</f>
        <v>0</v>
      </c>
      <c r="K18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2" spans="10:12">
      <c r="J1812">
        <f>DropAnalityka[[#This Row],[Sell Drop]]+IF(DropAnalityka[[#This Row],[Drop]]="Scroll", 2000*DropAnalityka[[#This Row],[Quality/Quantity]],0)</f>
        <v>0</v>
      </c>
      <c r="K18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3" spans="10:12">
      <c r="J1813">
        <f>DropAnalityka[[#This Row],[Sell Drop]]+IF(DropAnalityka[[#This Row],[Drop]]="Scroll", 2000*DropAnalityka[[#This Row],[Quality/Quantity]],0)</f>
        <v>0</v>
      </c>
      <c r="K18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4" spans="10:12">
      <c r="J1814">
        <f>DropAnalityka[[#This Row],[Sell Drop]]+IF(DropAnalityka[[#This Row],[Drop]]="Scroll", 2000*DropAnalityka[[#This Row],[Quality/Quantity]],0)</f>
        <v>0</v>
      </c>
      <c r="K18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5" spans="10:12">
      <c r="J1815">
        <f>DropAnalityka[[#This Row],[Sell Drop]]+IF(DropAnalityka[[#This Row],[Drop]]="Scroll", 2000*DropAnalityka[[#This Row],[Quality/Quantity]],0)</f>
        <v>0</v>
      </c>
      <c r="K18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6" spans="10:12">
      <c r="J1816">
        <f>DropAnalityka[[#This Row],[Sell Drop]]+IF(DropAnalityka[[#This Row],[Drop]]="Scroll", 2000*DropAnalityka[[#This Row],[Quality/Quantity]],0)</f>
        <v>0</v>
      </c>
      <c r="K18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7" spans="10:12">
      <c r="J1817">
        <f>DropAnalityka[[#This Row],[Sell Drop]]+IF(DropAnalityka[[#This Row],[Drop]]="Scroll", 2000*DropAnalityka[[#This Row],[Quality/Quantity]],0)</f>
        <v>0</v>
      </c>
      <c r="K18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8" spans="10:12">
      <c r="J1818">
        <f>DropAnalityka[[#This Row],[Sell Drop]]+IF(DropAnalityka[[#This Row],[Drop]]="Scroll", 2000*DropAnalityka[[#This Row],[Quality/Quantity]],0)</f>
        <v>0</v>
      </c>
      <c r="K18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19" spans="10:12">
      <c r="J1819">
        <f>DropAnalityka[[#This Row],[Sell Drop]]+IF(DropAnalityka[[#This Row],[Drop]]="Scroll", 2000*DropAnalityka[[#This Row],[Quality/Quantity]],0)</f>
        <v>0</v>
      </c>
      <c r="K18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0" spans="10:12">
      <c r="J1820">
        <f>DropAnalityka[[#This Row],[Sell Drop]]+IF(DropAnalityka[[#This Row],[Drop]]="Scroll", 2000*DropAnalityka[[#This Row],[Quality/Quantity]],0)</f>
        <v>0</v>
      </c>
      <c r="K18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1" spans="10:12">
      <c r="J1821">
        <f>DropAnalityka[[#This Row],[Sell Drop]]+IF(DropAnalityka[[#This Row],[Drop]]="Scroll", 2000*DropAnalityka[[#This Row],[Quality/Quantity]],0)</f>
        <v>0</v>
      </c>
      <c r="K18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2" spans="10:12">
      <c r="J1822">
        <f>DropAnalityka[[#This Row],[Sell Drop]]+IF(DropAnalityka[[#This Row],[Drop]]="Scroll", 2000*DropAnalityka[[#This Row],[Quality/Quantity]],0)</f>
        <v>0</v>
      </c>
      <c r="K18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3" spans="10:12">
      <c r="J1823">
        <f>DropAnalityka[[#This Row],[Sell Drop]]+IF(DropAnalityka[[#This Row],[Drop]]="Scroll", 2000*DropAnalityka[[#This Row],[Quality/Quantity]],0)</f>
        <v>0</v>
      </c>
      <c r="K18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4" spans="10:12">
      <c r="J1824">
        <f>DropAnalityka[[#This Row],[Sell Drop]]+IF(DropAnalityka[[#This Row],[Drop]]="Scroll", 2000*DropAnalityka[[#This Row],[Quality/Quantity]],0)</f>
        <v>0</v>
      </c>
      <c r="K18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5" spans="10:12">
      <c r="J1825">
        <f>DropAnalityka[[#This Row],[Sell Drop]]+IF(DropAnalityka[[#This Row],[Drop]]="Scroll", 2000*DropAnalityka[[#This Row],[Quality/Quantity]],0)</f>
        <v>0</v>
      </c>
      <c r="K18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6" spans="10:12">
      <c r="J1826">
        <f>DropAnalityka[[#This Row],[Sell Drop]]+IF(DropAnalityka[[#This Row],[Drop]]="Scroll", 2000*DropAnalityka[[#This Row],[Quality/Quantity]],0)</f>
        <v>0</v>
      </c>
      <c r="K18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7" spans="10:12">
      <c r="J1827">
        <f>DropAnalityka[[#This Row],[Sell Drop]]+IF(DropAnalityka[[#This Row],[Drop]]="Scroll", 2000*DropAnalityka[[#This Row],[Quality/Quantity]],0)</f>
        <v>0</v>
      </c>
      <c r="K18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8" spans="10:12">
      <c r="J1828">
        <f>DropAnalityka[[#This Row],[Sell Drop]]+IF(DropAnalityka[[#This Row],[Drop]]="Scroll", 2000*DropAnalityka[[#This Row],[Quality/Quantity]],0)</f>
        <v>0</v>
      </c>
      <c r="K18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9" spans="10:12">
      <c r="J1829">
        <f>DropAnalityka[[#This Row],[Sell Drop]]+IF(DropAnalityka[[#This Row],[Drop]]="Scroll", 2000*DropAnalityka[[#This Row],[Quality/Quantity]],0)</f>
        <v>0</v>
      </c>
      <c r="K18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0" spans="10:12">
      <c r="J1830">
        <f>DropAnalityka[[#This Row],[Sell Drop]]+IF(DropAnalityka[[#This Row],[Drop]]="Scroll", 2000*DropAnalityka[[#This Row],[Quality/Quantity]],0)</f>
        <v>0</v>
      </c>
      <c r="K18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1" spans="10:12">
      <c r="J1831">
        <f>DropAnalityka[[#This Row],[Sell Drop]]+IF(DropAnalityka[[#This Row],[Drop]]="Scroll", 2000*DropAnalityka[[#This Row],[Quality/Quantity]],0)</f>
        <v>0</v>
      </c>
      <c r="K18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2" spans="10:12">
      <c r="J1832">
        <f>DropAnalityka[[#This Row],[Sell Drop]]+IF(DropAnalityka[[#This Row],[Drop]]="Scroll", 2000*DropAnalityka[[#This Row],[Quality/Quantity]],0)</f>
        <v>0</v>
      </c>
      <c r="K18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3" spans="10:12">
      <c r="J1833">
        <f>DropAnalityka[[#This Row],[Sell Drop]]+IF(DropAnalityka[[#This Row],[Drop]]="Scroll", 2000*DropAnalityka[[#This Row],[Quality/Quantity]],0)</f>
        <v>0</v>
      </c>
      <c r="K18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4" spans="10:12">
      <c r="J1834">
        <f>DropAnalityka[[#This Row],[Sell Drop]]+IF(DropAnalityka[[#This Row],[Drop]]="Scroll", 2000*DropAnalityka[[#This Row],[Quality/Quantity]],0)</f>
        <v>0</v>
      </c>
      <c r="K18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5" spans="10:12">
      <c r="J1835">
        <f>DropAnalityka[[#This Row],[Sell Drop]]+IF(DropAnalityka[[#This Row],[Drop]]="Scroll", 2000*DropAnalityka[[#This Row],[Quality/Quantity]],0)</f>
        <v>0</v>
      </c>
      <c r="K18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6" spans="10:12">
      <c r="J1836">
        <f>DropAnalityka[[#This Row],[Sell Drop]]+IF(DropAnalityka[[#This Row],[Drop]]="Scroll", 2000*DropAnalityka[[#This Row],[Quality/Quantity]],0)</f>
        <v>0</v>
      </c>
      <c r="K18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7" spans="10:12">
      <c r="J1837">
        <f>DropAnalityka[[#This Row],[Sell Drop]]+IF(DropAnalityka[[#This Row],[Drop]]="Scroll", 2000*DropAnalityka[[#This Row],[Quality/Quantity]],0)</f>
        <v>0</v>
      </c>
      <c r="K18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8" spans="10:12">
      <c r="J1838">
        <f>DropAnalityka[[#This Row],[Sell Drop]]+IF(DropAnalityka[[#This Row],[Drop]]="Scroll", 2000*DropAnalityka[[#This Row],[Quality/Quantity]],0)</f>
        <v>0</v>
      </c>
      <c r="K18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9" spans="10:12">
      <c r="J1839">
        <f>DropAnalityka[[#This Row],[Sell Drop]]+IF(DropAnalityka[[#This Row],[Drop]]="Scroll", 2000*DropAnalityka[[#This Row],[Quality/Quantity]],0)</f>
        <v>0</v>
      </c>
      <c r="K18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0" spans="10:12">
      <c r="J1840">
        <f>DropAnalityka[[#This Row],[Sell Drop]]+IF(DropAnalityka[[#This Row],[Drop]]="Scroll", 2000*DropAnalityka[[#This Row],[Quality/Quantity]],0)</f>
        <v>0</v>
      </c>
      <c r="K18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1" spans="10:12">
      <c r="J1841">
        <f>DropAnalityka[[#This Row],[Sell Drop]]+IF(DropAnalityka[[#This Row],[Drop]]="Scroll", 2000*DropAnalityka[[#This Row],[Quality/Quantity]],0)</f>
        <v>0</v>
      </c>
      <c r="K18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2" spans="10:12">
      <c r="J1842">
        <f>DropAnalityka[[#This Row],[Sell Drop]]+IF(DropAnalityka[[#This Row],[Drop]]="Scroll", 2000*DropAnalityka[[#This Row],[Quality/Quantity]],0)</f>
        <v>0</v>
      </c>
      <c r="K18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3" spans="10:12">
      <c r="J1843">
        <f>DropAnalityka[[#This Row],[Sell Drop]]+IF(DropAnalityka[[#This Row],[Drop]]="Scroll", 2000*DropAnalityka[[#This Row],[Quality/Quantity]],0)</f>
        <v>0</v>
      </c>
      <c r="K18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4" spans="10:12">
      <c r="J1844">
        <f>DropAnalityka[[#This Row],[Sell Drop]]+IF(DropAnalityka[[#This Row],[Drop]]="Scroll", 2000*DropAnalityka[[#This Row],[Quality/Quantity]],0)</f>
        <v>0</v>
      </c>
      <c r="K18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5" spans="10:12">
      <c r="J1845">
        <f>DropAnalityka[[#This Row],[Sell Drop]]+IF(DropAnalityka[[#This Row],[Drop]]="Scroll", 2000*DropAnalityka[[#This Row],[Quality/Quantity]],0)</f>
        <v>0</v>
      </c>
      <c r="K18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6" spans="10:12">
      <c r="J1846">
        <f>DropAnalityka[[#This Row],[Sell Drop]]+IF(DropAnalityka[[#This Row],[Drop]]="Scroll", 2000*DropAnalityka[[#This Row],[Quality/Quantity]],0)</f>
        <v>0</v>
      </c>
      <c r="K18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7" spans="10:12">
      <c r="J1847">
        <f>DropAnalityka[[#This Row],[Sell Drop]]+IF(DropAnalityka[[#This Row],[Drop]]="Scroll", 2000*DropAnalityka[[#This Row],[Quality/Quantity]],0)</f>
        <v>0</v>
      </c>
      <c r="K18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8" spans="10:12">
      <c r="J1848">
        <f>DropAnalityka[[#This Row],[Sell Drop]]+IF(DropAnalityka[[#This Row],[Drop]]="Scroll", 2000*DropAnalityka[[#This Row],[Quality/Quantity]],0)</f>
        <v>0</v>
      </c>
      <c r="K18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9" spans="10:12">
      <c r="J1849">
        <f>DropAnalityka[[#This Row],[Sell Drop]]+IF(DropAnalityka[[#This Row],[Drop]]="Scroll", 2000*DropAnalityka[[#This Row],[Quality/Quantity]],0)</f>
        <v>0</v>
      </c>
      <c r="K18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0" spans="10:12">
      <c r="J1850">
        <f>DropAnalityka[[#This Row],[Sell Drop]]+IF(DropAnalityka[[#This Row],[Drop]]="Scroll", 2000*DropAnalityka[[#This Row],[Quality/Quantity]],0)</f>
        <v>0</v>
      </c>
      <c r="K18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1" spans="10:12">
      <c r="J1851">
        <f>DropAnalityka[[#This Row],[Sell Drop]]+IF(DropAnalityka[[#This Row],[Drop]]="Scroll", 2000*DropAnalityka[[#This Row],[Quality/Quantity]],0)</f>
        <v>0</v>
      </c>
      <c r="K18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2" spans="10:12">
      <c r="J1852">
        <f>DropAnalityka[[#This Row],[Sell Drop]]+IF(DropAnalityka[[#This Row],[Drop]]="Scroll", 2000*DropAnalityka[[#This Row],[Quality/Quantity]],0)</f>
        <v>0</v>
      </c>
      <c r="K18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3" spans="10:12">
      <c r="J1853">
        <f>DropAnalityka[[#This Row],[Sell Drop]]+IF(DropAnalityka[[#This Row],[Drop]]="Scroll", 2000*DropAnalityka[[#This Row],[Quality/Quantity]],0)</f>
        <v>0</v>
      </c>
      <c r="K18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4" spans="10:12">
      <c r="J1854">
        <f>DropAnalityka[[#This Row],[Sell Drop]]+IF(DropAnalityka[[#This Row],[Drop]]="Scroll", 2000*DropAnalityka[[#This Row],[Quality/Quantity]],0)</f>
        <v>0</v>
      </c>
      <c r="K18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5" spans="10:12">
      <c r="J1855">
        <f>DropAnalityka[[#This Row],[Sell Drop]]+IF(DropAnalityka[[#This Row],[Drop]]="Scroll", 2000*DropAnalityka[[#This Row],[Quality/Quantity]],0)</f>
        <v>0</v>
      </c>
      <c r="K18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6" spans="10:12">
      <c r="J1856">
        <f>DropAnalityka[[#This Row],[Sell Drop]]+IF(DropAnalityka[[#This Row],[Drop]]="Scroll", 2000*DropAnalityka[[#This Row],[Quality/Quantity]],0)</f>
        <v>0</v>
      </c>
      <c r="K18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7" spans="10:12">
      <c r="J1857">
        <f>DropAnalityka[[#This Row],[Sell Drop]]+IF(DropAnalityka[[#This Row],[Drop]]="Scroll", 2000*DropAnalityka[[#This Row],[Quality/Quantity]],0)</f>
        <v>0</v>
      </c>
      <c r="K18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8" spans="10:12">
      <c r="J1858">
        <f>DropAnalityka[[#This Row],[Sell Drop]]+IF(DropAnalityka[[#This Row],[Drop]]="Scroll", 2000*DropAnalityka[[#This Row],[Quality/Quantity]],0)</f>
        <v>0</v>
      </c>
      <c r="K18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9" spans="10:12">
      <c r="J1859">
        <f>DropAnalityka[[#This Row],[Sell Drop]]+IF(DropAnalityka[[#This Row],[Drop]]="Scroll", 2000*DropAnalityka[[#This Row],[Quality/Quantity]],0)</f>
        <v>0</v>
      </c>
      <c r="K18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0" spans="10:12">
      <c r="J1860">
        <f>DropAnalityka[[#This Row],[Sell Drop]]+IF(DropAnalityka[[#This Row],[Drop]]="Scroll", 2000*DropAnalityka[[#This Row],[Quality/Quantity]],0)</f>
        <v>0</v>
      </c>
      <c r="K18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1" spans="10:12">
      <c r="J1861">
        <f>DropAnalityka[[#This Row],[Sell Drop]]+IF(DropAnalityka[[#This Row],[Drop]]="Scroll", 2000*DropAnalityka[[#This Row],[Quality/Quantity]],0)</f>
        <v>0</v>
      </c>
      <c r="K18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2" spans="10:12">
      <c r="J1862">
        <f>DropAnalityka[[#This Row],[Sell Drop]]+IF(DropAnalityka[[#This Row],[Drop]]="Scroll", 2000*DropAnalityka[[#This Row],[Quality/Quantity]],0)</f>
        <v>0</v>
      </c>
      <c r="K18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3" spans="10:12">
      <c r="J1863">
        <f>DropAnalityka[[#This Row],[Sell Drop]]+IF(DropAnalityka[[#This Row],[Drop]]="Scroll", 2000*DropAnalityka[[#This Row],[Quality/Quantity]],0)</f>
        <v>0</v>
      </c>
      <c r="K18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4" spans="10:12">
      <c r="J1864">
        <f>DropAnalityka[[#This Row],[Sell Drop]]+IF(DropAnalityka[[#This Row],[Drop]]="Scroll", 2000*DropAnalityka[[#This Row],[Quality/Quantity]],0)</f>
        <v>0</v>
      </c>
      <c r="K18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5" spans="10:12">
      <c r="J1865">
        <f>DropAnalityka[[#This Row],[Sell Drop]]+IF(DropAnalityka[[#This Row],[Drop]]="Scroll", 2000*DropAnalityka[[#This Row],[Quality/Quantity]],0)</f>
        <v>0</v>
      </c>
      <c r="K18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6" spans="10:12">
      <c r="J1866">
        <f>DropAnalityka[[#This Row],[Sell Drop]]+IF(DropAnalityka[[#This Row],[Drop]]="Scroll", 2000*DropAnalityka[[#This Row],[Quality/Quantity]],0)</f>
        <v>0</v>
      </c>
      <c r="K18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7" spans="10:12">
      <c r="J1867">
        <f>DropAnalityka[[#This Row],[Sell Drop]]+IF(DropAnalityka[[#This Row],[Drop]]="Scroll", 2000*DropAnalityka[[#This Row],[Quality/Quantity]],0)</f>
        <v>0</v>
      </c>
      <c r="K18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8" spans="10:12">
      <c r="J1868">
        <f>DropAnalityka[[#This Row],[Sell Drop]]+IF(DropAnalityka[[#This Row],[Drop]]="Scroll", 2000*DropAnalityka[[#This Row],[Quality/Quantity]],0)</f>
        <v>0</v>
      </c>
      <c r="K18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9" spans="10:12">
      <c r="J1869">
        <f>DropAnalityka[[#This Row],[Sell Drop]]+IF(DropAnalityka[[#This Row],[Drop]]="Scroll", 2000*DropAnalityka[[#This Row],[Quality/Quantity]],0)</f>
        <v>0</v>
      </c>
      <c r="K18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0" spans="10:12">
      <c r="J1870">
        <f>DropAnalityka[[#This Row],[Sell Drop]]+IF(DropAnalityka[[#This Row],[Drop]]="Scroll", 2000*DropAnalityka[[#This Row],[Quality/Quantity]],0)</f>
        <v>0</v>
      </c>
      <c r="K18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1" spans="10:12">
      <c r="J1871">
        <f>DropAnalityka[[#This Row],[Sell Drop]]+IF(DropAnalityka[[#This Row],[Drop]]="Scroll", 2000*DropAnalityka[[#This Row],[Quality/Quantity]],0)</f>
        <v>0</v>
      </c>
      <c r="K18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2" spans="10:12">
      <c r="J1872">
        <f>DropAnalityka[[#This Row],[Sell Drop]]+IF(DropAnalityka[[#This Row],[Drop]]="Scroll", 2000*DropAnalityka[[#This Row],[Quality/Quantity]],0)</f>
        <v>0</v>
      </c>
      <c r="K18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3" spans="10:12">
      <c r="J1873">
        <f>DropAnalityka[[#This Row],[Sell Drop]]+IF(DropAnalityka[[#This Row],[Drop]]="Scroll", 2000*DropAnalityka[[#This Row],[Quality/Quantity]],0)</f>
        <v>0</v>
      </c>
      <c r="K18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4" spans="10:12">
      <c r="J1874">
        <f>DropAnalityka[[#This Row],[Sell Drop]]+IF(DropAnalityka[[#This Row],[Drop]]="Scroll", 2000*DropAnalityka[[#This Row],[Quality/Quantity]],0)</f>
        <v>0</v>
      </c>
      <c r="K18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5" spans="10:12">
      <c r="J1875">
        <f>DropAnalityka[[#This Row],[Sell Drop]]+IF(DropAnalityka[[#This Row],[Drop]]="Scroll", 2000*DropAnalityka[[#This Row],[Quality/Quantity]],0)</f>
        <v>0</v>
      </c>
      <c r="K18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6" spans="10:12">
      <c r="J1876">
        <f>DropAnalityka[[#This Row],[Sell Drop]]+IF(DropAnalityka[[#This Row],[Drop]]="Scroll", 2000*DropAnalityka[[#This Row],[Quality/Quantity]],0)</f>
        <v>0</v>
      </c>
      <c r="K18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7" spans="10:12">
      <c r="J1877">
        <f>DropAnalityka[[#This Row],[Sell Drop]]+IF(DropAnalityka[[#This Row],[Drop]]="Scroll", 2000*DropAnalityka[[#This Row],[Quality/Quantity]],0)</f>
        <v>0</v>
      </c>
      <c r="K18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8" spans="10:12">
      <c r="J1878">
        <f>DropAnalityka[[#This Row],[Sell Drop]]+IF(DropAnalityka[[#This Row],[Drop]]="Scroll", 2000*DropAnalityka[[#This Row],[Quality/Quantity]],0)</f>
        <v>0</v>
      </c>
      <c r="K18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9" spans="10:12">
      <c r="J1879">
        <f>DropAnalityka[[#This Row],[Sell Drop]]+IF(DropAnalityka[[#This Row],[Drop]]="Scroll", 2000*DropAnalityka[[#This Row],[Quality/Quantity]],0)</f>
        <v>0</v>
      </c>
      <c r="K18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0" spans="10:12">
      <c r="J1880">
        <f>DropAnalityka[[#This Row],[Sell Drop]]+IF(DropAnalityka[[#This Row],[Drop]]="Scroll", 2000*DropAnalityka[[#This Row],[Quality/Quantity]],0)</f>
        <v>0</v>
      </c>
      <c r="K18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1" spans="10:12">
      <c r="J1881">
        <f>DropAnalityka[[#This Row],[Sell Drop]]+IF(DropAnalityka[[#This Row],[Drop]]="Scroll", 2000*DropAnalityka[[#This Row],[Quality/Quantity]],0)</f>
        <v>0</v>
      </c>
      <c r="K18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2" spans="10:12">
      <c r="J1882">
        <f>DropAnalityka[[#This Row],[Sell Drop]]+IF(DropAnalityka[[#This Row],[Drop]]="Scroll", 2000*DropAnalityka[[#This Row],[Quality/Quantity]],0)</f>
        <v>0</v>
      </c>
      <c r="K18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3" spans="10:12">
      <c r="J1883">
        <f>DropAnalityka[[#This Row],[Sell Drop]]+IF(DropAnalityka[[#This Row],[Drop]]="Scroll", 2000*DropAnalityka[[#This Row],[Quality/Quantity]],0)</f>
        <v>0</v>
      </c>
      <c r="K18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4" spans="10:12">
      <c r="J1884">
        <f>DropAnalityka[[#This Row],[Sell Drop]]+IF(DropAnalityka[[#This Row],[Drop]]="Scroll", 2000*DropAnalityka[[#This Row],[Quality/Quantity]],0)</f>
        <v>0</v>
      </c>
      <c r="K18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5" spans="10:12">
      <c r="J1885">
        <f>DropAnalityka[[#This Row],[Sell Drop]]+IF(DropAnalityka[[#This Row],[Drop]]="Scroll", 2000*DropAnalityka[[#This Row],[Quality/Quantity]],0)</f>
        <v>0</v>
      </c>
      <c r="K18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6" spans="10:12">
      <c r="J1886">
        <f>DropAnalityka[[#This Row],[Sell Drop]]+IF(DropAnalityka[[#This Row],[Drop]]="Scroll", 2000*DropAnalityka[[#This Row],[Quality/Quantity]],0)</f>
        <v>0</v>
      </c>
      <c r="K18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7" spans="10:12">
      <c r="J1887">
        <f>DropAnalityka[[#This Row],[Sell Drop]]+IF(DropAnalityka[[#This Row],[Drop]]="Scroll", 2000*DropAnalityka[[#This Row],[Quality/Quantity]],0)</f>
        <v>0</v>
      </c>
      <c r="K18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8" spans="10:12">
      <c r="J1888">
        <f>DropAnalityka[[#This Row],[Sell Drop]]+IF(DropAnalityka[[#This Row],[Drop]]="Scroll", 2000*DropAnalityka[[#This Row],[Quality/Quantity]],0)</f>
        <v>0</v>
      </c>
      <c r="K18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9" spans="10:12">
      <c r="J1889">
        <f>DropAnalityka[[#This Row],[Sell Drop]]+IF(DropAnalityka[[#This Row],[Drop]]="Scroll", 2000*DropAnalityka[[#This Row],[Quality/Quantity]],0)</f>
        <v>0</v>
      </c>
      <c r="K18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0" spans="10:12">
      <c r="J1890">
        <f>DropAnalityka[[#This Row],[Sell Drop]]+IF(DropAnalityka[[#This Row],[Drop]]="Scroll", 2000*DropAnalityka[[#This Row],[Quality/Quantity]],0)</f>
        <v>0</v>
      </c>
      <c r="K18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1" spans="10:12">
      <c r="J1891">
        <f>DropAnalityka[[#This Row],[Sell Drop]]+IF(DropAnalityka[[#This Row],[Drop]]="Scroll", 2000*DropAnalityka[[#This Row],[Quality/Quantity]],0)</f>
        <v>0</v>
      </c>
      <c r="K18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2" spans="10:12">
      <c r="J1892">
        <f>DropAnalityka[[#This Row],[Sell Drop]]+IF(DropAnalityka[[#This Row],[Drop]]="Scroll", 2000*DropAnalityka[[#This Row],[Quality/Quantity]],0)</f>
        <v>0</v>
      </c>
      <c r="K18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3" spans="10:12">
      <c r="J1893">
        <f>DropAnalityka[[#This Row],[Sell Drop]]+IF(DropAnalityka[[#This Row],[Drop]]="Scroll", 2000*DropAnalityka[[#This Row],[Quality/Quantity]],0)</f>
        <v>0</v>
      </c>
      <c r="K18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4" spans="10:12">
      <c r="J1894">
        <f>DropAnalityka[[#This Row],[Sell Drop]]+IF(DropAnalityka[[#This Row],[Drop]]="Scroll", 2000*DropAnalityka[[#This Row],[Quality/Quantity]],0)</f>
        <v>0</v>
      </c>
      <c r="K18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5" spans="10:12">
      <c r="J1895">
        <f>DropAnalityka[[#This Row],[Sell Drop]]+IF(DropAnalityka[[#This Row],[Drop]]="Scroll", 2000*DropAnalityka[[#This Row],[Quality/Quantity]],0)</f>
        <v>0</v>
      </c>
      <c r="K18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6" spans="10:12">
      <c r="J1896">
        <f>DropAnalityka[[#This Row],[Sell Drop]]+IF(DropAnalityka[[#This Row],[Drop]]="Scroll", 2000*DropAnalityka[[#This Row],[Quality/Quantity]],0)</f>
        <v>0</v>
      </c>
      <c r="K18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7" spans="10:12">
      <c r="J1897">
        <f>DropAnalityka[[#This Row],[Sell Drop]]+IF(DropAnalityka[[#This Row],[Drop]]="Scroll", 2000*DropAnalityka[[#This Row],[Quality/Quantity]],0)</f>
        <v>0</v>
      </c>
      <c r="K18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8" spans="10:12">
      <c r="J1898">
        <f>DropAnalityka[[#This Row],[Sell Drop]]+IF(DropAnalityka[[#This Row],[Drop]]="Scroll", 2000*DropAnalityka[[#This Row],[Quality/Quantity]],0)</f>
        <v>0</v>
      </c>
      <c r="K18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9" spans="10:12">
      <c r="J1899">
        <f>DropAnalityka[[#This Row],[Sell Drop]]+IF(DropAnalityka[[#This Row],[Drop]]="Scroll", 2000*DropAnalityka[[#This Row],[Quality/Quantity]],0)</f>
        <v>0</v>
      </c>
      <c r="K18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8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0" spans="10:12">
      <c r="J1900">
        <f>DropAnalityka[[#This Row],[Sell Drop]]+IF(DropAnalityka[[#This Row],[Drop]]="Scroll", 2000*DropAnalityka[[#This Row],[Quality/Quantity]],0)</f>
        <v>0</v>
      </c>
      <c r="K19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1" spans="10:12">
      <c r="J1901">
        <f>DropAnalityka[[#This Row],[Sell Drop]]+IF(DropAnalityka[[#This Row],[Drop]]="Scroll", 2000*DropAnalityka[[#This Row],[Quality/Quantity]],0)</f>
        <v>0</v>
      </c>
      <c r="K19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2" spans="10:12">
      <c r="J1902">
        <f>DropAnalityka[[#This Row],[Sell Drop]]+IF(DropAnalityka[[#This Row],[Drop]]="Scroll", 2000*DropAnalityka[[#This Row],[Quality/Quantity]],0)</f>
        <v>0</v>
      </c>
      <c r="K19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3" spans="10:12">
      <c r="J1903">
        <f>DropAnalityka[[#This Row],[Sell Drop]]+IF(DropAnalityka[[#This Row],[Drop]]="Scroll", 2000*DropAnalityka[[#This Row],[Quality/Quantity]],0)</f>
        <v>0</v>
      </c>
      <c r="K19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4" spans="10:12">
      <c r="J1904">
        <f>DropAnalityka[[#This Row],[Sell Drop]]+IF(DropAnalityka[[#This Row],[Drop]]="Scroll", 2000*DropAnalityka[[#This Row],[Quality/Quantity]],0)</f>
        <v>0</v>
      </c>
      <c r="K19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5" spans="10:12">
      <c r="J1905">
        <f>DropAnalityka[[#This Row],[Sell Drop]]+IF(DropAnalityka[[#This Row],[Drop]]="Scroll", 2000*DropAnalityka[[#This Row],[Quality/Quantity]],0)</f>
        <v>0</v>
      </c>
      <c r="K19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6" spans="10:12">
      <c r="J1906">
        <f>DropAnalityka[[#This Row],[Sell Drop]]+IF(DropAnalityka[[#This Row],[Drop]]="Scroll", 2000*DropAnalityka[[#This Row],[Quality/Quantity]],0)</f>
        <v>0</v>
      </c>
      <c r="K19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7" spans="10:12">
      <c r="J1907">
        <f>DropAnalityka[[#This Row],[Sell Drop]]+IF(DropAnalityka[[#This Row],[Drop]]="Scroll", 2000*DropAnalityka[[#This Row],[Quality/Quantity]],0)</f>
        <v>0</v>
      </c>
      <c r="K19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8" spans="10:12">
      <c r="J1908">
        <f>DropAnalityka[[#This Row],[Sell Drop]]+IF(DropAnalityka[[#This Row],[Drop]]="Scroll", 2000*DropAnalityka[[#This Row],[Quality/Quantity]],0)</f>
        <v>0</v>
      </c>
      <c r="K19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9" spans="10:12">
      <c r="J1909">
        <f>DropAnalityka[[#This Row],[Sell Drop]]+IF(DropAnalityka[[#This Row],[Drop]]="Scroll", 2000*DropAnalityka[[#This Row],[Quality/Quantity]],0)</f>
        <v>0</v>
      </c>
      <c r="K19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0" spans="10:12">
      <c r="J1910">
        <f>DropAnalityka[[#This Row],[Sell Drop]]+IF(DropAnalityka[[#This Row],[Drop]]="Scroll", 2000*DropAnalityka[[#This Row],[Quality/Quantity]],0)</f>
        <v>0</v>
      </c>
      <c r="K19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1" spans="10:12">
      <c r="J1911">
        <f>DropAnalityka[[#This Row],[Sell Drop]]+IF(DropAnalityka[[#This Row],[Drop]]="Scroll", 2000*DropAnalityka[[#This Row],[Quality/Quantity]],0)</f>
        <v>0</v>
      </c>
      <c r="K19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2" spans="10:12">
      <c r="J1912">
        <f>DropAnalityka[[#This Row],[Sell Drop]]+IF(DropAnalityka[[#This Row],[Drop]]="Scroll", 2000*DropAnalityka[[#This Row],[Quality/Quantity]],0)</f>
        <v>0</v>
      </c>
      <c r="K19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3" spans="10:12">
      <c r="J1913">
        <f>DropAnalityka[[#This Row],[Sell Drop]]+IF(DropAnalityka[[#This Row],[Drop]]="Scroll", 2000*DropAnalityka[[#This Row],[Quality/Quantity]],0)</f>
        <v>0</v>
      </c>
      <c r="K19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4" spans="10:12">
      <c r="J1914">
        <f>DropAnalityka[[#This Row],[Sell Drop]]+IF(DropAnalityka[[#This Row],[Drop]]="Scroll", 2000*DropAnalityka[[#This Row],[Quality/Quantity]],0)</f>
        <v>0</v>
      </c>
      <c r="K19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5" spans="10:12">
      <c r="J1915">
        <f>DropAnalityka[[#This Row],[Sell Drop]]+IF(DropAnalityka[[#This Row],[Drop]]="Scroll", 2000*DropAnalityka[[#This Row],[Quality/Quantity]],0)</f>
        <v>0</v>
      </c>
      <c r="K19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6" spans="10:12">
      <c r="J1916">
        <f>DropAnalityka[[#This Row],[Sell Drop]]+IF(DropAnalityka[[#This Row],[Drop]]="Scroll", 2000*DropAnalityka[[#This Row],[Quality/Quantity]],0)</f>
        <v>0</v>
      </c>
      <c r="K19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7" spans="10:12">
      <c r="J1917">
        <f>DropAnalityka[[#This Row],[Sell Drop]]+IF(DropAnalityka[[#This Row],[Drop]]="Scroll", 2000*DropAnalityka[[#This Row],[Quality/Quantity]],0)</f>
        <v>0</v>
      </c>
      <c r="K19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8" spans="10:12">
      <c r="J1918">
        <f>DropAnalityka[[#This Row],[Sell Drop]]+IF(DropAnalityka[[#This Row],[Drop]]="Scroll", 2000*DropAnalityka[[#This Row],[Quality/Quantity]],0)</f>
        <v>0</v>
      </c>
      <c r="K19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9" spans="10:12">
      <c r="J1919">
        <f>DropAnalityka[[#This Row],[Sell Drop]]+IF(DropAnalityka[[#This Row],[Drop]]="Scroll", 2000*DropAnalityka[[#This Row],[Quality/Quantity]],0)</f>
        <v>0</v>
      </c>
      <c r="K19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0" spans="10:12">
      <c r="J1920">
        <f>DropAnalityka[[#This Row],[Sell Drop]]+IF(DropAnalityka[[#This Row],[Drop]]="Scroll", 2000*DropAnalityka[[#This Row],[Quality/Quantity]],0)</f>
        <v>0</v>
      </c>
      <c r="K19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1" spans="10:12">
      <c r="J1921">
        <f>DropAnalityka[[#This Row],[Sell Drop]]+IF(DropAnalityka[[#This Row],[Drop]]="Scroll", 2000*DropAnalityka[[#This Row],[Quality/Quantity]],0)</f>
        <v>0</v>
      </c>
      <c r="K19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2" spans="10:12">
      <c r="J1922">
        <f>DropAnalityka[[#This Row],[Sell Drop]]+IF(DropAnalityka[[#This Row],[Drop]]="Scroll", 2000*DropAnalityka[[#This Row],[Quality/Quantity]],0)</f>
        <v>0</v>
      </c>
      <c r="K19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3" spans="10:12">
      <c r="J1923">
        <f>DropAnalityka[[#This Row],[Sell Drop]]+IF(DropAnalityka[[#This Row],[Drop]]="Scroll", 2000*DropAnalityka[[#This Row],[Quality/Quantity]],0)</f>
        <v>0</v>
      </c>
      <c r="K19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4" spans="10:12">
      <c r="J1924">
        <f>DropAnalityka[[#This Row],[Sell Drop]]+IF(DropAnalityka[[#This Row],[Drop]]="Scroll", 2000*DropAnalityka[[#This Row],[Quality/Quantity]],0)</f>
        <v>0</v>
      </c>
      <c r="K19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5" spans="10:12">
      <c r="J1925">
        <f>DropAnalityka[[#This Row],[Sell Drop]]+IF(DropAnalityka[[#This Row],[Drop]]="Scroll", 2000*DropAnalityka[[#This Row],[Quality/Quantity]],0)</f>
        <v>0</v>
      </c>
      <c r="K19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6" spans="10:12">
      <c r="J1926">
        <f>DropAnalityka[[#This Row],[Sell Drop]]+IF(DropAnalityka[[#This Row],[Drop]]="Scroll", 2000*DropAnalityka[[#This Row],[Quality/Quantity]],0)</f>
        <v>0</v>
      </c>
      <c r="K19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7" spans="10:12">
      <c r="J1927">
        <f>DropAnalityka[[#This Row],[Sell Drop]]+IF(DropAnalityka[[#This Row],[Drop]]="Scroll", 2000*DropAnalityka[[#This Row],[Quality/Quantity]],0)</f>
        <v>0</v>
      </c>
      <c r="K19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8" spans="10:12">
      <c r="J1928">
        <f>DropAnalityka[[#This Row],[Sell Drop]]+IF(DropAnalityka[[#This Row],[Drop]]="Scroll", 2000*DropAnalityka[[#This Row],[Quality/Quantity]],0)</f>
        <v>0</v>
      </c>
      <c r="K19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9" spans="10:12">
      <c r="J1929">
        <f>DropAnalityka[[#This Row],[Sell Drop]]+IF(DropAnalityka[[#This Row],[Drop]]="Scroll", 2000*DropAnalityka[[#This Row],[Quality/Quantity]],0)</f>
        <v>0</v>
      </c>
      <c r="K19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0" spans="10:12">
      <c r="J1930">
        <f>DropAnalityka[[#This Row],[Sell Drop]]+IF(DropAnalityka[[#This Row],[Drop]]="Scroll", 2000*DropAnalityka[[#This Row],[Quality/Quantity]],0)</f>
        <v>0</v>
      </c>
      <c r="K19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1" spans="10:12">
      <c r="J1931">
        <f>DropAnalityka[[#This Row],[Sell Drop]]+IF(DropAnalityka[[#This Row],[Drop]]="Scroll", 2000*DropAnalityka[[#This Row],[Quality/Quantity]],0)</f>
        <v>0</v>
      </c>
      <c r="K19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2" spans="10:12">
      <c r="J1932">
        <f>DropAnalityka[[#This Row],[Sell Drop]]+IF(DropAnalityka[[#This Row],[Drop]]="Scroll", 2000*DropAnalityka[[#This Row],[Quality/Quantity]],0)</f>
        <v>0</v>
      </c>
      <c r="K19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3" spans="10:12">
      <c r="J1933">
        <f>DropAnalityka[[#This Row],[Sell Drop]]+IF(DropAnalityka[[#This Row],[Drop]]="Scroll", 2000*DropAnalityka[[#This Row],[Quality/Quantity]],0)</f>
        <v>0</v>
      </c>
      <c r="K19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4" spans="10:12">
      <c r="J1934">
        <f>DropAnalityka[[#This Row],[Sell Drop]]+IF(DropAnalityka[[#This Row],[Drop]]="Scroll", 2000*DropAnalityka[[#This Row],[Quality/Quantity]],0)</f>
        <v>0</v>
      </c>
      <c r="K19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5" spans="10:12">
      <c r="J1935">
        <f>DropAnalityka[[#This Row],[Sell Drop]]+IF(DropAnalityka[[#This Row],[Drop]]="Scroll", 2000*DropAnalityka[[#This Row],[Quality/Quantity]],0)</f>
        <v>0</v>
      </c>
      <c r="K19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6" spans="10:12">
      <c r="J1936">
        <f>DropAnalityka[[#This Row],[Sell Drop]]+IF(DropAnalityka[[#This Row],[Drop]]="Scroll", 2000*DropAnalityka[[#This Row],[Quality/Quantity]],0)</f>
        <v>0</v>
      </c>
      <c r="K19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7" spans="10:12">
      <c r="J1937">
        <f>DropAnalityka[[#This Row],[Sell Drop]]+IF(DropAnalityka[[#This Row],[Drop]]="Scroll", 2000*DropAnalityka[[#This Row],[Quality/Quantity]],0)</f>
        <v>0</v>
      </c>
      <c r="K19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8" spans="10:12">
      <c r="J1938">
        <f>DropAnalityka[[#This Row],[Sell Drop]]+IF(DropAnalityka[[#This Row],[Drop]]="Scroll", 2000*DropAnalityka[[#This Row],[Quality/Quantity]],0)</f>
        <v>0</v>
      </c>
      <c r="K19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9" spans="10:12">
      <c r="J1939">
        <f>DropAnalityka[[#This Row],[Sell Drop]]+IF(DropAnalityka[[#This Row],[Drop]]="Scroll", 2000*DropAnalityka[[#This Row],[Quality/Quantity]],0)</f>
        <v>0</v>
      </c>
      <c r="K19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0" spans="10:12">
      <c r="J1940">
        <f>DropAnalityka[[#This Row],[Sell Drop]]+IF(DropAnalityka[[#This Row],[Drop]]="Scroll", 2000*DropAnalityka[[#This Row],[Quality/Quantity]],0)</f>
        <v>0</v>
      </c>
      <c r="K19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1" spans="10:12">
      <c r="J1941">
        <f>DropAnalityka[[#This Row],[Sell Drop]]+IF(DropAnalityka[[#This Row],[Drop]]="Scroll", 2000*DropAnalityka[[#This Row],[Quality/Quantity]],0)</f>
        <v>0</v>
      </c>
      <c r="K19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2" spans="10:12">
      <c r="J1942">
        <f>DropAnalityka[[#This Row],[Sell Drop]]+IF(DropAnalityka[[#This Row],[Drop]]="Scroll", 2000*DropAnalityka[[#This Row],[Quality/Quantity]],0)</f>
        <v>0</v>
      </c>
      <c r="K19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3" spans="10:12">
      <c r="J1943">
        <f>DropAnalityka[[#This Row],[Sell Drop]]+IF(DropAnalityka[[#This Row],[Drop]]="Scroll", 2000*DropAnalityka[[#This Row],[Quality/Quantity]],0)</f>
        <v>0</v>
      </c>
      <c r="K19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4" spans="10:12">
      <c r="J1944">
        <f>DropAnalityka[[#This Row],[Sell Drop]]+IF(DropAnalityka[[#This Row],[Drop]]="Scroll", 2000*DropAnalityka[[#This Row],[Quality/Quantity]],0)</f>
        <v>0</v>
      </c>
      <c r="K19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5" spans="10:12">
      <c r="J1945">
        <f>DropAnalityka[[#This Row],[Sell Drop]]+IF(DropAnalityka[[#This Row],[Drop]]="Scroll", 2000*DropAnalityka[[#This Row],[Quality/Quantity]],0)</f>
        <v>0</v>
      </c>
      <c r="K19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6" spans="10:12">
      <c r="J1946">
        <f>DropAnalityka[[#This Row],[Sell Drop]]+IF(DropAnalityka[[#This Row],[Drop]]="Scroll", 2000*DropAnalityka[[#This Row],[Quality/Quantity]],0)</f>
        <v>0</v>
      </c>
      <c r="K19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7" spans="10:12">
      <c r="J1947">
        <f>DropAnalityka[[#This Row],[Sell Drop]]+IF(DropAnalityka[[#This Row],[Drop]]="Scroll", 2000*DropAnalityka[[#This Row],[Quality/Quantity]],0)</f>
        <v>0</v>
      </c>
      <c r="K19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8" spans="10:12">
      <c r="J1948">
        <f>DropAnalityka[[#This Row],[Sell Drop]]+IF(DropAnalityka[[#This Row],[Drop]]="Scroll", 2000*DropAnalityka[[#This Row],[Quality/Quantity]],0)</f>
        <v>0</v>
      </c>
      <c r="K19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9" spans="10:12">
      <c r="J1949">
        <f>DropAnalityka[[#This Row],[Sell Drop]]+IF(DropAnalityka[[#This Row],[Drop]]="Scroll", 2000*DropAnalityka[[#This Row],[Quality/Quantity]],0)</f>
        <v>0</v>
      </c>
      <c r="K19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0" spans="10:12">
      <c r="J1950">
        <f>DropAnalityka[[#This Row],[Sell Drop]]+IF(DropAnalityka[[#This Row],[Drop]]="Scroll", 2000*DropAnalityka[[#This Row],[Quality/Quantity]],0)</f>
        <v>0</v>
      </c>
      <c r="K19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1" spans="10:12">
      <c r="J1951">
        <f>DropAnalityka[[#This Row],[Sell Drop]]+IF(DropAnalityka[[#This Row],[Drop]]="Scroll", 2000*DropAnalityka[[#This Row],[Quality/Quantity]],0)</f>
        <v>0</v>
      </c>
      <c r="K19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2" spans="10:12">
      <c r="J1952">
        <f>DropAnalityka[[#This Row],[Sell Drop]]+IF(DropAnalityka[[#This Row],[Drop]]="Scroll", 2000*DropAnalityka[[#This Row],[Quality/Quantity]],0)</f>
        <v>0</v>
      </c>
      <c r="K19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3" spans="10:12">
      <c r="J1953">
        <f>DropAnalityka[[#This Row],[Sell Drop]]+IF(DropAnalityka[[#This Row],[Drop]]="Scroll", 2000*DropAnalityka[[#This Row],[Quality/Quantity]],0)</f>
        <v>0</v>
      </c>
      <c r="K19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4" spans="10:12">
      <c r="J1954">
        <f>DropAnalityka[[#This Row],[Sell Drop]]+IF(DropAnalityka[[#This Row],[Drop]]="Scroll", 2000*DropAnalityka[[#This Row],[Quality/Quantity]],0)</f>
        <v>0</v>
      </c>
      <c r="K19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5" spans="10:12">
      <c r="J1955">
        <f>DropAnalityka[[#This Row],[Sell Drop]]+IF(DropAnalityka[[#This Row],[Drop]]="Scroll", 2000*DropAnalityka[[#This Row],[Quality/Quantity]],0)</f>
        <v>0</v>
      </c>
      <c r="K19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6" spans="10:12">
      <c r="J1956">
        <f>DropAnalityka[[#This Row],[Sell Drop]]+IF(DropAnalityka[[#This Row],[Drop]]="Scroll", 2000*DropAnalityka[[#This Row],[Quality/Quantity]],0)</f>
        <v>0</v>
      </c>
      <c r="K19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7" spans="10:12">
      <c r="J1957">
        <f>DropAnalityka[[#This Row],[Sell Drop]]+IF(DropAnalityka[[#This Row],[Drop]]="Scroll", 2000*DropAnalityka[[#This Row],[Quality/Quantity]],0)</f>
        <v>0</v>
      </c>
      <c r="K19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8" spans="10:12">
      <c r="J1958">
        <f>DropAnalityka[[#This Row],[Sell Drop]]+IF(DropAnalityka[[#This Row],[Drop]]="Scroll", 2000*DropAnalityka[[#This Row],[Quality/Quantity]],0)</f>
        <v>0</v>
      </c>
      <c r="K19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9" spans="10:12">
      <c r="J1959">
        <f>DropAnalityka[[#This Row],[Sell Drop]]+IF(DropAnalityka[[#This Row],[Drop]]="Scroll", 2000*DropAnalityka[[#This Row],[Quality/Quantity]],0)</f>
        <v>0</v>
      </c>
      <c r="K19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0" spans="10:12">
      <c r="J1960">
        <f>DropAnalityka[[#This Row],[Sell Drop]]+IF(DropAnalityka[[#This Row],[Drop]]="Scroll", 2000*DropAnalityka[[#This Row],[Quality/Quantity]],0)</f>
        <v>0</v>
      </c>
      <c r="K19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1" spans="10:12">
      <c r="J1961">
        <f>DropAnalityka[[#This Row],[Sell Drop]]+IF(DropAnalityka[[#This Row],[Drop]]="Scroll", 2000*DropAnalityka[[#This Row],[Quality/Quantity]],0)</f>
        <v>0</v>
      </c>
      <c r="K19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2" spans="10:12">
      <c r="J1962">
        <f>DropAnalityka[[#This Row],[Sell Drop]]+IF(DropAnalityka[[#This Row],[Drop]]="Scroll", 2000*DropAnalityka[[#This Row],[Quality/Quantity]],0)</f>
        <v>0</v>
      </c>
      <c r="K19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3" spans="10:12">
      <c r="J1963">
        <f>DropAnalityka[[#This Row],[Sell Drop]]+IF(DropAnalityka[[#This Row],[Drop]]="Scroll", 2000*DropAnalityka[[#This Row],[Quality/Quantity]],0)</f>
        <v>0</v>
      </c>
      <c r="K19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4" spans="10:12">
      <c r="J1964">
        <f>DropAnalityka[[#This Row],[Sell Drop]]+IF(DropAnalityka[[#This Row],[Drop]]="Scroll", 2000*DropAnalityka[[#This Row],[Quality/Quantity]],0)</f>
        <v>0</v>
      </c>
      <c r="K19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5" spans="10:12">
      <c r="J1965">
        <f>DropAnalityka[[#This Row],[Sell Drop]]+IF(DropAnalityka[[#This Row],[Drop]]="Scroll", 2000*DropAnalityka[[#This Row],[Quality/Quantity]],0)</f>
        <v>0</v>
      </c>
      <c r="K19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6" spans="10:12">
      <c r="J1966">
        <f>DropAnalityka[[#This Row],[Sell Drop]]+IF(DropAnalityka[[#This Row],[Drop]]="Scroll", 2000*DropAnalityka[[#This Row],[Quality/Quantity]],0)</f>
        <v>0</v>
      </c>
      <c r="K19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7" spans="10:12">
      <c r="J1967">
        <f>DropAnalityka[[#This Row],[Sell Drop]]+IF(DropAnalityka[[#This Row],[Drop]]="Scroll", 2000*DropAnalityka[[#This Row],[Quality/Quantity]],0)</f>
        <v>0</v>
      </c>
      <c r="K19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8" spans="10:12">
      <c r="J1968">
        <f>DropAnalityka[[#This Row],[Sell Drop]]+IF(DropAnalityka[[#This Row],[Drop]]="Scroll", 2000*DropAnalityka[[#This Row],[Quality/Quantity]],0)</f>
        <v>0</v>
      </c>
      <c r="K19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9" spans="10:12">
      <c r="J1969">
        <f>DropAnalityka[[#This Row],[Sell Drop]]+IF(DropAnalityka[[#This Row],[Drop]]="Scroll", 2000*DropAnalityka[[#This Row],[Quality/Quantity]],0)</f>
        <v>0</v>
      </c>
      <c r="K19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0" spans="10:12">
      <c r="J1970">
        <f>DropAnalityka[[#This Row],[Sell Drop]]+IF(DropAnalityka[[#This Row],[Drop]]="Scroll", 2000*DropAnalityka[[#This Row],[Quality/Quantity]],0)</f>
        <v>0</v>
      </c>
      <c r="K19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1" spans="10:12">
      <c r="J1971">
        <f>DropAnalityka[[#This Row],[Sell Drop]]+IF(DropAnalityka[[#This Row],[Drop]]="Scroll", 2000*DropAnalityka[[#This Row],[Quality/Quantity]],0)</f>
        <v>0</v>
      </c>
      <c r="K19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2" spans="10:12">
      <c r="J1972">
        <f>DropAnalityka[[#This Row],[Sell Drop]]+IF(DropAnalityka[[#This Row],[Drop]]="Scroll", 2000*DropAnalityka[[#This Row],[Quality/Quantity]],0)</f>
        <v>0</v>
      </c>
      <c r="K19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3" spans="10:12">
      <c r="J1973">
        <f>DropAnalityka[[#This Row],[Sell Drop]]+IF(DropAnalityka[[#This Row],[Drop]]="Scroll", 2000*DropAnalityka[[#This Row],[Quality/Quantity]],0)</f>
        <v>0</v>
      </c>
      <c r="K19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4" spans="10:12">
      <c r="J1974">
        <f>DropAnalityka[[#This Row],[Sell Drop]]+IF(DropAnalityka[[#This Row],[Drop]]="Scroll", 2000*DropAnalityka[[#This Row],[Quality/Quantity]],0)</f>
        <v>0</v>
      </c>
      <c r="K19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5" spans="10:12">
      <c r="J1975">
        <f>DropAnalityka[[#This Row],[Sell Drop]]+IF(DropAnalityka[[#This Row],[Drop]]="Scroll", 2000*DropAnalityka[[#This Row],[Quality/Quantity]],0)</f>
        <v>0</v>
      </c>
      <c r="K19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6" spans="10:12">
      <c r="J1976">
        <f>DropAnalityka[[#This Row],[Sell Drop]]+IF(DropAnalityka[[#This Row],[Drop]]="Scroll", 2000*DropAnalityka[[#This Row],[Quality/Quantity]],0)</f>
        <v>0</v>
      </c>
      <c r="K19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7" spans="10:12">
      <c r="J1977">
        <f>DropAnalityka[[#This Row],[Sell Drop]]+IF(DropAnalityka[[#This Row],[Drop]]="Scroll", 2000*DropAnalityka[[#This Row],[Quality/Quantity]],0)</f>
        <v>0</v>
      </c>
      <c r="K19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8" spans="10:12">
      <c r="J1978">
        <f>DropAnalityka[[#This Row],[Sell Drop]]+IF(DropAnalityka[[#This Row],[Drop]]="Scroll", 2000*DropAnalityka[[#This Row],[Quality/Quantity]],0)</f>
        <v>0</v>
      </c>
      <c r="K19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9" spans="10:12">
      <c r="J1979">
        <f>DropAnalityka[[#This Row],[Sell Drop]]+IF(DropAnalityka[[#This Row],[Drop]]="Scroll", 2000*DropAnalityka[[#This Row],[Quality/Quantity]],0)</f>
        <v>0</v>
      </c>
      <c r="K19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0" spans="10:12">
      <c r="J1980">
        <f>DropAnalityka[[#This Row],[Sell Drop]]+IF(DropAnalityka[[#This Row],[Drop]]="Scroll", 2000*DropAnalityka[[#This Row],[Quality/Quantity]],0)</f>
        <v>0</v>
      </c>
      <c r="K19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1" spans="10:12">
      <c r="J1981">
        <f>DropAnalityka[[#This Row],[Sell Drop]]+IF(DropAnalityka[[#This Row],[Drop]]="Scroll", 2000*DropAnalityka[[#This Row],[Quality/Quantity]],0)</f>
        <v>0</v>
      </c>
      <c r="K19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2" spans="10:12">
      <c r="J1982">
        <f>DropAnalityka[[#This Row],[Sell Drop]]+IF(DropAnalityka[[#This Row],[Drop]]="Scroll", 2000*DropAnalityka[[#This Row],[Quality/Quantity]],0)</f>
        <v>0</v>
      </c>
      <c r="K19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3" spans="10:12">
      <c r="J1983">
        <f>DropAnalityka[[#This Row],[Sell Drop]]+IF(DropAnalityka[[#This Row],[Drop]]="Scroll", 2000*DropAnalityka[[#This Row],[Quality/Quantity]],0)</f>
        <v>0</v>
      </c>
      <c r="K19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4" spans="10:12">
      <c r="J1984">
        <f>DropAnalityka[[#This Row],[Sell Drop]]+IF(DropAnalityka[[#This Row],[Drop]]="Scroll", 2000*DropAnalityka[[#This Row],[Quality/Quantity]],0)</f>
        <v>0</v>
      </c>
      <c r="K19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5" spans="1:13">
      <c r="J1985">
        <f>DropAnalityka[[#This Row],[Sell Drop]]+IF(DropAnalityka[[#This Row],[Drop]]="Scroll", 2000*DropAnalityka[[#This Row],[Quality/Quantity]],0)</f>
        <v>0</v>
      </c>
      <c r="K19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6" spans="1:13">
      <c r="J1986">
        <f>DropAnalityka[[#This Row],[Sell Drop]]+IF(DropAnalityka[[#This Row],[Drop]]="Scroll", 2000*DropAnalityka[[#This Row],[Quality/Quantity]],0)</f>
        <v>0</v>
      </c>
      <c r="K19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7" spans="1:13">
      <c r="J1987">
        <f>DropAnalityka[[#This Row],[Sell Drop]]+IF(DropAnalityka[[#This Row],[Drop]]="Scroll", 2000*DropAnalityka[[#This Row],[Quality/Quantity]],0)</f>
        <v>0</v>
      </c>
      <c r="K19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8" spans="1:13">
      <c r="J1988">
        <f>DropAnalityka[[#This Row],[Sell Drop]]+IF(DropAnalityka[[#This Row],[Drop]]="Scroll", 2000*DropAnalityka[[#This Row],[Quality/Quantity]],0)</f>
        <v>0</v>
      </c>
      <c r="K19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9" spans="1:13">
      <c r="J1989">
        <f>DropAnalityka[[#This Row],[Sell Drop]]+IF(DropAnalityka[[#This Row],[Drop]]="Scroll", 2000*DropAnalityka[[#This Row],[Quality/Quantity]],0)</f>
        <v>0</v>
      </c>
      <c r="K19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0" spans="1:13">
      <c r="J1990">
        <f>DropAnalityka[[#This Row],[Sell Drop]]+IF(DropAnalityka[[#This Row],[Drop]]="Scroll", 2000*DropAnalityka[[#This Row],[Quality/Quantity]],0)</f>
        <v>0</v>
      </c>
      <c r="K19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1" spans="1:13">
      <c r="J1991">
        <f>DropAnalityka[[#This Row],[Sell Drop]]+IF(DropAnalityka[[#This Row],[Drop]]="Scroll", 2000*DropAnalityka[[#This Row],[Quality/Quantity]],0)</f>
        <v>0</v>
      </c>
      <c r="K19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2" spans="1:13">
      <c r="J1992">
        <f>DropAnalityka[[#This Row],[Sell Drop]]+IF(DropAnalityka[[#This Row],[Drop]]="Scroll", 2000*DropAnalityka[[#This Row],[Quality/Quantity]],0)</f>
        <v>0</v>
      </c>
      <c r="K19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3" spans="1:13">
      <c r="J1993">
        <f>DropAnalityka[[#This Row],[Sell Drop]]+IF(DropAnalityka[[#This Row],[Drop]]="Scroll", 2000*DropAnalityka[[#This Row],[Quality/Quantity]],0)</f>
        <v>0</v>
      </c>
      <c r="K19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4" spans="1:13">
      <c r="J1994">
        <f>DropAnalityka[[#This Row],[Sell Drop]]+IF(DropAnalityka[[#This Row],[Drop]]="Scroll", 2000*DropAnalityka[[#This Row],[Quality/Quantity]],0)</f>
        <v>0</v>
      </c>
      <c r="K19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5" spans="1:13">
      <c r="J1995">
        <f>DropAnalityka[[#This Row],[Sell Drop]]+IF(DropAnalityka[[#This Row],[Drop]]="Scroll", 2000*DropAnalityka[[#This Row],[Quality/Quantity]],0)</f>
        <v>0</v>
      </c>
      <c r="K19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6" spans="1:13">
      <c r="J1996">
        <f>DropAnalityka[[#This Row],[Sell Drop]]+IF(DropAnalityka[[#This Row],[Drop]]="Scroll", 2000*DropAnalityka[[#This Row],[Quality/Quantity]],0)</f>
        <v>0</v>
      </c>
      <c r="K19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7" spans="1:13">
      <c r="J1997">
        <f>DropAnalityka[[#This Row],[Sell Drop]]+IF(DropAnalityka[[#This Row],[Drop]]="Scroll", 2000*DropAnalityka[[#This Row],[Quality/Quantity]],0)</f>
        <v>0</v>
      </c>
      <c r="K19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8" spans="1:13">
      <c r="J1998">
        <f>DropAnalityka[[#This Row],[Sell Drop]]+IF(DropAnalityka[[#This Row],[Drop]]="Scroll", 2000*DropAnalityka[[#This Row],[Quality/Quantity]],0)</f>
        <v>0</v>
      </c>
      <c r="K19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9" spans="1:13">
      <c r="J1999">
        <f>DropAnalityka[[#This Row],[Sell Drop]]+IF(DropAnalityka[[#This Row],[Drop]]="Scroll", 2000*DropAnalityka[[#This Row],[Quality/Quantity]],0)</f>
        <v>0</v>
      </c>
      <c r="K19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19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Drop]]+IF(DropAnalityka[[#This Row],[Drop]]="Scroll", 2000*DropAnalityka[[#This Row],[Quality/Quantity]],0)</f>
        <v>0</v>
      </c>
      <c r="K2000" s="98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L2000" s="98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M2000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V107"/>
  <sheetViews>
    <sheetView workbookViewId="0">
      <selection activeCell="B35" sqref="B35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7" t="s">
        <v>7</v>
      </c>
      <c r="B1" s="87" t="s">
        <v>5</v>
      </c>
      <c r="C1" s="87" t="s">
        <v>6</v>
      </c>
      <c r="D1" s="87" t="s">
        <v>23</v>
      </c>
      <c r="E1" s="87" t="s">
        <v>15</v>
      </c>
      <c r="F1" s="87" t="s">
        <v>19</v>
      </c>
      <c r="G1" s="87" t="s">
        <v>10</v>
      </c>
      <c r="H1" s="87" t="s">
        <v>20</v>
      </c>
      <c r="I1" s="87" t="s">
        <v>202</v>
      </c>
      <c r="J1" s="87" t="s">
        <v>22</v>
      </c>
      <c r="K1" s="87" t="s">
        <v>57</v>
      </c>
      <c r="L1" s="87" t="s">
        <v>56</v>
      </c>
      <c r="M1" s="87" t="s">
        <v>206</v>
      </c>
      <c r="N1" s="87" t="s">
        <v>203</v>
      </c>
      <c r="O1" s="87" t="s">
        <v>208</v>
      </c>
      <c r="P1" s="87" t="s">
        <v>24</v>
      </c>
      <c r="Q1" s="87" t="s">
        <v>289</v>
      </c>
      <c r="R1" s="87" t="s">
        <v>306</v>
      </c>
      <c r="S1" s="87" t="s">
        <v>148</v>
      </c>
      <c r="T1" s="87" t="s">
        <v>147</v>
      </c>
      <c r="U1" t="s">
        <v>150</v>
      </c>
      <c r="V1" t="s">
        <v>151</v>
      </c>
    </row>
    <row r="2" spans="1:22">
      <c r="A2" t="s">
        <v>65</v>
      </c>
      <c r="B2" t="s">
        <v>30</v>
      </c>
      <c r="C2">
        <v>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3461.7777777777774</v>
      </c>
      <c r="J2" s="19">
        <f>AVERAGEIFS(DropAnalityka[Energy Drop],DropAnalityka[Location],LocFeatures[[#This Row],[Location]],DropAnalityka[LVL],LocFeatures[[#This Row],[LVL]],DropAnalityka[Stage],LocFeatures[[#This Row],[Stage]])</f>
        <v>1.1111111111111112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1198.3076923076922</v>
      </c>
      <c r="O2" s="56">
        <f>LocFeatures[[#This Row],[XP Train Gain]]/(LocFeatures[[#This Row],[E. Cost]]-LocFeatures[[#This Row],[Energy gain]])</f>
        <v>1379.0769230769231</v>
      </c>
      <c r="P2" s="56">
        <f>(LocFeatures[[#This Row],[XP Train Gain]]+LocFeatures[[#This Row],[XP drop]])/(LocFeatures[[#This Row],[E. Cost]]-LocFeatures[[#This Row],[Energy gain]])</f>
        <v>1379.0769230769231</v>
      </c>
      <c r="Q2" s="53">
        <f>COUNTIFS(DropAnalityka[Location],LocFeatures[[#This Row],[Location]],DropAnalityka[LVL],LocFeatures[[#This Row],[LVL]],DropAnalityka[Stage],LocFeatures[[#This Row],[Stage]])</f>
        <v>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5453.3230769230759</v>
      </c>
    </row>
    <row r="3" spans="1:22">
      <c r="A3" s="10" t="s">
        <v>8</v>
      </c>
      <c r="B3" s="10" t="s">
        <v>32</v>
      </c>
      <c r="C3" s="10">
        <v>3</v>
      </c>
      <c r="D3" s="10">
        <v>5</v>
      </c>
      <c r="E3" s="10">
        <v>1800</v>
      </c>
      <c r="F3" s="10">
        <v>12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3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3" s="10">
        <f>4*LocFeatures[[#This Row],[XP Gain per member]]</f>
        <v>7200</v>
      </c>
      <c r="L3">
        <f>3*LocFeatures[[#This Row],[XP Gain per member]]</f>
        <v>5400</v>
      </c>
      <c r="M3" s="56">
        <f>AVERAGEIFS(DropAnalityka[Exp Gain],DropAnalityka[Location],LocFeatures[[#This Row],[Location]],DropAnalityka[LVL],LocFeatures[[#This Row],[LVL]],DropAnalityka[Stage],LocFeatures[[#This Row],[Stage]])</f>
        <v>1984.6666666666667</v>
      </c>
      <c r="N3" s="56">
        <f>LocFeatures[[#This Row],[Drop worth gain]]/(LocFeatures[[#This Row],[E. Cost]]-LocFeatures[[#This Row],[Energy gain]])</f>
        <v>1097.8548644338116</v>
      </c>
      <c r="O3" s="56">
        <f>LocFeatures[[#This Row],[XP Train Gain]]/(LocFeatures[[#This Row],[E. Cost]]-LocFeatures[[#This Row],[Energy gain]])</f>
        <v>1343.5406698564593</v>
      </c>
      <c r="P3" s="56">
        <f>(LocFeatures[[#This Row],[XP Train Gain]]+LocFeatures[[#This Row],[XP drop]])/(LocFeatures[[#This Row],[E. Cost]]-LocFeatures[[#This Row],[Energy gain]])</f>
        <v>1837.3333333333335</v>
      </c>
      <c r="Q3" s="53">
        <f>COUNTIFS(DropAnalityka[Location],LocFeatures[[#This Row],[Location]],DropAnalityka[LVL],LocFeatures[[#This Row],[LVL]],DropAnalityka[Stage],LocFeatures[[#This Row],[Stage]])</f>
        <v>156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3620.4537543859647</v>
      </c>
      <c r="T3" s="10"/>
      <c r="U3" s="10"/>
      <c r="V3" s="10"/>
    </row>
    <row r="4" spans="1:22" s="10" customFormat="1">
      <c r="A4" s="10" t="s">
        <v>8</v>
      </c>
      <c r="B4" s="10" t="s">
        <v>32</v>
      </c>
      <c r="C4" s="10">
        <v>13</v>
      </c>
      <c r="D4" s="10">
        <v>5</v>
      </c>
      <c r="E4" s="10">
        <v>1800</v>
      </c>
      <c r="F4" s="10">
        <v>12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4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4" s="10">
        <f>4*LocFeatures[[#This Row],[XP Gain per member]]</f>
        <v>7200</v>
      </c>
      <c r="L4">
        <f>3*LocFeatures[[#This Row],[XP Gain per member]]</f>
        <v>5400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916.54666666666662</v>
      </c>
      <c r="O4" s="56">
        <f>LocFeatures[[#This Row],[XP Train Gain]]/(LocFeatures[[#This Row],[E. Cost]]-LocFeatures[[#This Row],[Energy gain]])</f>
        <v>1296</v>
      </c>
      <c r="P4" s="56">
        <f>(LocFeatures[[#This Row],[XP Train Gain]]+LocFeatures[[#This Row],[XP drop]])/(LocFeatures[[#This Row],[E. Cost]]-LocFeatures[[#This Row],[Energy gain]])</f>
        <v>1296</v>
      </c>
      <c r="Q4" s="53">
        <f>COUNTIFS(DropAnalityka[Location],LocFeatures[[#This Row],[Location]],DropAnalityka[LVL],LocFeatures[[#This Row],[LVL]],DropAnalityka[Stage],LocFeatures[[#This Row],[Stage]])</f>
        <v>18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4">
        <v>92</v>
      </c>
      <c r="T4" s="10" t="s">
        <v>290</v>
      </c>
      <c r="U4"/>
      <c r="V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5249.8813559322034</v>
      </c>
      <c r="J5" s="19">
        <f>AVERAGEIFS(DropAnalityka[Energy Drop],DropAnalityka[Location],LocFeatures[[#This Row],[Location]],DropAnalityka[LVL],LocFeatures[[#This Row],[LVL]],DropAnalityka[Stage],LocFeatures[[#This Row],[Stage]])</f>
        <v>0.84745762711864403</v>
      </c>
      <c r="K5" s="10">
        <f>4*LocFeatures[[#This Row],[XP Gain per member]]</f>
        <v>5104</v>
      </c>
      <c r="L5">
        <f>3*LocFeatures[[#This Row],[XP Gain per member]]</f>
        <v>3828</v>
      </c>
      <c r="M5" s="56">
        <f>AVERAGEIFS(DropAnalityka[Exp Gain],DropAnalityka[Location],LocFeatures[[#This Row],[Location]],DropAnalityka[LVL],LocFeatures[[#This Row],[LVL]],DropAnalityka[Stage],LocFeatures[[#This Row],[Stage]])</f>
        <v>2144.7796610169494</v>
      </c>
      <c r="N5" s="56">
        <f>LocFeatures[[#This Row],[Drop worth gain]]/(LocFeatures[[#This Row],[E. Cost]]-LocFeatures[[#This Row],[Energy gain]])</f>
        <v>1665.2849462365591</v>
      </c>
      <c r="O5" s="56">
        <f>LocFeatures[[#This Row],[XP Train Gain]]/(LocFeatures[[#This Row],[E. Cost]]-LocFeatures[[#This Row],[Energy gain]])</f>
        <v>1214.258064516129</v>
      </c>
      <c r="P5" s="56">
        <f>(LocFeatures[[#This Row],[XP Train Gain]]+LocFeatures[[#This Row],[XP drop]])/(LocFeatures[[#This Row],[E. Cost]]-LocFeatures[[#This Row],[Energy gain]])</f>
        <v>1894.5913978494625</v>
      </c>
      <c r="Q5" s="49">
        <f>COUNTIFS(DropAnalityka[Location],LocFeatures[[#This Row],[Location]],DropAnalityka[LVL],LocFeatures[[#This Row],[LVL]],DropAnalityka[Stage],LocFeatures[[#This Row],[Stage]])</f>
        <v>59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4527.3021505376346</v>
      </c>
      <c r="S5">
        <v>58</v>
      </c>
      <c r="T5" s="10" t="s">
        <v>290</v>
      </c>
      <c r="U5"/>
      <c r="V5"/>
    </row>
    <row r="6" spans="1:22" s="10" customFormat="1">
      <c r="A6" s="10" t="s">
        <v>31</v>
      </c>
      <c r="B6" s="10" t="s">
        <v>30</v>
      </c>
      <c r="C6" s="10">
        <v>1</v>
      </c>
      <c r="D6" s="10">
        <v>4</v>
      </c>
      <c r="E6" s="10">
        <v>1276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5581.1860465116279</v>
      </c>
      <c r="J6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6" s="10">
        <f>4*LocFeatures[[#This Row],[XP Gain per member]]</f>
        <v>5104</v>
      </c>
      <c r="L6">
        <f>3*LocFeatures[[#This Row],[XP Gain per member]]</f>
        <v>3828</v>
      </c>
      <c r="M6" s="56">
        <f>AVERAGEIFS(DropAnalityka[Exp Gain],DropAnalityka[Location],LocFeatures[[#This Row],[Location]],DropAnalityka[LVL],LocFeatures[[#This Row],[LVL]],DropAnalityka[Stage],LocFeatures[[#This Row],[Stage]])</f>
        <v>4127.5348837209303</v>
      </c>
      <c r="N6" s="56">
        <f>LocFeatures[[#This Row],[Drop worth gain]]/(LocFeatures[[#This Row],[E. Cost]]-LocFeatures[[#This Row],[Energy gain]])</f>
        <v>1739.0652173913045</v>
      </c>
      <c r="O6" s="56">
        <f>LocFeatures[[#This Row],[XP Train Gain]]/(LocFeatures[[#This Row],[E. Cost]]-LocFeatures[[#This Row],[Energy gain]])</f>
        <v>1192.7826086956522</v>
      </c>
      <c r="P6" s="56">
        <f>(LocFeatures[[#This Row],[XP Train Gain]]+LocFeatures[[#This Row],[XP drop]])/(LocFeatures[[#This Row],[E. Cost]]-LocFeatures[[#This Row],[Energy gain]])</f>
        <v>2478.898550724638</v>
      </c>
      <c r="Q6" s="53">
        <f>COUNTIFS(DropAnalityka[Location],LocFeatures[[#This Row],[Location]],DropAnalityka[LVL],LocFeatures[[#This Row],[LVL]],DropAnalityka[Stage],LocFeatures[[#This Row],[Stage]])</f>
        <v>43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6"/>
    </row>
    <row r="7" spans="1:22" s="10" customFormat="1">
      <c r="A7" s="10" t="s">
        <v>65</v>
      </c>
      <c r="B7" s="10" t="s">
        <v>9</v>
      </c>
      <c r="C7" s="10">
        <v>1</v>
      </c>
      <c r="D7" s="10">
        <v>3</v>
      </c>
      <c r="E7" s="10">
        <v>799</v>
      </c>
      <c r="F7" s="10">
        <v>13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7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7" s="10">
        <f>4*LocFeatures[[#This Row],[XP Gain per member]]</f>
        <v>3196</v>
      </c>
      <c r="L7">
        <f>3*LocFeatures[[#This Row],[XP Gain per member]]</f>
        <v>2397</v>
      </c>
      <c r="M7" s="56">
        <f>AVERAGEIFS(DropAnalityka[Exp Gain],DropAnalityka[Location],LocFeatures[[#This Row],[Location]],DropAnalityka[LVL],LocFeatures[[#This Row],[LVL]],DropAnalityka[Stage],LocFeatures[[#This Row],[Stage]])</f>
        <v>1417.5</v>
      </c>
      <c r="N7" s="56">
        <f>LocFeatures[[#This Row],[Drop worth gain]]/(LocFeatures[[#This Row],[E. Cost]]-LocFeatures[[#This Row],[Energy gain]])</f>
        <v>1792.2906403940885</v>
      </c>
      <c r="O7" s="56">
        <f>LocFeatures[[#This Row],[XP Train Gain]]/(LocFeatures[[#This Row],[E. Cost]]-LocFeatures[[#This Row],[Energy gain]])</f>
        <v>1133.5566502463053</v>
      </c>
      <c r="P7" s="56">
        <f>(LocFeatures[[#This Row],[XP Train Gain]]+LocFeatures[[#This Row],[XP drop]])/(LocFeatures[[#This Row],[E. Cost]]-LocFeatures[[#This Row],[Energy gain]])</f>
        <v>1803.9014778325122</v>
      </c>
      <c r="Q7" s="53">
        <f>COUNTIFS(DropAnalityka[Location],LocFeatures[[#This Row],[Location]],DropAnalityka[LVL],LocFeatures[[#This Row],[LVL]],DropAnalityka[Stage],LocFeatures[[#This Row],[Stage]])</f>
        <v>96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7"/>
    </row>
    <row r="8" spans="1:22" s="10" customFormat="1">
      <c r="A8" s="10" t="s">
        <v>64</v>
      </c>
      <c r="B8" s="10" t="s">
        <v>32</v>
      </c>
      <c r="C8" s="10">
        <v>2</v>
      </c>
      <c r="D8" s="10">
        <v>5</v>
      </c>
      <c r="E8" s="10">
        <v>1500</v>
      </c>
      <c r="F8" s="10">
        <v>10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8" s="19">
        <f>AVERAGEIFS(DropAnalityka[Energy Drop],DropAnalityka[Location],LocFeatures[[#This Row],[Location]],DropAnalityka[LVL],LocFeatures[[#This Row],[LVL]],DropAnalityka[Stage],LocFeatures[[#This Row],[Stage]])</f>
        <v>1</v>
      </c>
      <c r="K8" s="10">
        <f>4*LocFeatures[[#This Row],[XP Gain per member]]</f>
        <v>6000</v>
      </c>
      <c r="L8">
        <f>3*LocFeatures[[#This Row],[XP Gain per member]]</f>
        <v>4500</v>
      </c>
      <c r="M8" s="56">
        <f>AVERAGEIFS(DropAnalityka[Exp Gain],DropAnalityka[Location],LocFeatures[[#This Row],[Location]],DropAnalityka[LVL],LocFeatures[[#This Row],[LVL]],DropAnalityka[Stage],LocFeatures[[#This Row],[Stage]])</f>
        <v>66062</v>
      </c>
      <c r="N8" s="56">
        <f>LocFeatures[[#This Row],[Drop worth gain]]/(LocFeatures[[#This Row],[E. Cost]]-LocFeatures[[#This Row],[Energy gain]])</f>
        <v>3173</v>
      </c>
      <c r="O8" s="56">
        <f>LocFeatures[[#This Row],[XP Train Gain]]/(LocFeatures[[#This Row],[E. Cost]]-LocFeatures[[#This Row],[Energy gain]])</f>
        <v>1125</v>
      </c>
      <c r="P8" s="56">
        <f>(LocFeatures[[#This Row],[XP Train Gain]]+LocFeatures[[#This Row],[XP drop]])/(LocFeatures[[#This Row],[E. Cost]]-LocFeatures[[#This Row],[Energy gain]])</f>
        <v>17640.5</v>
      </c>
      <c r="Q8" s="53">
        <f>COUNTIFS(DropAnalityka[Location],LocFeatures[[#This Row],[Location]],DropAnalityka[LVL],LocFeatures[[#This Row],[LVL]],DropAnalityka[Stage],LocFeatures[[#This Row],[Stage]])</f>
        <v>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S8"/>
    </row>
    <row r="9" spans="1:22" s="10" customFormat="1">
      <c r="A9" s="10" t="s">
        <v>31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18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9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9" s="10">
        <f>4*LocFeatures[[#This Row],[XP Gain per member]]</f>
        <v>3024</v>
      </c>
      <c r="L9">
        <f>3*LocFeatures[[#This Row],[XP Gain per member]]</f>
        <v>2268</v>
      </c>
      <c r="M9" s="56">
        <f>AVERAGEIFS(DropAnalityka[Exp Gain],DropAnalityka[Location],LocFeatures[[#This Row],[Location]],DropAnalityka[LVL],LocFeatures[[#This Row],[LVL]],DropAnalityka[Stage],LocFeatures[[#This Row],[Stage]])</f>
        <v>560</v>
      </c>
      <c r="N9" s="56">
        <f>LocFeatures[[#This Row],[Drop worth gain]]/(LocFeatures[[#This Row],[E. Cost]]-LocFeatures[[#This Row],[Energy gain]])</f>
        <v>1518.4476744186045</v>
      </c>
      <c r="O9" s="56">
        <f>LocFeatures[[#This Row],[XP Train Gain]]/(LocFeatures[[#This Row],[E. Cost]]-LocFeatures[[#This Row],[Energy gain]])</f>
        <v>1068.0697674418604</v>
      </c>
      <c r="P9" s="56">
        <f>(LocFeatures[[#This Row],[XP Train Gain]]+LocFeatures[[#This Row],[XP drop]])/(LocFeatures[[#This Row],[E. Cost]]-LocFeatures[[#This Row],[Energy gain]])</f>
        <v>1331.7906976744187</v>
      </c>
      <c r="Q9" s="53">
        <f>COUNTIFS(DropAnalityka[Location],LocFeatures[[#This Row],[Location]],DropAnalityka[LVL],LocFeatures[[#This Row],[LVL]],DropAnalityka[Stage],LocFeatures[[#This Row],[Stage]])</f>
        <v>81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9"/>
    </row>
    <row r="10" spans="1:22" s="10" customFormat="1">
      <c r="A10" s="10" t="s">
        <v>8</v>
      </c>
      <c r="B10" s="10" t="s">
        <v>30</v>
      </c>
      <c r="C10" s="10">
        <v>3</v>
      </c>
      <c r="D10" s="10">
        <v>4</v>
      </c>
      <c r="E10" s="10">
        <v>1098</v>
      </c>
      <c r="F10" s="10">
        <v>12</v>
      </c>
      <c r="G10" s="10" t="s">
        <v>18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4179.565312046444</v>
      </c>
      <c r="J10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0" s="10">
        <f>4*LocFeatures[[#This Row],[XP Gain per member]]</f>
        <v>4392</v>
      </c>
      <c r="L10">
        <f>3*LocFeatures[[#This Row],[XP Gain per member]]</f>
        <v>3294</v>
      </c>
      <c r="M10" s="56">
        <f>AVERAGEIFS(DropAnalityka[Exp Gain],DropAnalityka[Location],LocFeatures[[#This Row],[Location]],DropAnalityka[LVL],LocFeatures[[#This Row],[LVL]],DropAnalityka[Stage],LocFeatures[[#This Row],[Stage]])</f>
        <v>2387.5849056603774</v>
      </c>
      <c r="N10" s="56">
        <f>LocFeatures[[#This Row],[Drop worth gain]]/(LocFeatures[[#This Row],[E. Cost]]-LocFeatures[[#This Row],[Energy gain]])</f>
        <v>1334.4395273401299</v>
      </c>
      <c r="O10" s="56">
        <f>LocFeatures[[#This Row],[XP Train Gain]]/(LocFeatures[[#This Row],[E. Cost]]-LocFeatures[[#This Row],[Energy gain]])</f>
        <v>1051.698795180723</v>
      </c>
      <c r="P10" s="56">
        <f>(LocFeatures[[#This Row],[XP Train Gain]]+LocFeatures[[#This Row],[XP drop]])/(LocFeatures[[#This Row],[E. Cost]]-LocFeatures[[#This Row],[Energy gain]])</f>
        <v>1814.0000000000002</v>
      </c>
      <c r="Q10" s="53">
        <f>COUNTIFS(DropAnalityka[Location],LocFeatures[[#This Row],[Location]],DropAnalityka[LVL],LocFeatures[[#This Row],[LVL]],DropAnalityka[Stage],LocFeatures[[#This Row],[Stage]])</f>
        <v>53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S10"/>
    </row>
    <row r="11" spans="1:22" s="10" customFormat="1">
      <c r="A11" t="s">
        <v>8</v>
      </c>
      <c r="B11" t="s">
        <v>9</v>
      </c>
      <c r="C11">
        <v>3</v>
      </c>
      <c r="D11">
        <v>3</v>
      </c>
      <c r="E11">
        <v>642</v>
      </c>
      <c r="F11">
        <v>12</v>
      </c>
      <c r="G11" t="s">
        <v>18</v>
      </c>
      <c r="H11" t="s">
        <v>21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1">
        <f>4*LocFeatures[[#This Row],[XP Gain per member]]</f>
        <v>2568</v>
      </c>
      <c r="L11">
        <f>3*LocFeatures[[#This Row],[XP Gain per member]]</f>
        <v>1926</v>
      </c>
      <c r="M11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11" s="56">
        <f>LocFeatures[[#This Row],[Drop worth gain]]/(LocFeatures[[#This Row],[E. Cost]]-LocFeatures[[#This Row],[Energy gain]])</f>
        <v>1284.4719101123596</v>
      </c>
      <c r="O11" s="56">
        <f>LocFeatures[[#This Row],[XP Train Gain]]/(LocFeatures[[#This Row],[E. Cost]]-LocFeatures[[#This Row],[Energy gain]])</f>
        <v>887.25842696629206</v>
      </c>
      <c r="P11" s="56">
        <f>(LocFeatures[[#This Row],[XP Train Gain]]+LocFeatures[[#This Row],[XP drop]])/(LocFeatures[[#This Row],[E. Cost]]-LocFeatures[[#This Row],[Energy gain]])</f>
        <v>1396.9213483146066</v>
      </c>
      <c r="Q11" s="49">
        <f>COUNTIFS(DropAnalityka[Location],LocFeatures[[#This Row],[Location]],DropAnalityka[LVL],LocFeatures[[#This Row],[LVL]],DropAnalityka[Stage],LocFeatures[[#This Row],[Stage]])</f>
        <v>41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  <c r="S11"/>
      <c r="T11"/>
      <c r="U11"/>
      <c r="V11"/>
    </row>
    <row r="12" spans="1:22" s="10" customFormat="1">
      <c r="A12" s="10" t="s">
        <v>8</v>
      </c>
      <c r="B12" s="10" t="s">
        <v>30</v>
      </c>
      <c r="C12" s="10">
        <v>6</v>
      </c>
      <c r="D12" s="10">
        <v>5</v>
      </c>
      <c r="E12" s="10">
        <v>1116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2" s="19">
        <f>AVERAGEIFS(DropAnalityka[Energy Drop],DropAnalityka[Location],LocFeatures[[#This Row],[Location]],DropAnalityka[LVL],LocFeatures[[#This Row],[LVL]],DropAnalityka[Stage],LocFeatures[[#This Row],[Stage]])</f>
        <v>1</v>
      </c>
      <c r="K12" s="10">
        <f>4*LocFeatures[[#This Row],[XP Gain per member]]</f>
        <v>4464</v>
      </c>
      <c r="L12">
        <f>3*LocFeatures[[#This Row],[XP Gain per member]]</f>
        <v>3348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663</v>
      </c>
      <c r="O12" s="56">
        <f>LocFeatures[[#This Row],[XP Train Gain]]/(LocFeatures[[#This Row],[E. Cost]]-LocFeatures[[#This Row],[Energy gain]])</f>
        <v>837</v>
      </c>
      <c r="P12" s="56">
        <f>(LocFeatures[[#This Row],[XP Train Gain]]+LocFeatures[[#This Row],[XP drop]])/(LocFeatures[[#This Row],[E. Cost]]-LocFeatures[[#This Row],[Energy gain]])</f>
        <v>837</v>
      </c>
      <c r="Q12" s="53">
        <f>COUNTIFS(DropAnalityka[Location],LocFeatures[[#This Row],[Location]],DropAnalityka[LVL],LocFeatures[[#This Row],[LVL]],DropAnalityka[Stage],LocFeatures[[#This Row],[Stage]])</f>
        <v>1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S12"/>
    </row>
    <row r="13" spans="1:22" s="10" customFormat="1">
      <c r="A13" s="10" t="s">
        <v>65</v>
      </c>
      <c r="B13" s="10" t="s">
        <v>9</v>
      </c>
      <c r="C13" s="10">
        <v>3</v>
      </c>
      <c r="D13" s="10">
        <v>3</v>
      </c>
      <c r="E13" s="10">
        <v>804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13" s="19">
        <f>AVERAGEIFS(DropAnalityka[Energy Drop],DropAnalityka[Location],LocFeatures[[#This Row],[Location]],DropAnalityka[LVL],LocFeatures[[#This Row],[LVL]],DropAnalityka[Stage],LocFeatures[[#This Row],[Stage]])</f>
        <v>0</v>
      </c>
      <c r="K13" s="10">
        <f>4*LocFeatures[[#This Row],[XP Gain per member]]</f>
        <v>3216</v>
      </c>
      <c r="L13">
        <f>3*LocFeatures[[#This Row],[XP Gain per member]]</f>
        <v>2412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988</v>
      </c>
      <c r="O13" s="56">
        <f>LocFeatures[[#This Row],[XP Train Gain]]/(LocFeatures[[#This Row],[E. Cost]]-LocFeatures[[#This Row],[Energy gain]])</f>
        <v>804</v>
      </c>
      <c r="P13" s="56">
        <f>(LocFeatures[[#This Row],[XP Train Gain]]+LocFeatures[[#This Row],[XP drop]])/(LocFeatures[[#This Row],[E. Cost]]-LocFeatures[[#This Row],[Energy gain]])</f>
        <v>804</v>
      </c>
      <c r="Q13" s="53">
        <f>COUNTIFS(DropAnalityka[Location],LocFeatures[[#This Row],[Location]],DropAnalityka[LVL],LocFeatures[[#This Row],[LVL]],DropAnalityka[Stage],LocFeatures[[#This Row],[Stage]])</f>
        <v>2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13"/>
    </row>
    <row r="14" spans="1:22">
      <c r="A14" s="10" t="s">
        <v>65</v>
      </c>
      <c r="B14" s="10" t="s">
        <v>9</v>
      </c>
      <c r="C14" s="10">
        <v>2</v>
      </c>
      <c r="D14" s="10">
        <v>3</v>
      </c>
      <c r="E14" s="10">
        <v>804</v>
      </c>
      <c r="F14" s="10">
        <v>13</v>
      </c>
      <c r="G14" s="10"/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14" s="19">
        <f>AVERAGEIFS(DropAnalityka[Energy Drop],DropAnalityka[Location],LocFeatures[[#This Row],[Location]],DropAnalityka[LVL],LocFeatures[[#This Row],[LVL]],DropAnalityka[Stage],LocFeatures[[#This Row],[Stage]])</f>
        <v>0</v>
      </c>
      <c r="K14" s="10">
        <f>4*LocFeatures[[#This Row],[XP Gain per member]]</f>
        <v>3216</v>
      </c>
      <c r="L14">
        <f>3*LocFeatures[[#This Row],[XP Gain per member]]</f>
        <v>2412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1130.6666666666667</v>
      </c>
      <c r="O14" s="56">
        <f>LocFeatures[[#This Row],[XP Train Gain]]/(LocFeatures[[#This Row],[E. Cost]]-LocFeatures[[#This Row],[Energy gain]])</f>
        <v>804</v>
      </c>
      <c r="P14" s="56">
        <f>(LocFeatures[[#This Row],[XP Train Gain]]+LocFeatures[[#This Row],[XP drop]])/(LocFeatures[[#This Row],[E. Cost]]-LocFeatures[[#This Row],[Energy gain]])</f>
        <v>804</v>
      </c>
      <c r="Q14" s="53">
        <f>COUNTIFS(DropAnalityka[Location],LocFeatures[[#This Row],[Location]],DropAnalityka[LVL],LocFeatures[[#This Row],[LVL]],DropAnalityka[Stage],LocFeatures[[#This Row],[Stage]])</f>
        <v>1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14" s="10"/>
      <c r="U14" s="10"/>
      <c r="V14" s="10"/>
    </row>
    <row r="15" spans="1:22">
      <c r="A15" s="10" t="s">
        <v>197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6005.636363636364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1360.3283582089553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197</v>
      </c>
      <c r="B16" s="10" t="s">
        <v>9</v>
      </c>
      <c r="C16" s="10">
        <v>5</v>
      </c>
      <c r="D16" s="10">
        <v>6</v>
      </c>
      <c r="E16" s="10">
        <v>605</v>
      </c>
      <c r="F16" s="10"/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16" s="19">
        <f>AVERAGEIFS(DropAnalityka[Energy Drop],DropAnalityka[Location],LocFeatures[[#This Row],[Location]],DropAnalityka[LVL],LocFeatures[[#This Row],[LVL]],DropAnalityka[Stage],LocFeatures[[#This Row],[Stage]])</f>
        <v>1.75</v>
      </c>
      <c r="K16" s="10">
        <f>5*LocFeatures[[#This Row],[XP Gain per member]]</f>
        <v>3025</v>
      </c>
      <c r="L16">
        <f>3*LocFeatures[[#This Row],[XP Gain per member]]</f>
        <v>1815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1739.8823529411766</v>
      </c>
      <c r="O16" s="56">
        <f>LocFeatures[[#This Row],[XP Train Gain]]/(LocFeatures[[#This Row],[E. Cost]]-LocFeatures[[#This Row],[Energy gain]])</f>
        <v>427.05882352941177</v>
      </c>
      <c r="P16" s="56">
        <f>(LocFeatures[[#This Row],[XP Train Gain]]+LocFeatures[[#This Row],[XP drop]])/(LocFeatures[[#This Row],[E. Cost]]-LocFeatures[[#This Row],[Energy gain]])</f>
        <v>427.05882352941177</v>
      </c>
      <c r="Q16" s="53">
        <f>COUNTIFS(DropAnalityka[Location],LocFeatures[[#This Row],[Location]],DropAnalityka[LVL],LocFeatures[[#This Row],[LVL]],DropAnalityka[Stage],LocFeatures[[#This Row],[Stage]])</f>
        <v>16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</row>
    <row r="17" spans="1:22">
      <c r="A17" s="10" t="s">
        <v>37</v>
      </c>
      <c r="B17" s="10" t="s">
        <v>9</v>
      </c>
      <c r="C17" s="10">
        <v>7</v>
      </c>
      <c r="D17" s="10">
        <v>6</v>
      </c>
      <c r="E17" s="10">
        <v>616</v>
      </c>
      <c r="F17" s="10"/>
      <c r="G17" s="10"/>
      <c r="H17" s="10"/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7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7" s="10">
        <f>5*LocFeatures[[#This Row],[XP Gain per member]]</f>
        <v>3080</v>
      </c>
      <c r="L17">
        <f>3*LocFeatures[[#This Row],[XP Gain per member]]</f>
        <v>1848</v>
      </c>
      <c r="M17" s="56">
        <f>AVERAGEIFS(DropAnalityka[Exp Gain],DropAnalityka[Location],LocFeatures[[#This Row],[Location]],DropAnalityka[LVL],LocFeatures[[#This Row],[LVL]],DropAnalityka[Stage],LocFeatures[[#This Row],[Stage]])</f>
        <v>1065.516129032258</v>
      </c>
      <c r="N17" s="56">
        <f>LocFeatures[[#This Row],[Drop worth gain]]/(LocFeatures[[#This Row],[E. Cost]]-LocFeatures[[#This Row],[Energy gain]])</f>
        <v>605.169642857143</v>
      </c>
      <c r="O17" s="56">
        <f>LocFeatures[[#This Row],[XP Train Gain]]/(LocFeatures[[#This Row],[E. Cost]]-LocFeatures[[#This Row],[Energy gain]])</f>
        <v>341</v>
      </c>
      <c r="P17" s="56">
        <f>(LocFeatures[[#This Row],[XP Train Gain]]+LocFeatures[[#This Row],[XP drop]])/(LocFeatures[[#This Row],[E. Cost]]-LocFeatures[[#This Row],[Energy gain]])</f>
        <v>537.6130952380953</v>
      </c>
      <c r="Q17" s="53">
        <f>COUNTIFS(DropAnalityka[Location],LocFeatures[[#This Row],[Location]],DropAnalityka[LVL],LocFeatures[[#This Row],[LVL]],DropAnalityka[Stage],LocFeatures[[#This Row],[Stage]])</f>
        <v>62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8" spans="1:22">
      <c r="A18" s="10" t="s">
        <v>37</v>
      </c>
      <c r="B18" s="10" t="s">
        <v>9</v>
      </c>
      <c r="C18" s="10">
        <v>4</v>
      </c>
      <c r="D18" s="10">
        <v>5</v>
      </c>
      <c r="E18" s="10">
        <v>439</v>
      </c>
      <c r="F18" s="10">
        <v>10</v>
      </c>
      <c r="G18" s="10"/>
      <c r="H18" s="10"/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8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8" s="10">
        <f>4*LocFeatures[[#This Row],[XP Gain per member]]</f>
        <v>1756</v>
      </c>
      <c r="L18">
        <f>3*LocFeatures[[#This Row],[XP Gain per member]]</f>
        <v>1317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962.46666666666681</v>
      </c>
      <c r="O18" s="56">
        <f>LocFeatures[[#This Row],[XP Train Gain]]/(LocFeatures[[#This Row],[E. Cost]]-LocFeatures[[#This Row],[Energy gain]])</f>
        <v>307.3</v>
      </c>
      <c r="P18" s="56">
        <f>(LocFeatures[[#This Row],[XP Train Gain]]+LocFeatures[[#This Row],[XP drop]])/(LocFeatures[[#This Row],[E. Cost]]-LocFeatures[[#This Row],[Energy gain]])</f>
        <v>307.3</v>
      </c>
      <c r="Q18" s="53">
        <f>COUNTIFS(DropAnalityka[Location],LocFeatures[[#This Row],[Location]],DropAnalityka[LVL],LocFeatures[[#This Row],[LVL]],DropAnalityka[Stage],LocFeatures[[#This Row],[Stage]])</f>
        <v>7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8" s="10"/>
      <c r="U18" s="10"/>
      <c r="V18" s="10"/>
    </row>
    <row r="19" spans="1:22">
      <c r="A19" s="10" t="s">
        <v>161</v>
      </c>
      <c r="B19" s="10" t="s">
        <v>9</v>
      </c>
      <c r="C19" s="10">
        <v>5</v>
      </c>
      <c r="D19" s="10">
        <v>6</v>
      </c>
      <c r="E19" s="10">
        <v>392</v>
      </c>
      <c r="F19" s="10"/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2788.25</v>
      </c>
      <c r="J19" s="19">
        <f>AVERAGEIFS(DropAnalityka[Energy Drop],DropAnalityka[Location],LocFeatures[[#This Row],[Location]],DropAnalityka[LVL],LocFeatures[[#This Row],[LVL]],DropAnalityka[Stage],LocFeatures[[#This Row],[Stage]])</f>
        <v>0.5</v>
      </c>
      <c r="K19" s="10">
        <f>5*LocFeatures[[#This Row],[XP Gain per member]]</f>
        <v>1960</v>
      </c>
      <c r="L19">
        <f>3*LocFeatures[[#This Row],[XP Gain per member]]</f>
        <v>1176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506.95454545454544</v>
      </c>
      <c r="O19" s="56">
        <f>LocFeatures[[#This Row],[XP Train Gain]]/(LocFeatures[[#This Row],[E. Cost]]-LocFeatures[[#This Row],[Energy gain]])</f>
        <v>213.81818181818181</v>
      </c>
      <c r="P19" s="56">
        <f>(LocFeatures[[#This Row],[XP Train Gain]]+LocFeatures[[#This Row],[XP drop]])/(LocFeatures[[#This Row],[E. Cost]]-LocFeatures[[#This Row],[Energy gain]])</f>
        <v>213.81818181818181</v>
      </c>
      <c r="Q19" s="53">
        <f>COUNTIFS(DropAnalityka[Location],LocFeatures[[#This Row],[Location]],DropAnalityka[LVL],LocFeatures[[#This Row],[LVL]],DropAnalityka[Stage],LocFeatures[[#This Row],[Stage]])</f>
        <v>16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1319.2818181818182</v>
      </c>
    </row>
    <row r="20" spans="1:22">
      <c r="A20" t="s">
        <v>8</v>
      </c>
      <c r="B20" t="s">
        <v>9</v>
      </c>
      <c r="C20">
        <v>3</v>
      </c>
      <c r="D20">
        <v>3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2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20">
        <f>4*LocFeatures[[#This Row],[XP Gain per member]]</f>
        <v>0</v>
      </c>
      <c r="L20">
        <f>3*LocFeatures[[#This Row],[XP Gain per member]]</f>
        <v>0</v>
      </c>
      <c r="M20" s="56">
        <f>AVERAGEIFS(DropAnalityka[Exp Gain],DropAnalityka[Location],LocFeatures[[#This Row],[Location]],DropAnalityka[LVL],LocFeatures[[#This Row],[LVL]],DropAnalityka[Stage],LocFeatures[[#This Row],[Stage]])</f>
        <v>1106.3414634146341</v>
      </c>
      <c r="N20" s="56">
        <f>LocFeatures[[#This Row],[Drop worth gain]]/(LocFeatures[[#This Row],[E. Cost]]-LocFeatures[[#This Row],[Energy gain]])</f>
        <v>1284.4719101123596</v>
      </c>
      <c r="O20" s="56">
        <f>LocFeatures[[#This Row],[XP Train Gain]]/(LocFeatures[[#This Row],[E. Cost]]-LocFeatures[[#This Row],[Energy gain]])</f>
        <v>0</v>
      </c>
      <c r="P20" s="56">
        <f>(LocFeatures[[#This Row],[XP Train Gain]]+LocFeatures[[#This Row],[XP drop]])/(LocFeatures[[#This Row],[E. Cost]]-LocFeatures[[#This Row],[Energy gain]])</f>
        <v>509.66292134831451</v>
      </c>
      <c r="Q20" s="49">
        <f>COUNTIFS(DropAnalityka[Location],LocFeatures[[#This Row],[Location]],DropAnalityka[LVL],LocFeatures[[#This Row],[LVL]],DropAnalityka[Stage],LocFeatures[[#This Row],[Stage]])</f>
        <v>41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1" spans="1:22">
      <c r="A21" t="s">
        <v>37</v>
      </c>
      <c r="B21" t="s">
        <v>9</v>
      </c>
      <c r="C21">
        <v>9</v>
      </c>
      <c r="D21">
        <v>7</v>
      </c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3971.4375</v>
      </c>
      <c r="J21" s="19">
        <f>AVERAGEIFS(DropAnalityka[Energy Drop],DropAnalityka[Location],LocFeatures[[#This Row],[Location]],DropAnalityka[LVL],LocFeatures[[#This Row],[LVL]],DropAnalityka[Stage],LocFeatures[[#This Row],[Stage]])</f>
        <v>0.625</v>
      </c>
      <c r="K21">
        <f>4*LocFeatures[[#This Row],[XP Gain per member]]</f>
        <v>0</v>
      </c>
      <c r="L21">
        <f>3*LocFeatures[[#This Row],[XP Gain per member]]</f>
        <v>0</v>
      </c>
      <c r="M21" s="56">
        <f>AVERAGEIFS(DropAnalityka[Exp Gain],DropAnalityka[Location],LocFeatures[[#This Row],[Location]],DropAnalityka[LVL],LocFeatures[[#This Row],[LVL]],DropAnalityka[Stage],LocFeatures[[#This Row],[Stage]])</f>
        <v>8257.75</v>
      </c>
      <c r="N21" s="56">
        <f>LocFeatures[[#This Row],[Drop worth gain]]/(LocFeatures[[#This Row],[E. Cost]]-LocFeatures[[#This Row],[Energy gain]])</f>
        <v>622.97058823529414</v>
      </c>
      <c r="O21" s="56">
        <f>LocFeatures[[#This Row],[XP Train Gain]]/(LocFeatures[[#This Row],[E. Cost]]-LocFeatures[[#This Row],[Energy gain]])</f>
        <v>0</v>
      </c>
      <c r="P21" s="56">
        <f>(LocFeatures[[#This Row],[XP Train Gain]]+LocFeatures[[#This Row],[XP drop]])/(LocFeatures[[#This Row],[E. Cost]]-LocFeatures[[#This Row],[Energy gain]])</f>
        <v>1295.3333333333333</v>
      </c>
      <c r="Q21" s="49">
        <f>COUNTIFS(DropAnalityka[Location],LocFeatures[[#This Row],[Location]],DropAnalityka[LVL],LocFeatures[[#This Row],[LVL]],DropAnalityka[Stage],LocFeatures[[#This Row],[Stage]])</f>
        <v>16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1351.4333333333334</v>
      </c>
    </row>
    <row r="22" spans="1:22">
      <c r="I22" s="49"/>
      <c r="M22" s="49"/>
      <c r="O22" s="54"/>
      <c r="Q22" s="49"/>
    </row>
    <row r="23" spans="1:22">
      <c r="I23" s="49"/>
      <c r="M23" s="49"/>
      <c r="O23" s="54"/>
      <c r="Q23" s="49"/>
    </row>
    <row r="24" spans="1:22">
      <c r="I24" s="49"/>
      <c r="M24" s="49"/>
      <c r="O24" s="54"/>
      <c r="Q24" s="49"/>
    </row>
    <row r="25" spans="1:22">
      <c r="I25" s="49"/>
      <c r="M25" s="49"/>
      <c r="O25" s="54"/>
      <c r="Q25" s="49"/>
    </row>
    <row r="26" spans="1:22">
      <c r="I26" s="49"/>
      <c r="M26" s="49"/>
      <c r="O26" s="54"/>
      <c r="Q26" s="49"/>
    </row>
    <row r="27" spans="1:22">
      <c r="I27" s="49"/>
      <c r="M27" s="49"/>
      <c r="O27" s="54"/>
      <c r="Q27" s="49"/>
    </row>
    <row r="28" spans="1:22">
      <c r="I28" s="49"/>
      <c r="M28" s="49"/>
      <c r="O28" s="54"/>
      <c r="Q28" s="49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  <row r="96" spans="9:17">
      <c r="I96" s="49"/>
      <c r="M96" s="49"/>
      <c r="O96" s="54"/>
      <c r="Q96" s="49"/>
    </row>
    <row r="97" spans="9:17">
      <c r="I97" s="49"/>
      <c r="M97" s="49"/>
      <c r="O97" s="54"/>
      <c r="Q97" s="49"/>
    </row>
    <row r="98" spans="9:17">
      <c r="I98" s="49"/>
      <c r="M98" s="49"/>
      <c r="O98" s="54"/>
      <c r="Q98" s="49"/>
    </row>
    <row r="99" spans="9:17">
      <c r="I99" s="49"/>
      <c r="M99" s="49"/>
      <c r="O99" s="54"/>
      <c r="Q99" s="49"/>
    </row>
    <row r="100" spans="9:17">
      <c r="I100" s="49"/>
      <c r="M100" s="49"/>
      <c r="O100" s="54"/>
      <c r="Q100" s="49"/>
    </row>
    <row r="101" spans="9:17">
      <c r="I101" s="49"/>
      <c r="M101" s="49"/>
      <c r="O101" s="54"/>
      <c r="Q101" s="49"/>
    </row>
    <row r="102" spans="9:17">
      <c r="I102" s="49"/>
      <c r="M102" s="49"/>
      <c r="O102" s="54"/>
      <c r="Q102" s="49"/>
    </row>
    <row r="103" spans="9:17">
      <c r="I103" s="49"/>
      <c r="M103" s="49"/>
      <c r="O103" s="54"/>
      <c r="Q103" s="49"/>
    </row>
    <row r="104" spans="9:17">
      <c r="I104" s="49"/>
      <c r="M104" s="49"/>
      <c r="O104" s="54"/>
      <c r="Q104" s="49"/>
    </row>
    <row r="105" spans="9:17">
      <c r="I105" s="49"/>
      <c r="M105" s="49"/>
      <c r="O105" s="54"/>
      <c r="Q105" s="49"/>
    </row>
    <row r="106" spans="9:17">
      <c r="I106" s="49"/>
      <c r="M106" s="49"/>
      <c r="O106" s="54"/>
      <c r="Q106" s="49"/>
    </row>
    <row r="107" spans="9:17">
      <c r="I107" s="49"/>
      <c r="M107" s="49"/>
      <c r="O107" s="54"/>
      <c r="Q107" s="4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T38"/>
  <sheetViews>
    <sheetView topLeftCell="A4" zoomScale="85" zoomScaleNormal="85" workbookViewId="0">
      <selection activeCell="D34" sqref="D34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</cols>
  <sheetData>
    <row r="1" spans="1:16" ht="15" thickBot="1"/>
    <row r="2" spans="1:16" ht="15.75" thickBot="1">
      <c r="A2" s="92" t="s">
        <v>266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4"/>
    </row>
    <row r="3" spans="1:16" ht="15">
      <c r="A3" s="37" t="s">
        <v>244</v>
      </c>
      <c r="B3" s="36" t="s">
        <v>259</v>
      </c>
      <c r="C3" s="36" t="s">
        <v>265</v>
      </c>
      <c r="D3" s="36" t="s">
        <v>249</v>
      </c>
      <c r="E3" s="36" t="s">
        <v>259</v>
      </c>
      <c r="F3" s="36" t="s">
        <v>265</v>
      </c>
      <c r="G3" s="36" t="s">
        <v>254</v>
      </c>
      <c r="H3" s="36" t="s">
        <v>259</v>
      </c>
      <c r="I3" s="36" t="s">
        <v>265</v>
      </c>
      <c r="J3" s="57"/>
      <c r="K3" s="36" t="s">
        <v>259</v>
      </c>
      <c r="L3" s="58" t="s">
        <v>265</v>
      </c>
    </row>
    <row r="4" spans="1:16">
      <c r="A4" s="5" t="s">
        <v>247</v>
      </c>
      <c r="B4" s="6" t="s">
        <v>260</v>
      </c>
      <c r="C4" s="6" t="s">
        <v>233</v>
      </c>
      <c r="D4" s="6" t="s">
        <v>250</v>
      </c>
      <c r="E4" s="6" t="s">
        <v>260</v>
      </c>
      <c r="F4" s="6"/>
      <c r="G4" s="6" t="s">
        <v>255</v>
      </c>
      <c r="H4" s="6" t="s">
        <v>260</v>
      </c>
      <c r="I4" s="62" t="s">
        <v>233</v>
      </c>
      <c r="J4" s="59" t="s">
        <v>263</v>
      </c>
      <c r="K4" s="59" t="s">
        <v>34</v>
      </c>
      <c r="L4" s="60" t="s">
        <v>233</v>
      </c>
    </row>
    <row r="5" spans="1:16">
      <c r="A5" s="5" t="s">
        <v>246</v>
      </c>
      <c r="B5" s="6" t="s">
        <v>261</v>
      </c>
      <c r="C5" s="6" t="s">
        <v>233</v>
      </c>
      <c r="D5" s="6" t="s">
        <v>251</v>
      </c>
      <c r="E5" s="6" t="s">
        <v>261</v>
      </c>
      <c r="F5" s="6"/>
      <c r="G5" s="6" t="s">
        <v>256</v>
      </c>
      <c r="H5" s="6" t="s">
        <v>34</v>
      </c>
      <c r="I5" s="6" t="s">
        <v>233</v>
      </c>
      <c r="J5" s="6"/>
      <c r="K5" s="6"/>
      <c r="L5" s="61"/>
    </row>
    <row r="6" spans="1:16">
      <c r="A6" s="5" t="s">
        <v>245</v>
      </c>
      <c r="B6" s="6" t="s">
        <v>261</v>
      </c>
      <c r="C6" s="62" t="s">
        <v>233</v>
      </c>
      <c r="D6" s="6" t="s">
        <v>252</v>
      </c>
      <c r="E6" s="6" t="s">
        <v>261</v>
      </c>
      <c r="F6" s="6" t="s">
        <v>233</v>
      </c>
      <c r="G6" s="6" t="s">
        <v>257</v>
      </c>
      <c r="H6" s="6" t="s">
        <v>260</v>
      </c>
      <c r="I6" s="62" t="s">
        <v>233</v>
      </c>
      <c r="J6" s="6"/>
      <c r="K6" s="6"/>
      <c r="L6" s="61"/>
    </row>
    <row r="7" spans="1:16" ht="15" thickBot="1">
      <c r="A7" s="7" t="s">
        <v>248</v>
      </c>
      <c r="B7" s="8" t="s">
        <v>264</v>
      </c>
      <c r="C7" s="8" t="s">
        <v>233</v>
      </c>
      <c r="D7" s="8" t="s">
        <v>253</v>
      </c>
      <c r="E7" s="8" t="s">
        <v>262</v>
      </c>
      <c r="F7" s="8"/>
      <c r="G7" s="8" t="s">
        <v>258</v>
      </c>
      <c r="H7" s="8" t="s">
        <v>262</v>
      </c>
      <c r="I7" s="8" t="s">
        <v>233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95" t="s">
        <v>267</v>
      </c>
      <c r="E9" s="96"/>
      <c r="F9" s="96"/>
      <c r="G9" s="96"/>
      <c r="H9" s="96"/>
      <c r="I9" s="96"/>
      <c r="J9" s="96"/>
      <c r="K9" s="96"/>
      <c r="L9" s="96"/>
      <c r="M9" s="96"/>
      <c r="N9" s="96"/>
      <c r="O9" s="96"/>
      <c r="P9" s="97"/>
    </row>
    <row r="10" spans="1:16" ht="15">
      <c r="A10" s="37" t="s">
        <v>268</v>
      </c>
      <c r="B10" s="36" t="s">
        <v>259</v>
      </c>
      <c r="C10" s="36" t="s">
        <v>265</v>
      </c>
      <c r="D10" s="72" t="s">
        <v>269</v>
      </c>
      <c r="E10" s="71" t="s">
        <v>259</v>
      </c>
      <c r="F10" s="71" t="s">
        <v>265</v>
      </c>
      <c r="G10" s="71" t="s">
        <v>270</v>
      </c>
      <c r="H10" s="71" t="s">
        <v>259</v>
      </c>
      <c r="I10" s="71" t="s">
        <v>265</v>
      </c>
      <c r="J10" s="71" t="s">
        <v>210</v>
      </c>
      <c r="K10" s="71"/>
      <c r="L10" s="71" t="s">
        <v>259</v>
      </c>
      <c r="M10" s="71" t="s">
        <v>265</v>
      </c>
      <c r="N10" s="65"/>
      <c r="O10" s="71" t="s">
        <v>259</v>
      </c>
      <c r="P10" s="73" t="s">
        <v>265</v>
      </c>
    </row>
    <row r="11" spans="1:16">
      <c r="A11" s="5" t="s">
        <v>284</v>
      </c>
      <c r="B11" s="6" t="s">
        <v>261</v>
      </c>
      <c r="C11" s="74" t="s">
        <v>233</v>
      </c>
      <c r="D11" s="69" t="s">
        <v>271</v>
      </c>
      <c r="E11" s="65" t="s">
        <v>261</v>
      </c>
      <c r="F11" s="65" t="s">
        <v>233</v>
      </c>
      <c r="G11" s="65" t="s">
        <v>275</v>
      </c>
      <c r="H11" s="65" t="s">
        <v>34</v>
      </c>
      <c r="I11" s="65" t="s">
        <v>233</v>
      </c>
      <c r="J11" s="65" t="s">
        <v>279</v>
      </c>
      <c r="K11" s="65"/>
      <c r="L11" s="65" t="s">
        <v>261</v>
      </c>
      <c r="M11" s="65"/>
      <c r="N11" s="65" t="s">
        <v>283</v>
      </c>
      <c r="O11" s="65"/>
      <c r="P11" s="66" t="s">
        <v>233</v>
      </c>
    </row>
    <row r="12" spans="1:16">
      <c r="A12" s="5" t="s">
        <v>285</v>
      </c>
      <c r="B12" s="6" t="s">
        <v>34</v>
      </c>
      <c r="C12" s="74" t="s">
        <v>233</v>
      </c>
      <c r="D12" s="69" t="s">
        <v>272</v>
      </c>
      <c r="E12" s="65" t="s">
        <v>34</v>
      </c>
      <c r="F12" s="65" t="s">
        <v>233</v>
      </c>
      <c r="G12" s="65" t="s">
        <v>276</v>
      </c>
      <c r="H12" s="65" t="s">
        <v>260</v>
      </c>
      <c r="I12" s="65" t="s">
        <v>233</v>
      </c>
      <c r="J12" s="65" t="s">
        <v>280</v>
      </c>
      <c r="K12" s="65"/>
      <c r="L12" s="65" t="s">
        <v>260</v>
      </c>
      <c r="M12" s="65" t="s">
        <v>233</v>
      </c>
      <c r="N12" s="65"/>
      <c r="O12" s="65"/>
      <c r="P12" s="66"/>
    </row>
    <row r="13" spans="1:16">
      <c r="A13" s="5" t="s">
        <v>286</v>
      </c>
      <c r="B13" s="6" t="s">
        <v>261</v>
      </c>
      <c r="C13" s="74" t="s">
        <v>233</v>
      </c>
      <c r="D13" s="69" t="s">
        <v>273</v>
      </c>
      <c r="E13" s="65" t="s">
        <v>261</v>
      </c>
      <c r="F13" s="65" t="s">
        <v>233</v>
      </c>
      <c r="G13" s="65" t="s">
        <v>277</v>
      </c>
      <c r="H13" s="65" t="s">
        <v>261</v>
      </c>
      <c r="I13" s="65" t="s">
        <v>233</v>
      </c>
      <c r="J13" s="65" t="s">
        <v>281</v>
      </c>
      <c r="K13" s="65"/>
      <c r="L13" s="65" t="s">
        <v>260</v>
      </c>
      <c r="M13" s="65" t="s">
        <v>233</v>
      </c>
      <c r="N13" s="65"/>
      <c r="O13" s="65"/>
      <c r="P13" s="66"/>
    </row>
    <row r="14" spans="1:16" ht="15" thickBot="1">
      <c r="A14" s="7" t="s">
        <v>287</v>
      </c>
      <c r="B14" s="8" t="s">
        <v>260</v>
      </c>
      <c r="C14" s="75" t="s">
        <v>233</v>
      </c>
      <c r="D14" s="70" t="s">
        <v>274</v>
      </c>
      <c r="E14" s="67" t="s">
        <v>288</v>
      </c>
      <c r="F14" s="67" t="s">
        <v>233</v>
      </c>
      <c r="G14" s="67" t="s">
        <v>278</v>
      </c>
      <c r="H14" s="67" t="s">
        <v>288</v>
      </c>
      <c r="I14" s="67" t="s">
        <v>233</v>
      </c>
      <c r="J14" s="67" t="s">
        <v>282</v>
      </c>
      <c r="K14" s="67"/>
      <c r="L14" s="67" t="s">
        <v>288</v>
      </c>
      <c r="M14" s="67" t="s">
        <v>233</v>
      </c>
      <c r="N14" s="67"/>
      <c r="O14" s="67"/>
      <c r="P14" s="68"/>
    </row>
    <row r="17" spans="1:20" ht="15" thickBot="1"/>
    <row r="18" spans="1:20" ht="15" thickBot="1">
      <c r="F18" s="89" t="s">
        <v>295</v>
      </c>
      <c r="G18" s="90"/>
      <c r="H18" s="91"/>
      <c r="I18" s="89" t="s">
        <v>296</v>
      </c>
      <c r="J18" s="90"/>
      <c r="K18" s="91"/>
      <c r="L18" s="89" t="s">
        <v>18</v>
      </c>
      <c r="M18" s="90"/>
      <c r="N18" s="91"/>
      <c r="O18" s="89" t="s">
        <v>298</v>
      </c>
      <c r="P18" s="90"/>
      <c r="Q18" s="91"/>
      <c r="R18" s="89" t="s">
        <v>297</v>
      </c>
      <c r="S18" s="90"/>
      <c r="T18" s="91"/>
    </row>
    <row r="19" spans="1:20" ht="15.75" thickBot="1">
      <c r="C19" s="37" t="s">
        <v>291</v>
      </c>
      <c r="D19" s="36" t="s">
        <v>292</v>
      </c>
      <c r="E19" s="58" t="s">
        <v>293</v>
      </c>
      <c r="F19" s="5" t="s">
        <v>299</v>
      </c>
      <c r="G19" s="6" t="s">
        <v>300</v>
      </c>
      <c r="H19" s="61" t="s">
        <v>301</v>
      </c>
      <c r="I19" s="5" t="s">
        <v>299</v>
      </c>
      <c r="J19" s="6" t="s">
        <v>300</v>
      </c>
      <c r="K19" s="61" t="s">
        <v>301</v>
      </c>
      <c r="L19" s="5" t="s">
        <v>299</v>
      </c>
      <c r="M19" s="6" t="s">
        <v>300</v>
      </c>
      <c r="N19" s="61" t="s">
        <v>301</v>
      </c>
      <c r="O19" s="5" t="s">
        <v>299</v>
      </c>
      <c r="P19" s="6" t="s">
        <v>300</v>
      </c>
      <c r="Q19" s="61" t="s">
        <v>301</v>
      </c>
      <c r="R19" s="5" t="s">
        <v>299</v>
      </c>
      <c r="S19" s="6" t="s">
        <v>300</v>
      </c>
      <c r="T19" s="61" t="s">
        <v>301</v>
      </c>
    </row>
    <row r="20" spans="1:20" ht="15">
      <c r="A20" s="76" t="s">
        <v>294</v>
      </c>
      <c r="B20" s="83" t="s">
        <v>269</v>
      </c>
      <c r="C20" s="79"/>
      <c r="D20" s="57"/>
      <c r="E20" s="80"/>
      <c r="F20" s="5"/>
      <c r="G20" s="6">
        <v>20</v>
      </c>
      <c r="H20" s="61">
        <v>10</v>
      </c>
      <c r="I20" s="5"/>
      <c r="J20" s="6"/>
      <c r="K20" s="61"/>
      <c r="L20" s="5"/>
      <c r="M20" s="6"/>
      <c r="N20" s="61"/>
      <c r="O20" s="5"/>
      <c r="P20" s="6">
        <v>15</v>
      </c>
      <c r="Q20" s="61">
        <v>5</v>
      </c>
      <c r="R20" s="5"/>
      <c r="S20" s="6"/>
      <c r="T20" s="61"/>
    </row>
    <row r="21" spans="1:20">
      <c r="A21" s="77" t="s">
        <v>294</v>
      </c>
      <c r="B21" s="84" t="s">
        <v>271</v>
      </c>
      <c r="C21" s="5" t="s">
        <v>233</v>
      </c>
      <c r="D21" s="84" t="s">
        <v>304</v>
      </c>
      <c r="E21" s="61"/>
      <c r="F21" s="5">
        <v>10</v>
      </c>
      <c r="G21" s="6">
        <v>15</v>
      </c>
      <c r="H21" s="61"/>
      <c r="I21" s="5"/>
      <c r="J21" s="6"/>
      <c r="K21" s="61"/>
      <c r="L21" s="5"/>
      <c r="M21" s="6"/>
      <c r="N21" s="61"/>
      <c r="O21" s="5">
        <v>5</v>
      </c>
      <c r="P21" s="6">
        <v>10</v>
      </c>
      <c r="Q21" s="61"/>
      <c r="R21" s="5"/>
      <c r="S21" s="6"/>
      <c r="T21" s="61"/>
    </row>
    <row r="22" spans="1:20">
      <c r="A22" s="77" t="s">
        <v>294</v>
      </c>
      <c r="B22" s="84" t="s">
        <v>272</v>
      </c>
      <c r="C22" s="5" t="s">
        <v>233</v>
      </c>
      <c r="D22" s="84" t="s">
        <v>304</v>
      </c>
      <c r="E22" s="61"/>
      <c r="F22" s="5">
        <v>10</v>
      </c>
      <c r="G22" s="6">
        <v>15</v>
      </c>
      <c r="H22" s="61"/>
      <c r="I22" s="5"/>
      <c r="J22" s="6"/>
      <c r="K22" s="61"/>
      <c r="L22" s="5"/>
      <c r="M22" s="6"/>
      <c r="N22" s="61"/>
      <c r="O22" s="5">
        <v>5</v>
      </c>
      <c r="P22" s="6">
        <v>10</v>
      </c>
      <c r="Q22" s="61"/>
      <c r="R22" s="5"/>
      <c r="S22" s="6"/>
      <c r="T22" s="61"/>
    </row>
    <row r="23" spans="1:20">
      <c r="A23" s="77" t="s">
        <v>294</v>
      </c>
      <c r="B23" s="84" t="s">
        <v>273</v>
      </c>
      <c r="C23" s="5" t="s">
        <v>233</v>
      </c>
      <c r="D23" s="84" t="s">
        <v>304</v>
      </c>
      <c r="E23" s="61"/>
      <c r="F23" s="5"/>
      <c r="G23" s="6"/>
      <c r="H23" s="61"/>
      <c r="I23" s="5">
        <v>10</v>
      </c>
      <c r="J23" s="6">
        <v>15</v>
      </c>
      <c r="K23" s="61"/>
      <c r="L23" s="5"/>
      <c r="M23" s="6"/>
      <c r="N23" s="61"/>
      <c r="O23" s="5">
        <v>5</v>
      </c>
      <c r="P23" s="6">
        <v>10</v>
      </c>
      <c r="Q23" s="61"/>
      <c r="R23" s="5"/>
      <c r="S23" s="6"/>
      <c r="T23" s="61"/>
    </row>
    <row r="24" spans="1:20" ht="15" thickBot="1">
      <c r="A24" s="77" t="s">
        <v>294</v>
      </c>
      <c r="B24" s="85" t="s">
        <v>274</v>
      </c>
      <c r="C24" s="5" t="s">
        <v>233</v>
      </c>
      <c r="D24" s="6" t="s">
        <v>233</v>
      </c>
      <c r="E24" s="61"/>
      <c r="F24" s="5"/>
      <c r="G24" s="6"/>
      <c r="H24" s="61"/>
      <c r="I24" s="5"/>
      <c r="J24" s="6"/>
      <c r="K24" s="61"/>
      <c r="L24" s="5">
        <v>20</v>
      </c>
      <c r="M24" s="6"/>
      <c r="N24" s="61"/>
      <c r="O24" s="5">
        <v>15</v>
      </c>
      <c r="P24" s="6"/>
      <c r="Q24" s="61"/>
      <c r="R24" s="5"/>
      <c r="S24" s="6"/>
      <c r="T24" s="61"/>
    </row>
    <row r="25" spans="1:20" ht="15">
      <c r="A25" s="77" t="s">
        <v>294</v>
      </c>
      <c r="B25" s="83" t="s">
        <v>270</v>
      </c>
      <c r="C25" s="5"/>
      <c r="D25" s="6"/>
      <c r="E25" s="61"/>
      <c r="F25" s="5"/>
      <c r="G25" s="6"/>
      <c r="H25" s="61"/>
      <c r="I25" s="5"/>
      <c r="J25" s="6"/>
      <c r="K25" s="61"/>
      <c r="L25" s="5"/>
      <c r="M25" s="6">
        <v>20</v>
      </c>
      <c r="N25" s="61">
        <v>10</v>
      </c>
      <c r="O25" s="5"/>
      <c r="P25" s="62">
        <v>15</v>
      </c>
      <c r="Q25" s="61">
        <v>5</v>
      </c>
      <c r="R25" s="5"/>
      <c r="S25" s="6"/>
      <c r="T25" s="61"/>
    </row>
    <row r="26" spans="1:20">
      <c r="A26" s="77" t="s">
        <v>294</v>
      </c>
      <c r="B26" s="84" t="s">
        <v>275</v>
      </c>
      <c r="C26" s="5" t="s">
        <v>233</v>
      </c>
      <c r="D26" s="84" t="s">
        <v>305</v>
      </c>
      <c r="E26" s="61"/>
      <c r="F26" s="5"/>
      <c r="G26" s="6"/>
      <c r="H26" s="61"/>
      <c r="I26" s="5"/>
      <c r="J26" s="6"/>
      <c r="K26" s="61"/>
      <c r="L26" s="5"/>
      <c r="M26" s="6">
        <v>10</v>
      </c>
      <c r="N26" s="61">
        <v>15</v>
      </c>
      <c r="O26" s="5">
        <v>5</v>
      </c>
      <c r="P26" s="62">
        <v>10</v>
      </c>
      <c r="Q26" s="61"/>
      <c r="R26" s="5"/>
      <c r="S26" s="6"/>
      <c r="T26" s="61"/>
    </row>
    <row r="27" spans="1:20">
      <c r="A27" s="77" t="s">
        <v>294</v>
      </c>
      <c r="B27" s="84" t="s">
        <v>276</v>
      </c>
      <c r="C27" s="5" t="s">
        <v>233</v>
      </c>
      <c r="D27" s="84" t="s">
        <v>305</v>
      </c>
      <c r="E27" s="61"/>
      <c r="F27" s="5"/>
      <c r="G27" s="6"/>
      <c r="H27" s="61"/>
      <c r="I27" s="5"/>
      <c r="J27" s="6"/>
      <c r="K27" s="61"/>
      <c r="L27" s="5"/>
      <c r="M27" s="6">
        <v>20</v>
      </c>
      <c r="N27" s="61"/>
      <c r="O27" s="5">
        <v>10</v>
      </c>
      <c r="P27" s="6">
        <v>2</v>
      </c>
      <c r="Q27" s="61"/>
      <c r="R27" s="5"/>
      <c r="S27" s="6"/>
      <c r="T27" s="61"/>
    </row>
    <row r="28" spans="1:20">
      <c r="A28" s="77" t="s">
        <v>294</v>
      </c>
      <c r="B28" s="84" t="s">
        <v>277</v>
      </c>
      <c r="C28" s="5" t="s">
        <v>233</v>
      </c>
      <c r="D28" s="84" t="s">
        <v>305</v>
      </c>
      <c r="E28" s="61"/>
      <c r="F28" s="5">
        <v>10</v>
      </c>
      <c r="G28" s="6">
        <v>15</v>
      </c>
      <c r="H28" s="61"/>
      <c r="I28" s="5"/>
      <c r="J28" s="6"/>
      <c r="K28" s="61"/>
      <c r="L28" s="5"/>
      <c r="M28" s="6"/>
      <c r="N28" s="61"/>
      <c r="O28" s="5">
        <v>5</v>
      </c>
      <c r="P28" s="62">
        <v>10</v>
      </c>
      <c r="Q28" s="61"/>
      <c r="R28" s="5"/>
      <c r="S28" s="6"/>
      <c r="T28" s="61"/>
    </row>
    <row r="29" spans="1:20" ht="15" thickBot="1">
      <c r="A29" s="77" t="s">
        <v>294</v>
      </c>
      <c r="B29" s="85" t="s">
        <v>278</v>
      </c>
      <c r="C29" s="5" t="s">
        <v>233</v>
      </c>
      <c r="D29" s="6" t="s">
        <v>233</v>
      </c>
      <c r="E29" s="61"/>
      <c r="F29" s="5"/>
      <c r="G29" s="6"/>
      <c r="H29" s="61"/>
      <c r="I29" s="5">
        <v>15</v>
      </c>
      <c r="J29" s="6">
        <v>5</v>
      </c>
      <c r="K29" s="61"/>
      <c r="L29" s="5"/>
      <c r="M29" s="6"/>
      <c r="N29" s="61"/>
      <c r="O29" s="5">
        <v>10</v>
      </c>
      <c r="P29" s="62">
        <v>5</v>
      </c>
      <c r="Q29" s="61"/>
      <c r="R29" s="5"/>
      <c r="S29" s="6"/>
      <c r="T29" s="61"/>
    </row>
    <row r="30" spans="1:20" ht="15">
      <c r="A30" s="77" t="s">
        <v>294</v>
      </c>
      <c r="B30" s="83" t="s">
        <v>210</v>
      </c>
      <c r="C30" s="5"/>
      <c r="D30" s="6"/>
      <c r="E30" s="61"/>
      <c r="F30" s="5"/>
      <c r="G30" s="6"/>
      <c r="H30" s="61"/>
      <c r="I30" s="5"/>
      <c r="J30" s="6">
        <v>15</v>
      </c>
      <c r="K30" s="61">
        <v>12</v>
      </c>
      <c r="L30" s="5"/>
      <c r="M30" s="6"/>
      <c r="N30" s="61"/>
      <c r="O30" s="5"/>
      <c r="P30" s="62">
        <v>15</v>
      </c>
      <c r="Q30" s="61">
        <v>10</v>
      </c>
      <c r="R30" s="5"/>
      <c r="S30" s="6"/>
      <c r="T30" s="61"/>
    </row>
    <row r="31" spans="1:20">
      <c r="A31" s="77" t="s">
        <v>294</v>
      </c>
      <c r="B31" s="84" t="s">
        <v>279</v>
      </c>
      <c r="C31" s="5"/>
      <c r="D31" s="6"/>
      <c r="E31" s="61"/>
      <c r="F31" s="5"/>
      <c r="G31" s="6"/>
      <c r="H31" s="61"/>
      <c r="I31" s="5">
        <v>10</v>
      </c>
      <c r="J31" s="6">
        <v>15</v>
      </c>
      <c r="K31" s="61"/>
      <c r="L31" s="5"/>
      <c r="M31" s="6"/>
      <c r="N31" s="61"/>
      <c r="O31" s="5">
        <v>5</v>
      </c>
      <c r="P31" s="62">
        <v>10</v>
      </c>
      <c r="Q31" s="61"/>
      <c r="R31" s="5"/>
      <c r="S31" s="6"/>
      <c r="T31" s="61"/>
    </row>
    <row r="32" spans="1:20">
      <c r="A32" s="77" t="s">
        <v>294</v>
      </c>
      <c r="B32" s="84" t="s">
        <v>280</v>
      </c>
      <c r="C32" s="5" t="s">
        <v>233</v>
      </c>
      <c r="D32" s="84" t="s">
        <v>305</v>
      </c>
      <c r="E32" s="61"/>
      <c r="F32" s="5"/>
      <c r="G32" s="6"/>
      <c r="H32" s="61"/>
      <c r="I32" s="5">
        <v>10</v>
      </c>
      <c r="J32" s="6">
        <v>15</v>
      </c>
      <c r="K32" s="61"/>
      <c r="L32" s="5"/>
      <c r="M32" s="6"/>
      <c r="N32" s="61"/>
      <c r="O32" s="5">
        <v>5</v>
      </c>
      <c r="P32" s="62">
        <v>10</v>
      </c>
      <c r="Q32" s="61"/>
      <c r="R32" s="5"/>
      <c r="S32" s="6"/>
      <c r="T32" s="61"/>
    </row>
    <row r="33" spans="1:20">
      <c r="A33" s="77" t="s">
        <v>294</v>
      </c>
      <c r="B33" s="84" t="s">
        <v>281</v>
      </c>
      <c r="C33" s="5" t="s">
        <v>233</v>
      </c>
      <c r="D33" s="84" t="s">
        <v>305</v>
      </c>
      <c r="E33" s="61"/>
      <c r="F33" s="5"/>
      <c r="G33" s="6"/>
      <c r="H33" s="61"/>
      <c r="I33" s="5"/>
      <c r="J33" s="6"/>
      <c r="K33" s="61"/>
      <c r="L33" s="5">
        <v>10</v>
      </c>
      <c r="M33" s="6">
        <v>15</v>
      </c>
      <c r="N33" s="61"/>
      <c r="O33" s="5">
        <v>5</v>
      </c>
      <c r="P33" s="62">
        <v>10</v>
      </c>
      <c r="Q33" s="61"/>
      <c r="R33" s="5"/>
      <c r="S33" s="6"/>
      <c r="T33" s="61"/>
    </row>
    <row r="34" spans="1:20" ht="15" thickBot="1">
      <c r="A34" s="77" t="s">
        <v>294</v>
      </c>
      <c r="B34" s="85" t="s">
        <v>282</v>
      </c>
      <c r="C34" s="5" t="s">
        <v>233</v>
      </c>
      <c r="D34" s="6" t="s">
        <v>233</v>
      </c>
      <c r="E34" s="61"/>
      <c r="F34" s="5">
        <v>20</v>
      </c>
      <c r="G34" s="6"/>
      <c r="H34" s="61"/>
      <c r="I34" s="5"/>
      <c r="J34" s="6"/>
      <c r="K34" s="61"/>
      <c r="L34" s="5"/>
      <c r="M34" s="6"/>
      <c r="N34" s="61"/>
      <c r="O34" s="5">
        <v>15</v>
      </c>
      <c r="P34" s="6"/>
      <c r="Q34" s="61"/>
      <c r="R34" s="5"/>
      <c r="S34" s="6"/>
      <c r="T34" s="61"/>
    </row>
    <row r="35" spans="1:20" ht="15.75" thickBot="1">
      <c r="A35" s="78" t="s">
        <v>294</v>
      </c>
      <c r="B35" s="86" t="s">
        <v>283</v>
      </c>
      <c r="C35" s="7" t="s">
        <v>233</v>
      </c>
      <c r="D35" s="84" t="s">
        <v>305</v>
      </c>
      <c r="E35" s="9"/>
      <c r="F35" s="5"/>
      <c r="G35" s="6"/>
      <c r="H35" s="61"/>
      <c r="I35" s="5"/>
      <c r="J35" s="6"/>
      <c r="K35" s="61"/>
      <c r="L35" s="5"/>
      <c r="M35" s="6"/>
      <c r="N35" s="61"/>
      <c r="O35" s="5">
        <v>20</v>
      </c>
      <c r="P35" s="6"/>
      <c r="Q35" s="61"/>
      <c r="R35" s="5">
        <v>15</v>
      </c>
      <c r="S35" s="6">
        <v>1</v>
      </c>
      <c r="T35" s="61"/>
    </row>
    <row r="36" spans="1:20">
      <c r="E36" s="76" t="s">
        <v>302</v>
      </c>
      <c r="F36" s="57">
        <f>SUM(F$20:F$35)</f>
        <v>50</v>
      </c>
      <c r="G36" s="57">
        <f t="shared" ref="G36:T36" si="0">SUM(G$20:G$35)</f>
        <v>65</v>
      </c>
      <c r="H36" s="57">
        <f t="shared" si="0"/>
        <v>10</v>
      </c>
      <c r="I36" s="57">
        <f t="shared" si="0"/>
        <v>45</v>
      </c>
      <c r="J36" s="57">
        <f t="shared" si="0"/>
        <v>65</v>
      </c>
      <c r="K36" s="57">
        <f t="shared" si="0"/>
        <v>12</v>
      </c>
      <c r="L36" s="57">
        <f t="shared" si="0"/>
        <v>30</v>
      </c>
      <c r="M36" s="57">
        <f t="shared" si="0"/>
        <v>65</v>
      </c>
      <c r="N36" s="57">
        <f t="shared" si="0"/>
        <v>25</v>
      </c>
      <c r="O36" s="57">
        <f t="shared" si="0"/>
        <v>110</v>
      </c>
      <c r="P36" s="57">
        <f t="shared" si="0"/>
        <v>132</v>
      </c>
      <c r="Q36" s="57">
        <f t="shared" si="0"/>
        <v>20</v>
      </c>
      <c r="R36" s="57">
        <f t="shared" si="0"/>
        <v>15</v>
      </c>
      <c r="S36" s="57">
        <f t="shared" si="0"/>
        <v>1</v>
      </c>
      <c r="T36" s="80">
        <f t="shared" si="0"/>
        <v>0</v>
      </c>
    </row>
    <row r="37" spans="1:20">
      <c r="E37" s="77" t="s">
        <v>303</v>
      </c>
      <c r="F37" s="6">
        <v>150</v>
      </c>
      <c r="G37" s="6">
        <v>19</v>
      </c>
      <c r="H37" s="6">
        <v>3</v>
      </c>
      <c r="I37" s="62">
        <v>2</v>
      </c>
      <c r="J37" s="62">
        <v>18</v>
      </c>
      <c r="K37" s="62">
        <v>10</v>
      </c>
      <c r="L37" s="6">
        <v>38</v>
      </c>
      <c r="M37" s="6">
        <v>3</v>
      </c>
      <c r="N37" s="6">
        <v>3</v>
      </c>
      <c r="O37" s="62">
        <v>147</v>
      </c>
      <c r="P37" s="6">
        <v>22</v>
      </c>
      <c r="Q37" s="6">
        <v>18</v>
      </c>
      <c r="R37" s="62">
        <v>19</v>
      </c>
      <c r="S37" s="62">
        <v>16</v>
      </c>
      <c r="T37" s="61">
        <v>5</v>
      </c>
    </row>
    <row r="38" spans="1:20" ht="15.75" thickBot="1">
      <c r="E38" s="88" t="s">
        <v>134</v>
      </c>
      <c r="F38" s="81">
        <f>MAXA(F36-F37,0)</f>
        <v>0</v>
      </c>
      <c r="G38" s="81">
        <f t="shared" ref="G38:T38" si="1">MAXA(G36-G37,0)</f>
        <v>46</v>
      </c>
      <c r="H38" s="81">
        <f t="shared" si="1"/>
        <v>7</v>
      </c>
      <c r="I38" s="81">
        <f t="shared" si="1"/>
        <v>43</v>
      </c>
      <c r="J38" s="81">
        <f t="shared" si="1"/>
        <v>47</v>
      </c>
      <c r="K38" s="81">
        <f t="shared" si="1"/>
        <v>2</v>
      </c>
      <c r="L38" s="81">
        <f t="shared" si="1"/>
        <v>0</v>
      </c>
      <c r="M38" s="81">
        <f t="shared" si="1"/>
        <v>62</v>
      </c>
      <c r="N38" s="81">
        <f t="shared" si="1"/>
        <v>22</v>
      </c>
      <c r="O38" s="81">
        <f t="shared" si="1"/>
        <v>0</v>
      </c>
      <c r="P38" s="81">
        <f t="shared" si="1"/>
        <v>110</v>
      </c>
      <c r="Q38" s="81">
        <f t="shared" si="1"/>
        <v>2</v>
      </c>
      <c r="R38" s="81">
        <f t="shared" si="1"/>
        <v>0</v>
      </c>
      <c r="S38" s="81">
        <f t="shared" si="1"/>
        <v>0</v>
      </c>
      <c r="T38" s="82">
        <f t="shared" si="1"/>
        <v>0</v>
      </c>
    </row>
  </sheetData>
  <mergeCells count="7"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43"/>
  <sheetViews>
    <sheetView topLeftCell="C1" zoomScaleNormal="100" workbookViewId="0">
      <selection activeCell="K28" sqref="K28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6.75" customWidth="1"/>
    <col min="9" max="9" width="1.875" customWidth="1"/>
    <col min="10" max="10" width="11.875" bestFit="1" customWidth="1"/>
    <col min="11" max="11" width="5.125" bestFit="1" customWidth="1"/>
    <col min="12" max="12" width="14.125" customWidth="1"/>
    <col min="13" max="13" width="2.875" customWidth="1"/>
    <col min="14" max="14" width="14.125" customWidth="1"/>
    <col min="15" max="16" width="1.875" customWidth="1"/>
    <col min="17" max="19" width="2.875" customWidth="1"/>
    <col min="20" max="20" width="7.125" customWidth="1"/>
    <col min="21" max="21" width="14.125" customWidth="1"/>
    <col min="22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12">
      <c r="G1" s="11" t="s">
        <v>7</v>
      </c>
      <c r="H1" t="s">
        <v>37</v>
      </c>
    </row>
    <row r="3" spans="1:12">
      <c r="B3" s="11" t="s">
        <v>73</v>
      </c>
      <c r="G3" s="11" t="s">
        <v>313</v>
      </c>
      <c r="H3" s="11" t="s">
        <v>167</v>
      </c>
    </row>
    <row r="4" spans="1:12">
      <c r="A4" s="11" t="s">
        <v>69</v>
      </c>
      <c r="B4" t="s">
        <v>72</v>
      </c>
      <c r="C4" t="s">
        <v>74</v>
      </c>
      <c r="D4" t="s">
        <v>75</v>
      </c>
      <c r="E4" t="s">
        <v>144</v>
      </c>
      <c r="G4" s="11" t="s">
        <v>69</v>
      </c>
      <c r="H4">
        <v>4</v>
      </c>
      <c r="I4">
        <v>5</v>
      </c>
      <c r="J4">
        <v>7</v>
      </c>
      <c r="K4">
        <v>9</v>
      </c>
      <c r="L4" t="s">
        <v>71</v>
      </c>
    </row>
    <row r="5" spans="1:12">
      <c r="A5" s="12" t="s">
        <v>65</v>
      </c>
      <c r="B5" s="1">
        <v>1470.7407407407406</v>
      </c>
      <c r="C5" s="1">
        <v>925.65740740740739</v>
      </c>
      <c r="D5" s="15">
        <v>0.87962962962962965</v>
      </c>
      <c r="E5" s="49">
        <v>30</v>
      </c>
      <c r="G5" s="12" t="s">
        <v>63</v>
      </c>
      <c r="H5" s="49">
        <v>2</v>
      </c>
      <c r="I5" s="49">
        <v>6</v>
      </c>
      <c r="J5" s="49">
        <v>89</v>
      </c>
      <c r="K5" s="49">
        <v>18</v>
      </c>
      <c r="L5" s="49">
        <v>115</v>
      </c>
    </row>
    <row r="6" spans="1:12">
      <c r="A6" s="13" t="s">
        <v>30</v>
      </c>
      <c r="B6" s="1">
        <v>1480.3333333333333</v>
      </c>
      <c r="C6" s="1">
        <v>1981.4444444444443</v>
      </c>
      <c r="D6" s="15">
        <v>1.1111111111111112</v>
      </c>
      <c r="E6" s="49"/>
      <c r="G6" s="12" t="s">
        <v>62</v>
      </c>
      <c r="H6" s="49">
        <v>1</v>
      </c>
      <c r="I6" s="49">
        <v>1</v>
      </c>
      <c r="J6" s="49">
        <v>24</v>
      </c>
      <c r="K6" s="49">
        <v>7</v>
      </c>
      <c r="L6" s="49">
        <v>33</v>
      </c>
    </row>
    <row r="7" spans="1:12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61</v>
      </c>
      <c r="H7" s="49">
        <v>2</v>
      </c>
      <c r="I7" s="49"/>
      <c r="J7" s="49">
        <v>3</v>
      </c>
      <c r="K7" s="49">
        <v>4</v>
      </c>
      <c r="L7" s="49">
        <v>9</v>
      </c>
    </row>
    <row r="8" spans="1:12">
      <c r="A8" s="13" t="s">
        <v>9</v>
      </c>
      <c r="B8" s="1">
        <v>1469.8686868686868</v>
      </c>
      <c r="C8" s="1">
        <v>829.67676767676767</v>
      </c>
      <c r="D8" s="15">
        <v>0.85858585858585856</v>
      </c>
      <c r="E8" s="49">
        <v>30</v>
      </c>
      <c r="G8" s="12" t="s">
        <v>60</v>
      </c>
      <c r="H8" s="49"/>
      <c r="I8" s="49"/>
      <c r="J8" s="49">
        <v>0</v>
      </c>
      <c r="K8" s="49">
        <v>0</v>
      </c>
      <c r="L8" s="49">
        <v>0</v>
      </c>
    </row>
    <row r="9" spans="1:12">
      <c r="A9" s="14">
        <v>1</v>
      </c>
      <c r="B9" s="1">
        <v>1457.7395833333333</v>
      </c>
      <c r="C9" s="1">
        <v>816.58333333333337</v>
      </c>
      <c r="D9" s="15">
        <v>0.88541666666666663</v>
      </c>
      <c r="E9" s="49">
        <v>30</v>
      </c>
      <c r="G9" s="12" t="s">
        <v>34</v>
      </c>
      <c r="H9" s="49">
        <v>10</v>
      </c>
      <c r="I9" s="49"/>
      <c r="J9" s="49">
        <v>24</v>
      </c>
      <c r="K9" s="49"/>
      <c r="L9" s="49">
        <v>34</v>
      </c>
    </row>
    <row r="10" spans="1:12">
      <c r="A10" s="14">
        <v>2</v>
      </c>
      <c r="B10" s="1">
        <v>2526</v>
      </c>
      <c r="C10" s="1">
        <v>866</v>
      </c>
      <c r="D10" s="15">
        <v>0</v>
      </c>
      <c r="E10" s="49"/>
      <c r="G10" s="12" t="s">
        <v>70</v>
      </c>
      <c r="H10" s="49"/>
      <c r="I10" s="49"/>
      <c r="J10" s="49"/>
      <c r="K10" s="49">
        <v>0</v>
      </c>
      <c r="L10" s="49">
        <v>0</v>
      </c>
    </row>
    <row r="11" spans="1:12">
      <c r="A11" s="14">
        <v>3</v>
      </c>
      <c r="B11" s="1">
        <v>1524</v>
      </c>
      <c r="C11" s="1">
        <v>1440</v>
      </c>
      <c r="D11" s="15">
        <v>0</v>
      </c>
      <c r="E11" s="49"/>
      <c r="G11" s="12" t="s">
        <v>168</v>
      </c>
      <c r="H11" s="49"/>
      <c r="I11" s="49"/>
      <c r="J11" s="49">
        <v>1</v>
      </c>
      <c r="K11" s="49"/>
      <c r="L11" s="49">
        <v>1</v>
      </c>
    </row>
    <row r="12" spans="1:12">
      <c r="A12" s="12" t="s">
        <v>31</v>
      </c>
      <c r="B12" s="1">
        <v>1501.7471264367816</v>
      </c>
      <c r="C12" s="1">
        <v>1217.344827586207</v>
      </c>
      <c r="D12" s="15">
        <v>0.84482758620689657</v>
      </c>
      <c r="E12" s="49">
        <v>53</v>
      </c>
      <c r="G12" s="12" t="s">
        <v>234</v>
      </c>
      <c r="H12" s="49"/>
      <c r="I12" s="49"/>
      <c r="J12" s="49">
        <v>1</v>
      </c>
      <c r="K12" s="49">
        <v>2</v>
      </c>
      <c r="L12" s="49">
        <v>3</v>
      </c>
    </row>
    <row r="13" spans="1:12">
      <c r="A13" s="13" t="s">
        <v>30</v>
      </c>
      <c r="B13" s="1">
        <v>1591.1075268817203</v>
      </c>
      <c r="C13" s="1">
        <v>1553.505376344086</v>
      </c>
      <c r="D13" s="15">
        <v>0.81720430107526887</v>
      </c>
      <c r="E13" s="49">
        <v>27</v>
      </c>
      <c r="G13" s="12" t="s">
        <v>240</v>
      </c>
      <c r="H13" s="49"/>
      <c r="I13" s="49"/>
      <c r="J13" s="49">
        <v>6</v>
      </c>
      <c r="K13" s="49">
        <v>4</v>
      </c>
      <c r="L13" s="49">
        <v>10</v>
      </c>
    </row>
    <row r="14" spans="1:12">
      <c r="A14" s="14">
        <v>1</v>
      </c>
      <c r="B14" s="1">
        <v>1625.3953488372092</v>
      </c>
      <c r="C14" s="1">
        <v>1618.5813953488373</v>
      </c>
      <c r="D14" s="15">
        <v>0.79069767441860461</v>
      </c>
      <c r="E14" s="49">
        <v>12</v>
      </c>
      <c r="G14" s="12" t="s">
        <v>308</v>
      </c>
      <c r="H14" s="49"/>
      <c r="I14" s="49"/>
      <c r="J14" s="49">
        <v>8</v>
      </c>
      <c r="K14" s="49"/>
      <c r="L14" s="49">
        <v>8</v>
      </c>
    </row>
    <row r="15" spans="1:12">
      <c r="A15" s="14">
        <v>2</v>
      </c>
      <c r="B15" s="1">
        <v>1387</v>
      </c>
      <c r="C15" s="1">
        <v>2080</v>
      </c>
      <c r="D15" s="15">
        <v>1</v>
      </c>
      <c r="E15" s="49"/>
      <c r="G15" s="12" t="s">
        <v>309</v>
      </c>
      <c r="H15" s="49"/>
      <c r="I15" s="49"/>
      <c r="J15" s="49">
        <v>3</v>
      </c>
      <c r="K15" s="49"/>
      <c r="L15" s="49">
        <v>3</v>
      </c>
    </row>
    <row r="16" spans="1:12">
      <c r="A16" s="14">
        <v>11</v>
      </c>
      <c r="B16" s="1">
        <v>1565.1836734693877</v>
      </c>
      <c r="C16" s="1">
        <v>1485.6530612244899</v>
      </c>
      <c r="D16" s="15">
        <v>0.83673469387755106</v>
      </c>
      <c r="E16" s="49">
        <v>15</v>
      </c>
      <c r="G16" s="12" t="s">
        <v>71</v>
      </c>
      <c r="H16" s="49">
        <v>15</v>
      </c>
      <c r="I16" s="49">
        <v>7</v>
      </c>
      <c r="J16" s="49">
        <v>159</v>
      </c>
      <c r="K16" s="49">
        <v>35</v>
      </c>
      <c r="L16" s="49">
        <v>216</v>
      </c>
    </row>
    <row r="17" spans="1:14">
      <c r="A17" s="13" t="s">
        <v>9</v>
      </c>
      <c r="B17" s="1">
        <v>1399.148148148148</v>
      </c>
      <c r="C17" s="1">
        <v>831.38271604938268</v>
      </c>
      <c r="D17" s="15">
        <v>0.87654320987654322</v>
      </c>
      <c r="E17" s="49">
        <v>26</v>
      </c>
      <c r="G17" s="11" t="s">
        <v>314</v>
      </c>
      <c r="H17" s="11" t="s">
        <v>167</v>
      </c>
    </row>
    <row r="18" spans="1:14">
      <c r="A18" s="14">
        <v>1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  <c r="G18" s="11" t="s">
        <v>69</v>
      </c>
      <c r="H18">
        <v>4</v>
      </c>
      <c r="I18">
        <v>5</v>
      </c>
      <c r="J18">
        <v>7</v>
      </c>
      <c r="K18">
        <v>8</v>
      </c>
      <c r="L18">
        <v>9</v>
      </c>
      <c r="M18">
        <v>10</v>
      </c>
      <c r="N18" t="s">
        <v>71</v>
      </c>
    </row>
    <row r="19" spans="1:14">
      <c r="A19" s="12" t="s">
        <v>36</v>
      </c>
      <c r="B19" s="1">
        <v>1603</v>
      </c>
      <c r="C19" s="1">
        <v>1752</v>
      </c>
      <c r="D19" s="15">
        <v>1</v>
      </c>
      <c r="E19" s="49"/>
      <c r="G19" s="12" t="s">
        <v>199</v>
      </c>
      <c r="H19" s="49"/>
      <c r="I19" s="49">
        <v>1</v>
      </c>
      <c r="J19" s="49">
        <v>1</v>
      </c>
      <c r="K19" s="49">
        <v>3</v>
      </c>
      <c r="L19" s="49">
        <v>1</v>
      </c>
      <c r="M19" s="49">
        <v>4</v>
      </c>
      <c r="N19" s="49">
        <v>10</v>
      </c>
    </row>
    <row r="20" spans="1:14">
      <c r="A20" s="13" t="s">
        <v>70</v>
      </c>
      <c r="B20" s="1">
        <v>1603</v>
      </c>
      <c r="C20" s="1">
        <v>1752</v>
      </c>
      <c r="D20" s="15">
        <v>1</v>
      </c>
      <c r="E20" s="49"/>
      <c r="G20" s="12" t="s">
        <v>161</v>
      </c>
      <c r="H20" s="49"/>
      <c r="I20" s="49">
        <v>16</v>
      </c>
      <c r="J20" s="49"/>
      <c r="K20" s="49"/>
      <c r="L20" s="49"/>
      <c r="M20" s="49"/>
      <c r="N20" s="49">
        <v>16</v>
      </c>
    </row>
    <row r="21" spans="1:14">
      <c r="A21" s="14">
        <v>3</v>
      </c>
      <c r="B21" s="1">
        <v>1603</v>
      </c>
      <c r="C21" s="1">
        <v>1752</v>
      </c>
      <c r="D21" s="15">
        <v>1</v>
      </c>
      <c r="E21" s="49"/>
      <c r="G21" s="12" t="s">
        <v>37</v>
      </c>
      <c r="H21" s="49">
        <v>7</v>
      </c>
      <c r="I21" s="49">
        <v>2</v>
      </c>
      <c r="J21" s="49">
        <v>62</v>
      </c>
      <c r="K21" s="49"/>
      <c r="L21" s="49">
        <v>16</v>
      </c>
      <c r="M21" s="49"/>
      <c r="N21" s="49">
        <v>87</v>
      </c>
    </row>
    <row r="22" spans="1:14">
      <c r="A22" s="12" t="s">
        <v>37</v>
      </c>
      <c r="B22" s="1">
        <v>2243.931818181818</v>
      </c>
      <c r="C22" s="1">
        <v>0</v>
      </c>
      <c r="D22" s="15">
        <v>0.60227272727272729</v>
      </c>
      <c r="E22" s="49">
        <v>87</v>
      </c>
      <c r="G22" s="12" t="s">
        <v>239</v>
      </c>
      <c r="H22" s="49"/>
      <c r="I22" s="49"/>
      <c r="J22" s="49">
        <v>4</v>
      </c>
      <c r="K22" s="49">
        <v>29</v>
      </c>
      <c r="L22" s="49"/>
      <c r="M22" s="49"/>
      <c r="N22" s="49">
        <v>33</v>
      </c>
    </row>
    <row r="23" spans="1:14">
      <c r="A23" s="13" t="s">
        <v>9</v>
      </c>
      <c r="B23" s="1">
        <v>2250.0459770114944</v>
      </c>
      <c r="C23" s="1">
        <v>0</v>
      </c>
      <c r="D23" s="15">
        <v>0.58620689655172409</v>
      </c>
      <c r="E23" s="49">
        <v>86</v>
      </c>
      <c r="G23" s="12" t="s">
        <v>71</v>
      </c>
      <c r="H23" s="49">
        <v>7</v>
      </c>
      <c r="I23" s="49">
        <v>19</v>
      </c>
      <c r="J23" s="49">
        <v>67</v>
      </c>
      <c r="K23" s="49">
        <v>32</v>
      </c>
      <c r="L23" s="49">
        <v>17</v>
      </c>
      <c r="M23" s="49">
        <v>4</v>
      </c>
      <c r="N23" s="49">
        <v>146</v>
      </c>
    </row>
    <row r="24" spans="1:14">
      <c r="A24" s="14">
        <v>4</v>
      </c>
      <c r="B24" s="1">
        <v>1267.7142857142858</v>
      </c>
      <c r="C24" s="1">
        <v>0</v>
      </c>
      <c r="D24" s="15">
        <v>0.7142857142857143</v>
      </c>
      <c r="E24" s="49">
        <v>7</v>
      </c>
    </row>
    <row r="25" spans="1:14">
      <c r="A25" s="14">
        <v>5</v>
      </c>
      <c r="B25" s="1">
        <v>1250</v>
      </c>
      <c r="C25" s="1">
        <v>0</v>
      </c>
      <c r="D25" s="15">
        <v>0</v>
      </c>
      <c r="E25" s="49">
        <v>2</v>
      </c>
      <c r="J25" t="s">
        <v>318</v>
      </c>
      <c r="K25" t="s">
        <v>319</v>
      </c>
    </row>
    <row r="26" spans="1:14">
      <c r="A26" s="14">
        <v>7</v>
      </c>
      <c r="B26" s="1">
        <v>2319.9516129032259</v>
      </c>
      <c r="C26" s="1">
        <v>0</v>
      </c>
      <c r="D26" s="15">
        <v>0.58064516129032262</v>
      </c>
      <c r="E26" s="49">
        <v>62</v>
      </c>
      <c r="J26">
        <f>Fusion!$P$38</f>
        <v>110</v>
      </c>
      <c r="K26">
        <v>20</v>
      </c>
    </row>
    <row r="27" spans="1:14">
      <c r="A27" s="14">
        <v>9</v>
      </c>
      <c r="B27" s="1">
        <v>2533.9375</v>
      </c>
      <c r="C27" s="1">
        <v>0</v>
      </c>
      <c r="D27" s="15">
        <v>0.625</v>
      </c>
      <c r="E27" s="49">
        <v>15</v>
      </c>
      <c r="H27" t="s">
        <v>315</v>
      </c>
      <c r="J27">
        <f>J$26/GETPIVOTDATA("Quality/Quantity",$G$3,"Stage",7,"Drop","EoMag(Mid)")*GETPIVOTDATA("LVL",$G$17,"Location","HoMagic","Stage",7)*('Location features'!$D$17-'Location features'!$J$17)</f>
        <v>1539.9999999999998</v>
      </c>
      <c r="K27">
        <f>K$26/GETPIVOTDATA("Quality/Quantity",$G$3,"Stage",7,"Drop","EoMag(High)")*GETPIVOTDATA("LVL",$G$17,"Location","HoMagic","Stage",7)*('Location features'!D17-'Location features'!J17)</f>
        <v>1120</v>
      </c>
    </row>
    <row r="28" spans="1:14">
      <c r="A28" s="13" t="s">
        <v>70</v>
      </c>
      <c r="B28" s="1">
        <v>1712</v>
      </c>
      <c r="C28" s="1">
        <v>0</v>
      </c>
      <c r="D28" s="15">
        <v>2</v>
      </c>
      <c r="E28" s="49">
        <v>1</v>
      </c>
      <c r="H28" t="s">
        <v>316</v>
      </c>
      <c r="J28">
        <f>J$26/GETPIVOTDATA("Quality/Quantity",$G$3,"Stage",9,"Drop","EoMag(Mid)")*GETPIVOTDATA("LVL",$G$17,"Location","HoMagic","Stage",9)*('Location features'!$D$21-'Location features'!$J$21)</f>
        <v>1602.8571428571429</v>
      </c>
      <c r="K28">
        <f>K$26/GETPIVOTDATA("Quality/Quantity",$G$3,"Stage",9,"Drop","EoMag(High)")*GETPIVOTDATA("LVL",$G$17,"Location","HoMagic","Stage",9)*('Location features'!$D$21-'Location features'!$J$21)</f>
        <v>510</v>
      </c>
    </row>
    <row r="29" spans="1:14">
      <c r="A29" s="14">
        <v>5</v>
      </c>
      <c r="B29" s="1">
        <v>1712</v>
      </c>
      <c r="C29" s="1">
        <v>0</v>
      </c>
      <c r="D29" s="15">
        <v>2</v>
      </c>
      <c r="E29" s="49">
        <v>1</v>
      </c>
    </row>
    <row r="30" spans="1:14">
      <c r="A30" s="12" t="s">
        <v>64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3" t="s">
        <v>32</v>
      </c>
      <c r="B31" s="1">
        <v>1192</v>
      </c>
      <c r="C31" s="1">
        <v>0</v>
      </c>
      <c r="D31" s="15">
        <v>1</v>
      </c>
      <c r="E31" s="49">
        <v>1</v>
      </c>
    </row>
    <row r="32" spans="1:14">
      <c r="A32" s="14">
        <v>2</v>
      </c>
      <c r="B32" s="1">
        <v>1192</v>
      </c>
      <c r="C32" s="1">
        <v>0</v>
      </c>
      <c r="D32" s="15">
        <v>1</v>
      </c>
      <c r="E32" s="49">
        <v>1</v>
      </c>
    </row>
    <row r="33" spans="1:5">
      <c r="A33" s="12" t="s">
        <v>8</v>
      </c>
      <c r="B33" s="1">
        <v>1458.825925925926</v>
      </c>
      <c r="C33" s="1">
        <v>923.01520912547528</v>
      </c>
      <c r="D33" s="15">
        <v>0.92962962962962958</v>
      </c>
      <c r="E33" s="49">
        <v>78</v>
      </c>
    </row>
    <row r="34" spans="1:5">
      <c r="A34" s="13" t="s">
        <v>30</v>
      </c>
      <c r="B34" s="1">
        <v>1422.1666666666667</v>
      </c>
      <c r="C34" s="1">
        <v>607.5094339622641</v>
      </c>
      <c r="D34" s="15">
        <v>0.87037037037037035</v>
      </c>
      <c r="E34" s="49">
        <v>21</v>
      </c>
    </row>
    <row r="35" spans="1:5">
      <c r="A35" s="14">
        <v>3</v>
      </c>
      <c r="B35" s="1">
        <v>1420.6981132075471</v>
      </c>
      <c r="C35" s="1">
        <v>597.03846153846155</v>
      </c>
      <c r="D35" s="15">
        <v>0.86792452830188682</v>
      </c>
      <c r="E35" s="49">
        <v>21</v>
      </c>
    </row>
    <row r="36" spans="1:5">
      <c r="A36" s="14">
        <v>6</v>
      </c>
      <c r="B36" s="1">
        <v>1500</v>
      </c>
      <c r="C36" s="1">
        <v>1152</v>
      </c>
      <c r="D36" s="15">
        <v>1</v>
      </c>
      <c r="E36" s="49"/>
    </row>
    <row r="37" spans="1:5">
      <c r="A37" s="13" t="s">
        <v>32</v>
      </c>
      <c r="B37" s="1">
        <v>1525.316091954023</v>
      </c>
      <c r="C37" s="1">
        <v>1179.7083333333333</v>
      </c>
      <c r="D37" s="15">
        <v>0.96551724137931039</v>
      </c>
      <c r="E37" s="49">
        <v>43</v>
      </c>
    </row>
    <row r="38" spans="1:5">
      <c r="A38" s="14">
        <v>3</v>
      </c>
      <c r="B38" s="1">
        <v>1519.1730769230769</v>
      </c>
      <c r="C38" s="1">
        <v>1172.4266666666667</v>
      </c>
      <c r="D38" s="15">
        <v>0.98076923076923073</v>
      </c>
      <c r="E38" s="49">
        <v>40</v>
      </c>
    </row>
    <row r="39" spans="1:5">
      <c r="A39" s="14">
        <v>13</v>
      </c>
      <c r="B39" s="1">
        <v>1578.5555555555557</v>
      </c>
      <c r="C39" s="1">
        <v>1240.3888888888889</v>
      </c>
      <c r="D39" s="15">
        <v>0.83333333333333337</v>
      </c>
      <c r="E39" s="49">
        <v>3</v>
      </c>
    </row>
    <row r="40" spans="1:5">
      <c r="A40" s="13" t="s">
        <v>9</v>
      </c>
      <c r="B40" s="1">
        <v>1230.5</v>
      </c>
      <c r="C40" s="1">
        <v>294.38095238095241</v>
      </c>
      <c r="D40" s="15">
        <v>0.8571428571428571</v>
      </c>
      <c r="E40" s="49">
        <v>14</v>
      </c>
    </row>
    <row r="41" spans="1:5">
      <c r="A41" s="14">
        <v>1</v>
      </c>
      <c r="B41" s="1">
        <v>1315</v>
      </c>
      <c r="C41" s="1">
        <v>912</v>
      </c>
      <c r="D41" s="15">
        <v>2</v>
      </c>
      <c r="E41" s="49"/>
    </row>
    <row r="42" spans="1:5">
      <c r="A42" s="14">
        <v>3</v>
      </c>
      <c r="B42" s="1">
        <v>1228.439024390244</v>
      </c>
      <c r="C42" s="1">
        <v>279.3170731707317</v>
      </c>
      <c r="D42" s="15">
        <v>0.82926829268292679</v>
      </c>
      <c r="E42" s="49">
        <v>14</v>
      </c>
    </row>
    <row r="43" spans="1:5">
      <c r="A43" s="12" t="s">
        <v>71</v>
      </c>
      <c r="B43" s="1">
        <v>1579.8878504672898</v>
      </c>
      <c r="C43" s="1">
        <v>877.43533123028396</v>
      </c>
      <c r="D43" s="15">
        <v>0.85358255451713394</v>
      </c>
      <c r="E43" s="49">
        <v>249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141</v>
      </c>
      <c r="C1" s="47" t="s">
        <v>142</v>
      </c>
      <c r="D1" s="48" t="s">
        <v>143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features'!$P$5</f>
        <v>555604.20638224075</v>
      </c>
      <c r="D3">
        <f>'EXP lvls'!O10/Summary!C3</f>
        <v>6.8578314494952854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149</v>
      </c>
      <c r="Q9" s="4" t="s">
        <v>153</v>
      </c>
      <c r="R9" s="4" t="s">
        <v>154</v>
      </c>
      <c r="S9" s="4" t="s">
        <v>155</v>
      </c>
      <c r="T9" s="4" t="s">
        <v>156</v>
      </c>
      <c r="U9" s="4" t="s">
        <v>154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2695734.8973607039</v>
      </c>
      <c r="C18" s="1">
        <f t="shared" ref="C18:C21" si="4">($G18+$H18)/($O18-$N18)*M18</f>
        <v>2202780.8585858587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4424120.5124247577</v>
      </c>
      <c r="C19" s="1">
        <f t="shared" si="4"/>
        <v>1807553.1073896864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4056886.0626639915</v>
      </c>
      <c r="C20" s="1">
        <f t="shared" si="4"/>
        <v>1756319.8803827749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3904719.2467973451</v>
      </c>
      <c r="C21" s="1">
        <f t="shared" si="4"/>
        <v>1756319.8803827749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67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66</v>
      </c>
      <c r="B23" s="1">
        <f t="shared" ref="B23" si="8">(2*$G23+$H23)/($O23-$N23)*L23</f>
        <v>2064371.909245254</v>
      </c>
      <c r="C23" s="1">
        <f t="shared" ref="C23" si="9">($G23+$H23)/($O23-$N23)*M23</f>
        <v>843435.85326953745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68</v>
      </c>
      <c r="B24" s="1">
        <f t="shared" ref="B24:B26" si="10">(2*$G24+$H24)/($O24-$N24)*L24</f>
        <v>4339029.6033338476</v>
      </c>
      <c r="C24" s="1">
        <f t="shared" ref="C24:C26" si="11">($G24+$H24)/($O24-$N24)*M24</f>
        <v>1772787.703349282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67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65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66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65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68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65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67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66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68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145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146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145</v>
      </c>
      <c r="B34" s="1">
        <f t="shared" si="18"/>
        <v>949233.15326439263</v>
      </c>
      <c r="C34" s="1">
        <f t="shared" si="19"/>
        <v>387826.08452950552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720484.51921592839</v>
      </c>
      <c r="C35" s="1">
        <f t="shared" ref="C35:C40" si="23">($G35+$H35)/($O35-$N35)*M35</f>
        <v>588733.52472089301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145</v>
      </c>
      <c r="B36" s="1">
        <f t="shared" si="22"/>
        <v>842720.1514726507</v>
      </c>
      <c r="C36" s="1">
        <f t="shared" si="23"/>
        <v>614338.81276297336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639639.29312762967</v>
      </c>
      <c r="C37" s="1">
        <f t="shared" si="23"/>
        <v>932587.74754558201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146</v>
      </c>
      <c r="B38" s="1">
        <f t="shared" si="22"/>
        <v>852852.39083683956</v>
      </c>
      <c r="C38" s="1">
        <f t="shared" si="23"/>
        <v>932587.74754558201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157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219</v>
      </c>
      <c r="B1" t="s">
        <v>230</v>
      </c>
      <c r="C1" t="s">
        <v>220</v>
      </c>
      <c r="D1" t="s">
        <v>221</v>
      </c>
      <c r="E1" t="s">
        <v>222</v>
      </c>
      <c r="F1" t="s">
        <v>223</v>
      </c>
      <c r="G1" t="s">
        <v>184</v>
      </c>
      <c r="H1" t="s">
        <v>224</v>
      </c>
      <c r="I1" t="s">
        <v>225</v>
      </c>
      <c r="J1" t="s">
        <v>226</v>
      </c>
      <c r="K1" t="s">
        <v>229</v>
      </c>
      <c r="L1" t="s">
        <v>231</v>
      </c>
      <c r="M1" t="s">
        <v>232</v>
      </c>
    </row>
    <row r="2" spans="1:13">
      <c r="A2" t="s">
        <v>227</v>
      </c>
      <c r="C2">
        <v>1</v>
      </c>
      <c r="D2">
        <v>4</v>
      </c>
      <c r="G2">
        <v>3</v>
      </c>
      <c r="J2">
        <v>7</v>
      </c>
    </row>
    <row r="3" spans="1:13">
      <c r="A3" t="s">
        <v>227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228</v>
      </c>
      <c r="C4">
        <v>1</v>
      </c>
      <c r="E4">
        <v>119</v>
      </c>
      <c r="G4">
        <v>3</v>
      </c>
      <c r="H4">
        <v>5</v>
      </c>
      <c r="J4">
        <v>10</v>
      </c>
      <c r="M4" t="s">
        <v>233</v>
      </c>
    </row>
    <row r="5" spans="1:13">
      <c r="A5" t="s">
        <v>227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233</v>
      </c>
    </row>
    <row r="6" spans="1:13">
      <c r="A6" t="s">
        <v>228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227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227</v>
      </c>
      <c r="C8">
        <v>4</v>
      </c>
      <c r="G8">
        <v>6</v>
      </c>
      <c r="H8">
        <v>6</v>
      </c>
    </row>
    <row r="9" spans="1:13">
      <c r="A9" t="s">
        <v>228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227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H35" sqref="H35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129</v>
      </c>
      <c r="B1" s="42" t="s">
        <v>128</v>
      </c>
      <c r="C1" s="42" t="s">
        <v>127</v>
      </c>
      <c r="D1" s="42" t="s">
        <v>126</v>
      </c>
      <c r="E1" s="42" t="s">
        <v>125</v>
      </c>
      <c r="F1" s="42" t="s">
        <v>124</v>
      </c>
      <c r="G1" s="42" t="s">
        <v>123</v>
      </c>
      <c r="H1" s="42" t="s">
        <v>122</v>
      </c>
      <c r="I1" s="42" t="s">
        <v>121</v>
      </c>
      <c r="J1" s="40" t="s">
        <v>120</v>
      </c>
      <c r="K1" s="42" t="s">
        <v>119</v>
      </c>
      <c r="L1" s="42" t="s">
        <v>118</v>
      </c>
      <c r="M1" s="42" t="s">
        <v>117</v>
      </c>
      <c r="N1" s="42" t="s">
        <v>116</v>
      </c>
      <c r="O1" s="42" t="s">
        <v>115</v>
      </c>
      <c r="P1" s="42" t="s">
        <v>114</v>
      </c>
      <c r="Q1" s="41" t="s">
        <v>113</v>
      </c>
      <c r="R1" s="40" t="s">
        <v>112</v>
      </c>
      <c r="S1" s="39"/>
      <c r="T1" s="39"/>
      <c r="U1" s="39"/>
      <c r="V1" s="39" t="s">
        <v>5</v>
      </c>
      <c r="W1" t="s">
        <v>111</v>
      </c>
      <c r="X1" t="s">
        <v>110</v>
      </c>
      <c r="Y1" t="s">
        <v>89</v>
      </c>
      <c r="AA1" s="39" t="s">
        <v>5</v>
      </c>
      <c r="AB1" t="s">
        <v>111</v>
      </c>
      <c r="AC1" t="s">
        <v>110</v>
      </c>
      <c r="AD1" t="s">
        <v>89</v>
      </c>
    </row>
    <row r="2" spans="1:30" ht="15" thickBot="1">
      <c r="A2" s="22" t="s">
        <v>109</v>
      </c>
      <c r="B2" s="22" t="s">
        <v>108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107</v>
      </c>
      <c r="B3" s="22" t="s">
        <v>98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107</v>
      </c>
      <c r="B4" s="25" t="s">
        <v>97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107</v>
      </c>
      <c r="B5" s="25" t="s">
        <v>92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106</v>
      </c>
      <c r="B6" s="25" t="s">
        <v>98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96</v>
      </c>
      <c r="B7" s="25" t="s">
        <v>98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105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95</v>
      </c>
      <c r="B8" s="25" t="s">
        <v>98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132</v>
      </c>
      <c r="U8" s="38" t="s">
        <v>104</v>
      </c>
      <c r="V8" s="37" t="s">
        <v>103</v>
      </c>
      <c r="W8" s="36" t="s">
        <v>102</v>
      </c>
      <c r="X8" s="35" t="s">
        <v>101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94</v>
      </c>
      <c r="B9" s="25" t="s">
        <v>98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133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93</v>
      </c>
      <c r="B10" s="25" t="s">
        <v>98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133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100</v>
      </c>
      <c r="B11" s="25" t="s">
        <v>98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133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29.25" thickBot="1">
      <c r="A12" s="25" t="s">
        <v>99</v>
      </c>
      <c r="B12" s="25" t="s">
        <v>98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130</v>
      </c>
      <c r="B13" s="25" t="s">
        <v>98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96</v>
      </c>
      <c r="B14" s="25" t="s">
        <v>97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95</v>
      </c>
      <c r="B15" s="25" t="s">
        <v>97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94</v>
      </c>
      <c r="B16" s="25" t="s">
        <v>97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93</v>
      </c>
      <c r="B17" s="25" t="s">
        <v>97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100</v>
      </c>
      <c r="B18" s="25" t="s">
        <v>97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131</v>
      </c>
    </row>
    <row r="19" spans="1:25" ht="29.25" thickBot="1">
      <c r="A19" s="25" t="s">
        <v>99</v>
      </c>
      <c r="B19" s="25" t="s">
        <v>97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130</v>
      </c>
      <c r="B20" s="25" t="s">
        <v>97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104</v>
      </c>
    </row>
    <row r="21" spans="1:25" ht="15" thickBot="1">
      <c r="A21" s="25" t="s">
        <v>96</v>
      </c>
      <c r="B21" s="25" t="s">
        <v>92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95</v>
      </c>
      <c r="B22" s="25" t="s">
        <v>92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94</v>
      </c>
      <c r="B23" s="25" t="s">
        <v>92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93</v>
      </c>
      <c r="B24" s="25" t="s">
        <v>92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100</v>
      </c>
      <c r="B25" s="25" t="s">
        <v>92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99</v>
      </c>
      <c r="B26" s="25" t="s">
        <v>92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90</v>
      </c>
      <c r="Y26" t="s">
        <v>91</v>
      </c>
    </row>
    <row r="27" spans="1:25" ht="29.25" thickBot="1">
      <c r="A27" s="25" t="s">
        <v>130</v>
      </c>
      <c r="B27" s="25" t="s">
        <v>92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90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89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88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87</v>
      </c>
      <c r="X30" t="s">
        <v>86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179</v>
      </c>
      <c r="B1" t="s">
        <v>180</v>
      </c>
      <c r="C1" t="s">
        <v>181</v>
      </c>
      <c r="D1" t="s">
        <v>185</v>
      </c>
      <c r="E1" t="s">
        <v>182</v>
      </c>
      <c r="F1" t="s">
        <v>10</v>
      </c>
    </row>
    <row r="2" spans="1:6">
      <c r="A2" t="s">
        <v>169</v>
      </c>
      <c r="B2" t="s">
        <v>214</v>
      </c>
      <c r="C2" t="s">
        <v>189</v>
      </c>
      <c r="D2" t="s">
        <v>194</v>
      </c>
      <c r="E2" t="s">
        <v>195</v>
      </c>
      <c r="F2" t="s">
        <v>217</v>
      </c>
    </row>
    <row r="3" spans="1:6">
      <c r="A3" t="s">
        <v>170</v>
      </c>
      <c r="B3" t="s">
        <v>214</v>
      </c>
      <c r="C3" t="s">
        <v>193</v>
      </c>
      <c r="D3" t="s">
        <v>191</v>
      </c>
      <c r="E3" t="s">
        <v>192</v>
      </c>
      <c r="F3" t="s">
        <v>217</v>
      </c>
    </row>
    <row r="4" spans="1:6">
      <c r="A4" t="s">
        <v>171</v>
      </c>
      <c r="B4" t="s">
        <v>214</v>
      </c>
      <c r="C4" t="s">
        <v>172</v>
      </c>
      <c r="D4" t="s">
        <v>194</v>
      </c>
      <c r="E4" t="s">
        <v>196</v>
      </c>
      <c r="F4" t="s">
        <v>218</v>
      </c>
    </row>
    <row r="5" spans="1:6">
      <c r="A5" t="s">
        <v>174</v>
      </c>
      <c r="B5" t="s">
        <v>173</v>
      </c>
      <c r="C5" t="s">
        <v>189</v>
      </c>
      <c r="D5" t="s">
        <v>209</v>
      </c>
      <c r="E5" t="s">
        <v>190</v>
      </c>
      <c r="F5" t="s">
        <v>218</v>
      </c>
    </row>
    <row r="6" spans="1:6">
      <c r="A6" t="s">
        <v>175</v>
      </c>
      <c r="B6" t="s">
        <v>176</v>
      </c>
      <c r="C6" t="s">
        <v>177</v>
      </c>
      <c r="D6" t="s">
        <v>188</v>
      </c>
      <c r="E6" t="s">
        <v>183</v>
      </c>
      <c r="F6" t="s">
        <v>218</v>
      </c>
    </row>
    <row r="7" spans="1:6">
      <c r="A7" t="s">
        <v>152</v>
      </c>
      <c r="B7" t="s">
        <v>210</v>
      </c>
      <c r="C7" t="s">
        <v>211</v>
      </c>
    </row>
    <row r="8" spans="1:6">
      <c r="A8" t="s">
        <v>212</v>
      </c>
      <c r="B8" t="s">
        <v>178</v>
      </c>
      <c r="C8" t="s">
        <v>94</v>
      </c>
      <c r="D8" t="s">
        <v>213</v>
      </c>
    </row>
    <row r="9" spans="1:6">
      <c r="A9" t="s">
        <v>215</v>
      </c>
      <c r="B9" t="s">
        <v>176</v>
      </c>
      <c r="C9" t="s">
        <v>216</v>
      </c>
      <c r="D9" t="s">
        <v>194</v>
      </c>
      <c r="F9" t="s">
        <v>218</v>
      </c>
    </row>
    <row r="10" spans="1:6">
      <c r="A10" t="s">
        <v>241</v>
      </c>
      <c r="B10" t="s">
        <v>178</v>
      </c>
      <c r="C10" t="s">
        <v>94</v>
      </c>
    </row>
    <row r="11" spans="1:6">
      <c r="A11" t="s">
        <v>242</v>
      </c>
      <c r="B11" t="s">
        <v>173</v>
      </c>
      <c r="C11" t="s">
        <v>94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Location features</vt:lpstr>
      <vt:lpstr>Fusion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2015-10-19T15:00:03Z</dcterms:modified>
</cp:coreProperties>
</file>