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 activeTab="2"/>
  </bookViews>
  <sheets>
    <sheet name="EXP lvls" sheetId="1" r:id="rId1"/>
    <sheet name="Arkusz3" sheetId="18" r:id="rId2"/>
    <sheet name="Drop analityka" sheetId="3" r:id="rId3"/>
    <sheet name="Fusion" sheetId="9" r:id="rId4"/>
    <sheet name="Location features" sheetId="4" r:id="rId5"/>
    <sheet name="TabPrz" sheetId="5" r:id="rId6"/>
    <sheet name="Arkusz1" sheetId="15" r:id="rId7"/>
    <sheet name="Runes for DPS" sheetId="6" r:id="rId8"/>
    <sheet name="Runes stats" sheetId="11" r:id="rId9"/>
    <sheet name="Runes DB" sheetId="8" r:id="rId10"/>
    <sheet name="TP_Mon.Runes" sheetId="12" r:id="rId11"/>
    <sheet name="Grind.Summary" sheetId="2" r:id="rId12"/>
    <sheet name="Runes Mon.build" sheetId="7" r:id="rId13"/>
    <sheet name="Mon.Utilities" sheetId="13" r:id="rId14"/>
    <sheet name="Crystals" sheetId="14" r:id="rId15"/>
    <sheet name="ToA auto" sheetId="16" r:id="rId16"/>
    <sheet name="Arkusz2" sheetId="17" r:id="rId17"/>
  </sheets>
  <definedNames>
    <definedName name="_xlnm._FilterDatabase" localSheetId="13" hidden="1">Mon.Utilities!$A$1:$N$1</definedName>
  </definedNames>
  <calcPr calcId="145621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D2" i="18" l="1"/>
  <c r="Q8" i="4" l="1"/>
  <c r="L8" i="4"/>
  <c r="K8" i="4"/>
  <c r="J8" i="4"/>
  <c r="O8" i="4" s="1"/>
  <c r="R8" i="4" s="1"/>
  <c r="D3" i="18"/>
  <c r="C5" i="18"/>
  <c r="C4" i="18"/>
  <c r="C2" i="18"/>
  <c r="C9" i="18" l="1"/>
  <c r="E9" i="18" s="1"/>
  <c r="C8" i="18"/>
  <c r="C3" i="18"/>
  <c r="C7" i="18" s="1"/>
  <c r="I2" i="18"/>
  <c r="D6" i="18"/>
  <c r="D7" i="18"/>
  <c r="D4" i="18"/>
  <c r="D5" i="18" l="1"/>
  <c r="I5" i="18" s="1"/>
  <c r="E2" i="18"/>
  <c r="C6" i="18"/>
  <c r="E6" i="18" s="1"/>
  <c r="F6" i="18" s="1"/>
  <c r="D8" i="18"/>
  <c r="I4" i="18"/>
  <c r="E8" i="18"/>
  <c r="E4" i="18"/>
  <c r="J55" i="6"/>
  <c r="J46" i="6"/>
  <c r="F2" i="18" l="1"/>
  <c r="H2" i="18" s="1"/>
  <c r="G2" i="18"/>
  <c r="F4" i="18"/>
  <c r="G4" i="18"/>
  <c r="E5" i="18"/>
  <c r="F8" i="18"/>
  <c r="D9" i="18"/>
  <c r="F9" i="18" s="1"/>
  <c r="I3" i="18"/>
  <c r="E7" i="18"/>
  <c r="F7" i="18" s="1"/>
  <c r="E3" i="18"/>
  <c r="Q6" i="4"/>
  <c r="L6" i="4"/>
  <c r="K6" i="4"/>
  <c r="J6" i="4"/>
  <c r="K2" i="17"/>
  <c r="J2" i="17"/>
  <c r="I2" i="17"/>
  <c r="H2" i="17"/>
  <c r="G2" i="17"/>
  <c r="H4" i="18" l="1"/>
  <c r="F5" i="18"/>
  <c r="H5" i="18" s="1"/>
  <c r="G5" i="18"/>
  <c r="F3" i="18"/>
  <c r="H3" i="18" s="1"/>
  <c r="G3" i="18"/>
  <c r="O6" i="4"/>
  <c r="R6" i="4" s="1"/>
  <c r="D3" i="17"/>
  <c r="B4" i="17"/>
  <c r="B3" i="17"/>
  <c r="D2" i="17"/>
  <c r="Q6" i="3"/>
  <c r="Q7" i="4" l="1"/>
  <c r="L7" i="4"/>
  <c r="K7" i="4"/>
  <c r="J7" i="4"/>
  <c r="R7" i="4" l="1"/>
  <c r="O7" i="4"/>
  <c r="O6" i="14"/>
  <c r="O9" i="14" s="1"/>
  <c r="P6" i="14"/>
  <c r="P9" i="14" s="1"/>
  <c r="M3" i="1"/>
  <c r="O4" i="1" s="1"/>
  <c r="Q14" i="4" l="1"/>
  <c r="L14" i="4"/>
  <c r="K14" i="4"/>
  <c r="J14" i="4"/>
  <c r="O14" i="4" l="1"/>
  <c r="R14" i="4" s="1"/>
  <c r="T88" i="9" l="1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15" i="14" l="1"/>
  <c r="G14" i="14"/>
  <c r="G13" i="14"/>
  <c r="E8" i="14"/>
  <c r="G8" i="14" s="1"/>
  <c r="E5" i="14"/>
  <c r="E4" i="14"/>
  <c r="G4" i="14" s="1"/>
  <c r="E3" i="14"/>
  <c r="G3" i="14" s="1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G3" i="6"/>
  <c r="AQ1072" i="6" s="1"/>
  <c r="G17" i="14"/>
  <c r="G16" i="14"/>
  <c r="G6" i="14"/>
  <c r="G7" i="14"/>
  <c r="G9" i="14"/>
  <c r="G10" i="14"/>
  <c r="G11" i="14"/>
  <c r="G12" i="14"/>
  <c r="G2" i="14"/>
  <c r="J4" i="6"/>
  <c r="R4" i="6" s="1"/>
  <c r="H4" i="6"/>
  <c r="F4" i="6" s="1"/>
  <c r="I4" i="6"/>
  <c r="G4" i="6" s="1"/>
  <c r="C17" i="14"/>
  <c r="C12" i="14"/>
  <c r="C16" i="14" s="1"/>
  <c r="S116" i="13"/>
  <c r="S221" i="13"/>
  <c r="S234" i="13"/>
  <c r="S35" i="13"/>
  <c r="S232" i="13"/>
  <c r="S204" i="13"/>
  <c r="S207" i="13"/>
  <c r="S135" i="13"/>
  <c r="S214" i="13"/>
  <c r="S154" i="13"/>
  <c r="S222" i="13"/>
  <c r="S235" i="13"/>
  <c r="S187" i="13"/>
  <c r="S203" i="13"/>
  <c r="S210" i="13"/>
  <c r="S226" i="13"/>
  <c r="S230" i="13"/>
  <c r="S136" i="13"/>
  <c r="S15" i="13"/>
  <c r="S228" i="13"/>
  <c r="S218" i="13"/>
  <c r="S117" i="13"/>
  <c r="S156" i="13"/>
  <c r="S212" i="13"/>
  <c r="S202" i="13"/>
  <c r="S211" i="13"/>
  <c r="S137" i="13"/>
  <c r="S215" i="13"/>
  <c r="S208" i="13"/>
  <c r="S225" i="13"/>
  <c r="S229" i="13"/>
  <c r="S205" i="13"/>
  <c r="S29" i="13"/>
  <c r="S216" i="13"/>
  <c r="S209" i="13"/>
  <c r="S219" i="13"/>
  <c r="S223" i="13"/>
  <c r="S233" i="13"/>
  <c r="S206" i="13"/>
  <c r="S155" i="13"/>
  <c r="S213" i="13"/>
  <c r="S217" i="13"/>
  <c r="S220" i="13"/>
  <c r="S224" i="13"/>
  <c r="S227" i="13"/>
  <c r="S231" i="13"/>
  <c r="S157" i="13"/>
  <c r="S94" i="13"/>
  <c r="S77" i="13"/>
  <c r="S95" i="13"/>
  <c r="S138" i="13"/>
  <c r="S16" i="13"/>
  <c r="S96" i="13"/>
  <c r="S140" i="13"/>
  <c r="S247" i="13"/>
  <c r="S252" i="13"/>
  <c r="S193" i="13"/>
  <c r="S24" i="13"/>
  <c r="S164" i="13"/>
  <c r="S167" i="13"/>
  <c r="S83" i="13"/>
  <c r="S196" i="13"/>
  <c r="S268" i="13"/>
  <c r="S38" i="13"/>
  <c r="S170" i="13"/>
  <c r="S278" i="13"/>
  <c r="S279" i="13"/>
  <c r="S282" i="13"/>
  <c r="S287" i="13"/>
  <c r="S292" i="13"/>
  <c r="S297" i="13"/>
  <c r="S300" i="13"/>
  <c r="S305" i="13"/>
  <c r="S100" i="13"/>
  <c r="S309" i="13"/>
  <c r="S174" i="13"/>
  <c r="S314" i="13"/>
  <c r="S199" i="13"/>
  <c r="S50" i="13"/>
  <c r="S23" i="13"/>
  <c r="S236" i="13"/>
  <c r="S78" i="13"/>
  <c r="S160" i="13"/>
  <c r="S79" i="13"/>
  <c r="S159" i="13"/>
  <c r="S161" i="13"/>
  <c r="S248" i="13"/>
  <c r="S253" i="13"/>
  <c r="S194" i="13"/>
  <c r="S255" i="13"/>
  <c r="S81" i="13"/>
  <c r="S258" i="13"/>
  <c r="S168" i="13"/>
  <c r="S264" i="13"/>
  <c r="S269" i="13"/>
  <c r="S273" i="13"/>
  <c r="S276" i="13"/>
  <c r="S172" i="13"/>
  <c r="S280" i="13"/>
  <c r="S283" i="13"/>
  <c r="S288" i="13"/>
  <c r="S293" i="13"/>
  <c r="S18" i="13"/>
  <c r="S301" i="13"/>
  <c r="S306" i="13"/>
  <c r="S312" i="13"/>
  <c r="S19" i="13"/>
  <c r="S188" i="13"/>
  <c r="S190" i="13"/>
  <c r="S237" i="13"/>
  <c r="S239" i="13"/>
  <c r="S139" i="13"/>
  <c r="S243" i="13"/>
  <c r="S141" i="13"/>
  <c r="S249" i="13"/>
  <c r="S43" i="13"/>
  <c r="S120" i="13"/>
  <c r="S5" i="13"/>
  <c r="S257" i="13"/>
  <c r="S259" i="13"/>
  <c r="S262" i="13"/>
  <c r="S265" i="13"/>
  <c r="S270" i="13"/>
  <c r="S274" i="13"/>
  <c r="S52" i="13"/>
  <c r="S197" i="13"/>
  <c r="S281" i="13"/>
  <c r="S284" i="13"/>
  <c r="S289" i="13"/>
  <c r="S294" i="13"/>
  <c r="S298" i="13"/>
  <c r="S302" i="13"/>
  <c r="S84" i="13"/>
  <c r="S315" i="13"/>
  <c r="S158" i="13"/>
  <c r="S36" i="13"/>
  <c r="S238" i="13"/>
  <c r="S240" i="13"/>
  <c r="S241" i="13"/>
  <c r="S244" i="13"/>
  <c r="S246" i="13"/>
  <c r="S250" i="13"/>
  <c r="S191" i="13"/>
  <c r="S162" i="13"/>
  <c r="S195" i="13"/>
  <c r="S80" i="13"/>
  <c r="S51" i="13"/>
  <c r="S165" i="13"/>
  <c r="S260" i="13"/>
  <c r="S261" i="13"/>
  <c r="S263" i="13"/>
  <c r="S266" i="13"/>
  <c r="S271" i="13"/>
  <c r="S275" i="13"/>
  <c r="S277" i="13"/>
  <c r="S99" i="13"/>
  <c r="S285" i="13"/>
  <c r="S290" i="13"/>
  <c r="S295" i="13"/>
  <c r="S299" i="13"/>
  <c r="S303" i="13"/>
  <c r="S307" i="13"/>
  <c r="S310" i="13"/>
  <c r="S53" i="13"/>
  <c r="S311" i="13"/>
  <c r="S142" i="13"/>
  <c r="S316" i="13"/>
  <c r="S189" i="13"/>
  <c r="S118" i="13"/>
  <c r="S37" i="13"/>
  <c r="S119" i="13"/>
  <c r="S242" i="13"/>
  <c r="S245" i="13"/>
  <c r="S327" i="13"/>
  <c r="S251" i="13"/>
  <c r="S192" i="13"/>
  <c r="S163" i="13"/>
  <c r="S254" i="13"/>
  <c r="S97" i="13"/>
  <c r="S67" i="13"/>
  <c r="S256" i="13"/>
  <c r="S98" i="13"/>
  <c r="S166" i="13"/>
  <c r="S82" i="13"/>
  <c r="S169" i="13"/>
  <c r="S267" i="13"/>
  <c r="S272" i="13"/>
  <c r="S2" i="13"/>
  <c r="S171" i="13"/>
  <c r="S173" i="13"/>
  <c r="S286" i="13"/>
  <c r="S291" i="13"/>
  <c r="S296" i="13"/>
  <c r="S198" i="13"/>
  <c r="S304" i="13"/>
  <c r="S308" i="13"/>
  <c r="S10" i="13"/>
  <c r="S313" i="13"/>
  <c r="S20" i="13"/>
  <c r="S54" i="13"/>
  <c r="S101" i="13"/>
  <c r="S44" i="13"/>
  <c r="S68" i="13"/>
  <c r="S21" i="13"/>
  <c r="S123" i="13"/>
  <c r="S143" i="13"/>
  <c r="S179" i="13"/>
  <c r="S319" i="13"/>
  <c r="S89" i="13"/>
  <c r="S41" i="13"/>
  <c r="S32" i="13"/>
  <c r="S59" i="13"/>
  <c r="S60" i="13"/>
  <c r="S322" i="13"/>
  <c r="S90" i="13"/>
  <c r="S62" i="13"/>
  <c r="S150" i="13"/>
  <c r="S13" i="13"/>
  <c r="S152" i="13"/>
  <c r="S66" i="13"/>
  <c r="S185" i="13"/>
  <c r="S34" i="13"/>
  <c r="S324" i="13"/>
  <c r="S153" i="13"/>
  <c r="S4" i="13"/>
  <c r="S175" i="13"/>
  <c r="S86" i="13"/>
  <c r="S8" i="13"/>
  <c r="S122" i="13"/>
  <c r="S57" i="13"/>
  <c r="S45" i="13"/>
  <c r="S124" i="13"/>
  <c r="S320" i="13"/>
  <c r="S144" i="13"/>
  <c r="S201" i="13"/>
  <c r="S58" i="13"/>
  <c r="S104" i="13"/>
  <c r="S105" i="13"/>
  <c r="S323" i="13"/>
  <c r="S22" i="13"/>
  <c r="S63" i="13"/>
  <c r="S7" i="13"/>
  <c r="S64" i="13"/>
  <c r="S183" i="13"/>
  <c r="S110" i="13"/>
  <c r="S111" i="13"/>
  <c r="S14" i="13"/>
  <c r="S112" i="13"/>
  <c r="S186" i="13"/>
  <c r="S326" i="13"/>
  <c r="S325" i="13"/>
  <c r="S121" i="13"/>
  <c r="S200" i="13"/>
  <c r="S39" i="13"/>
  <c r="S17" i="13"/>
  <c r="S25" i="13"/>
  <c r="S46" i="13"/>
  <c r="S318" i="13"/>
  <c r="S180" i="13"/>
  <c r="S145" i="13"/>
  <c r="S181" i="13"/>
  <c r="S71" i="13"/>
  <c r="S126" i="13"/>
  <c r="S61" i="13"/>
  <c r="S42" i="13"/>
  <c r="S106" i="13"/>
  <c r="S108" i="13"/>
  <c r="S151" i="13"/>
  <c r="S65" i="13"/>
  <c r="S184" i="13"/>
  <c r="S3" i="13"/>
  <c r="S92" i="13"/>
  <c r="S133" i="13"/>
  <c r="S49" i="13"/>
  <c r="S28" i="13"/>
  <c r="S115" i="13"/>
  <c r="S93" i="13"/>
  <c r="S176" i="13"/>
  <c r="S55" i="13"/>
  <c r="S30" i="13"/>
  <c r="S56" i="13"/>
  <c r="S40" i="13"/>
  <c r="S69" i="13"/>
  <c r="S9" i="13"/>
  <c r="S88" i="13"/>
  <c r="S26" i="13"/>
  <c r="S125" i="13"/>
  <c r="S31" i="13"/>
  <c r="S127" i="13"/>
  <c r="S182" i="13"/>
  <c r="S130" i="13"/>
  <c r="S72" i="13"/>
  <c r="S109" i="13"/>
  <c r="S73" i="13"/>
  <c r="S47" i="13"/>
  <c r="S132" i="13"/>
  <c r="S74" i="13"/>
  <c r="S76" i="13"/>
  <c r="S113" i="13"/>
  <c r="S85" i="13"/>
  <c r="S87" i="13"/>
  <c r="S177" i="13"/>
  <c r="S317" i="13"/>
  <c r="S12" i="13"/>
  <c r="S178" i="13"/>
  <c r="S70" i="13"/>
  <c r="S102" i="13"/>
  <c r="S321" i="13"/>
  <c r="S146" i="13"/>
  <c r="S147" i="13"/>
  <c r="S148" i="13"/>
  <c r="S103" i="13"/>
  <c r="S134" i="13"/>
  <c r="S128" i="13"/>
  <c r="S129" i="13"/>
  <c r="S149" i="13"/>
  <c r="S107" i="13"/>
  <c r="S91" i="13"/>
  <c r="S131" i="13"/>
  <c r="S33" i="13"/>
  <c r="S48" i="13"/>
  <c r="S27" i="13"/>
  <c r="S75" i="13"/>
  <c r="S11" i="13"/>
  <c r="S6" i="13"/>
  <c r="S114" i="13"/>
  <c r="R116" i="13"/>
  <c r="R221" i="13"/>
  <c r="R234" i="13"/>
  <c r="R35" i="13"/>
  <c r="R232" i="13"/>
  <c r="R204" i="13"/>
  <c r="R207" i="13"/>
  <c r="R135" i="13"/>
  <c r="R214" i="13"/>
  <c r="R154" i="13"/>
  <c r="R222" i="13"/>
  <c r="R235" i="13"/>
  <c r="R187" i="13"/>
  <c r="R203" i="13"/>
  <c r="R210" i="13"/>
  <c r="R226" i="13"/>
  <c r="R230" i="13"/>
  <c r="R136" i="13"/>
  <c r="R15" i="13"/>
  <c r="R228" i="13"/>
  <c r="R218" i="13"/>
  <c r="R117" i="13"/>
  <c r="R156" i="13"/>
  <c r="R212" i="13"/>
  <c r="R202" i="13"/>
  <c r="R211" i="13"/>
  <c r="R137" i="13"/>
  <c r="R215" i="13"/>
  <c r="R208" i="13"/>
  <c r="R225" i="13"/>
  <c r="R229" i="13"/>
  <c r="R205" i="13"/>
  <c r="R29" i="13"/>
  <c r="R216" i="13"/>
  <c r="R209" i="13"/>
  <c r="R219" i="13"/>
  <c r="R223" i="13"/>
  <c r="R233" i="13"/>
  <c r="R206" i="13"/>
  <c r="R155" i="13"/>
  <c r="R213" i="13"/>
  <c r="R217" i="13"/>
  <c r="R220" i="13"/>
  <c r="R224" i="13"/>
  <c r="R227" i="13"/>
  <c r="R231" i="13"/>
  <c r="R157" i="13"/>
  <c r="R94" i="13"/>
  <c r="R77" i="13"/>
  <c r="R95" i="13"/>
  <c r="R138" i="13"/>
  <c r="R16" i="13"/>
  <c r="R96" i="13"/>
  <c r="R140" i="13"/>
  <c r="R247" i="13"/>
  <c r="R252" i="13"/>
  <c r="R193" i="13"/>
  <c r="R24" i="13"/>
  <c r="R164" i="13"/>
  <c r="R167" i="13"/>
  <c r="R83" i="13"/>
  <c r="R196" i="13"/>
  <c r="R268" i="13"/>
  <c r="R38" i="13"/>
  <c r="R170" i="13"/>
  <c r="R278" i="13"/>
  <c r="R279" i="13"/>
  <c r="R282" i="13"/>
  <c r="R287" i="13"/>
  <c r="R292" i="13"/>
  <c r="R297" i="13"/>
  <c r="R300" i="13"/>
  <c r="R305" i="13"/>
  <c r="R100" i="13"/>
  <c r="R309" i="13"/>
  <c r="R174" i="13"/>
  <c r="R314" i="13"/>
  <c r="R199" i="13"/>
  <c r="R50" i="13"/>
  <c r="R23" i="13"/>
  <c r="R236" i="13"/>
  <c r="R78" i="13"/>
  <c r="R160" i="13"/>
  <c r="R79" i="13"/>
  <c r="R159" i="13"/>
  <c r="R161" i="13"/>
  <c r="R248" i="13"/>
  <c r="R253" i="13"/>
  <c r="R194" i="13"/>
  <c r="R255" i="13"/>
  <c r="R81" i="13"/>
  <c r="R258" i="13"/>
  <c r="R168" i="13"/>
  <c r="R264" i="13"/>
  <c r="R269" i="13"/>
  <c r="R273" i="13"/>
  <c r="R276" i="13"/>
  <c r="R172" i="13"/>
  <c r="R280" i="13"/>
  <c r="R283" i="13"/>
  <c r="R288" i="13"/>
  <c r="R293" i="13"/>
  <c r="R18" i="13"/>
  <c r="R301" i="13"/>
  <c r="R306" i="13"/>
  <c r="R312" i="13"/>
  <c r="R19" i="13"/>
  <c r="R188" i="13"/>
  <c r="R190" i="13"/>
  <c r="R237" i="13"/>
  <c r="R239" i="13"/>
  <c r="R139" i="13"/>
  <c r="R243" i="13"/>
  <c r="R141" i="13"/>
  <c r="R249" i="13"/>
  <c r="R43" i="13"/>
  <c r="R120" i="13"/>
  <c r="R5" i="13"/>
  <c r="R257" i="13"/>
  <c r="R259" i="13"/>
  <c r="R262" i="13"/>
  <c r="R265" i="13"/>
  <c r="R270" i="13"/>
  <c r="R274" i="13"/>
  <c r="R52" i="13"/>
  <c r="R197" i="13"/>
  <c r="R281" i="13"/>
  <c r="R284" i="13"/>
  <c r="R289" i="13"/>
  <c r="R294" i="13"/>
  <c r="R298" i="13"/>
  <c r="R302" i="13"/>
  <c r="R84" i="13"/>
  <c r="R315" i="13"/>
  <c r="R158" i="13"/>
  <c r="R36" i="13"/>
  <c r="R238" i="13"/>
  <c r="R240" i="13"/>
  <c r="R241" i="13"/>
  <c r="R244" i="13"/>
  <c r="R246" i="13"/>
  <c r="R250" i="13"/>
  <c r="R191" i="13"/>
  <c r="R162" i="13"/>
  <c r="R195" i="13"/>
  <c r="R80" i="13"/>
  <c r="R51" i="13"/>
  <c r="R165" i="13"/>
  <c r="R260" i="13"/>
  <c r="R261" i="13"/>
  <c r="R263" i="13"/>
  <c r="R266" i="13"/>
  <c r="R271" i="13"/>
  <c r="R275" i="13"/>
  <c r="R277" i="13"/>
  <c r="R99" i="13"/>
  <c r="R285" i="13"/>
  <c r="R290" i="13"/>
  <c r="R295" i="13"/>
  <c r="R299" i="13"/>
  <c r="R303" i="13"/>
  <c r="R307" i="13"/>
  <c r="R310" i="13"/>
  <c r="R53" i="13"/>
  <c r="R311" i="13"/>
  <c r="R142" i="13"/>
  <c r="R316" i="13"/>
  <c r="R189" i="13"/>
  <c r="R118" i="13"/>
  <c r="R37" i="13"/>
  <c r="R119" i="13"/>
  <c r="R242" i="13"/>
  <c r="R245" i="13"/>
  <c r="R327" i="13"/>
  <c r="R251" i="13"/>
  <c r="R192" i="13"/>
  <c r="R163" i="13"/>
  <c r="R254" i="13"/>
  <c r="R97" i="13"/>
  <c r="R67" i="13"/>
  <c r="R256" i="13"/>
  <c r="R98" i="13"/>
  <c r="R166" i="13"/>
  <c r="R82" i="13"/>
  <c r="R169" i="13"/>
  <c r="R267" i="13"/>
  <c r="R272" i="13"/>
  <c r="R2" i="13"/>
  <c r="R171" i="13"/>
  <c r="R173" i="13"/>
  <c r="R286" i="13"/>
  <c r="R291" i="13"/>
  <c r="R296" i="13"/>
  <c r="R198" i="13"/>
  <c r="R304" i="13"/>
  <c r="R308" i="13"/>
  <c r="R10" i="13"/>
  <c r="R313" i="13"/>
  <c r="R20" i="13"/>
  <c r="R54" i="13"/>
  <c r="R101" i="13"/>
  <c r="R44" i="13"/>
  <c r="R68" i="13"/>
  <c r="R21" i="13"/>
  <c r="R123" i="13"/>
  <c r="R143" i="13"/>
  <c r="R179" i="13"/>
  <c r="R319" i="13"/>
  <c r="R89" i="13"/>
  <c r="R41" i="13"/>
  <c r="R32" i="13"/>
  <c r="R59" i="13"/>
  <c r="R60" i="13"/>
  <c r="R322" i="13"/>
  <c r="R90" i="13"/>
  <c r="R62" i="13"/>
  <c r="R150" i="13"/>
  <c r="R13" i="13"/>
  <c r="R152" i="13"/>
  <c r="R66" i="13"/>
  <c r="R185" i="13"/>
  <c r="R34" i="13"/>
  <c r="R324" i="13"/>
  <c r="R153" i="13"/>
  <c r="R4" i="13"/>
  <c r="R175" i="13"/>
  <c r="R86" i="13"/>
  <c r="R8" i="13"/>
  <c r="R122" i="13"/>
  <c r="R57" i="13"/>
  <c r="R45" i="13"/>
  <c r="R124" i="13"/>
  <c r="R320" i="13"/>
  <c r="R144" i="13"/>
  <c r="R201" i="13"/>
  <c r="R58" i="13"/>
  <c r="R104" i="13"/>
  <c r="R105" i="13"/>
  <c r="R323" i="13"/>
  <c r="R22" i="13"/>
  <c r="R63" i="13"/>
  <c r="R7" i="13"/>
  <c r="R64" i="13"/>
  <c r="R183" i="13"/>
  <c r="R110" i="13"/>
  <c r="R111" i="13"/>
  <c r="R14" i="13"/>
  <c r="R112" i="13"/>
  <c r="R186" i="13"/>
  <c r="R326" i="13"/>
  <c r="R325" i="13"/>
  <c r="R121" i="13"/>
  <c r="R200" i="13"/>
  <c r="R39" i="13"/>
  <c r="R17" i="13"/>
  <c r="R25" i="13"/>
  <c r="R46" i="13"/>
  <c r="R318" i="13"/>
  <c r="R180" i="13"/>
  <c r="R145" i="13"/>
  <c r="R181" i="13"/>
  <c r="R71" i="13"/>
  <c r="R126" i="13"/>
  <c r="R61" i="13"/>
  <c r="R42" i="13"/>
  <c r="R106" i="13"/>
  <c r="R108" i="13"/>
  <c r="R151" i="13"/>
  <c r="R65" i="13"/>
  <c r="R184" i="13"/>
  <c r="R3" i="13"/>
  <c r="R92" i="13"/>
  <c r="R133" i="13"/>
  <c r="R49" i="13"/>
  <c r="R28" i="13"/>
  <c r="R115" i="13"/>
  <c r="R93" i="13"/>
  <c r="R176" i="13"/>
  <c r="R55" i="13"/>
  <c r="R30" i="13"/>
  <c r="R56" i="13"/>
  <c r="R40" i="13"/>
  <c r="R69" i="13"/>
  <c r="R9" i="13"/>
  <c r="R88" i="13"/>
  <c r="R26" i="13"/>
  <c r="R125" i="13"/>
  <c r="R31" i="13"/>
  <c r="R127" i="13"/>
  <c r="R182" i="13"/>
  <c r="R130" i="13"/>
  <c r="R72" i="13"/>
  <c r="R109" i="13"/>
  <c r="R73" i="13"/>
  <c r="R47" i="13"/>
  <c r="R132" i="13"/>
  <c r="R74" i="13"/>
  <c r="R76" i="13"/>
  <c r="R113" i="13"/>
  <c r="R85" i="13"/>
  <c r="R87" i="13"/>
  <c r="R177" i="13"/>
  <c r="R317" i="13"/>
  <c r="R12" i="13"/>
  <c r="R178" i="13"/>
  <c r="R70" i="13"/>
  <c r="R102" i="13"/>
  <c r="R321" i="13"/>
  <c r="R146" i="13"/>
  <c r="R147" i="13"/>
  <c r="R148" i="13"/>
  <c r="R103" i="13"/>
  <c r="R134" i="13"/>
  <c r="R128" i="13"/>
  <c r="R129" i="13"/>
  <c r="R149" i="13"/>
  <c r="R107" i="13"/>
  <c r="R91" i="13"/>
  <c r="R131" i="13"/>
  <c r="R33" i="13"/>
  <c r="R48" i="13"/>
  <c r="R27" i="13"/>
  <c r="R75" i="13"/>
  <c r="R11" i="13"/>
  <c r="R6" i="13"/>
  <c r="R114" i="13"/>
  <c r="Q116" i="13"/>
  <c r="Q221" i="13"/>
  <c r="Q234" i="13"/>
  <c r="Q35" i="13"/>
  <c r="Q232" i="13"/>
  <c r="Q204" i="13"/>
  <c r="Q207" i="13"/>
  <c r="Q135" i="13"/>
  <c r="Q214" i="13"/>
  <c r="Q154" i="13"/>
  <c r="Q222" i="13"/>
  <c r="Q235" i="13"/>
  <c r="Q187" i="13"/>
  <c r="Q203" i="13"/>
  <c r="Q210" i="13"/>
  <c r="Q226" i="13"/>
  <c r="Q230" i="13"/>
  <c r="Q136" i="13"/>
  <c r="Q15" i="13"/>
  <c r="Q228" i="13"/>
  <c r="Q218" i="13"/>
  <c r="Q117" i="13"/>
  <c r="Q156" i="13"/>
  <c r="Q212" i="13"/>
  <c r="Q202" i="13"/>
  <c r="Q211" i="13"/>
  <c r="Q137" i="13"/>
  <c r="Q215" i="13"/>
  <c r="Q208" i="13"/>
  <c r="Q225" i="13"/>
  <c r="Q229" i="13"/>
  <c r="Q205" i="13"/>
  <c r="Q29" i="13"/>
  <c r="Q216" i="13"/>
  <c r="Q209" i="13"/>
  <c r="Q219" i="13"/>
  <c r="Q223" i="13"/>
  <c r="Q233" i="13"/>
  <c r="Q206" i="13"/>
  <c r="Q155" i="13"/>
  <c r="Q213" i="13"/>
  <c r="Q217" i="13"/>
  <c r="Q220" i="13"/>
  <c r="Q224" i="13"/>
  <c r="Q227" i="13"/>
  <c r="Q231" i="13"/>
  <c r="Q157" i="13"/>
  <c r="Q94" i="13"/>
  <c r="Q77" i="13"/>
  <c r="Q95" i="13"/>
  <c r="Q138" i="13"/>
  <c r="Q16" i="13"/>
  <c r="Q96" i="13"/>
  <c r="Q140" i="13"/>
  <c r="Q247" i="13"/>
  <c r="Q252" i="13"/>
  <c r="Q193" i="13"/>
  <c r="Q24" i="13"/>
  <c r="Q164" i="13"/>
  <c r="Q167" i="13"/>
  <c r="Q83" i="13"/>
  <c r="Q196" i="13"/>
  <c r="Q268" i="13"/>
  <c r="Q38" i="13"/>
  <c r="Q170" i="13"/>
  <c r="Q278" i="13"/>
  <c r="Q279" i="13"/>
  <c r="Q282" i="13"/>
  <c r="Q287" i="13"/>
  <c r="Q292" i="13"/>
  <c r="Q297" i="13"/>
  <c r="Q300" i="13"/>
  <c r="Q305" i="13"/>
  <c r="Q100" i="13"/>
  <c r="Q309" i="13"/>
  <c r="Q174" i="13"/>
  <c r="Q314" i="13"/>
  <c r="Q199" i="13"/>
  <c r="Q50" i="13"/>
  <c r="Q23" i="13"/>
  <c r="Q236" i="13"/>
  <c r="Q78" i="13"/>
  <c r="Q160" i="13"/>
  <c r="Q79" i="13"/>
  <c r="Q159" i="13"/>
  <c r="Q161" i="13"/>
  <c r="Q248" i="13"/>
  <c r="Q253" i="13"/>
  <c r="Q194" i="13"/>
  <c r="Q255" i="13"/>
  <c r="Q81" i="13"/>
  <c r="Q258" i="13"/>
  <c r="Q168" i="13"/>
  <c r="Q264" i="13"/>
  <c r="Q269" i="13"/>
  <c r="Q273" i="13"/>
  <c r="Q276" i="13"/>
  <c r="Q172" i="13"/>
  <c r="Q280" i="13"/>
  <c r="Q283" i="13"/>
  <c r="Q288" i="13"/>
  <c r="Q293" i="13"/>
  <c r="Q18" i="13"/>
  <c r="Q301" i="13"/>
  <c r="Q306" i="13"/>
  <c r="Q312" i="13"/>
  <c r="Q19" i="13"/>
  <c r="Q188" i="13"/>
  <c r="Q190" i="13"/>
  <c r="Q237" i="13"/>
  <c r="Q239" i="13"/>
  <c r="Q139" i="13"/>
  <c r="Q243" i="13"/>
  <c r="Q141" i="13"/>
  <c r="Q249" i="13"/>
  <c r="Q43" i="13"/>
  <c r="Q120" i="13"/>
  <c r="Q5" i="13"/>
  <c r="Q257" i="13"/>
  <c r="Q259" i="13"/>
  <c r="Q262" i="13"/>
  <c r="Q265" i="13"/>
  <c r="Q270" i="13"/>
  <c r="Q274" i="13"/>
  <c r="Q52" i="13"/>
  <c r="Q197" i="13"/>
  <c r="Q281" i="13"/>
  <c r="Q284" i="13"/>
  <c r="Q289" i="13"/>
  <c r="Q294" i="13"/>
  <c r="Q298" i="13"/>
  <c r="Q302" i="13"/>
  <c r="Q84" i="13"/>
  <c r="Q315" i="13"/>
  <c r="Q158" i="13"/>
  <c r="Q36" i="13"/>
  <c r="Q238" i="13"/>
  <c r="Q240" i="13"/>
  <c r="Q241" i="13"/>
  <c r="Q244" i="13"/>
  <c r="Q246" i="13"/>
  <c r="Q250" i="13"/>
  <c r="Q191" i="13"/>
  <c r="Q162" i="13"/>
  <c r="Q195" i="13"/>
  <c r="Q80" i="13"/>
  <c r="Q51" i="13"/>
  <c r="Q165" i="13"/>
  <c r="Q260" i="13"/>
  <c r="Q261" i="13"/>
  <c r="Q263" i="13"/>
  <c r="Q266" i="13"/>
  <c r="Q271" i="13"/>
  <c r="Q275" i="13"/>
  <c r="Q277" i="13"/>
  <c r="Q99" i="13"/>
  <c r="Q285" i="13"/>
  <c r="Q290" i="13"/>
  <c r="Q295" i="13"/>
  <c r="Q299" i="13"/>
  <c r="Q303" i="13"/>
  <c r="Q307" i="13"/>
  <c r="Q310" i="13"/>
  <c r="Q53" i="13"/>
  <c r="Q311" i="13"/>
  <c r="Q142" i="13"/>
  <c r="Q316" i="13"/>
  <c r="Q189" i="13"/>
  <c r="Q118" i="13"/>
  <c r="Q37" i="13"/>
  <c r="Q119" i="13"/>
  <c r="Q242" i="13"/>
  <c r="Q245" i="13"/>
  <c r="Q327" i="13"/>
  <c r="Q251" i="13"/>
  <c r="Q192" i="13"/>
  <c r="Q163" i="13"/>
  <c r="Q254" i="13"/>
  <c r="Q97" i="13"/>
  <c r="Q67" i="13"/>
  <c r="Q256" i="13"/>
  <c r="Q98" i="13"/>
  <c r="Q166" i="13"/>
  <c r="Q82" i="13"/>
  <c r="Q169" i="13"/>
  <c r="Q267" i="13"/>
  <c r="Q272" i="13"/>
  <c r="Q2" i="13"/>
  <c r="Q171" i="13"/>
  <c r="Q173" i="13"/>
  <c r="Q286" i="13"/>
  <c r="Q291" i="13"/>
  <c r="Q296" i="13"/>
  <c r="Q198" i="13"/>
  <c r="Q304" i="13"/>
  <c r="Q308" i="13"/>
  <c r="Q10" i="13"/>
  <c r="Q313" i="13"/>
  <c r="Q20" i="13"/>
  <c r="Q54" i="13"/>
  <c r="Q101" i="13"/>
  <c r="Q44" i="13"/>
  <c r="Q68" i="13"/>
  <c r="Q21" i="13"/>
  <c r="Q123" i="13"/>
  <c r="Q143" i="13"/>
  <c r="Q179" i="13"/>
  <c r="Q319" i="13"/>
  <c r="Q89" i="13"/>
  <c r="Q41" i="13"/>
  <c r="Q32" i="13"/>
  <c r="Q59" i="13"/>
  <c r="Q60" i="13"/>
  <c r="Q322" i="13"/>
  <c r="Q90" i="13"/>
  <c r="Q62" i="13"/>
  <c r="Q150" i="13"/>
  <c r="Q13" i="13"/>
  <c r="Q152" i="13"/>
  <c r="Q66" i="13"/>
  <c r="Q185" i="13"/>
  <c r="Q34" i="13"/>
  <c r="Q324" i="13"/>
  <c r="Q153" i="13"/>
  <c r="Q4" i="13"/>
  <c r="Q175" i="13"/>
  <c r="Q86" i="13"/>
  <c r="Q8" i="13"/>
  <c r="Q122" i="13"/>
  <c r="Q57" i="13"/>
  <c r="Q45" i="13"/>
  <c r="Q124" i="13"/>
  <c r="Q320" i="13"/>
  <c r="Q144" i="13"/>
  <c r="Q201" i="13"/>
  <c r="Q58" i="13"/>
  <c r="Q104" i="13"/>
  <c r="Q105" i="13"/>
  <c r="Q323" i="13"/>
  <c r="Q22" i="13"/>
  <c r="Q63" i="13"/>
  <c r="Q7" i="13"/>
  <c r="Q64" i="13"/>
  <c r="Q183" i="13"/>
  <c r="Q110" i="13"/>
  <c r="Q111" i="13"/>
  <c r="Q14" i="13"/>
  <c r="Q112" i="13"/>
  <c r="Q186" i="13"/>
  <c r="Q326" i="13"/>
  <c r="Q325" i="13"/>
  <c r="Q121" i="13"/>
  <c r="Q200" i="13"/>
  <c r="Q39" i="13"/>
  <c r="Q17" i="13"/>
  <c r="Q25" i="13"/>
  <c r="Q46" i="13"/>
  <c r="Q318" i="13"/>
  <c r="Q180" i="13"/>
  <c r="Q145" i="13"/>
  <c r="Q181" i="13"/>
  <c r="Q71" i="13"/>
  <c r="Q126" i="13"/>
  <c r="Q61" i="13"/>
  <c r="Q42" i="13"/>
  <c r="Q106" i="13"/>
  <c r="Q108" i="13"/>
  <c r="Q151" i="13"/>
  <c r="Q65" i="13"/>
  <c r="Q184" i="13"/>
  <c r="Q3" i="13"/>
  <c r="Q92" i="13"/>
  <c r="Q133" i="13"/>
  <c r="Q49" i="13"/>
  <c r="Q28" i="13"/>
  <c r="Q115" i="13"/>
  <c r="Q93" i="13"/>
  <c r="Q176" i="13"/>
  <c r="Q55" i="13"/>
  <c r="Q30" i="13"/>
  <c r="Q56" i="13"/>
  <c r="Q40" i="13"/>
  <c r="Q69" i="13"/>
  <c r="Q9" i="13"/>
  <c r="Q88" i="13"/>
  <c r="Q26" i="13"/>
  <c r="Q125" i="13"/>
  <c r="Q31" i="13"/>
  <c r="Q127" i="13"/>
  <c r="Q182" i="13"/>
  <c r="Q130" i="13"/>
  <c r="Q72" i="13"/>
  <c r="Q109" i="13"/>
  <c r="Q73" i="13"/>
  <c r="Q47" i="13"/>
  <c r="Q132" i="13"/>
  <c r="Q74" i="13"/>
  <c r="Q76" i="13"/>
  <c r="Q113" i="13"/>
  <c r="Q85" i="13"/>
  <c r="Q87" i="13"/>
  <c r="Q177" i="13"/>
  <c r="Q317" i="13"/>
  <c r="Q12" i="13"/>
  <c r="Q178" i="13"/>
  <c r="Q70" i="13"/>
  <c r="Q102" i="13"/>
  <c r="Q321" i="13"/>
  <c r="Q146" i="13"/>
  <c r="Q147" i="13"/>
  <c r="Q148" i="13"/>
  <c r="Q103" i="13"/>
  <c r="Q134" i="13"/>
  <c r="Q128" i="13"/>
  <c r="Q129" i="13"/>
  <c r="Q149" i="13"/>
  <c r="Q107" i="13"/>
  <c r="Q91" i="13"/>
  <c r="Q131" i="13"/>
  <c r="Q33" i="13"/>
  <c r="Q48" i="13"/>
  <c r="Q27" i="13"/>
  <c r="Q75" i="13"/>
  <c r="Q11" i="13"/>
  <c r="Q6" i="13"/>
  <c r="Q114" i="13"/>
  <c r="T116" i="13"/>
  <c r="T221" i="13"/>
  <c r="T234" i="13"/>
  <c r="T35" i="13"/>
  <c r="T232" i="13"/>
  <c r="T204" i="13"/>
  <c r="T207" i="13"/>
  <c r="T135" i="13"/>
  <c r="T214" i="13"/>
  <c r="T154" i="13"/>
  <c r="T222" i="13"/>
  <c r="T235" i="13"/>
  <c r="T187" i="13"/>
  <c r="T203" i="13"/>
  <c r="T210" i="13"/>
  <c r="T226" i="13"/>
  <c r="T230" i="13"/>
  <c r="T136" i="13"/>
  <c r="T15" i="13"/>
  <c r="T228" i="13"/>
  <c r="T218" i="13"/>
  <c r="T117" i="13"/>
  <c r="T156" i="13"/>
  <c r="T212" i="13"/>
  <c r="T202" i="13"/>
  <c r="T211" i="13"/>
  <c r="T137" i="13"/>
  <c r="T215" i="13"/>
  <c r="T208" i="13"/>
  <c r="T225" i="13"/>
  <c r="T229" i="13"/>
  <c r="T205" i="13"/>
  <c r="T29" i="13"/>
  <c r="T216" i="13"/>
  <c r="T209" i="13"/>
  <c r="T219" i="13"/>
  <c r="T223" i="13"/>
  <c r="T233" i="13"/>
  <c r="T206" i="13"/>
  <c r="T155" i="13"/>
  <c r="T213" i="13"/>
  <c r="T217" i="13"/>
  <c r="T220" i="13"/>
  <c r="T224" i="13"/>
  <c r="T227" i="13"/>
  <c r="T231" i="13"/>
  <c r="T157" i="13"/>
  <c r="T94" i="13"/>
  <c r="T77" i="13"/>
  <c r="T95" i="13"/>
  <c r="T138" i="13"/>
  <c r="T16" i="13"/>
  <c r="T96" i="13"/>
  <c r="T140" i="13"/>
  <c r="T247" i="13"/>
  <c r="T252" i="13"/>
  <c r="T193" i="13"/>
  <c r="T24" i="13"/>
  <c r="T164" i="13"/>
  <c r="T167" i="13"/>
  <c r="T83" i="13"/>
  <c r="T196" i="13"/>
  <c r="T268" i="13"/>
  <c r="T38" i="13"/>
  <c r="T170" i="13"/>
  <c r="T278" i="13"/>
  <c r="T279" i="13"/>
  <c r="T282" i="13"/>
  <c r="T287" i="13"/>
  <c r="T292" i="13"/>
  <c r="T297" i="13"/>
  <c r="T300" i="13"/>
  <c r="T305" i="13"/>
  <c r="T100" i="13"/>
  <c r="T309" i="13"/>
  <c r="T174" i="13"/>
  <c r="T314" i="13"/>
  <c r="T199" i="13"/>
  <c r="T50" i="13"/>
  <c r="T23" i="13"/>
  <c r="T236" i="13"/>
  <c r="T78" i="13"/>
  <c r="T160" i="13"/>
  <c r="T79" i="13"/>
  <c r="T159" i="13"/>
  <c r="T161" i="13"/>
  <c r="T248" i="13"/>
  <c r="T253" i="13"/>
  <c r="T194" i="13"/>
  <c r="T255" i="13"/>
  <c r="T81" i="13"/>
  <c r="T258" i="13"/>
  <c r="T168" i="13"/>
  <c r="T264" i="13"/>
  <c r="T269" i="13"/>
  <c r="T273" i="13"/>
  <c r="T276" i="13"/>
  <c r="T172" i="13"/>
  <c r="T280" i="13"/>
  <c r="T283" i="13"/>
  <c r="T288" i="13"/>
  <c r="T293" i="13"/>
  <c r="T18" i="13"/>
  <c r="T301" i="13"/>
  <c r="T306" i="13"/>
  <c r="T312" i="13"/>
  <c r="T19" i="13"/>
  <c r="T188" i="13"/>
  <c r="T190" i="13"/>
  <c r="T237" i="13"/>
  <c r="T239" i="13"/>
  <c r="T139" i="13"/>
  <c r="T243" i="13"/>
  <c r="T141" i="13"/>
  <c r="T249" i="13"/>
  <c r="T43" i="13"/>
  <c r="T120" i="13"/>
  <c r="T5" i="13"/>
  <c r="T257" i="13"/>
  <c r="T259" i="13"/>
  <c r="T262" i="13"/>
  <c r="T265" i="13"/>
  <c r="T270" i="13"/>
  <c r="T274" i="13"/>
  <c r="T52" i="13"/>
  <c r="T197" i="13"/>
  <c r="T281" i="13"/>
  <c r="T284" i="13"/>
  <c r="T289" i="13"/>
  <c r="T294" i="13"/>
  <c r="T298" i="13"/>
  <c r="T302" i="13"/>
  <c r="T84" i="13"/>
  <c r="T315" i="13"/>
  <c r="T158" i="13"/>
  <c r="T36" i="13"/>
  <c r="T238" i="13"/>
  <c r="T240" i="13"/>
  <c r="T241" i="13"/>
  <c r="T244" i="13"/>
  <c r="T246" i="13"/>
  <c r="T250" i="13"/>
  <c r="T191" i="13"/>
  <c r="T162" i="13"/>
  <c r="T195" i="13"/>
  <c r="T80" i="13"/>
  <c r="T51" i="13"/>
  <c r="T165" i="13"/>
  <c r="T260" i="13"/>
  <c r="T261" i="13"/>
  <c r="T263" i="13"/>
  <c r="T266" i="13"/>
  <c r="T271" i="13"/>
  <c r="T275" i="13"/>
  <c r="T277" i="13"/>
  <c r="T99" i="13"/>
  <c r="T285" i="13"/>
  <c r="T290" i="13"/>
  <c r="T295" i="13"/>
  <c r="T299" i="13"/>
  <c r="T303" i="13"/>
  <c r="T307" i="13"/>
  <c r="T310" i="13"/>
  <c r="T53" i="13"/>
  <c r="T311" i="13"/>
  <c r="T142" i="13"/>
  <c r="T316" i="13"/>
  <c r="T189" i="13"/>
  <c r="T118" i="13"/>
  <c r="T37" i="13"/>
  <c r="T119" i="13"/>
  <c r="T242" i="13"/>
  <c r="T245" i="13"/>
  <c r="T327" i="13"/>
  <c r="T251" i="13"/>
  <c r="T192" i="13"/>
  <c r="T163" i="13"/>
  <c r="T254" i="13"/>
  <c r="T97" i="13"/>
  <c r="T67" i="13"/>
  <c r="T256" i="13"/>
  <c r="T98" i="13"/>
  <c r="T166" i="13"/>
  <c r="T82" i="13"/>
  <c r="T169" i="13"/>
  <c r="T267" i="13"/>
  <c r="T272" i="13"/>
  <c r="T2" i="13"/>
  <c r="T171" i="13"/>
  <c r="T173" i="13"/>
  <c r="T286" i="13"/>
  <c r="T291" i="13"/>
  <c r="T296" i="13"/>
  <c r="T198" i="13"/>
  <c r="T304" i="13"/>
  <c r="T308" i="13"/>
  <c r="T10" i="13"/>
  <c r="T313" i="13"/>
  <c r="T20" i="13"/>
  <c r="T54" i="13"/>
  <c r="T101" i="13"/>
  <c r="T44" i="13"/>
  <c r="T68" i="13"/>
  <c r="T21" i="13"/>
  <c r="T123" i="13"/>
  <c r="T143" i="13"/>
  <c r="T179" i="13"/>
  <c r="T319" i="13"/>
  <c r="T89" i="13"/>
  <c r="T41" i="13"/>
  <c r="T32" i="13"/>
  <c r="T59" i="13"/>
  <c r="T60" i="13"/>
  <c r="T322" i="13"/>
  <c r="T90" i="13"/>
  <c r="T62" i="13"/>
  <c r="T150" i="13"/>
  <c r="T13" i="13"/>
  <c r="T152" i="13"/>
  <c r="T66" i="13"/>
  <c r="T185" i="13"/>
  <c r="T34" i="13"/>
  <c r="T324" i="13"/>
  <c r="T153" i="13"/>
  <c r="T4" i="13"/>
  <c r="T175" i="13"/>
  <c r="T86" i="13"/>
  <c r="T8" i="13"/>
  <c r="T122" i="13"/>
  <c r="T57" i="13"/>
  <c r="T45" i="13"/>
  <c r="T124" i="13"/>
  <c r="T320" i="13"/>
  <c r="T144" i="13"/>
  <c r="T201" i="13"/>
  <c r="T58" i="13"/>
  <c r="T104" i="13"/>
  <c r="T105" i="13"/>
  <c r="T323" i="13"/>
  <c r="T22" i="13"/>
  <c r="T63" i="13"/>
  <c r="T7" i="13"/>
  <c r="T64" i="13"/>
  <c r="T183" i="13"/>
  <c r="T110" i="13"/>
  <c r="T111" i="13"/>
  <c r="T14" i="13"/>
  <c r="T112" i="13"/>
  <c r="T186" i="13"/>
  <c r="T326" i="13"/>
  <c r="T325" i="13"/>
  <c r="T121" i="13"/>
  <c r="T200" i="13"/>
  <c r="T39" i="13"/>
  <c r="T17" i="13"/>
  <c r="T25" i="13"/>
  <c r="T46" i="13"/>
  <c r="T318" i="13"/>
  <c r="T180" i="13"/>
  <c r="T145" i="13"/>
  <c r="T181" i="13"/>
  <c r="T71" i="13"/>
  <c r="T126" i="13"/>
  <c r="T61" i="13"/>
  <c r="T42" i="13"/>
  <c r="T106" i="13"/>
  <c r="T108" i="13"/>
  <c r="T151" i="13"/>
  <c r="T65" i="13"/>
  <c r="T184" i="13"/>
  <c r="T3" i="13"/>
  <c r="T92" i="13"/>
  <c r="T133" i="13"/>
  <c r="T49" i="13"/>
  <c r="T28" i="13"/>
  <c r="T115" i="13"/>
  <c r="T93" i="13"/>
  <c r="T176" i="13"/>
  <c r="T55" i="13"/>
  <c r="T30" i="13"/>
  <c r="T56" i="13"/>
  <c r="T40" i="13"/>
  <c r="T69" i="13"/>
  <c r="T9" i="13"/>
  <c r="T88" i="13"/>
  <c r="T26" i="13"/>
  <c r="T125" i="13"/>
  <c r="T31" i="13"/>
  <c r="T127" i="13"/>
  <c r="T182" i="13"/>
  <c r="T130" i="13"/>
  <c r="T72" i="13"/>
  <c r="T109" i="13"/>
  <c r="T73" i="13"/>
  <c r="T47" i="13"/>
  <c r="T132" i="13"/>
  <c r="T74" i="13"/>
  <c r="T76" i="13"/>
  <c r="T113" i="13"/>
  <c r="T85" i="13"/>
  <c r="T87" i="13"/>
  <c r="T177" i="13"/>
  <c r="T317" i="13"/>
  <c r="T12" i="13"/>
  <c r="T178" i="13"/>
  <c r="T70" i="13"/>
  <c r="T102" i="13"/>
  <c r="T321" i="13"/>
  <c r="T146" i="13"/>
  <c r="T147" i="13"/>
  <c r="T148" i="13"/>
  <c r="T103" i="13"/>
  <c r="T134" i="13"/>
  <c r="T128" i="13"/>
  <c r="T129" i="13"/>
  <c r="T149" i="13"/>
  <c r="T107" i="13"/>
  <c r="T91" i="13"/>
  <c r="T131" i="13"/>
  <c r="T33" i="13"/>
  <c r="T48" i="13"/>
  <c r="T27" i="13"/>
  <c r="T75" i="13"/>
  <c r="T11" i="13"/>
  <c r="T6" i="13"/>
  <c r="T114" i="13"/>
  <c r="AT101" i="6" l="1"/>
  <c r="AR1174" i="6"/>
  <c r="AR1182" i="6"/>
  <c r="AR1166" i="6"/>
  <c r="AQ1146" i="6"/>
  <c r="AQ1114" i="6"/>
  <c r="AQ1082" i="6"/>
  <c r="AR1190" i="6"/>
  <c r="AQ1130" i="6"/>
  <c r="AR1178" i="6"/>
  <c r="AR1162" i="6"/>
  <c r="AQ1138" i="6"/>
  <c r="AQ1106" i="6"/>
  <c r="AQ1074" i="6"/>
  <c r="AR1158" i="6"/>
  <c r="AQ1098" i="6"/>
  <c r="AQ3" i="6"/>
  <c r="AR1186" i="6"/>
  <c r="AR1170" i="6"/>
  <c r="AQ1154" i="6"/>
  <c r="AQ1122" i="6"/>
  <c r="AQ1090" i="6"/>
  <c r="AT167" i="6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19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R55" i="6"/>
  <c r="I55" i="6"/>
  <c r="G55" i="6" s="1"/>
  <c r="H55" i="6"/>
  <c r="R46" i="6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M28" i="1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2" i="4"/>
  <c r="J32" i="4"/>
  <c r="E32" i="4"/>
  <c r="L32" i="4" s="1"/>
  <c r="AT13" i="6" l="1"/>
  <c r="AS13" i="6"/>
  <c r="AO14" i="6"/>
  <c r="AU14" i="6" s="1"/>
  <c r="AM13" i="6"/>
  <c r="AR10" i="6"/>
  <c r="AQ10" i="6"/>
  <c r="K32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2" i="4"/>
  <c r="R32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Q13" i="4"/>
  <c r="L13" i="4"/>
  <c r="K13" i="4"/>
  <c r="J13" i="4"/>
  <c r="W6" i="5"/>
  <c r="R6" i="5"/>
  <c r="V6" i="5"/>
  <c r="S6" i="5"/>
  <c r="T6" i="5"/>
  <c r="U6" i="5"/>
  <c r="AT15" i="6" l="1"/>
  <c r="AS15" i="6"/>
  <c r="AO16" i="6"/>
  <c r="AU16" i="6" s="1"/>
  <c r="AM15" i="6"/>
  <c r="AQ12" i="6"/>
  <c r="AR12" i="6"/>
  <c r="I38" i="2"/>
  <c r="J37" i="2"/>
  <c r="K37" i="2"/>
  <c r="O13" i="4"/>
  <c r="R13" i="4" s="1"/>
  <c r="Q22" i="4"/>
  <c r="L22" i="4"/>
  <c r="K22" i="4"/>
  <c r="J22" i="4"/>
  <c r="K17" i="4"/>
  <c r="K16" i="4"/>
  <c r="K20" i="4"/>
  <c r="K15" i="4"/>
  <c r="K21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27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4" i="4" s="1"/>
  <c r="L179" i="3"/>
  <c r="L180" i="3"/>
  <c r="L181" i="3"/>
  <c r="L182" i="3"/>
  <c r="L183" i="3"/>
  <c r="L184" i="3"/>
  <c r="L185" i="3"/>
  <c r="L186" i="3"/>
  <c r="L187" i="3"/>
  <c r="L188" i="3"/>
  <c r="L189" i="3"/>
  <c r="M4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81" i="3"/>
  <c r="L882" i="3"/>
  <c r="L883" i="3"/>
  <c r="L884" i="3"/>
  <c r="L885" i="3"/>
  <c r="L886" i="3"/>
  <c r="L887" i="3"/>
  <c r="L888" i="3"/>
  <c r="L889" i="3"/>
  <c r="L890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8" i="3"/>
  <c r="L909" i="3"/>
  <c r="L910" i="3"/>
  <c r="L912" i="3"/>
  <c r="L913" i="3"/>
  <c r="L914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4" i="3"/>
  <c r="L1225" i="3"/>
  <c r="L1226" i="3"/>
  <c r="L1227" i="3"/>
  <c r="L1228" i="3"/>
  <c r="L1229" i="3"/>
  <c r="L1230" i="3"/>
  <c r="L1232" i="3"/>
  <c r="L1233" i="3"/>
  <c r="L1234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4" i="3"/>
  <c r="K1225" i="3"/>
  <c r="K1226" i="3"/>
  <c r="K1227" i="3"/>
  <c r="K1228" i="3"/>
  <c r="K1229" i="3"/>
  <c r="K1230" i="3"/>
  <c r="K1231" i="3"/>
  <c r="K1232" i="3"/>
  <c r="K1233" i="3"/>
  <c r="K1234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2" i="3"/>
  <c r="R8" i="3"/>
  <c r="K295" i="3" s="1"/>
  <c r="T8" i="3"/>
  <c r="L295" i="3" s="1"/>
  <c r="T5" i="3"/>
  <c r="L891" i="3" s="1"/>
  <c r="L1370" i="3" l="1"/>
  <c r="L1346" i="3"/>
  <c r="K1370" i="3"/>
  <c r="K1346" i="3"/>
  <c r="I8" i="4"/>
  <c r="N8" i="4" s="1"/>
  <c r="L1327" i="3"/>
  <c r="M8" i="4" s="1"/>
  <c r="P8" i="4" s="1"/>
  <c r="K1327" i="3"/>
  <c r="L1231" i="3"/>
  <c r="M6" i="4"/>
  <c r="P6" i="4" s="1"/>
  <c r="I6" i="4"/>
  <c r="N6" i="4" s="1"/>
  <c r="K1235" i="3"/>
  <c r="K1223" i="3"/>
  <c r="L1235" i="3"/>
  <c r="L1223" i="3"/>
  <c r="I7" i="4"/>
  <c r="N7" i="4" s="1"/>
  <c r="M7" i="4"/>
  <c r="P7" i="4" s="1"/>
  <c r="L1114" i="3"/>
  <c r="I14" i="4"/>
  <c r="N14" i="4" s="1"/>
  <c r="AT16" i="6"/>
  <c r="AS16" i="6"/>
  <c r="AO17" i="6"/>
  <c r="AU17" i="6" s="1"/>
  <c r="AM16" i="6"/>
  <c r="AR13" i="6"/>
  <c r="AQ13" i="6"/>
  <c r="I32" i="4"/>
  <c r="N32" i="4" s="1"/>
  <c r="M32" i="4"/>
  <c r="P32" i="4" s="1"/>
  <c r="K38" i="2"/>
  <c r="J38" i="2"/>
  <c r="M23" i="4"/>
  <c r="K1016" i="3"/>
  <c r="L1016" i="3"/>
  <c r="M30" i="4"/>
  <c r="M31" i="4"/>
  <c r="M12" i="4"/>
  <c r="M15" i="4"/>
  <c r="M19" i="4"/>
  <c r="M10" i="4"/>
  <c r="M9" i="4"/>
  <c r="M3" i="4"/>
  <c r="M17" i="4"/>
  <c r="M11" i="4"/>
  <c r="M13" i="4"/>
  <c r="P13" i="4" s="1"/>
  <c r="M18" i="4"/>
  <c r="M29" i="4"/>
  <c r="M20" i="4"/>
  <c r="M5" i="4"/>
  <c r="M28" i="4"/>
  <c r="M16" i="4"/>
  <c r="M26" i="4"/>
  <c r="I13" i="4"/>
  <c r="N13" i="4" s="1"/>
  <c r="I22" i="4"/>
  <c r="N22" i="4" s="1"/>
  <c r="O22" i="4"/>
  <c r="R22" i="4" s="1"/>
  <c r="K878" i="3"/>
  <c r="K874" i="3"/>
  <c r="K538" i="3"/>
  <c r="L880" i="3"/>
  <c r="L876" i="3"/>
  <c r="L856" i="3"/>
  <c r="M21" i="4" s="1"/>
  <c r="K879" i="3"/>
  <c r="K875" i="3"/>
  <c r="L877" i="3"/>
  <c r="L873" i="3"/>
  <c r="K880" i="3"/>
  <c r="K876" i="3"/>
  <c r="K856" i="3"/>
  <c r="L878" i="3"/>
  <c r="L874" i="3"/>
  <c r="L538" i="3"/>
  <c r="K877" i="3"/>
  <c r="K873" i="3"/>
  <c r="L879" i="3"/>
  <c r="L875" i="3"/>
  <c r="L915" i="3"/>
  <c r="L911" i="3"/>
  <c r="L907" i="3"/>
  <c r="Q23" i="4"/>
  <c r="J23" i="4"/>
  <c r="L23" i="4"/>
  <c r="M14" i="4" l="1"/>
  <c r="P14" i="4" s="1"/>
  <c r="AT17" i="6"/>
  <c r="AS17" i="6"/>
  <c r="AO18" i="6"/>
  <c r="AU18" i="6" s="1"/>
  <c r="AM17" i="6"/>
  <c r="AR14" i="6"/>
  <c r="AQ14" i="6"/>
  <c r="M22" i="4"/>
  <c r="P22" i="4" s="1"/>
  <c r="M25" i="4"/>
  <c r="K23" i="4"/>
  <c r="O23" i="4"/>
  <c r="R23" i="4" s="1"/>
  <c r="P23" i="4"/>
  <c r="Q25" i="4"/>
  <c r="L25" i="4"/>
  <c r="K25" i="4"/>
  <c r="J25" i="4"/>
  <c r="Q15" i="4"/>
  <c r="L15" i="4"/>
  <c r="J15" i="4"/>
  <c r="Q21" i="4"/>
  <c r="L21" i="4"/>
  <c r="J21" i="4"/>
  <c r="Q20" i="4"/>
  <c r="L20" i="4"/>
  <c r="J20" i="4"/>
  <c r="Q17" i="4"/>
  <c r="L17" i="4"/>
  <c r="J17" i="4"/>
  <c r="U5" i="5"/>
  <c r="V5" i="5"/>
  <c r="V4" i="5"/>
  <c r="S5" i="5"/>
  <c r="S4" i="5"/>
  <c r="W5" i="5"/>
  <c r="U4" i="5"/>
  <c r="T5" i="5"/>
  <c r="T4" i="5"/>
  <c r="W4" i="5"/>
  <c r="R5" i="5"/>
  <c r="AT18" i="6" l="1"/>
  <c r="AS18" i="6"/>
  <c r="AO19" i="6"/>
  <c r="AU19" i="6" s="1"/>
  <c r="AM18" i="6"/>
  <c r="AR15" i="6"/>
  <c r="AQ15" i="6"/>
  <c r="P25" i="4"/>
  <c r="O25" i="4"/>
  <c r="R25" i="4" s="1"/>
  <c r="O15" i="4"/>
  <c r="R15" i="4" s="1"/>
  <c r="O20" i="4"/>
  <c r="O17" i="4"/>
  <c r="R17" i="4" s="1"/>
  <c r="O21" i="4"/>
  <c r="R21" i="4" s="1"/>
  <c r="R20" i="4"/>
  <c r="Q5" i="5"/>
  <c r="Q4" i="5"/>
  <c r="R4" i="5"/>
  <c r="F66" i="9" l="1"/>
  <c r="G65" i="9"/>
  <c r="G60" i="9"/>
  <c r="K66" i="9"/>
  <c r="O65" i="9"/>
  <c r="O60" i="9"/>
  <c r="J60" i="9"/>
  <c r="N66" i="9"/>
  <c r="N65" i="9"/>
  <c r="I62" i="9"/>
  <c r="I61" i="9"/>
  <c r="M67" i="9"/>
  <c r="Q62" i="9"/>
  <c r="Q61" i="9"/>
  <c r="S66" i="9"/>
  <c r="H60" i="9"/>
  <c r="H66" i="9"/>
  <c r="L65" i="9"/>
  <c r="P60" i="9"/>
  <c r="P66" i="9"/>
  <c r="T65" i="9"/>
  <c r="F60" i="9"/>
  <c r="F62" i="9"/>
  <c r="G61" i="9"/>
  <c r="K67" i="9"/>
  <c r="K62" i="9"/>
  <c r="O61" i="9"/>
  <c r="J61" i="9"/>
  <c r="J67" i="9"/>
  <c r="N62" i="9"/>
  <c r="I60" i="9"/>
  <c r="M66" i="9"/>
  <c r="M65" i="9"/>
  <c r="Q60" i="9"/>
  <c r="S67" i="9"/>
  <c r="S62" i="9"/>
  <c r="H67" i="9"/>
  <c r="L62" i="9"/>
  <c r="L61" i="9"/>
  <c r="P67" i="9"/>
  <c r="T62" i="9"/>
  <c r="T61" i="9"/>
  <c r="F65" i="9"/>
  <c r="F67" i="9"/>
  <c r="G66" i="9"/>
  <c r="K65" i="9"/>
  <c r="K60" i="9"/>
  <c r="O66" i="9"/>
  <c r="J66" i="9"/>
  <c r="J65" i="9"/>
  <c r="N60" i="9"/>
  <c r="I67" i="9"/>
  <c r="M62" i="9"/>
  <c r="M61" i="9"/>
  <c r="Q67" i="9"/>
  <c r="S65" i="9"/>
  <c r="S60" i="9"/>
  <c r="H65" i="9"/>
  <c r="L60" i="9"/>
  <c r="L66" i="9"/>
  <c r="P65" i="9"/>
  <c r="T60" i="9"/>
  <c r="T66" i="9"/>
  <c r="F61" i="9"/>
  <c r="G67" i="9"/>
  <c r="G62" i="9"/>
  <c r="K61" i="9"/>
  <c r="O67" i="9"/>
  <c r="O62" i="9"/>
  <c r="J62" i="9"/>
  <c r="N61" i="9"/>
  <c r="N67" i="9"/>
  <c r="I66" i="9"/>
  <c r="I65" i="9"/>
  <c r="M60" i="9"/>
  <c r="Q66" i="9"/>
  <c r="Q65" i="9"/>
  <c r="S61" i="9"/>
  <c r="H62" i="9"/>
  <c r="H61" i="9"/>
  <c r="L67" i="9"/>
  <c r="P62" i="9"/>
  <c r="P61" i="9"/>
  <c r="T67" i="9"/>
  <c r="H94" i="9"/>
  <c r="H97" i="9"/>
  <c r="H98" i="9"/>
  <c r="H92" i="9"/>
  <c r="H99" i="9"/>
  <c r="H93" i="9"/>
  <c r="G98" i="9"/>
  <c r="F93" i="9"/>
  <c r="F94" i="9"/>
  <c r="T92" i="9"/>
  <c r="S99" i="9"/>
  <c r="S94" i="9"/>
  <c r="G94" i="9"/>
  <c r="F97" i="9"/>
  <c r="F92" i="9"/>
  <c r="T97" i="9"/>
  <c r="S93" i="9"/>
  <c r="S97" i="9"/>
  <c r="G99" i="9"/>
  <c r="G93" i="9"/>
  <c r="F99" i="9"/>
  <c r="T98" i="9"/>
  <c r="T94" i="9"/>
  <c r="S98" i="9"/>
  <c r="G97" i="9"/>
  <c r="G92" i="9"/>
  <c r="F98" i="9"/>
  <c r="T99" i="9"/>
  <c r="T93" i="9"/>
  <c r="S92" i="9"/>
  <c r="AT19" i="6"/>
  <c r="AS19" i="6"/>
  <c r="AO20" i="6"/>
  <c r="AU20" i="6" s="1"/>
  <c r="AM19" i="6"/>
  <c r="AQ16" i="6"/>
  <c r="AR16" i="6"/>
  <c r="I23" i="4"/>
  <c r="N23" i="4" s="1"/>
  <c r="Q19" i="4"/>
  <c r="L19" i="4"/>
  <c r="K19" i="4"/>
  <c r="J19" i="4"/>
  <c r="J2" i="4"/>
  <c r="AT20" i="6" l="1"/>
  <c r="AS20" i="6"/>
  <c r="AO21" i="6"/>
  <c r="AU21" i="6" s="1"/>
  <c r="AM20" i="6"/>
  <c r="AR17" i="6"/>
  <c r="AQ17" i="6"/>
  <c r="I25" i="4"/>
  <c r="N25" i="4" s="1"/>
  <c r="P21" i="4"/>
  <c r="I21" i="4"/>
  <c r="N21" i="4" s="1"/>
  <c r="I15" i="4"/>
  <c r="N15" i="4" s="1"/>
  <c r="P15" i="4"/>
  <c r="O19" i="4"/>
  <c r="R19" i="4" s="1"/>
  <c r="AT21" i="6" l="1"/>
  <c r="AS21" i="6"/>
  <c r="AO22" i="6"/>
  <c r="AU22" i="6" s="1"/>
  <c r="AM21" i="6"/>
  <c r="AR18" i="6"/>
  <c r="AQ18" i="6"/>
  <c r="K2" i="4"/>
  <c r="Q2" i="4"/>
  <c r="L2" i="4"/>
  <c r="AT22" i="6" l="1"/>
  <c r="AS22" i="6"/>
  <c r="AO23" i="6"/>
  <c r="AU23" i="6" s="1"/>
  <c r="AM22" i="6"/>
  <c r="AR19" i="6"/>
  <c r="AQ19" i="6"/>
  <c r="O2" i="4"/>
  <c r="R2" i="4" s="1"/>
  <c r="T24" i="9"/>
  <c r="T26" i="9" s="1"/>
  <c r="S24" i="9"/>
  <c r="S26" i="9" s="1"/>
  <c r="R24" i="9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89" i="9" l="1"/>
  <c r="R90" i="9" s="1"/>
  <c r="R58" i="9"/>
  <c r="R26" i="9"/>
  <c r="R29" i="9" s="1"/>
  <c r="L26" i="9"/>
  <c r="L30" i="9" s="1"/>
  <c r="L90" i="9"/>
  <c r="P26" i="9"/>
  <c r="P29" i="9" s="1"/>
  <c r="P90" i="9"/>
  <c r="I26" i="9"/>
  <c r="I29" i="9" s="1"/>
  <c r="I90" i="9"/>
  <c r="M26" i="9"/>
  <c r="M34" i="9" s="1"/>
  <c r="M90" i="9"/>
  <c r="Q26" i="9"/>
  <c r="Q29" i="9" s="1"/>
  <c r="Q90" i="9"/>
  <c r="J26" i="9"/>
  <c r="J30" i="9" s="1"/>
  <c r="J90" i="9"/>
  <c r="N26" i="9"/>
  <c r="N28" i="9" s="1"/>
  <c r="N90" i="9"/>
  <c r="K26" i="9"/>
  <c r="K35" i="9" s="1"/>
  <c r="K90" i="9"/>
  <c r="O26" i="9"/>
  <c r="O28" i="9" s="1"/>
  <c r="O90" i="9"/>
  <c r="AT23" i="6"/>
  <c r="AS23" i="6"/>
  <c r="AO24" i="6"/>
  <c r="AU24" i="6" s="1"/>
  <c r="AM23" i="6"/>
  <c r="AQ20" i="6"/>
  <c r="AR20" i="6"/>
  <c r="M33" i="9"/>
  <c r="L34" i="9"/>
  <c r="T35" i="9"/>
  <c r="T28" i="9"/>
  <c r="T33" i="9"/>
  <c r="T29" i="9"/>
  <c r="T34" i="9"/>
  <c r="T30" i="9"/>
  <c r="J28" i="9"/>
  <c r="N34" i="9"/>
  <c r="N29" i="9"/>
  <c r="N35" i="9"/>
  <c r="N30" i="9"/>
  <c r="R35" i="9"/>
  <c r="R28" i="9"/>
  <c r="R34" i="9"/>
  <c r="R30" i="9"/>
  <c r="P34" i="9"/>
  <c r="P35" i="9"/>
  <c r="P30" i="9"/>
  <c r="P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Q29" i="4"/>
  <c r="L29" i="4"/>
  <c r="K29" i="4"/>
  <c r="J29" i="4"/>
  <c r="K33" i="9" l="1"/>
  <c r="J34" i="9"/>
  <c r="M28" i="9"/>
  <c r="R60" i="9"/>
  <c r="R61" i="9"/>
  <c r="R67" i="9"/>
  <c r="U67" i="9" s="1"/>
  <c r="R66" i="9"/>
  <c r="U66" i="9" s="1"/>
  <c r="R65" i="9"/>
  <c r="U65" i="9" s="1"/>
  <c r="R62" i="9"/>
  <c r="N33" i="9"/>
  <c r="J33" i="9"/>
  <c r="M29" i="9"/>
  <c r="R33" i="9"/>
  <c r="K34" i="9"/>
  <c r="K28" i="9"/>
  <c r="K30" i="9"/>
  <c r="J35" i="9"/>
  <c r="J29" i="9"/>
  <c r="I33" i="9"/>
  <c r="I28" i="9"/>
  <c r="I30" i="9"/>
  <c r="I35" i="9"/>
  <c r="I34" i="9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O29" i="4"/>
  <c r="R29" i="4" s="1"/>
  <c r="Q28" i="4"/>
  <c r="Q10" i="4"/>
  <c r="Q9" i="4"/>
  <c r="Q3" i="4"/>
  <c r="Q24" i="4"/>
  <c r="Q11" i="4"/>
  <c r="Q26" i="4"/>
  <c r="Q30" i="4"/>
  <c r="Q27" i="4"/>
  <c r="Q5" i="4"/>
  <c r="Q4" i="4"/>
  <c r="Q12" i="4"/>
  <c r="Q16" i="4"/>
  <c r="Q31" i="4"/>
  <c r="Q18" i="4"/>
  <c r="O29" i="1"/>
  <c r="M17" i="1"/>
  <c r="M18" i="1" s="1"/>
  <c r="J9" i="4"/>
  <c r="J28" i="4"/>
  <c r="J10" i="4"/>
  <c r="J5" i="4"/>
  <c r="J11" i="4"/>
  <c r="J24" i="4"/>
  <c r="J26" i="4"/>
  <c r="J30" i="4"/>
  <c r="J4" i="4"/>
  <c r="J3" i="4"/>
  <c r="J12" i="4"/>
  <c r="J16" i="4"/>
  <c r="J31" i="4"/>
  <c r="J27" i="4"/>
  <c r="J18" i="4"/>
  <c r="L9" i="4"/>
  <c r="L28" i="4"/>
  <c r="L10" i="4"/>
  <c r="L5" i="4"/>
  <c r="L11" i="4"/>
  <c r="L24" i="4"/>
  <c r="L26" i="4"/>
  <c r="L30" i="4"/>
  <c r="L4" i="4"/>
  <c r="L3" i="4"/>
  <c r="L12" i="4"/>
  <c r="L16" i="4"/>
  <c r="L31" i="4"/>
  <c r="L27" i="4"/>
  <c r="L18" i="4"/>
  <c r="U34" i="9" l="1"/>
  <c r="U35" i="9"/>
  <c r="U33" i="9"/>
  <c r="U97" i="9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9" i="4"/>
  <c r="R9" i="4" s="1"/>
  <c r="O4" i="4"/>
  <c r="R4" i="4" s="1"/>
  <c r="O11" i="4"/>
  <c r="R11" i="4" s="1"/>
  <c r="O18" i="4"/>
  <c r="R18" i="4" s="1"/>
  <c r="O24" i="4"/>
  <c r="R24" i="4" s="1"/>
  <c r="O28" i="4"/>
  <c r="R28" i="4" s="1"/>
  <c r="O3" i="4"/>
  <c r="R3" i="4" s="1"/>
  <c r="O31" i="4"/>
  <c r="R31" i="4" s="1"/>
  <c r="O12" i="4"/>
  <c r="R12" i="4" s="1"/>
  <c r="O26" i="4"/>
  <c r="R26" i="4" s="1"/>
  <c r="O10" i="4"/>
  <c r="R10" i="4" s="1"/>
  <c r="O27" i="4"/>
  <c r="R27" i="4" s="1"/>
  <c r="O16" i="4"/>
  <c r="R16" i="4" s="1"/>
  <c r="O30" i="4"/>
  <c r="R30" i="4" s="1"/>
  <c r="O5" i="4"/>
  <c r="R5" i="4" s="1"/>
  <c r="K10" i="4"/>
  <c r="AT26" i="6" l="1"/>
  <c r="AS26" i="6"/>
  <c r="AO27" i="6"/>
  <c r="AU27" i="6" s="1"/>
  <c r="AM26" i="6"/>
  <c r="AR23" i="6"/>
  <c r="AQ23" i="6"/>
  <c r="B35" i="2"/>
  <c r="K18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2" i="4"/>
  <c r="AT29" i="6" l="1"/>
  <c r="AS29" i="6"/>
  <c r="AO30" i="6"/>
  <c r="AU30" i="6" s="1"/>
  <c r="AM29" i="6"/>
  <c r="AR26" i="6"/>
  <c r="AQ26" i="6"/>
  <c r="I24" i="4"/>
  <c r="N24" i="4" s="1"/>
  <c r="I4" i="4"/>
  <c r="N4" i="4" s="1"/>
  <c r="P27" i="4"/>
  <c r="P24" i="4"/>
  <c r="P4" i="4"/>
  <c r="P20" i="4"/>
  <c r="AT30" i="6" l="1"/>
  <c r="AS30" i="6"/>
  <c r="AO31" i="6"/>
  <c r="AU31" i="6" s="1"/>
  <c r="AM30" i="6"/>
  <c r="AR27" i="6"/>
  <c r="AQ27" i="6"/>
  <c r="P17" i="4"/>
  <c r="M2" i="4"/>
  <c r="P2" i="4" s="1"/>
  <c r="I5" i="4"/>
  <c r="N5" i="4" s="1"/>
  <c r="P19" i="4"/>
  <c r="P10" i="4"/>
  <c r="P30" i="4"/>
  <c r="P31" i="4"/>
  <c r="P5" i="4"/>
  <c r="P26" i="4"/>
  <c r="P18" i="4"/>
  <c r="P28" i="4"/>
  <c r="P16" i="4"/>
  <c r="P12" i="4"/>
  <c r="P9" i="4"/>
  <c r="P29" i="4"/>
  <c r="P3" i="4"/>
  <c r="P11" i="4"/>
  <c r="I27" i="4"/>
  <c r="N27" i="4" s="1"/>
  <c r="I17" i="4"/>
  <c r="N17" i="4" s="1"/>
  <c r="M16" i="1"/>
  <c r="M19" i="1" s="1"/>
  <c r="AT31" i="6" l="1"/>
  <c r="AS31" i="6"/>
  <c r="AO32" i="6"/>
  <c r="AU32" i="6" s="1"/>
  <c r="AM31" i="6"/>
  <c r="AQ28" i="6"/>
  <c r="AR28" i="6"/>
  <c r="I20" i="4"/>
  <c r="N20" i="4" s="1"/>
  <c r="I2" i="4"/>
  <c r="N2" i="4" s="1"/>
  <c r="I19" i="4"/>
  <c r="N19" i="4" s="1"/>
  <c r="I16" i="4"/>
  <c r="N16" i="4" s="1"/>
  <c r="I12" i="4"/>
  <c r="N12" i="4" s="1"/>
  <c r="I29" i="4"/>
  <c r="N29" i="4" s="1"/>
  <c r="I31" i="4"/>
  <c r="N31" i="4" s="1"/>
  <c r="I30" i="4"/>
  <c r="N30" i="4" s="1"/>
  <c r="I18" i="4"/>
  <c r="N18" i="4" s="1"/>
  <c r="I10" i="4"/>
  <c r="I26" i="4"/>
  <c r="N26" i="4" s="1"/>
  <c r="I9" i="4"/>
  <c r="N9" i="4" s="1"/>
  <c r="I28" i="4"/>
  <c r="N28" i="4" s="1"/>
  <c r="I11" i="4"/>
  <c r="N11" i="4" s="1"/>
  <c r="I3" i="4"/>
  <c r="N3" i="4" s="1"/>
  <c r="O16" i="1"/>
  <c r="M20" i="1"/>
  <c r="O18" i="1"/>
  <c r="AT32" i="6" l="1"/>
  <c r="AS32" i="6"/>
  <c r="AO33" i="6"/>
  <c r="AU33" i="6" s="1"/>
  <c r="AM32" i="6"/>
  <c r="AR29" i="6"/>
  <c r="AQ29" i="6"/>
  <c r="N10" i="4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30" i="4"/>
  <c r="K31" i="4"/>
  <c r="K26" i="4"/>
  <c r="K11" i="4"/>
  <c r="K27" i="4"/>
  <c r="K28" i="4"/>
  <c r="K24" i="4"/>
  <c r="K3" i="4"/>
  <c r="K4" i="4"/>
  <c r="K5" i="4"/>
  <c r="K9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S2" i="6"/>
  <c r="U2" i="6" s="1"/>
  <c r="J6" i="6"/>
  <c r="J7" i="6" s="1"/>
  <c r="J8" i="6" s="1"/>
  <c r="J9" i="6" s="1"/>
  <c r="Q5" i="6"/>
  <c r="W3" i="1"/>
  <c r="X3" i="1" s="1"/>
  <c r="W2" i="1"/>
  <c r="Q4" i="1" l="1"/>
  <c r="O5" i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Q7" i="1" l="1"/>
  <c r="N32" i="1"/>
  <c r="M32" i="1" s="1"/>
  <c r="M31" i="1"/>
  <c r="O8" i="1"/>
  <c r="M9" i="1"/>
  <c r="Q9" i="1" s="1"/>
  <c r="M8" i="1"/>
  <c r="O9" i="1" s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6" i="6"/>
  <c r="O24" i="2"/>
  <c r="O22" i="2"/>
  <c r="O23" i="2"/>
  <c r="P23" i="2"/>
  <c r="P24" i="2"/>
  <c r="P22" i="2"/>
  <c r="O7" i="6" l="1"/>
  <c r="O31" i="1"/>
  <c r="N33" i="1"/>
  <c r="O33" i="1" s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M34" i="1" s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<sst xmlns="http://schemas.openxmlformats.org/spreadsheetml/2006/main" count="7409" uniqueCount="874">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</sst>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1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41E-2"/>
          <c:w val="0.72971464242649242"/>
          <c:h val="0.89097169207608584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3014272"/>
        <c:axId val="20235392"/>
      </c:lineChart>
      <c:catAx>
        <c:axId val="223014272"/>
        <c:scaling>
          <c:orientation val="minMax"/>
        </c:scaling>
        <c:delete val="0"/>
        <c:axPos val="b"/>
        <c:majorTickMark val="out"/>
        <c:minorTickMark val="none"/>
        <c:tickLblPos val="nextTo"/>
        <c:crossAx val="20235392"/>
        <c:crosses val="autoZero"/>
        <c:auto val="1"/>
        <c:lblAlgn val="ctr"/>
        <c:lblOffset val="100"/>
        <c:noMultiLvlLbl val="0"/>
      </c:catAx>
      <c:valAx>
        <c:axId val="202353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30142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5.753060300929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0">
      <calculatedColumnFormula>MAXA(-(4*M1-Tabela6[[#This Row],[Done]]),0)</calculatedColumnFormula>
    </tableColumn>
    <tableColumn id="4" name="XP to gain" dataDxfId="119"/>
    <tableColumn id="6" name="Mana Cost" dataDxfId="118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5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4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3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ref="A2:A94"/>
    <sortCondition ref="B2:B94"/>
    <sortCondition ref="C2:C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2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1">
      <calculatedColumnFormula>4*LocFeatures[[#This Row],[XP Gain per member]]</calculatedColumnFormula>
    </tableColumn>
    <tableColumn id="11" name="XP Train Gain"/>
    <tableColumn id="22" name="XP drop" dataDxfId="11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9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topLeftCell="A10" workbookViewId="0">
      <selection activeCell="C49" sqref="C4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1</v>
      </c>
      <c r="N3">
        <v>4</v>
      </c>
      <c r="O3" s="43">
        <v>0</v>
      </c>
      <c r="P3" s="1">
        <v>0</v>
      </c>
      <c r="Q3" s="1">
        <f>Tabela6[[#This Row],[Missing]]*22300</f>
        <v>22300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0</v>
      </c>
      <c r="N4">
        <v>4</v>
      </c>
      <c r="O4" s="43">
        <f>MAXA(Tabela6[[#This Row],[Done]]-M3,0)</f>
        <v>3</v>
      </c>
      <c r="P4" s="1">
        <f>M4*$B$5</f>
        <v>0</v>
      </c>
      <c r="Q4" s="1">
        <f>Tabela6[[#This Row],[Missing]]*9600</f>
        <v>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4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15</v>
      </c>
      <c r="O6" s="43">
        <f>MAXA(-(M5+M4-O5-Tabela6[[#This Row],[Done]]),0)</f>
        <v>15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0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0</v>
      </c>
      <c r="N8">
        <v>20</v>
      </c>
      <c r="O8" s="43">
        <f>MAXA(-(M7+M6-O7-Tabela6[[#This Row],[Done]]),0)</f>
        <v>20</v>
      </c>
      <c r="P8" s="1">
        <f>M8*$B$3</f>
        <v>0</v>
      </c>
      <c r="Q8" s="1">
        <f>Tabela6[[#This Row],[Missing]]*4000</f>
        <v>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0</v>
      </c>
      <c r="N9">
        <v>3</v>
      </c>
      <c r="O9" s="43">
        <f>MAXA(-(2*M7+M8-Tabela6[[#This Row],[Done]]),0)</f>
        <v>3</v>
      </c>
      <c r="P9" s="39"/>
      <c r="Q9" s="39">
        <f>Tabela6[[#This Row],[Missing]]*11000</f>
        <v>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0</v>
      </c>
      <c r="Q12" s="38">
        <f>SUM(Q3:Q9)</f>
        <v>22300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15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20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3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997"/>
  <sheetViews>
    <sheetView tabSelected="1" zoomScale="85" zoomScaleNormal="85" workbookViewId="0">
      <pane ySplit="1" topLeftCell="A1386" activePane="bottomLeft" state="frozen"/>
      <selection pane="bottomLeft" activeCell="E1418" sqref="E1418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19</v>
      </c>
      <c r="R12" s="43">
        <v>4</v>
      </c>
      <c r="S12" s="43">
        <v>3</v>
      </c>
      <c r="T12" s="43">
        <v>24</v>
      </c>
      <c r="U12" s="43">
        <v>24</v>
      </c>
      <c r="V12" s="43">
        <v>3</v>
      </c>
      <c r="W12" s="43">
        <v>13</v>
      </c>
      <c r="X12" s="43">
        <v>90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8</v>
      </c>
      <c r="R15" s="43">
        <v>2</v>
      </c>
      <c r="S15" s="43">
        <v>2</v>
      </c>
      <c r="T15" s="43">
        <v>13</v>
      </c>
      <c r="U15" s="43">
        <v>14</v>
      </c>
      <c r="V15" s="43">
        <v>2</v>
      </c>
      <c r="W15" s="43">
        <v>13</v>
      </c>
      <c r="X15" s="43">
        <v>54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5</v>
      </c>
      <c r="V16" s="43">
        <v>1</v>
      </c>
      <c r="W16" s="43"/>
      <c r="X16" s="43">
        <v>15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79</v>
      </c>
      <c r="R25" s="43">
        <v>15</v>
      </c>
      <c r="S25" s="43">
        <v>10</v>
      </c>
      <c r="T25" s="43">
        <v>110</v>
      </c>
      <c r="U25" s="43">
        <v>129</v>
      </c>
      <c r="V25" s="43">
        <v>15</v>
      </c>
      <c r="W25" s="43">
        <v>34</v>
      </c>
      <c r="X25" s="43">
        <v>393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34" zoomScale="85" zoomScaleNormal="85" workbookViewId="0">
      <selection activeCell="S57" sqref="S57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2" t="s">
        <v>249</v>
      </c>
      <c r="G5" s="203"/>
      <c r="H5" s="204"/>
      <c r="I5" s="205" t="s">
        <v>250</v>
      </c>
      <c r="J5" s="206"/>
      <c r="K5" s="207"/>
      <c r="L5" s="208" t="s">
        <v>18</v>
      </c>
      <c r="M5" s="209"/>
      <c r="N5" s="210"/>
      <c r="O5" s="211" t="s">
        <v>252</v>
      </c>
      <c r="P5" s="212"/>
      <c r="Q5" s="213"/>
      <c r="R5" s="214" t="s">
        <v>251</v>
      </c>
      <c r="S5" s="215"/>
      <c r="T5" s="216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7" t="s">
        <v>281</v>
      </c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8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9" t="s">
        <v>280</v>
      </c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0"/>
      <c r="T32" s="201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2" t="s">
        <v>249</v>
      </c>
      <c r="G37" s="203"/>
      <c r="H37" s="204"/>
      <c r="I37" s="205" t="s">
        <v>250</v>
      </c>
      <c r="J37" s="206"/>
      <c r="K37" s="207"/>
      <c r="L37" s="208" t="s">
        <v>18</v>
      </c>
      <c r="M37" s="209"/>
      <c r="N37" s="210"/>
      <c r="O37" s="211" t="s">
        <v>252</v>
      </c>
      <c r="P37" s="212"/>
      <c r="Q37" s="213"/>
      <c r="R37" s="214" t="s">
        <v>251</v>
      </c>
      <c r="S37" s="215"/>
      <c r="T37" s="216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197" t="s">
        <v>281</v>
      </c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8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9" t="s">
        <v>280</v>
      </c>
      <c r="H64" s="200"/>
      <c r="I64" s="200"/>
      <c r="J64" s="200"/>
      <c r="K64" s="200"/>
      <c r="L64" s="200"/>
      <c r="M64" s="200"/>
      <c r="N64" s="200"/>
      <c r="O64" s="200"/>
      <c r="P64" s="200"/>
      <c r="Q64" s="200"/>
      <c r="R64" s="200"/>
      <c r="S64" s="200"/>
      <c r="T64" s="201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02" t="s">
        <v>249</v>
      </c>
      <c r="G69" s="203"/>
      <c r="H69" s="204"/>
      <c r="I69" s="205" t="s">
        <v>250</v>
      </c>
      <c r="J69" s="206"/>
      <c r="K69" s="207"/>
      <c r="L69" s="208" t="s">
        <v>18</v>
      </c>
      <c r="M69" s="209"/>
      <c r="N69" s="210"/>
      <c r="O69" s="211" t="s">
        <v>252</v>
      </c>
      <c r="P69" s="212"/>
      <c r="Q69" s="213"/>
      <c r="R69" s="214" t="s">
        <v>251</v>
      </c>
      <c r="S69" s="215"/>
      <c r="T69" s="216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4">SUM(G71:G87)</f>
        <v>65</v>
      </c>
      <c r="H88" s="79">
        <f t="shared" si="4"/>
        <v>10</v>
      </c>
      <c r="I88" s="87">
        <f t="shared" si="4"/>
        <v>30</v>
      </c>
      <c r="J88" s="87">
        <f t="shared" si="4"/>
        <v>60</v>
      </c>
      <c r="K88" s="87">
        <f t="shared" si="4"/>
        <v>12</v>
      </c>
      <c r="L88" s="95">
        <f t="shared" si="4"/>
        <v>30</v>
      </c>
      <c r="M88" s="95">
        <f t="shared" si="4"/>
        <v>35</v>
      </c>
      <c r="N88" s="95">
        <f t="shared" si="4"/>
        <v>10</v>
      </c>
      <c r="O88" s="113">
        <f t="shared" si="4"/>
        <v>80</v>
      </c>
      <c r="P88" s="113">
        <f t="shared" si="4"/>
        <v>110</v>
      </c>
      <c r="Q88" s="113">
        <f t="shared" si="4"/>
        <v>35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5">MAXA(R57-R56,0)</f>
        <v>70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6">MAXA(G88-G89,0)</f>
        <v>64</v>
      </c>
      <c r="H90" s="80">
        <f t="shared" si="6"/>
        <v>0</v>
      </c>
      <c r="I90" s="88">
        <f t="shared" si="6"/>
        <v>0</v>
      </c>
      <c r="J90" s="88">
        <f t="shared" si="6"/>
        <v>46</v>
      </c>
      <c r="K90" s="88">
        <f t="shared" si="6"/>
        <v>0</v>
      </c>
      <c r="L90" s="96">
        <f t="shared" si="6"/>
        <v>0</v>
      </c>
      <c r="M90" s="96">
        <f t="shared" si="6"/>
        <v>11</v>
      </c>
      <c r="N90" s="96">
        <f t="shared" si="6"/>
        <v>0</v>
      </c>
      <c r="O90" s="114">
        <f t="shared" si="6"/>
        <v>0</v>
      </c>
      <c r="P90" s="114">
        <f t="shared" si="6"/>
        <v>79</v>
      </c>
      <c r="Q90" s="114">
        <f t="shared" si="6"/>
        <v>0</v>
      </c>
      <c r="R90" s="104">
        <f t="shared" si="6"/>
        <v>0</v>
      </c>
      <c r="S90" s="104">
        <f t="shared" si="6"/>
        <v>0</v>
      </c>
      <c r="T90" s="106">
        <f t="shared" si="6"/>
        <v>0</v>
      </c>
    </row>
    <row r="91" spans="1:21">
      <c r="E91" s="61"/>
      <c r="F91" s="51"/>
      <c r="G91" s="197" t="s">
        <v>281</v>
      </c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8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9" t="s">
        <v>280</v>
      </c>
      <c r="H96" s="200"/>
      <c r="I96" s="200"/>
      <c r="J96" s="200"/>
      <c r="K96" s="200"/>
      <c r="L96" s="200"/>
      <c r="M96" s="200"/>
      <c r="N96" s="200"/>
      <c r="O96" s="200"/>
      <c r="P96" s="200"/>
      <c r="Q96" s="200"/>
      <c r="R96" s="200"/>
      <c r="S96" s="200"/>
      <c r="T96" s="201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R7" sqref="R7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(LocFeatures[[#This Row],[XP Train Gain]]+LocFeatures[[#This Row],[XP drop]])/(LocFeatures[[#This Row],[E. Cost]]-LocFeatures[[#This Row],[Energy gain]])</f>
        <v>1216.3152709359606</v>
      </c>
      <c r="Q3" s="47">
        <f>COUNTIFS(DropAnalityka[Location],LocFeatures[[#This Row],[Location]],DropAnalityka[LVL],LocFeatures[[#This Row],[LVL]],DropAnalityka[Stage],LocFeatures[[#This Row],[Stage]])</f>
        <v>96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(LocFeatures[[#This Row],[XP Train Gain]]+LocFeatures[[#This Row],[XP drop]])/(LocFeatures[[#This Row],[E. Cost]]-LocFeatures[[#This Row],[Energy gain]])</f>
        <v>804</v>
      </c>
      <c r="Q4" s="47">
        <f>COUNTIFS(DropAnalityka[Location],LocFeatures[[#This Row],[Location]],DropAnalityka[LVL],LocFeatures[[#This Row],[LVL]],DropAnalityka[Stage],LocFeatures[[#This Row],[Stage]])</f>
        <v>1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(LocFeatures[[#This Row],[XP Train Gain]]+LocFeatures[[#This Row],[XP drop]])/(LocFeatures[[#This Row],[E. Cost]]-LocFeatures[[#This Row],[Energy gain]])</f>
        <v>804</v>
      </c>
      <c r="Q5" s="47">
        <f>COUNTIFS(DropAnalityka[Location],LocFeatures[[#This Row],[Location]],DropAnalityka[LVL],LocFeatures[[#This Row],[LVL]],DropAnalityka[Stage],LocFeatures[[#This Row],[Stage]])</f>
        <v>2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5"/>
    </row>
    <row r="6" spans="1:22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(LocFeatures[[#This Row],[XP Train Gain]]+LocFeatures[[#This Row],[XP drop]])/(LocFeatures[[#This Row],[E. Cost]]-LocFeatures[[#This Row],[Energy gain]])</f>
        <v>448.60937500000006</v>
      </c>
      <c r="Q6" s="47">
        <f>COUNTIFS(DropAnalityka[Location],LocFeatures[[#This Row],[Location]],DropAnalityka[LVL],LocFeatures[[#This Row],[LVL]],DropAnalityka[Stage],LocFeatures[[#This Row],[Stage]])</f>
        <v>18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S6"/>
      <c r="T6"/>
      <c r="U6"/>
      <c r="V6"/>
    </row>
    <row r="7" spans="1:22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12623.720430107527</v>
      </c>
      <c r="J7" s="19">
        <f>AVERAGEIFS(DropAnalityka[Energy Drop],DropAnalityka[Location],LocFeatures[[#This Row],[Location]],DropAnalityka[LVL],LocFeatures[[#This Row],[LVL]],DropAnalityka[Stage],LocFeatures[[#This Row],[Stage]])</f>
        <v>1.053763440860215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2398.5086021505376</v>
      </c>
      <c r="N7" s="50">
        <f>LocFeatures[[#This Row],[Drop worth gain]]/(LocFeatures[[#This Row],[E. Cost]]-LocFeatures[[#This Row],[Energy gain]])</f>
        <v>1817.3467492260063</v>
      </c>
      <c r="O7" s="50">
        <f>LocFeatures[[#This Row],[XP Train Gain]]/(LocFeatures[[#This Row],[E. Cost]]-LocFeatures[[#This Row],[Energy gain]])</f>
        <v>0</v>
      </c>
      <c r="P7" s="50">
        <f>(LocFeatures[[#This Row],[XP Train Gain]]+LocFeatures[[#This Row],[XP drop]])/(LocFeatures[[#This Row],[E. Cost]]-LocFeatures[[#This Row],[Energy gain]])</f>
        <v>345.29613003095977</v>
      </c>
      <c r="Q7" s="47">
        <f>COUNTIFS(DropAnalityka[Location],LocFeatures[[#This Row],[Location]],DropAnalityka[LVL],LocFeatures[[#This Row],[LVL]],DropAnalityka[Stage],LocFeatures[[#This Row],[Stage]])</f>
        <v>93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4930.6894736842105</v>
      </c>
      <c r="S7"/>
      <c r="T7"/>
      <c r="U7"/>
      <c r="V7"/>
    </row>
    <row r="8" spans="1:22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13645.233333333332</v>
      </c>
      <c r="J8" s="19">
        <f>AVERAGEIFS(DropAnalityka[Energy Drop],DropAnalityka[Location],LocFeatures[[#This Row],[Location]],DropAnalityka[LVL],LocFeatures[[#This Row],[LVL]],DropAnalityka[Stage],LocFeatures[[#This Row],[Stage]])</f>
        <v>1.0666666666666667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3740.5766666666668</v>
      </c>
      <c r="N8" s="50">
        <f>LocFeatures[[#This Row],[Drop worth gain]]/(LocFeatures[[#This Row],[E. Cost]]-LocFeatures[[#This Row],[Energy gain]])</f>
        <v>1968.0624999999998</v>
      </c>
      <c r="O8" s="50">
        <f>LocFeatures[[#This Row],[XP Train Gain]]/(LocFeatures[[#This Row],[E. Cost]]-LocFeatures[[#This Row],[Energy gain]])</f>
        <v>0</v>
      </c>
      <c r="P8" s="50">
        <f>(LocFeatures[[#This Row],[XP Train Gain]]+LocFeatures[[#This Row],[XP drop]])/(LocFeatures[[#This Row],[E. Cost]]-LocFeatures[[#This Row],[Energy gain]])</f>
        <v>539.50625000000002</v>
      </c>
      <c r="Q8" s="47">
        <f>COUNTIFS(DropAnalityka[Location],LocFeatures[[#This Row],[Location]],DropAnalityka[LVL],LocFeatures[[#This Row],[LVL]],DropAnalityka[Stage],LocFeatures[[#This Row],[Stage]])</f>
        <v>15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4792.3980769230766</v>
      </c>
      <c r="S8"/>
      <c r="T8"/>
      <c r="U8"/>
      <c r="V8"/>
    </row>
    <row r="9" spans="1:22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(LocFeatures[[#This Row],[XP Train Gain]]+LocFeatures[[#This Row],[XP drop]])/(LocFeatures[[#This Row],[E. Cost]]-LocFeatures[[#This Row],[Energy gain]])</f>
        <v>1781.5072463768115</v>
      </c>
      <c r="Q9" s="47">
        <f>COUNTIFS(DropAnalityka[Location],LocFeatures[[#This Row],[Location]],DropAnalityka[LVL],LocFeatures[[#This Row],[LVL]],DropAnalityka[Stage],LocFeatures[[#This Row],[Stage]])</f>
        <v>43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9"/>
    </row>
    <row r="10" spans="1:22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(LocFeatures[[#This Row],[XP Train Gain]]+LocFeatures[[#This Row],[XP drop]])/(LocFeatures[[#This Row],[E. Cost]]-LocFeatures[[#This Row],[Energy gain]])</f>
        <v>1494.9548872180453</v>
      </c>
      <c r="Q10" s="43">
        <f>COUNTIFS(DropAnalityka[Location],LocFeatures[[#This Row],[Location]],DropAnalityka[LVL],LocFeatures[[#This Row],[LVL]],DropAnalityka[Stage],LocFeatures[[#This Row],[Stage]])</f>
        <v>87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10">
        <v>58</v>
      </c>
      <c r="T10" s="10" t="s">
        <v>246</v>
      </c>
      <c r="U10"/>
      <c r="V10"/>
    </row>
    <row r="11" spans="1:22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(LocFeatures[[#This Row],[XP Train Gain]]+LocFeatures[[#This Row],[XP drop]])/(LocFeatures[[#This Row],[E. Cost]]-LocFeatures[[#This Row],[Energy gain]])</f>
        <v>1175.0465116279067</v>
      </c>
      <c r="Q11" s="47">
        <f>COUNTIFS(DropAnalityka[Location],LocFeatures[[#This Row],[Location]],DropAnalityka[LVL],LocFeatures[[#This Row],[LVL]],DropAnalityka[Stage],LocFeatures[[#This Row],[Stage]])</f>
        <v>81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11"/>
    </row>
    <row r="12" spans="1:22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(LocFeatures[[#This Row],[XP Train Gain]]+LocFeatures[[#This Row],[XP drop]])/(LocFeatures[[#This Row],[E. Cost]]-LocFeatures[[#This Row],[Energy gain]])</f>
        <v>339.64530612244897</v>
      </c>
      <c r="Q12" s="47">
        <f>COUNTIFS(DropAnalityka[Location],LocFeatures[[#This Row],[Location]],DropAnalityka[LVL],LocFeatures[[#This Row],[LVL]],DropAnalityka[Stage],LocFeatures[[#This Row],[Stage]])</f>
        <v>50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(LocFeatures[[#This Row],[XP Train Gain]]+LocFeatures[[#This Row],[XP drop]])/(LocFeatures[[#This Row],[E. Cost]]-LocFeatures[[#This Row],[Energy gain]])</f>
        <v>495.59037878787882</v>
      </c>
      <c r="Q14" s="47">
        <f>COUNTIFS(DropAnalityka[Location],LocFeatures[[#This Row],[Location]],DropAnalityka[LVL],LocFeatures[[#This Row],[LVL]],DropAnalityka[Stage],LocFeatures[[#This Row],[Stage]])</f>
        <v>187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2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(LocFeatures[[#This Row],[XP Train Gain]]+LocFeatures[[#This Row],[XP drop]])/(LocFeatures[[#This Row],[E. Cost]]-LocFeatures[[#This Row],[Energy gain]])</f>
        <v>737.47674418604652</v>
      </c>
      <c r="Q15" s="43">
        <f>COUNTIFS(DropAnalityka[Location],LocFeatures[[#This Row],[Location]],DropAnalityka[LVL],LocFeatures[[#This Row],[LVL]],DropAnalityka[Stage],LocFeatures[[#This Row],[Stage]])</f>
        <v>27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2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(LocFeatures[[#This Row],[XP Train Gain]]+LocFeatures[[#This Row],[XP drop]])/(LocFeatures[[#This Row],[E. Cost]]-LocFeatures[[#This Row],[Energy gain]])</f>
        <v>573.9666666666667</v>
      </c>
      <c r="Q16" s="47">
        <f>COUNTIFS(DropAnalityka[Location],LocFeatures[[#This Row],[Location]],DropAnalityka[LVL],LocFeatures[[#This Row],[LVL]],DropAnalityka[Stage],LocFeatures[[#This Row],[Stage]])</f>
        <v>7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16" s="10"/>
      <c r="U16" s="10"/>
      <c r="V16" s="10"/>
    </row>
    <row r="17" spans="1:22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(LocFeatures[[#This Row],[XP Train Gain]]+LocFeatures[[#This Row],[XP drop]])/(LocFeatures[[#This Row],[E. Cost]]-LocFeatures[[#This Row],[Energy gain]])</f>
        <v>361.125</v>
      </c>
      <c r="Q17" s="43">
        <f>COUNTIFS(DropAnalityka[Location],LocFeatures[[#This Row],[Location]],DropAnalityka[LVL],LocFeatures[[#This Row],[LVL]],DropAnalityka[Stage],LocFeatures[[#This Row],[Stage]])</f>
        <v>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2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(LocFeatures[[#This Row],[XP Train Gain]]+LocFeatures[[#This Row],[XP drop]])/(LocFeatures[[#This Row],[E. Cost]]-LocFeatures[[#This Row],[Energy gain]])</f>
        <v>504.75595238095241</v>
      </c>
      <c r="Q18" s="47">
        <f>COUNTIFS(DropAnalityka[Location],LocFeatures[[#This Row],[Location]],DropAnalityka[LVL],LocFeatures[[#This Row],[LVL]],DropAnalityka[Stage],LocFeatures[[#This Row],[Stage]])</f>
        <v>62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2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492.39473684210532</v>
      </c>
      <c r="Q19" s="43">
        <f>COUNTIFS(DropAnalityka[Location],LocFeatures[[#This Row],[Location]],DropAnalityka[LVL],LocFeatures[[#This Row],[LVL]],DropAnalityka[Stage],LocFeatures[[#This Row],[Stage]])</f>
        <v>25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2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(LocFeatures[[#This Row],[XP Train Gain]]+LocFeatures[[#This Row],[XP drop]])/(LocFeatures[[#This Row],[E. Cost]]-LocFeatures[[#This Row],[Energy gain]])</f>
        <v>472.72413793103448</v>
      </c>
      <c r="Q20" s="43">
        <f>COUNTIFS(DropAnalityka[Location],LocFeatures[[#This Row],[Location]],DropAnalityka[LVL],LocFeatures[[#This Row],[LVL]],DropAnalityka[Stage],LocFeatures[[#This Row],[Stage]])</f>
        <v>29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2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(LocFeatures[[#This Row],[XP Train Gain]]+LocFeatures[[#This Row],[XP drop]])/(LocFeatures[[#This Row],[E. Cost]]-LocFeatures[[#This Row],[Energy gain]])</f>
        <v>709.72338129496404</v>
      </c>
      <c r="Q21" s="43">
        <f>COUNTIFS(DropAnalityka[Location],LocFeatures[[#This Row],[Location]],DropAnalityka[LVL],LocFeatures[[#This Row],[LVL]],DropAnalityka[Stage],LocFeatures[[#This Row],[Stage]])</f>
        <v>67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2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(LocFeatures[[#This Row],[XP Train Gain]]+LocFeatures[[#This Row],[XP drop]])/(LocFeatures[[#This Row],[E. Cost]]-LocFeatures[[#This Row],[Energy gain]])</f>
        <v>1335.0080428954425</v>
      </c>
      <c r="Q22" s="43">
        <f>COUNTIFS(DropAnalityka[Location],LocFeatures[[#This Row],[Location]],DropAnalityka[LVL],LocFeatures[[#This Row],[LVL]],DropAnalityka[Stage],LocFeatures[[#This Row],[Stage]])</f>
        <v>71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2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(LocFeatures[[#This Row],[XP Train Gain]]+LocFeatures[[#This Row],[XP drop]])/(LocFeatures[[#This Row],[E. Cost]]-LocFeatures[[#This Row],[Energy gain]])</f>
        <v>1379.1891891891894</v>
      </c>
      <c r="Q23" s="43">
        <f>COUNTIFS(DropAnalityka[Location],LocFeatures[[#This Row],[Location]],DropAnalityka[LVL],LocFeatures[[#This Row],[LVL]],DropAnalityka[Stage],LocFeatures[[#This Row],[Stage]])</f>
        <v>27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2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(LocFeatures[[#This Row],[XP Train Gain]]+LocFeatures[[#This Row],[XP drop]])/(LocFeatures[[#This Row],[E. Cost]]-LocFeatures[[#This Row],[Energy gain]])</f>
        <v>10080.5</v>
      </c>
      <c r="Q24" s="47">
        <f>COUNTIFS(DropAnalityka[Location],LocFeatures[[#This Row],[Location]],DropAnalityka[LVL],LocFeatures[[#This Row],[LVL]],DropAnalityka[Stage],LocFeatures[[#This Row],[Stage]])</f>
        <v>1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4" s="10"/>
      <c r="U24" s="10"/>
      <c r="V24" s="10"/>
    </row>
    <row r="25" spans="1:22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(LocFeatures[[#This Row],[XP Train Gain]]+LocFeatures[[#This Row],[XP drop]])/(LocFeatures[[#This Row],[E. Cost]]-LocFeatures[[#This Row],[Energy gain]])</f>
        <v>716.44</v>
      </c>
      <c r="Q25" s="43">
        <f>COUNTIFS(DropAnalityka[Location],LocFeatures[[#This Row],[Location]],DropAnalityka[LVL],LocFeatures[[#This Row],[LVL]],DropAnalityka[Stage],LocFeatures[[#This Row],[Stage]])</f>
        <v>8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2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(LocFeatures[[#This Row],[XP Train Gain]]+LocFeatures[[#This Row],[XP drop]])/(LocFeatures[[#This Row],[E. Cost]]-LocFeatures[[#This Row],[Energy gain]])</f>
        <v>1402.433734939759</v>
      </c>
      <c r="Q26" s="47">
        <f>COUNTIFS(DropAnalityka[Location],LocFeatures[[#This Row],[Location]],DropAnalityka[LVL],LocFeatures[[#This Row],[LVL]],DropAnalityka[Stage],LocFeatures[[#This Row],[Stage]])</f>
        <v>53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26" s="10"/>
      <c r="U26" s="10"/>
      <c r="V26" s="10"/>
    </row>
    <row r="27" spans="1:22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(LocFeatures[[#This Row],[XP Train Gain]]+LocFeatures[[#This Row],[XP drop]])/(LocFeatures[[#This Row],[E. Cost]]-LocFeatures[[#This Row],[Energy gain]])</f>
        <v>837</v>
      </c>
      <c r="Q27" s="47">
        <f>COUNTIFS(DropAnalityka[Location],LocFeatures[[#This Row],[Location]],DropAnalityka[LVL],LocFeatures[[#This Row],[LVL]],DropAnalityka[Stage],LocFeatures[[#This Row],[Stage]])</f>
        <v>1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27" s="10"/>
      <c r="U27" s="10"/>
      <c r="V27" s="10"/>
    </row>
    <row r="28" spans="1:22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(LocFeatures[[#This Row],[XP Train Gain]]+LocFeatures[[#This Row],[XP drop]])/(LocFeatures[[#This Row],[E. Cost]]-LocFeatures[[#This Row],[Energy gain]])</f>
        <v>1652.4529505582138</v>
      </c>
      <c r="Q28" s="47">
        <f>COUNTIFS(DropAnalityka[Location],LocFeatures[[#This Row],[Location]],DropAnalityka[LVL],LocFeatures[[#This Row],[LVL]],DropAnalityka[Stage],LocFeatures[[#This Row],[Stage]])</f>
        <v>156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28" s="10"/>
      <c r="U28" s="10"/>
      <c r="V28" s="10"/>
    </row>
    <row r="29" spans="1:22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(LocFeatures[[#This Row],[XP Train Gain]]+LocFeatures[[#This Row],[XP drop]])/(LocFeatures[[#This Row],[E. Cost]]-LocFeatures[[#This Row],[Energy gain]])</f>
        <v>1392</v>
      </c>
      <c r="Q29" s="47">
        <f>COUNTIFS(DropAnalityka[Location],LocFeatures[[#This Row],[Location]],DropAnalityka[LVL],LocFeatures[[#This Row],[LVL]],DropAnalityka[Stage],LocFeatures[[#This Row],[Stage]])</f>
        <v>18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29">
        <v>92</v>
      </c>
      <c r="T29" s="10" t="s">
        <v>246</v>
      </c>
    </row>
    <row r="30" spans="1:22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(LocFeatures[[#This Row],[XP Train Gain]]+LocFeatures[[#This Row],[XP drop]])/(LocFeatures[[#This Row],[E. Cost]]-LocFeatures[[#This Row],[Energy gain]])</f>
        <v>968.15730337078639</v>
      </c>
      <c r="Q30" s="43">
        <f>COUNTIFS(DropAnalityka[Location],LocFeatures[[#This Row],[Location]],DropAnalityka[LVL],LocFeatures[[#This Row],[LVL]],DropAnalityka[Stage],LocFeatures[[#This Row],[Stage]])</f>
        <v>41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2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80.898876404494388</v>
      </c>
      <c r="Q31" s="43">
        <f>COUNTIFS(DropAnalityka[Location],LocFeatures[[#This Row],[Location]],DropAnalityka[LVL],LocFeatures[[#This Row],[LVL]],DropAnalityka[Stage],LocFeatures[[#This Row],[Stage]])</f>
        <v>41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2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(LocFeatures[[#This Row],[XP Train Gain]]+LocFeatures[[#This Row],[XP drop]])/(LocFeatures[[#This Row],[E. Cost]]-LocFeatures[[#This Row],[Energy gain]])</f>
        <v>1097.28</v>
      </c>
      <c r="Q32" s="43">
        <f>COUNTIFS(DropAnalityka[Location],LocFeatures[[#This Row],[Location]],DropAnalityka[LVL],LocFeatures[[#This Row],[LVL]],DropAnalityka[Stage],LocFeatures[[#This Row],[Stage]])</f>
        <v>8</v>
      </c>
      <c r="R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7" t="s">
        <v>273</v>
      </c>
      <c r="S2" s="217"/>
      <c r="T2" s="217"/>
      <c r="U2" s="217"/>
      <c r="V2" s="217"/>
      <c r="W2" s="21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8" t="s">
        <v>315</v>
      </c>
      <c r="X19" s="218"/>
      <c r="Y19" s="218"/>
      <c r="Z19" s="218"/>
      <c r="AA19" s="218"/>
      <c r="AB19" s="218"/>
      <c r="AC19" s="218"/>
      <c r="AD19" s="218"/>
      <c r="AE19" s="218"/>
      <c r="AF19" s="21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2015-12-08T08:02:27Z</dcterms:modified>
</cp:coreProperties>
</file>