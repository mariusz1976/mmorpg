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worksheets/sheet17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7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tables/table1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showPivotChartFilter="1" defaultThemeVersion="124226"/>
  <bookViews>
    <workbookView xWindow="240" yWindow="90" windowWidth="15540" windowHeight="11820" activeTab="2"/>
  </bookViews>
  <sheets>
    <sheet name="EXP lvls" sheetId="1" r:id="rId1"/>
    <sheet name="Arkusz3" sheetId="18" r:id="rId2"/>
    <sheet name="Drop analityka" sheetId="3" r:id="rId3"/>
    <sheet name="Fusion" sheetId="9" r:id="rId4"/>
    <sheet name="Location features" sheetId="4" r:id="rId5"/>
    <sheet name="TabPrz" sheetId="5" r:id="rId6"/>
    <sheet name="Arkusz1" sheetId="15" r:id="rId7"/>
    <sheet name="Runes for DPS" sheetId="6" r:id="rId8"/>
    <sheet name="Runes stats" sheetId="11" r:id="rId9"/>
    <sheet name="Runes DB" sheetId="8" r:id="rId10"/>
    <sheet name="TP_Mon.Runes" sheetId="12" r:id="rId11"/>
    <sheet name="Grind.Summary" sheetId="2" r:id="rId12"/>
    <sheet name="Runes Mon.build" sheetId="7" r:id="rId13"/>
    <sheet name="Mon.Utilities" sheetId="13" r:id="rId14"/>
    <sheet name="Crystals" sheetId="14" r:id="rId15"/>
    <sheet name="ToA auto" sheetId="16" r:id="rId16"/>
    <sheet name="Arkusz2" sheetId="17" r:id="rId17"/>
  </sheets>
  <definedNames>
    <definedName name="_xlnm._FilterDatabase" localSheetId="13" hidden="1">Mon.Utilities!$A$1:$N$1</definedName>
  </definedNames>
  <calcPr calcId="125725"/>
  <pivotCaches>
    <pivotCache cacheId="0" r:id="rId18"/>
    <pivotCache cacheId="1" r:id="rId19"/>
    <pivotCache cacheId="32" r:id="rId20"/>
  </pivotCaches>
</workbook>
</file>

<file path=xl/calcChain.xml><?xml version="1.0" encoding="utf-8"?>
<calcChain xmlns="http://schemas.openxmlformats.org/spreadsheetml/2006/main">
  <c r="D2" i="18"/>
  <c r="Q8" i="4" l="1"/>
  <c r="L8"/>
  <c r="K8"/>
  <c r="J8"/>
  <c r="O8" s="1"/>
  <c r="R8" s="1"/>
  <c r="D3" i="18"/>
  <c r="C5"/>
  <c r="C4"/>
  <c r="C2"/>
  <c r="C9" l="1"/>
  <c r="E9" s="1"/>
  <c r="C8"/>
  <c r="C3"/>
  <c r="C7" s="1"/>
  <c r="I2"/>
  <c r="D6"/>
  <c r="D7"/>
  <c r="D4"/>
  <c r="D5" l="1"/>
  <c r="I5" s="1"/>
  <c r="E2"/>
  <c r="C6"/>
  <c r="E6" s="1"/>
  <c r="F6" s="1"/>
  <c r="D8"/>
  <c r="I4"/>
  <c r="E8"/>
  <c r="E4"/>
  <c r="J55" i="6"/>
  <c r="J46"/>
  <c r="F2" i="18" l="1"/>
  <c r="H2" s="1"/>
  <c r="G2"/>
  <c r="F4"/>
  <c r="G4"/>
  <c r="E5"/>
  <c r="F8"/>
  <c r="D9"/>
  <c r="F9" s="1"/>
  <c r="I3"/>
  <c r="E7"/>
  <c r="F7" s="1"/>
  <c r="E3"/>
  <c r="Q6" i="4"/>
  <c r="L6"/>
  <c r="K6"/>
  <c r="J6"/>
  <c r="K2" i="17"/>
  <c r="J2"/>
  <c r="I2"/>
  <c r="H2"/>
  <c r="G2"/>
  <c r="H4" i="18" l="1"/>
  <c r="F5"/>
  <c r="H5" s="1"/>
  <c r="G5"/>
  <c r="F3"/>
  <c r="H3" s="1"/>
  <c r="G3"/>
  <c r="O6" i="4"/>
  <c r="R6" s="1"/>
  <c r="D3" i="17"/>
  <c r="B4"/>
  <c r="B3"/>
  <c r="D2"/>
  <c r="Q6" i="3"/>
  <c r="Q7" i="4" l="1"/>
  <c r="L7"/>
  <c r="K7"/>
  <c r="J7"/>
  <c r="R7" l="1"/>
  <c r="O7"/>
  <c r="O6" i="14"/>
  <c r="O9" s="1"/>
  <c r="P6"/>
  <c r="P9" s="1"/>
  <c r="M3" i="1"/>
  <c r="O4" s="1"/>
  <c r="Q14" i="4" l="1"/>
  <c r="L14"/>
  <c r="K14"/>
  <c r="J14"/>
  <c r="O14" l="1"/>
  <c r="R14" s="1"/>
  <c r="T88" i="9" l="1"/>
  <c r="S88"/>
  <c r="R88"/>
  <c r="Q88"/>
  <c r="P88"/>
  <c r="O88"/>
  <c r="N88"/>
  <c r="M88"/>
  <c r="L88"/>
  <c r="K88"/>
  <c r="J88"/>
  <c r="I88"/>
  <c r="H88"/>
  <c r="G88"/>
  <c r="F88"/>
  <c r="T56" l="1"/>
  <c r="T58" s="1"/>
  <c r="S56"/>
  <c r="R56"/>
  <c r="Q56"/>
  <c r="Q58" s="1"/>
  <c r="P56"/>
  <c r="P58" s="1"/>
  <c r="O56"/>
  <c r="O58" s="1"/>
  <c r="N56"/>
  <c r="N58" s="1"/>
  <c r="M56"/>
  <c r="M58" s="1"/>
  <c r="L56"/>
  <c r="L58" s="1"/>
  <c r="K56"/>
  <c r="K58" s="1"/>
  <c r="J56"/>
  <c r="J58" s="1"/>
  <c r="I56"/>
  <c r="I58" s="1"/>
  <c r="H56"/>
  <c r="H58" s="1"/>
  <c r="G56"/>
  <c r="G58" s="1"/>
  <c r="F56"/>
  <c r="T90"/>
  <c r="S90"/>
  <c r="H90"/>
  <c r="G90"/>
  <c r="F90"/>
  <c r="S58"/>
  <c r="F58"/>
  <c r="Q10" i="1"/>
  <c r="G15" i="14" l="1"/>
  <c r="G14"/>
  <c r="G13"/>
  <c r="E8"/>
  <c r="G8" s="1"/>
  <c r="E5"/>
  <c r="E4"/>
  <c r="G4" s="1"/>
  <c r="E3"/>
  <c r="G3" s="1"/>
  <c r="R2" i="6"/>
  <c r="R3"/>
  <c r="F3"/>
  <c r="G3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O4"/>
  <c r="AO5" s="1"/>
  <c r="AO6" s="1"/>
  <c r="AO7" s="1"/>
  <c r="AM7" s="1"/>
  <c r="AG3"/>
  <c r="AQ1072" s="1"/>
  <c r="G17" i="14"/>
  <c r="G16"/>
  <c r="G6"/>
  <c r="G7"/>
  <c r="G9"/>
  <c r="G10"/>
  <c r="G11"/>
  <c r="G12"/>
  <c r="G2"/>
  <c r="J4" i="6"/>
  <c r="R4" s="1"/>
  <c r="H4"/>
  <c r="F4" s="1"/>
  <c r="I4"/>
  <c r="G4" s="1"/>
  <c r="C17" i="14"/>
  <c r="C12"/>
  <c r="C16" s="1"/>
  <c r="S116" i="13"/>
  <c r="S221"/>
  <c r="S234"/>
  <c r="S35"/>
  <c r="S232"/>
  <c r="S204"/>
  <c r="S207"/>
  <c r="S135"/>
  <c r="S214"/>
  <c r="S154"/>
  <c r="S222"/>
  <c r="S235"/>
  <c r="S187"/>
  <c r="S203"/>
  <c r="S210"/>
  <c r="S226"/>
  <c r="S230"/>
  <c r="S136"/>
  <c r="S15"/>
  <c r="S228"/>
  <c r="S218"/>
  <c r="S117"/>
  <c r="S156"/>
  <c r="S212"/>
  <c r="S202"/>
  <c r="S211"/>
  <c r="S137"/>
  <c r="S215"/>
  <c r="S208"/>
  <c r="S225"/>
  <c r="S229"/>
  <c r="S205"/>
  <c r="S29"/>
  <c r="S216"/>
  <c r="S209"/>
  <c r="S219"/>
  <c r="S223"/>
  <c r="S233"/>
  <c r="S206"/>
  <c r="S155"/>
  <c r="S213"/>
  <c r="S217"/>
  <c r="S220"/>
  <c r="S224"/>
  <c r="S227"/>
  <c r="S231"/>
  <c r="S157"/>
  <c r="S94"/>
  <c r="S77"/>
  <c r="S95"/>
  <c r="S138"/>
  <c r="S16"/>
  <c r="S96"/>
  <c r="S140"/>
  <c r="S247"/>
  <c r="S252"/>
  <c r="S193"/>
  <c r="S24"/>
  <c r="S164"/>
  <c r="S167"/>
  <c r="S83"/>
  <c r="S196"/>
  <c r="S268"/>
  <c r="S38"/>
  <c r="S170"/>
  <c r="S278"/>
  <c r="S279"/>
  <c r="S282"/>
  <c r="S287"/>
  <c r="S292"/>
  <c r="S297"/>
  <c r="S300"/>
  <c r="S305"/>
  <c r="S100"/>
  <c r="S309"/>
  <c r="S174"/>
  <c r="S314"/>
  <c r="S199"/>
  <c r="S50"/>
  <c r="S23"/>
  <c r="S236"/>
  <c r="S78"/>
  <c r="S160"/>
  <c r="S79"/>
  <c r="S159"/>
  <c r="S161"/>
  <c r="S248"/>
  <c r="S253"/>
  <c r="S194"/>
  <c r="S255"/>
  <c r="S81"/>
  <c r="S258"/>
  <c r="S168"/>
  <c r="S264"/>
  <c r="S269"/>
  <c r="S273"/>
  <c r="S276"/>
  <c r="S172"/>
  <c r="S280"/>
  <c r="S283"/>
  <c r="S288"/>
  <c r="S293"/>
  <c r="S18"/>
  <c r="S301"/>
  <c r="S306"/>
  <c r="S312"/>
  <c r="S19"/>
  <c r="S188"/>
  <c r="S190"/>
  <c r="S237"/>
  <c r="S239"/>
  <c r="S139"/>
  <c r="S243"/>
  <c r="S141"/>
  <c r="S249"/>
  <c r="S43"/>
  <c r="S120"/>
  <c r="S5"/>
  <c r="S257"/>
  <c r="S259"/>
  <c r="S262"/>
  <c r="S265"/>
  <c r="S270"/>
  <c r="S274"/>
  <c r="S52"/>
  <c r="S197"/>
  <c r="S281"/>
  <c r="S284"/>
  <c r="S289"/>
  <c r="S294"/>
  <c r="S298"/>
  <c r="S302"/>
  <c r="S84"/>
  <c r="S315"/>
  <c r="S158"/>
  <c r="S36"/>
  <c r="S238"/>
  <c r="S240"/>
  <c r="S241"/>
  <c r="S244"/>
  <c r="S246"/>
  <c r="S250"/>
  <c r="S191"/>
  <c r="S162"/>
  <c r="S195"/>
  <c r="S80"/>
  <c r="S51"/>
  <c r="S165"/>
  <c r="S260"/>
  <c r="S261"/>
  <c r="S263"/>
  <c r="S266"/>
  <c r="S271"/>
  <c r="S275"/>
  <c r="S277"/>
  <c r="S99"/>
  <c r="S285"/>
  <c r="S290"/>
  <c r="S295"/>
  <c r="S299"/>
  <c r="S303"/>
  <c r="S307"/>
  <c r="S310"/>
  <c r="S53"/>
  <c r="S311"/>
  <c r="S142"/>
  <c r="S316"/>
  <c r="S189"/>
  <c r="S118"/>
  <c r="S37"/>
  <c r="S119"/>
  <c r="S242"/>
  <c r="S245"/>
  <c r="S327"/>
  <c r="S251"/>
  <c r="S192"/>
  <c r="S163"/>
  <c r="S254"/>
  <c r="S97"/>
  <c r="S67"/>
  <c r="S256"/>
  <c r="S98"/>
  <c r="S166"/>
  <c r="S82"/>
  <c r="S169"/>
  <c r="S267"/>
  <c r="S272"/>
  <c r="S2"/>
  <c r="S171"/>
  <c r="S173"/>
  <c r="S286"/>
  <c r="S291"/>
  <c r="S296"/>
  <c r="S198"/>
  <c r="S304"/>
  <c r="S308"/>
  <c r="S10"/>
  <c r="S313"/>
  <c r="S20"/>
  <c r="S54"/>
  <c r="S101"/>
  <c r="S44"/>
  <c r="S68"/>
  <c r="S21"/>
  <c r="S123"/>
  <c r="S143"/>
  <c r="S179"/>
  <c r="S319"/>
  <c r="S89"/>
  <c r="S41"/>
  <c r="S32"/>
  <c r="S59"/>
  <c r="S60"/>
  <c r="S322"/>
  <c r="S90"/>
  <c r="S62"/>
  <c r="S150"/>
  <c r="S13"/>
  <c r="S152"/>
  <c r="S66"/>
  <c r="S185"/>
  <c r="S34"/>
  <c r="S324"/>
  <c r="S153"/>
  <c r="S4"/>
  <c r="S175"/>
  <c r="S86"/>
  <c r="S8"/>
  <c r="S122"/>
  <c r="S57"/>
  <c r="S45"/>
  <c r="S124"/>
  <c r="S320"/>
  <c r="S144"/>
  <c r="S201"/>
  <c r="S58"/>
  <c r="S104"/>
  <c r="S105"/>
  <c r="S323"/>
  <c r="S22"/>
  <c r="S63"/>
  <c r="S7"/>
  <c r="S64"/>
  <c r="S183"/>
  <c r="S110"/>
  <c r="S111"/>
  <c r="S14"/>
  <c r="S112"/>
  <c r="S186"/>
  <c r="S326"/>
  <c r="S325"/>
  <c r="S121"/>
  <c r="S200"/>
  <c r="S39"/>
  <c r="S17"/>
  <c r="S25"/>
  <c r="S46"/>
  <c r="S318"/>
  <c r="S180"/>
  <c r="S145"/>
  <c r="S181"/>
  <c r="S71"/>
  <c r="S126"/>
  <c r="S61"/>
  <c r="S42"/>
  <c r="S106"/>
  <c r="S108"/>
  <c r="S151"/>
  <c r="S65"/>
  <c r="S184"/>
  <c r="S3"/>
  <c r="S92"/>
  <c r="S133"/>
  <c r="S49"/>
  <c r="S28"/>
  <c r="S115"/>
  <c r="S93"/>
  <c r="S176"/>
  <c r="S55"/>
  <c r="S30"/>
  <c r="S56"/>
  <c r="S40"/>
  <c r="S69"/>
  <c r="S9"/>
  <c r="S88"/>
  <c r="S26"/>
  <c r="S125"/>
  <c r="S31"/>
  <c r="S127"/>
  <c r="S182"/>
  <c r="S130"/>
  <c r="S72"/>
  <c r="S109"/>
  <c r="S73"/>
  <c r="S47"/>
  <c r="S132"/>
  <c r="S74"/>
  <c r="S76"/>
  <c r="S113"/>
  <c r="S85"/>
  <c r="S87"/>
  <c r="S177"/>
  <c r="S317"/>
  <c r="S12"/>
  <c r="S178"/>
  <c r="S70"/>
  <c r="S102"/>
  <c r="S321"/>
  <c r="S146"/>
  <c r="S147"/>
  <c r="S148"/>
  <c r="S103"/>
  <c r="S134"/>
  <c r="S128"/>
  <c r="S129"/>
  <c r="S149"/>
  <c r="S107"/>
  <c r="S91"/>
  <c r="S131"/>
  <c r="S33"/>
  <c r="S48"/>
  <c r="S27"/>
  <c r="S75"/>
  <c r="S11"/>
  <c r="S6"/>
  <c r="S114"/>
  <c r="R116"/>
  <c r="R221"/>
  <c r="R234"/>
  <c r="R35"/>
  <c r="R232"/>
  <c r="R204"/>
  <c r="R207"/>
  <c r="R135"/>
  <c r="R214"/>
  <c r="R154"/>
  <c r="R222"/>
  <c r="R235"/>
  <c r="R187"/>
  <c r="R203"/>
  <c r="R210"/>
  <c r="R226"/>
  <c r="R230"/>
  <c r="R136"/>
  <c r="R15"/>
  <c r="R228"/>
  <c r="R218"/>
  <c r="R117"/>
  <c r="R156"/>
  <c r="R212"/>
  <c r="R202"/>
  <c r="R211"/>
  <c r="R137"/>
  <c r="R215"/>
  <c r="R208"/>
  <c r="R225"/>
  <c r="R229"/>
  <c r="R205"/>
  <c r="R29"/>
  <c r="R216"/>
  <c r="R209"/>
  <c r="R219"/>
  <c r="R223"/>
  <c r="R233"/>
  <c r="R206"/>
  <c r="R155"/>
  <c r="R213"/>
  <c r="R217"/>
  <c r="R220"/>
  <c r="R224"/>
  <c r="R227"/>
  <c r="R231"/>
  <c r="R157"/>
  <c r="R94"/>
  <c r="R77"/>
  <c r="R95"/>
  <c r="R138"/>
  <c r="R16"/>
  <c r="R96"/>
  <c r="R140"/>
  <c r="R247"/>
  <c r="R252"/>
  <c r="R193"/>
  <c r="R24"/>
  <c r="R164"/>
  <c r="R167"/>
  <c r="R83"/>
  <c r="R196"/>
  <c r="R268"/>
  <c r="R38"/>
  <c r="R170"/>
  <c r="R278"/>
  <c r="R279"/>
  <c r="R282"/>
  <c r="R287"/>
  <c r="R292"/>
  <c r="R297"/>
  <c r="R300"/>
  <c r="R305"/>
  <c r="R100"/>
  <c r="R309"/>
  <c r="R174"/>
  <c r="R314"/>
  <c r="R199"/>
  <c r="R50"/>
  <c r="R23"/>
  <c r="R236"/>
  <c r="R78"/>
  <c r="R160"/>
  <c r="R79"/>
  <c r="R159"/>
  <c r="R161"/>
  <c r="R248"/>
  <c r="R253"/>
  <c r="R194"/>
  <c r="R255"/>
  <c r="R81"/>
  <c r="R258"/>
  <c r="R168"/>
  <c r="R264"/>
  <c r="R269"/>
  <c r="R273"/>
  <c r="R276"/>
  <c r="R172"/>
  <c r="R280"/>
  <c r="R283"/>
  <c r="R288"/>
  <c r="R293"/>
  <c r="R18"/>
  <c r="R301"/>
  <c r="R306"/>
  <c r="R312"/>
  <c r="R19"/>
  <c r="R188"/>
  <c r="R190"/>
  <c r="R237"/>
  <c r="R239"/>
  <c r="R139"/>
  <c r="R243"/>
  <c r="R141"/>
  <c r="R249"/>
  <c r="R43"/>
  <c r="R120"/>
  <c r="R5"/>
  <c r="R257"/>
  <c r="R259"/>
  <c r="R262"/>
  <c r="R265"/>
  <c r="R270"/>
  <c r="R274"/>
  <c r="R52"/>
  <c r="R197"/>
  <c r="R281"/>
  <c r="R284"/>
  <c r="R289"/>
  <c r="R294"/>
  <c r="R298"/>
  <c r="R302"/>
  <c r="R84"/>
  <c r="R315"/>
  <c r="R158"/>
  <c r="R36"/>
  <c r="R238"/>
  <c r="R240"/>
  <c r="R241"/>
  <c r="R244"/>
  <c r="R246"/>
  <c r="R250"/>
  <c r="R191"/>
  <c r="R162"/>
  <c r="R195"/>
  <c r="R80"/>
  <c r="R51"/>
  <c r="R165"/>
  <c r="R260"/>
  <c r="R261"/>
  <c r="R263"/>
  <c r="R266"/>
  <c r="R271"/>
  <c r="R275"/>
  <c r="R277"/>
  <c r="R99"/>
  <c r="R285"/>
  <c r="R290"/>
  <c r="R295"/>
  <c r="R299"/>
  <c r="R303"/>
  <c r="R307"/>
  <c r="R310"/>
  <c r="R53"/>
  <c r="R311"/>
  <c r="R142"/>
  <c r="R316"/>
  <c r="R189"/>
  <c r="R118"/>
  <c r="R37"/>
  <c r="R119"/>
  <c r="R242"/>
  <c r="R245"/>
  <c r="R327"/>
  <c r="R251"/>
  <c r="R192"/>
  <c r="R163"/>
  <c r="R254"/>
  <c r="R97"/>
  <c r="R67"/>
  <c r="R256"/>
  <c r="R98"/>
  <c r="R166"/>
  <c r="R82"/>
  <c r="R169"/>
  <c r="R267"/>
  <c r="R272"/>
  <c r="R2"/>
  <c r="R171"/>
  <c r="R173"/>
  <c r="R286"/>
  <c r="R291"/>
  <c r="R296"/>
  <c r="R198"/>
  <c r="R304"/>
  <c r="R308"/>
  <c r="R10"/>
  <c r="R313"/>
  <c r="R20"/>
  <c r="R54"/>
  <c r="R101"/>
  <c r="R44"/>
  <c r="R68"/>
  <c r="R21"/>
  <c r="R123"/>
  <c r="R143"/>
  <c r="R179"/>
  <c r="R319"/>
  <c r="R89"/>
  <c r="R41"/>
  <c r="R32"/>
  <c r="R59"/>
  <c r="R60"/>
  <c r="R322"/>
  <c r="R90"/>
  <c r="R62"/>
  <c r="R150"/>
  <c r="R13"/>
  <c r="R152"/>
  <c r="R66"/>
  <c r="R185"/>
  <c r="R34"/>
  <c r="R324"/>
  <c r="R153"/>
  <c r="R4"/>
  <c r="R175"/>
  <c r="R86"/>
  <c r="R8"/>
  <c r="R122"/>
  <c r="R57"/>
  <c r="R45"/>
  <c r="R124"/>
  <c r="R320"/>
  <c r="R144"/>
  <c r="R201"/>
  <c r="R58"/>
  <c r="R104"/>
  <c r="R105"/>
  <c r="R323"/>
  <c r="R22"/>
  <c r="R63"/>
  <c r="R7"/>
  <c r="R64"/>
  <c r="R183"/>
  <c r="R110"/>
  <c r="R111"/>
  <c r="R14"/>
  <c r="R112"/>
  <c r="R186"/>
  <c r="R326"/>
  <c r="R325"/>
  <c r="R121"/>
  <c r="R200"/>
  <c r="R39"/>
  <c r="R17"/>
  <c r="R25"/>
  <c r="R46"/>
  <c r="R318"/>
  <c r="R180"/>
  <c r="R145"/>
  <c r="R181"/>
  <c r="R71"/>
  <c r="R126"/>
  <c r="R61"/>
  <c r="R42"/>
  <c r="R106"/>
  <c r="R108"/>
  <c r="R151"/>
  <c r="R65"/>
  <c r="R184"/>
  <c r="R3"/>
  <c r="R92"/>
  <c r="R133"/>
  <c r="R49"/>
  <c r="R28"/>
  <c r="R115"/>
  <c r="R93"/>
  <c r="R176"/>
  <c r="R55"/>
  <c r="R30"/>
  <c r="R56"/>
  <c r="R40"/>
  <c r="R69"/>
  <c r="R9"/>
  <c r="R88"/>
  <c r="R26"/>
  <c r="R125"/>
  <c r="R31"/>
  <c r="R127"/>
  <c r="R182"/>
  <c r="R130"/>
  <c r="R72"/>
  <c r="R109"/>
  <c r="R73"/>
  <c r="R47"/>
  <c r="R132"/>
  <c r="R74"/>
  <c r="R76"/>
  <c r="R113"/>
  <c r="R85"/>
  <c r="R87"/>
  <c r="R177"/>
  <c r="R317"/>
  <c r="R12"/>
  <c r="R178"/>
  <c r="R70"/>
  <c r="R102"/>
  <c r="R321"/>
  <c r="R146"/>
  <c r="R147"/>
  <c r="R148"/>
  <c r="R103"/>
  <c r="R134"/>
  <c r="R128"/>
  <c r="R129"/>
  <c r="R149"/>
  <c r="R107"/>
  <c r="R91"/>
  <c r="R131"/>
  <c r="R33"/>
  <c r="R48"/>
  <c r="R27"/>
  <c r="R75"/>
  <c r="R11"/>
  <c r="R6"/>
  <c r="R114"/>
  <c r="Q116"/>
  <c r="Q221"/>
  <c r="Q234"/>
  <c r="Q35"/>
  <c r="Q232"/>
  <c r="Q204"/>
  <c r="Q207"/>
  <c r="Q135"/>
  <c r="Q214"/>
  <c r="Q154"/>
  <c r="Q222"/>
  <c r="Q235"/>
  <c r="Q187"/>
  <c r="Q203"/>
  <c r="Q210"/>
  <c r="Q226"/>
  <c r="Q230"/>
  <c r="Q136"/>
  <c r="Q15"/>
  <c r="Q228"/>
  <c r="Q218"/>
  <c r="Q117"/>
  <c r="Q156"/>
  <c r="Q212"/>
  <c r="Q202"/>
  <c r="Q211"/>
  <c r="Q137"/>
  <c r="Q215"/>
  <c r="Q208"/>
  <c r="Q225"/>
  <c r="Q229"/>
  <c r="Q205"/>
  <c r="Q29"/>
  <c r="Q216"/>
  <c r="Q209"/>
  <c r="Q219"/>
  <c r="Q223"/>
  <c r="Q233"/>
  <c r="Q206"/>
  <c r="Q155"/>
  <c r="Q213"/>
  <c r="Q217"/>
  <c r="Q220"/>
  <c r="Q224"/>
  <c r="Q227"/>
  <c r="Q231"/>
  <c r="Q157"/>
  <c r="Q94"/>
  <c r="Q77"/>
  <c r="Q95"/>
  <c r="Q138"/>
  <c r="Q16"/>
  <c r="Q96"/>
  <c r="Q140"/>
  <c r="Q247"/>
  <c r="Q252"/>
  <c r="Q193"/>
  <c r="Q24"/>
  <c r="Q164"/>
  <c r="Q167"/>
  <c r="Q83"/>
  <c r="Q196"/>
  <c r="Q268"/>
  <c r="Q38"/>
  <c r="Q170"/>
  <c r="Q278"/>
  <c r="Q279"/>
  <c r="Q282"/>
  <c r="Q287"/>
  <c r="Q292"/>
  <c r="Q297"/>
  <c r="Q300"/>
  <c r="Q305"/>
  <c r="Q100"/>
  <c r="Q309"/>
  <c r="Q174"/>
  <c r="Q314"/>
  <c r="Q199"/>
  <c r="Q50"/>
  <c r="Q23"/>
  <c r="Q236"/>
  <c r="Q78"/>
  <c r="Q160"/>
  <c r="Q79"/>
  <c r="Q159"/>
  <c r="Q161"/>
  <c r="Q248"/>
  <c r="Q253"/>
  <c r="Q194"/>
  <c r="Q255"/>
  <c r="Q81"/>
  <c r="Q258"/>
  <c r="Q168"/>
  <c r="Q264"/>
  <c r="Q269"/>
  <c r="Q273"/>
  <c r="Q276"/>
  <c r="Q172"/>
  <c r="Q280"/>
  <c r="Q283"/>
  <c r="Q288"/>
  <c r="Q293"/>
  <c r="Q18"/>
  <c r="Q301"/>
  <c r="Q306"/>
  <c r="Q312"/>
  <c r="Q19"/>
  <c r="Q188"/>
  <c r="Q190"/>
  <c r="Q237"/>
  <c r="Q239"/>
  <c r="Q139"/>
  <c r="Q243"/>
  <c r="Q141"/>
  <c r="Q249"/>
  <c r="Q43"/>
  <c r="Q120"/>
  <c r="Q5"/>
  <c r="Q257"/>
  <c r="Q259"/>
  <c r="Q262"/>
  <c r="Q265"/>
  <c r="Q270"/>
  <c r="Q274"/>
  <c r="Q52"/>
  <c r="Q197"/>
  <c r="Q281"/>
  <c r="Q284"/>
  <c r="Q289"/>
  <c r="Q294"/>
  <c r="Q298"/>
  <c r="Q302"/>
  <c r="Q84"/>
  <c r="Q315"/>
  <c r="Q158"/>
  <c r="Q36"/>
  <c r="Q238"/>
  <c r="Q240"/>
  <c r="Q241"/>
  <c r="Q244"/>
  <c r="Q246"/>
  <c r="Q250"/>
  <c r="Q191"/>
  <c r="Q162"/>
  <c r="Q195"/>
  <c r="Q80"/>
  <c r="Q51"/>
  <c r="Q165"/>
  <c r="Q260"/>
  <c r="Q261"/>
  <c r="Q263"/>
  <c r="Q266"/>
  <c r="Q271"/>
  <c r="Q275"/>
  <c r="Q277"/>
  <c r="Q99"/>
  <c r="Q285"/>
  <c r="Q290"/>
  <c r="Q295"/>
  <c r="Q299"/>
  <c r="Q303"/>
  <c r="Q307"/>
  <c r="Q310"/>
  <c r="Q53"/>
  <c r="Q311"/>
  <c r="Q142"/>
  <c r="Q316"/>
  <c r="Q189"/>
  <c r="Q118"/>
  <c r="Q37"/>
  <c r="Q119"/>
  <c r="Q242"/>
  <c r="Q245"/>
  <c r="Q327"/>
  <c r="Q251"/>
  <c r="Q192"/>
  <c r="Q163"/>
  <c r="Q254"/>
  <c r="Q97"/>
  <c r="Q67"/>
  <c r="Q256"/>
  <c r="Q98"/>
  <c r="Q166"/>
  <c r="Q82"/>
  <c r="Q169"/>
  <c r="Q267"/>
  <c r="Q272"/>
  <c r="Q2"/>
  <c r="Q171"/>
  <c r="Q173"/>
  <c r="Q286"/>
  <c r="Q291"/>
  <c r="Q296"/>
  <c r="Q198"/>
  <c r="Q304"/>
  <c r="Q308"/>
  <c r="Q10"/>
  <c r="Q313"/>
  <c r="Q20"/>
  <c r="Q54"/>
  <c r="Q101"/>
  <c r="Q44"/>
  <c r="Q68"/>
  <c r="Q21"/>
  <c r="Q123"/>
  <c r="Q143"/>
  <c r="Q179"/>
  <c r="Q319"/>
  <c r="Q89"/>
  <c r="Q41"/>
  <c r="Q32"/>
  <c r="Q59"/>
  <c r="Q60"/>
  <c r="Q322"/>
  <c r="Q90"/>
  <c r="Q62"/>
  <c r="Q150"/>
  <c r="Q13"/>
  <c r="Q152"/>
  <c r="Q66"/>
  <c r="Q185"/>
  <c r="Q34"/>
  <c r="Q324"/>
  <c r="Q153"/>
  <c r="Q4"/>
  <c r="Q175"/>
  <c r="Q86"/>
  <c r="Q8"/>
  <c r="Q122"/>
  <c r="Q57"/>
  <c r="Q45"/>
  <c r="Q124"/>
  <c r="Q320"/>
  <c r="Q144"/>
  <c r="Q201"/>
  <c r="Q58"/>
  <c r="Q104"/>
  <c r="Q105"/>
  <c r="Q323"/>
  <c r="Q22"/>
  <c r="Q63"/>
  <c r="Q7"/>
  <c r="Q64"/>
  <c r="Q183"/>
  <c r="Q110"/>
  <c r="Q111"/>
  <c r="Q14"/>
  <c r="Q112"/>
  <c r="Q186"/>
  <c r="Q326"/>
  <c r="Q325"/>
  <c r="Q121"/>
  <c r="Q200"/>
  <c r="Q39"/>
  <c r="Q17"/>
  <c r="Q25"/>
  <c r="Q46"/>
  <c r="Q318"/>
  <c r="Q180"/>
  <c r="Q145"/>
  <c r="Q181"/>
  <c r="Q71"/>
  <c r="Q126"/>
  <c r="Q61"/>
  <c r="Q42"/>
  <c r="Q106"/>
  <c r="Q108"/>
  <c r="Q151"/>
  <c r="Q65"/>
  <c r="Q184"/>
  <c r="Q3"/>
  <c r="Q92"/>
  <c r="Q133"/>
  <c r="Q49"/>
  <c r="Q28"/>
  <c r="Q115"/>
  <c r="Q93"/>
  <c r="Q176"/>
  <c r="Q55"/>
  <c r="Q30"/>
  <c r="Q56"/>
  <c r="Q40"/>
  <c r="Q69"/>
  <c r="Q9"/>
  <c r="Q88"/>
  <c r="Q26"/>
  <c r="Q125"/>
  <c r="Q31"/>
  <c r="Q127"/>
  <c r="Q182"/>
  <c r="Q130"/>
  <c r="Q72"/>
  <c r="Q109"/>
  <c r="Q73"/>
  <c r="Q47"/>
  <c r="Q132"/>
  <c r="Q74"/>
  <c r="Q76"/>
  <c r="Q113"/>
  <c r="Q85"/>
  <c r="Q87"/>
  <c r="Q177"/>
  <c r="Q317"/>
  <c r="Q12"/>
  <c r="Q178"/>
  <c r="Q70"/>
  <c r="Q102"/>
  <c r="Q321"/>
  <c r="Q146"/>
  <c r="Q147"/>
  <c r="Q148"/>
  <c r="Q103"/>
  <c r="Q134"/>
  <c r="Q128"/>
  <c r="Q129"/>
  <c r="Q149"/>
  <c r="Q107"/>
  <c r="Q91"/>
  <c r="Q131"/>
  <c r="Q33"/>
  <c r="Q48"/>
  <c r="Q27"/>
  <c r="Q75"/>
  <c r="Q11"/>
  <c r="Q6"/>
  <c r="Q114"/>
  <c r="T116"/>
  <c r="T221"/>
  <c r="T234"/>
  <c r="T35"/>
  <c r="T232"/>
  <c r="T204"/>
  <c r="T207"/>
  <c r="T135"/>
  <c r="T214"/>
  <c r="T154"/>
  <c r="T222"/>
  <c r="T235"/>
  <c r="T187"/>
  <c r="T203"/>
  <c r="T210"/>
  <c r="T226"/>
  <c r="T230"/>
  <c r="T136"/>
  <c r="T15"/>
  <c r="T228"/>
  <c r="T218"/>
  <c r="T117"/>
  <c r="T156"/>
  <c r="T212"/>
  <c r="T202"/>
  <c r="T211"/>
  <c r="T137"/>
  <c r="T215"/>
  <c r="T208"/>
  <c r="T225"/>
  <c r="T229"/>
  <c r="T205"/>
  <c r="T29"/>
  <c r="T216"/>
  <c r="T209"/>
  <c r="T219"/>
  <c r="T223"/>
  <c r="T233"/>
  <c r="T206"/>
  <c r="T155"/>
  <c r="T213"/>
  <c r="T217"/>
  <c r="T220"/>
  <c r="T224"/>
  <c r="T227"/>
  <c r="T231"/>
  <c r="T157"/>
  <c r="T94"/>
  <c r="T77"/>
  <c r="T95"/>
  <c r="T138"/>
  <c r="T16"/>
  <c r="T96"/>
  <c r="T140"/>
  <c r="T247"/>
  <c r="T252"/>
  <c r="T193"/>
  <c r="T24"/>
  <c r="T164"/>
  <c r="T167"/>
  <c r="T83"/>
  <c r="T196"/>
  <c r="T268"/>
  <c r="T38"/>
  <c r="T170"/>
  <c r="T278"/>
  <c r="T279"/>
  <c r="T282"/>
  <c r="T287"/>
  <c r="T292"/>
  <c r="T297"/>
  <c r="T300"/>
  <c r="T305"/>
  <c r="T100"/>
  <c r="T309"/>
  <c r="T174"/>
  <c r="T314"/>
  <c r="T199"/>
  <c r="T50"/>
  <c r="T23"/>
  <c r="T236"/>
  <c r="T78"/>
  <c r="T160"/>
  <c r="T79"/>
  <c r="T159"/>
  <c r="T161"/>
  <c r="T248"/>
  <c r="T253"/>
  <c r="T194"/>
  <c r="T255"/>
  <c r="T81"/>
  <c r="T258"/>
  <c r="T168"/>
  <c r="T264"/>
  <c r="T269"/>
  <c r="T273"/>
  <c r="T276"/>
  <c r="T172"/>
  <c r="T280"/>
  <c r="T283"/>
  <c r="T288"/>
  <c r="T293"/>
  <c r="T18"/>
  <c r="T301"/>
  <c r="T306"/>
  <c r="T312"/>
  <c r="T19"/>
  <c r="T188"/>
  <c r="T190"/>
  <c r="T237"/>
  <c r="T239"/>
  <c r="T139"/>
  <c r="T243"/>
  <c r="T141"/>
  <c r="T249"/>
  <c r="T43"/>
  <c r="T120"/>
  <c r="T5"/>
  <c r="T257"/>
  <c r="T259"/>
  <c r="T262"/>
  <c r="T265"/>
  <c r="T270"/>
  <c r="T274"/>
  <c r="T52"/>
  <c r="T197"/>
  <c r="T281"/>
  <c r="T284"/>
  <c r="T289"/>
  <c r="T294"/>
  <c r="T298"/>
  <c r="T302"/>
  <c r="T84"/>
  <c r="T315"/>
  <c r="T158"/>
  <c r="T36"/>
  <c r="T238"/>
  <c r="T240"/>
  <c r="T241"/>
  <c r="T244"/>
  <c r="T246"/>
  <c r="T250"/>
  <c r="T191"/>
  <c r="T162"/>
  <c r="T195"/>
  <c r="T80"/>
  <c r="T51"/>
  <c r="T165"/>
  <c r="T260"/>
  <c r="T261"/>
  <c r="T263"/>
  <c r="T266"/>
  <c r="T271"/>
  <c r="T275"/>
  <c r="T277"/>
  <c r="T99"/>
  <c r="T285"/>
  <c r="T290"/>
  <c r="T295"/>
  <c r="T299"/>
  <c r="T303"/>
  <c r="T307"/>
  <c r="T310"/>
  <c r="T53"/>
  <c r="T311"/>
  <c r="T142"/>
  <c r="T316"/>
  <c r="T189"/>
  <c r="T118"/>
  <c r="T37"/>
  <c r="T119"/>
  <c r="T242"/>
  <c r="T245"/>
  <c r="T327"/>
  <c r="T251"/>
  <c r="T192"/>
  <c r="T163"/>
  <c r="T254"/>
  <c r="T97"/>
  <c r="T67"/>
  <c r="T256"/>
  <c r="T98"/>
  <c r="T166"/>
  <c r="T82"/>
  <c r="T169"/>
  <c r="T267"/>
  <c r="T272"/>
  <c r="T2"/>
  <c r="T171"/>
  <c r="T173"/>
  <c r="T286"/>
  <c r="T291"/>
  <c r="T296"/>
  <c r="T198"/>
  <c r="T304"/>
  <c r="T308"/>
  <c r="T10"/>
  <c r="T313"/>
  <c r="T20"/>
  <c r="T54"/>
  <c r="T101"/>
  <c r="T44"/>
  <c r="T68"/>
  <c r="T21"/>
  <c r="T123"/>
  <c r="T143"/>
  <c r="T179"/>
  <c r="T319"/>
  <c r="T89"/>
  <c r="T41"/>
  <c r="T32"/>
  <c r="T59"/>
  <c r="T60"/>
  <c r="T322"/>
  <c r="T90"/>
  <c r="T62"/>
  <c r="T150"/>
  <c r="T13"/>
  <c r="T152"/>
  <c r="T66"/>
  <c r="T185"/>
  <c r="T34"/>
  <c r="T324"/>
  <c r="T153"/>
  <c r="T4"/>
  <c r="T175"/>
  <c r="T86"/>
  <c r="T8"/>
  <c r="T122"/>
  <c r="T57"/>
  <c r="T45"/>
  <c r="T124"/>
  <c r="T320"/>
  <c r="T144"/>
  <c r="T201"/>
  <c r="T58"/>
  <c r="T104"/>
  <c r="T105"/>
  <c r="T323"/>
  <c r="T22"/>
  <c r="T63"/>
  <c r="T7"/>
  <c r="T64"/>
  <c r="T183"/>
  <c r="T110"/>
  <c r="T111"/>
  <c r="T14"/>
  <c r="T112"/>
  <c r="T186"/>
  <c r="T326"/>
  <c r="T325"/>
  <c r="T121"/>
  <c r="T200"/>
  <c r="T39"/>
  <c r="T17"/>
  <c r="T25"/>
  <c r="T46"/>
  <c r="T318"/>
  <c r="T180"/>
  <c r="T145"/>
  <c r="T181"/>
  <c r="T71"/>
  <c r="T126"/>
  <c r="T61"/>
  <c r="T42"/>
  <c r="T106"/>
  <c r="T108"/>
  <c r="T151"/>
  <c r="T65"/>
  <c r="T184"/>
  <c r="T3"/>
  <c r="T92"/>
  <c r="T133"/>
  <c r="T49"/>
  <c r="T28"/>
  <c r="T115"/>
  <c r="T93"/>
  <c r="T176"/>
  <c r="T55"/>
  <c r="T30"/>
  <c r="T56"/>
  <c r="T40"/>
  <c r="T69"/>
  <c r="T9"/>
  <c r="T88"/>
  <c r="T26"/>
  <c r="T125"/>
  <c r="T31"/>
  <c r="T127"/>
  <c r="T182"/>
  <c r="T130"/>
  <c r="T72"/>
  <c r="T109"/>
  <c r="T73"/>
  <c r="T47"/>
  <c r="T132"/>
  <c r="T74"/>
  <c r="T76"/>
  <c r="T113"/>
  <c r="T85"/>
  <c r="T87"/>
  <c r="T177"/>
  <c r="T317"/>
  <c r="T12"/>
  <c r="T178"/>
  <c r="T70"/>
  <c r="T102"/>
  <c r="T321"/>
  <c r="T146"/>
  <c r="T147"/>
  <c r="T148"/>
  <c r="T103"/>
  <c r="T134"/>
  <c r="T128"/>
  <c r="T129"/>
  <c r="T149"/>
  <c r="T107"/>
  <c r="T91"/>
  <c r="T131"/>
  <c r="T33"/>
  <c r="T48"/>
  <c r="T27"/>
  <c r="T75"/>
  <c r="T11"/>
  <c r="T6"/>
  <c r="T114"/>
  <c r="AT101" i="6" l="1"/>
  <c r="AR1174"/>
  <c r="AR1182"/>
  <c r="AR1166"/>
  <c r="AQ1146"/>
  <c r="AQ1114"/>
  <c r="AQ1082"/>
  <c r="AR1190"/>
  <c r="AQ1130"/>
  <c r="AR1178"/>
  <c r="AR1162"/>
  <c r="AQ1138"/>
  <c r="AQ1106"/>
  <c r="AQ1074"/>
  <c r="AR1158"/>
  <c r="AQ1098"/>
  <c r="AQ3"/>
  <c r="AR1186"/>
  <c r="AR1170"/>
  <c r="AQ1154"/>
  <c r="AQ1122"/>
  <c r="AQ1090"/>
  <c r="AT167"/>
  <c r="AR1188"/>
  <c r="AR1184"/>
  <c r="AR1180"/>
  <c r="AR1176"/>
  <c r="AR1172"/>
  <c r="AR1168"/>
  <c r="AR1164"/>
  <c r="AR1160"/>
  <c r="AR1156"/>
  <c r="AQ1150"/>
  <c r="AQ1142"/>
  <c r="AQ1134"/>
  <c r="AQ1126"/>
  <c r="AQ1118"/>
  <c r="AQ1110"/>
  <c r="AQ1102"/>
  <c r="AQ1094"/>
  <c r="AQ1086"/>
  <c r="AQ1078"/>
  <c r="AQ1070"/>
  <c r="AQ1188"/>
  <c r="AQ1184"/>
  <c r="AQ1180"/>
  <c r="AQ1176"/>
  <c r="AQ1172"/>
  <c r="AQ1168"/>
  <c r="AQ1164"/>
  <c r="AQ1160"/>
  <c r="AQ1156"/>
  <c r="AQ1148"/>
  <c r="AQ1140"/>
  <c r="AQ1132"/>
  <c r="AQ1124"/>
  <c r="AQ1116"/>
  <c r="AQ1108"/>
  <c r="AQ1100"/>
  <c r="AQ1092"/>
  <c r="AQ1084"/>
  <c r="AQ1076"/>
  <c r="AR3"/>
  <c r="AQ1190"/>
  <c r="AQ1186"/>
  <c r="AQ1182"/>
  <c r="AQ1178"/>
  <c r="AQ1174"/>
  <c r="AQ1170"/>
  <c r="AQ1166"/>
  <c r="AQ1162"/>
  <c r="AQ1158"/>
  <c r="AQ1152"/>
  <c r="AQ1144"/>
  <c r="AQ1136"/>
  <c r="AQ1128"/>
  <c r="AQ1120"/>
  <c r="AQ1112"/>
  <c r="AQ1104"/>
  <c r="AQ1096"/>
  <c r="AQ1088"/>
  <c r="AQ1080"/>
  <c r="AT231"/>
  <c r="AT227"/>
  <c r="AT223"/>
  <c r="AT219"/>
  <c r="AT215"/>
  <c r="AT211"/>
  <c r="AT207"/>
  <c r="AT203"/>
  <c r="AU232"/>
  <c r="AU228"/>
  <c r="AU224"/>
  <c r="AU220"/>
  <c r="AU216"/>
  <c r="AU212"/>
  <c r="AU208"/>
  <c r="AU204"/>
  <c r="AU3"/>
  <c r="AU135"/>
  <c r="AU236"/>
  <c r="AU240"/>
  <c r="AU244"/>
  <c r="AU248"/>
  <c r="AU252"/>
  <c r="AU256"/>
  <c r="AU260"/>
  <c r="AU264"/>
  <c r="AU268"/>
  <c r="AU272"/>
  <c r="AU276"/>
  <c r="AU280"/>
  <c r="AU284"/>
  <c r="AU288"/>
  <c r="AU292"/>
  <c r="AU296"/>
  <c r="AU300"/>
  <c r="AU304"/>
  <c r="AU308"/>
  <c r="AU312"/>
  <c r="AU316"/>
  <c r="AU320"/>
  <c r="AU324"/>
  <c r="AU328"/>
  <c r="AU332"/>
  <c r="AU336"/>
  <c r="AU340"/>
  <c r="AU344"/>
  <c r="AU348"/>
  <c r="AU352"/>
  <c r="AU356"/>
  <c r="AU360"/>
  <c r="AU364"/>
  <c r="AU368"/>
  <c r="AU372"/>
  <c r="AU376"/>
  <c r="AU380"/>
  <c r="AU384"/>
  <c r="AU388"/>
  <c r="AU392"/>
  <c r="AU396"/>
  <c r="AU400"/>
  <c r="AU404"/>
  <c r="AU408"/>
  <c r="AU412"/>
  <c r="AT230"/>
  <c r="AT226"/>
  <c r="AT222"/>
  <c r="AT218"/>
  <c r="AT214"/>
  <c r="AT210"/>
  <c r="AT206"/>
  <c r="AT202"/>
  <c r="AT233"/>
  <c r="AT229"/>
  <c r="AT225"/>
  <c r="AT221"/>
  <c r="AT217"/>
  <c r="AT213"/>
  <c r="AT209"/>
  <c r="AT205"/>
  <c r="AT201"/>
  <c r="AU230"/>
  <c r="AU226"/>
  <c r="AU222"/>
  <c r="AU218"/>
  <c r="AU214"/>
  <c r="AU210"/>
  <c r="AU206"/>
  <c r="AU202"/>
  <c r="AU69"/>
  <c r="AU234"/>
  <c r="AU238"/>
  <c r="AU242"/>
  <c r="AU246"/>
  <c r="AU250"/>
  <c r="AU254"/>
  <c r="AU258"/>
  <c r="AU262"/>
  <c r="AU266"/>
  <c r="AU270"/>
  <c r="AU274"/>
  <c r="AU278"/>
  <c r="AU282"/>
  <c r="AU286"/>
  <c r="AU290"/>
  <c r="AU294"/>
  <c r="AU298"/>
  <c r="AU302"/>
  <c r="AU306"/>
  <c r="AU310"/>
  <c r="AU314"/>
  <c r="AU318"/>
  <c r="AU322"/>
  <c r="AU326"/>
  <c r="AU330"/>
  <c r="AU334"/>
  <c r="AU338"/>
  <c r="AU342"/>
  <c r="AU346"/>
  <c r="AU350"/>
  <c r="AU354"/>
  <c r="AU358"/>
  <c r="AU362"/>
  <c r="AU366"/>
  <c r="AU370"/>
  <c r="AU374"/>
  <c r="AU378"/>
  <c r="AU382"/>
  <c r="AU386"/>
  <c r="AU390"/>
  <c r="AU394"/>
  <c r="AU398"/>
  <c r="AU402"/>
  <c r="AU406"/>
  <c r="AU410"/>
  <c r="AT232"/>
  <c r="AT228"/>
  <c r="AT224"/>
  <c r="AT220"/>
  <c r="AT216"/>
  <c r="AT212"/>
  <c r="AT208"/>
  <c r="AT204"/>
  <c r="AU233"/>
  <c r="AU229"/>
  <c r="AU225"/>
  <c r="AU221"/>
  <c r="AU217"/>
  <c r="AU213"/>
  <c r="AU209"/>
  <c r="AU205"/>
  <c r="AU201"/>
  <c r="AU231"/>
  <c r="AU215"/>
  <c r="AU36"/>
  <c r="AU237"/>
  <c r="AU245"/>
  <c r="AU253"/>
  <c r="AU261"/>
  <c r="AU269"/>
  <c r="AU277"/>
  <c r="AU285"/>
  <c r="AU293"/>
  <c r="AU301"/>
  <c r="AU309"/>
  <c r="AU317"/>
  <c r="AU325"/>
  <c r="AU333"/>
  <c r="AU341"/>
  <c r="AU349"/>
  <c r="AU357"/>
  <c r="AU365"/>
  <c r="AU373"/>
  <c r="AU381"/>
  <c r="AU389"/>
  <c r="AU397"/>
  <c r="AU405"/>
  <c r="AU413"/>
  <c r="AU417"/>
  <c r="AU421"/>
  <c r="AU425"/>
  <c r="AU429"/>
  <c r="AU433"/>
  <c r="AU437"/>
  <c r="AU441"/>
  <c r="AU445"/>
  <c r="AU449"/>
  <c r="AU453"/>
  <c r="AU457"/>
  <c r="AU461"/>
  <c r="AU465"/>
  <c r="AU469"/>
  <c r="AU473"/>
  <c r="AU477"/>
  <c r="AU481"/>
  <c r="AU485"/>
  <c r="AU489"/>
  <c r="AU493"/>
  <c r="AU497"/>
  <c r="AU501"/>
  <c r="AU505"/>
  <c r="AU509"/>
  <c r="AU513"/>
  <c r="AU517"/>
  <c r="AU521"/>
  <c r="AU525"/>
  <c r="AU529"/>
  <c r="AU533"/>
  <c r="AU537"/>
  <c r="AU541"/>
  <c r="AU545"/>
  <c r="AU549"/>
  <c r="AU553"/>
  <c r="AU557"/>
  <c r="AU561"/>
  <c r="AU565"/>
  <c r="AU569"/>
  <c r="AU573"/>
  <c r="AU577"/>
  <c r="AU581"/>
  <c r="AU585"/>
  <c r="AU589"/>
  <c r="AU593"/>
  <c r="AU597"/>
  <c r="AU601"/>
  <c r="AU605"/>
  <c r="AU609"/>
  <c r="AU613"/>
  <c r="AU617"/>
  <c r="AU621"/>
  <c r="AU625"/>
  <c r="AU629"/>
  <c r="AU633"/>
  <c r="AU637"/>
  <c r="AU641"/>
  <c r="AU645"/>
  <c r="AU227"/>
  <c r="AU211"/>
  <c r="AU102"/>
  <c r="AU239"/>
  <c r="AU247"/>
  <c r="AU255"/>
  <c r="AU263"/>
  <c r="AU271"/>
  <c r="AU279"/>
  <c r="AU287"/>
  <c r="AU295"/>
  <c r="AU303"/>
  <c r="AU311"/>
  <c r="AU319"/>
  <c r="AU327"/>
  <c r="AU335"/>
  <c r="AU343"/>
  <c r="AU351"/>
  <c r="AU359"/>
  <c r="AU367"/>
  <c r="AU375"/>
  <c r="AU383"/>
  <c r="AU391"/>
  <c r="AU399"/>
  <c r="AU407"/>
  <c r="AU414"/>
  <c r="AU418"/>
  <c r="AU422"/>
  <c r="AU426"/>
  <c r="AU430"/>
  <c r="AU434"/>
  <c r="AU438"/>
  <c r="AU442"/>
  <c r="AU446"/>
  <c r="AU450"/>
  <c r="AU454"/>
  <c r="AU458"/>
  <c r="AU462"/>
  <c r="AU466"/>
  <c r="AU470"/>
  <c r="AU474"/>
  <c r="AU478"/>
  <c r="AU482"/>
  <c r="AU486"/>
  <c r="AU490"/>
  <c r="AU494"/>
  <c r="AU498"/>
  <c r="AU502"/>
  <c r="AU506"/>
  <c r="AU510"/>
  <c r="AU514"/>
  <c r="AU518"/>
  <c r="AU522"/>
  <c r="AU526"/>
  <c r="AU530"/>
  <c r="AU534"/>
  <c r="AU538"/>
  <c r="AU542"/>
  <c r="AU546"/>
  <c r="AU550"/>
  <c r="AU554"/>
  <c r="AU558"/>
  <c r="AU562"/>
  <c r="AU566"/>
  <c r="AU570"/>
  <c r="AU574"/>
  <c r="AU578"/>
  <c r="AU582"/>
  <c r="AU586"/>
  <c r="AU590"/>
  <c r="AU594"/>
  <c r="AU223"/>
  <c r="AU207"/>
  <c r="AU168"/>
  <c r="AU241"/>
  <c r="AU249"/>
  <c r="AU257"/>
  <c r="AU265"/>
  <c r="AU273"/>
  <c r="AU281"/>
  <c r="AU289"/>
  <c r="AU297"/>
  <c r="AU305"/>
  <c r="AU313"/>
  <c r="AU321"/>
  <c r="AU329"/>
  <c r="AU337"/>
  <c r="AU345"/>
  <c r="AU353"/>
  <c r="AU361"/>
  <c r="AU369"/>
  <c r="AU377"/>
  <c r="AU385"/>
  <c r="AU393"/>
  <c r="AU401"/>
  <c r="AU409"/>
  <c r="AU415"/>
  <c r="AU419"/>
  <c r="AU423"/>
  <c r="AU427"/>
  <c r="AU431"/>
  <c r="AU435"/>
  <c r="AU439"/>
  <c r="AU443"/>
  <c r="AU447"/>
  <c r="AU451"/>
  <c r="AU455"/>
  <c r="AU459"/>
  <c r="AU463"/>
  <c r="AU467"/>
  <c r="AU471"/>
  <c r="AU475"/>
  <c r="AU479"/>
  <c r="AU483"/>
  <c r="AU487"/>
  <c r="AU491"/>
  <c r="AU495"/>
  <c r="AU499"/>
  <c r="AU503"/>
  <c r="AU507"/>
  <c r="AU511"/>
  <c r="AU515"/>
  <c r="AU519"/>
  <c r="AU523"/>
  <c r="AU527"/>
  <c r="AU531"/>
  <c r="AU535"/>
  <c r="AU539"/>
  <c r="AU543"/>
  <c r="AU547"/>
  <c r="AU551"/>
  <c r="AU555"/>
  <c r="AU559"/>
  <c r="AU563"/>
  <c r="AU567"/>
  <c r="AU571"/>
  <c r="AU575"/>
  <c r="AU579"/>
  <c r="AU583"/>
  <c r="AU587"/>
  <c r="AU591"/>
  <c r="AU595"/>
  <c r="AU599"/>
  <c r="AU603"/>
  <c r="AU607"/>
  <c r="AU611"/>
  <c r="AU615"/>
  <c r="AU619"/>
  <c r="AU623"/>
  <c r="AU627"/>
  <c r="AU631"/>
  <c r="AU635"/>
  <c r="AU639"/>
  <c r="AU219"/>
  <c r="AU203"/>
  <c r="AU235"/>
  <c r="AU243"/>
  <c r="AU251"/>
  <c r="AU259"/>
  <c r="AU267"/>
  <c r="AU275"/>
  <c r="AU283"/>
  <c r="AU291"/>
  <c r="AU299"/>
  <c r="AU307"/>
  <c r="AU315"/>
  <c r="AU323"/>
  <c r="AU331"/>
  <c r="AU339"/>
  <c r="AU347"/>
  <c r="AU355"/>
  <c r="AU363"/>
  <c r="AU371"/>
  <c r="AU379"/>
  <c r="AU387"/>
  <c r="AU395"/>
  <c r="AU403"/>
  <c r="AU411"/>
  <c r="AU416"/>
  <c r="AU420"/>
  <c r="AU424"/>
  <c r="AU428"/>
  <c r="AU432"/>
  <c r="AU436"/>
  <c r="AU440"/>
  <c r="AU444"/>
  <c r="AU448"/>
  <c r="AU452"/>
  <c r="AU456"/>
  <c r="AU460"/>
  <c r="AU464"/>
  <c r="AU468"/>
  <c r="AU472"/>
  <c r="AU476"/>
  <c r="AU480"/>
  <c r="AU484"/>
  <c r="AU488"/>
  <c r="AU492"/>
  <c r="AU496"/>
  <c r="AU500"/>
  <c r="AU504"/>
  <c r="AU508"/>
  <c r="AU512"/>
  <c r="AU516"/>
  <c r="AU520"/>
  <c r="AU524"/>
  <c r="AU528"/>
  <c r="AU532"/>
  <c r="AU536"/>
  <c r="AU540"/>
  <c r="AU544"/>
  <c r="AU548"/>
  <c r="AU552"/>
  <c r="AU556"/>
  <c r="AU560"/>
  <c r="AU564"/>
  <c r="AU568"/>
  <c r="AU572"/>
  <c r="AU576"/>
  <c r="AU580"/>
  <c r="AU584"/>
  <c r="AU588"/>
  <c r="AU592"/>
  <c r="AU596"/>
  <c r="AU600"/>
  <c r="AU604"/>
  <c r="AU608"/>
  <c r="AU612"/>
  <c r="AU616"/>
  <c r="AU620"/>
  <c r="AU624"/>
  <c r="AU628"/>
  <c r="AU632"/>
  <c r="AU636"/>
  <c r="AU640"/>
  <c r="AU644"/>
  <c r="AU648"/>
  <c r="AU652"/>
  <c r="AU598"/>
  <c r="AU614"/>
  <c r="AU630"/>
  <c r="AU643"/>
  <c r="AU650"/>
  <c r="AU655"/>
  <c r="AU659"/>
  <c r="AU663"/>
  <c r="AU667"/>
  <c r="AU671"/>
  <c r="AU675"/>
  <c r="AU679"/>
  <c r="AU683"/>
  <c r="AU687"/>
  <c r="AU691"/>
  <c r="AU695"/>
  <c r="AU699"/>
  <c r="AU703"/>
  <c r="AU707"/>
  <c r="AU711"/>
  <c r="AU715"/>
  <c r="AU719"/>
  <c r="AU723"/>
  <c r="AU727"/>
  <c r="AU731"/>
  <c r="AU735"/>
  <c r="AU739"/>
  <c r="AU743"/>
  <c r="AU747"/>
  <c r="AU751"/>
  <c r="AU755"/>
  <c r="AU759"/>
  <c r="AU763"/>
  <c r="AU767"/>
  <c r="AU771"/>
  <c r="AU775"/>
  <c r="AU779"/>
  <c r="AU783"/>
  <c r="AU787"/>
  <c r="AU791"/>
  <c r="AU795"/>
  <c r="AU799"/>
  <c r="AU803"/>
  <c r="AU807"/>
  <c r="AU811"/>
  <c r="AU815"/>
  <c r="AU819"/>
  <c r="AU823"/>
  <c r="AU827"/>
  <c r="AU831"/>
  <c r="AU835"/>
  <c r="AU839"/>
  <c r="AU843"/>
  <c r="AU847"/>
  <c r="AU851"/>
  <c r="AU855"/>
  <c r="AU859"/>
  <c r="AU863"/>
  <c r="AU867"/>
  <c r="AU871"/>
  <c r="AU875"/>
  <c r="AU879"/>
  <c r="AU883"/>
  <c r="AU887"/>
  <c r="AU891"/>
  <c r="AU895"/>
  <c r="AU899"/>
  <c r="AU903"/>
  <c r="AU907"/>
  <c r="AU911"/>
  <c r="AU915"/>
  <c r="AU919"/>
  <c r="AU923"/>
  <c r="AU927"/>
  <c r="AU931"/>
  <c r="AU935"/>
  <c r="AU939"/>
  <c r="AU943"/>
  <c r="AU947"/>
  <c r="AU951"/>
  <c r="AU955"/>
  <c r="AU959"/>
  <c r="AU963"/>
  <c r="AU967"/>
  <c r="AU971"/>
  <c r="AU975"/>
  <c r="AU979"/>
  <c r="AU983"/>
  <c r="AU987"/>
  <c r="AU991"/>
  <c r="AU995"/>
  <c r="AU999"/>
  <c r="AU1003"/>
  <c r="AU1007"/>
  <c r="AU1011"/>
  <c r="AU1015"/>
  <c r="AU1019"/>
  <c r="AU1023"/>
  <c r="AU1027"/>
  <c r="AU1031"/>
  <c r="AU602"/>
  <c r="AU618"/>
  <c r="AU634"/>
  <c r="AU646"/>
  <c r="AU651"/>
  <c r="AU656"/>
  <c r="AU660"/>
  <c r="AU664"/>
  <c r="AU668"/>
  <c r="AU672"/>
  <c r="AU676"/>
  <c r="AU680"/>
  <c r="AU684"/>
  <c r="AU688"/>
  <c r="AU692"/>
  <c r="AU696"/>
  <c r="AU700"/>
  <c r="AU704"/>
  <c r="AU708"/>
  <c r="AU712"/>
  <c r="AU716"/>
  <c r="AU720"/>
  <c r="AU724"/>
  <c r="AU728"/>
  <c r="AU732"/>
  <c r="AU736"/>
  <c r="AU740"/>
  <c r="AU744"/>
  <c r="AU748"/>
  <c r="AU752"/>
  <c r="AU756"/>
  <c r="AU760"/>
  <c r="AU764"/>
  <c r="AU768"/>
  <c r="AU772"/>
  <c r="AU776"/>
  <c r="AU780"/>
  <c r="AU784"/>
  <c r="AU788"/>
  <c r="AU792"/>
  <c r="AU796"/>
  <c r="AU800"/>
  <c r="AU804"/>
  <c r="AU808"/>
  <c r="AU812"/>
  <c r="AU816"/>
  <c r="AU820"/>
  <c r="AU824"/>
  <c r="AU828"/>
  <c r="AU832"/>
  <c r="AU836"/>
  <c r="AU840"/>
  <c r="AU844"/>
  <c r="AU848"/>
  <c r="AU852"/>
  <c r="AU856"/>
  <c r="AU860"/>
  <c r="AU864"/>
  <c r="AU868"/>
  <c r="AU872"/>
  <c r="AU876"/>
  <c r="AU880"/>
  <c r="AU884"/>
  <c r="AU888"/>
  <c r="AU892"/>
  <c r="AU896"/>
  <c r="AU900"/>
  <c r="AU904"/>
  <c r="AU908"/>
  <c r="AU912"/>
  <c r="AU916"/>
  <c r="AU920"/>
  <c r="AU924"/>
  <c r="AU928"/>
  <c r="AU932"/>
  <c r="AU936"/>
  <c r="AU606"/>
  <c r="AU622"/>
  <c r="AU638"/>
  <c r="AU647"/>
  <c r="AU653"/>
  <c r="AU657"/>
  <c r="AU661"/>
  <c r="AU665"/>
  <c r="AU669"/>
  <c r="AU673"/>
  <c r="AU677"/>
  <c r="AU681"/>
  <c r="AU685"/>
  <c r="AU689"/>
  <c r="AU693"/>
  <c r="AU697"/>
  <c r="AU701"/>
  <c r="AU705"/>
  <c r="AU709"/>
  <c r="AU713"/>
  <c r="AU717"/>
  <c r="AU721"/>
  <c r="AU725"/>
  <c r="AU729"/>
  <c r="AU733"/>
  <c r="AU737"/>
  <c r="AU741"/>
  <c r="AU745"/>
  <c r="AU749"/>
  <c r="AU753"/>
  <c r="AU757"/>
  <c r="AU761"/>
  <c r="AU765"/>
  <c r="AU769"/>
  <c r="AU773"/>
  <c r="AU777"/>
  <c r="AU781"/>
  <c r="AU785"/>
  <c r="AU789"/>
  <c r="AU793"/>
  <c r="AU797"/>
  <c r="AU801"/>
  <c r="AU805"/>
  <c r="AU809"/>
  <c r="AU813"/>
  <c r="AU817"/>
  <c r="AU821"/>
  <c r="AU825"/>
  <c r="AU829"/>
  <c r="AU833"/>
  <c r="AU837"/>
  <c r="AU841"/>
  <c r="AU845"/>
  <c r="AU849"/>
  <c r="AU853"/>
  <c r="AU857"/>
  <c r="AU861"/>
  <c r="AU865"/>
  <c r="AU869"/>
  <c r="AU873"/>
  <c r="AU877"/>
  <c r="AU881"/>
  <c r="AU885"/>
  <c r="AU889"/>
  <c r="AU893"/>
  <c r="AU897"/>
  <c r="AU901"/>
  <c r="AU905"/>
  <c r="AU909"/>
  <c r="AU913"/>
  <c r="AU917"/>
  <c r="AU921"/>
  <c r="AU925"/>
  <c r="AU929"/>
  <c r="AU933"/>
  <c r="AU937"/>
  <c r="AU941"/>
  <c r="AU945"/>
  <c r="AU949"/>
  <c r="AU953"/>
  <c r="AU957"/>
  <c r="AU961"/>
  <c r="AU965"/>
  <c r="AU969"/>
  <c r="AU973"/>
  <c r="AU610"/>
  <c r="AU626"/>
  <c r="AU642"/>
  <c r="AU649"/>
  <c r="AU654"/>
  <c r="AU658"/>
  <c r="AU662"/>
  <c r="AU666"/>
  <c r="AU670"/>
  <c r="AU674"/>
  <c r="AU678"/>
  <c r="AU682"/>
  <c r="AU686"/>
  <c r="AU690"/>
  <c r="AU694"/>
  <c r="AU698"/>
  <c r="AU702"/>
  <c r="AU706"/>
  <c r="AU710"/>
  <c r="AU714"/>
  <c r="AU718"/>
  <c r="AU722"/>
  <c r="AU726"/>
  <c r="AU730"/>
  <c r="AU734"/>
  <c r="AU738"/>
  <c r="AU742"/>
  <c r="AU746"/>
  <c r="AU750"/>
  <c r="AU754"/>
  <c r="AU758"/>
  <c r="AU762"/>
  <c r="AU766"/>
  <c r="AU770"/>
  <c r="AU774"/>
  <c r="AU778"/>
  <c r="AU782"/>
  <c r="AU786"/>
  <c r="AU790"/>
  <c r="AU794"/>
  <c r="AU798"/>
  <c r="AU802"/>
  <c r="AU806"/>
  <c r="AU810"/>
  <c r="AU814"/>
  <c r="AU818"/>
  <c r="AU822"/>
  <c r="AU826"/>
  <c r="AU830"/>
  <c r="AU834"/>
  <c r="AU838"/>
  <c r="AU842"/>
  <c r="AU846"/>
  <c r="AU850"/>
  <c r="AU854"/>
  <c r="AU858"/>
  <c r="AU862"/>
  <c r="AU866"/>
  <c r="AU870"/>
  <c r="AU874"/>
  <c r="AU878"/>
  <c r="AU882"/>
  <c r="AU886"/>
  <c r="AU890"/>
  <c r="AU894"/>
  <c r="AU898"/>
  <c r="AU902"/>
  <c r="AU906"/>
  <c r="AU910"/>
  <c r="AU914"/>
  <c r="AU918"/>
  <c r="AU922"/>
  <c r="AU926"/>
  <c r="AU930"/>
  <c r="AU934"/>
  <c r="AU938"/>
  <c r="AU942"/>
  <c r="AU946"/>
  <c r="AU950"/>
  <c r="AU954"/>
  <c r="AU958"/>
  <c r="AU962"/>
  <c r="AU966"/>
  <c r="AU970"/>
  <c r="AU974"/>
  <c r="AU978"/>
  <c r="AU982"/>
  <c r="AU986"/>
  <c r="AU990"/>
  <c r="AU994"/>
  <c r="AU998"/>
  <c r="AU1002"/>
  <c r="AU1006"/>
  <c r="AU1010"/>
  <c r="AU1014"/>
  <c r="AU1018"/>
  <c r="AU1022"/>
  <c r="AU1026"/>
  <c r="AU1030"/>
  <c r="AU1034"/>
  <c r="AU1038"/>
  <c r="AU1042"/>
  <c r="AU1046"/>
  <c r="AU940"/>
  <c r="AU956"/>
  <c r="AU972"/>
  <c r="AU981"/>
  <c r="AU989"/>
  <c r="AU997"/>
  <c r="AU1005"/>
  <c r="AU1013"/>
  <c r="AU1021"/>
  <c r="AU1029"/>
  <c r="AU1036"/>
  <c r="AU1041"/>
  <c r="AU1047"/>
  <c r="AU1051"/>
  <c r="AU1055"/>
  <c r="AU1059"/>
  <c r="AU1063"/>
  <c r="AU1067"/>
  <c r="AU1071"/>
  <c r="AU1075"/>
  <c r="AU1079"/>
  <c r="AU1083"/>
  <c r="AU1087"/>
  <c r="AU1091"/>
  <c r="AU1095"/>
  <c r="AU1099"/>
  <c r="AU1103"/>
  <c r="AU1107"/>
  <c r="AU1111"/>
  <c r="AU1115"/>
  <c r="AU1119"/>
  <c r="AU1123"/>
  <c r="AU1127"/>
  <c r="AU1131"/>
  <c r="AU1135"/>
  <c r="AU1139"/>
  <c r="AU1143"/>
  <c r="AU1147"/>
  <c r="AU1151"/>
  <c r="AU1155"/>
  <c r="AU1159"/>
  <c r="AU1163"/>
  <c r="AU1167"/>
  <c r="AU1171"/>
  <c r="AU1175"/>
  <c r="AU1179"/>
  <c r="AU1183"/>
  <c r="AU1187"/>
  <c r="AT36"/>
  <c r="AT168"/>
  <c r="AT237"/>
  <c r="AT241"/>
  <c r="AT245"/>
  <c r="AT249"/>
  <c r="AT253"/>
  <c r="AT257"/>
  <c r="AT261"/>
  <c r="AT265"/>
  <c r="AT269"/>
  <c r="AT273"/>
  <c r="AT277"/>
  <c r="AT281"/>
  <c r="AT285"/>
  <c r="AT289"/>
  <c r="AT293"/>
  <c r="AT297"/>
  <c r="AT301"/>
  <c r="AT305"/>
  <c r="AT309"/>
  <c r="AT313"/>
  <c r="AT317"/>
  <c r="AT321"/>
  <c r="AT325"/>
  <c r="AT329"/>
  <c r="AT333"/>
  <c r="AT337"/>
  <c r="AT341"/>
  <c r="AT345"/>
  <c r="AT349"/>
  <c r="AT353"/>
  <c r="AT357"/>
  <c r="AT361"/>
  <c r="AT365"/>
  <c r="AT369"/>
  <c r="AT373"/>
  <c r="AT377"/>
  <c r="AT381"/>
  <c r="AT385"/>
  <c r="AT389"/>
  <c r="AT393"/>
  <c r="AT397"/>
  <c r="AT401"/>
  <c r="AT405"/>
  <c r="AT409"/>
  <c r="AT413"/>
  <c r="AT417"/>
  <c r="AT421"/>
  <c r="AT425"/>
  <c r="AT429"/>
  <c r="AT433"/>
  <c r="AT437"/>
  <c r="AT441"/>
  <c r="AT445"/>
  <c r="AT449"/>
  <c r="AT453"/>
  <c r="AT457"/>
  <c r="AT461"/>
  <c r="AT465"/>
  <c r="AT469"/>
  <c r="AT473"/>
  <c r="AU944"/>
  <c r="AU960"/>
  <c r="AU976"/>
  <c r="AU984"/>
  <c r="AU992"/>
  <c r="AU1000"/>
  <c r="AU1008"/>
  <c r="AU1016"/>
  <c r="AU1024"/>
  <c r="AU1032"/>
  <c r="AU1037"/>
  <c r="AU1043"/>
  <c r="AU1048"/>
  <c r="AU1052"/>
  <c r="AU1056"/>
  <c r="AU1060"/>
  <c r="AU1064"/>
  <c r="AU1068"/>
  <c r="AU1072"/>
  <c r="AU1076"/>
  <c r="AU1080"/>
  <c r="AU1084"/>
  <c r="AU1088"/>
  <c r="AU1092"/>
  <c r="AU1096"/>
  <c r="AU1100"/>
  <c r="AU1104"/>
  <c r="AU1108"/>
  <c r="AU1112"/>
  <c r="AU1116"/>
  <c r="AU1120"/>
  <c r="AU1124"/>
  <c r="AU1128"/>
  <c r="AU1132"/>
  <c r="AU1136"/>
  <c r="AU1140"/>
  <c r="AU1144"/>
  <c r="AU1148"/>
  <c r="AU1152"/>
  <c r="AU1156"/>
  <c r="AU1160"/>
  <c r="AU1164"/>
  <c r="AU1168"/>
  <c r="AU1172"/>
  <c r="AU1176"/>
  <c r="AU1180"/>
  <c r="AU1184"/>
  <c r="AU1188"/>
  <c r="AT69"/>
  <c r="AT234"/>
  <c r="AT238"/>
  <c r="AT242"/>
  <c r="AT246"/>
  <c r="AT250"/>
  <c r="AT254"/>
  <c r="AT258"/>
  <c r="AT262"/>
  <c r="AT266"/>
  <c r="AT270"/>
  <c r="AT274"/>
  <c r="AT278"/>
  <c r="AT282"/>
  <c r="AT286"/>
  <c r="AT290"/>
  <c r="AT294"/>
  <c r="AT298"/>
  <c r="AT302"/>
  <c r="AT306"/>
  <c r="AT310"/>
  <c r="AT314"/>
  <c r="AT318"/>
  <c r="AT322"/>
  <c r="AT326"/>
  <c r="AT330"/>
  <c r="AT334"/>
  <c r="AT338"/>
  <c r="AT342"/>
  <c r="AT346"/>
  <c r="AT350"/>
  <c r="AT354"/>
  <c r="AT358"/>
  <c r="AT362"/>
  <c r="AT366"/>
  <c r="AT370"/>
  <c r="AT374"/>
  <c r="AU948"/>
  <c r="AU964"/>
  <c r="AU977"/>
  <c r="AU985"/>
  <c r="AU993"/>
  <c r="AU1001"/>
  <c r="AU1009"/>
  <c r="AU1017"/>
  <c r="AU1025"/>
  <c r="AU1033"/>
  <c r="AU1039"/>
  <c r="AU1044"/>
  <c r="AU1049"/>
  <c r="AU1053"/>
  <c r="AU1057"/>
  <c r="AU1061"/>
  <c r="AU1065"/>
  <c r="AU1069"/>
  <c r="AU1073"/>
  <c r="AU1077"/>
  <c r="AU1081"/>
  <c r="AU1085"/>
  <c r="AU1089"/>
  <c r="AU1093"/>
  <c r="AU1097"/>
  <c r="AU1101"/>
  <c r="AU1105"/>
  <c r="AU1109"/>
  <c r="AU1113"/>
  <c r="AU1117"/>
  <c r="AU1121"/>
  <c r="AU1125"/>
  <c r="AU1129"/>
  <c r="AU1133"/>
  <c r="AU1137"/>
  <c r="AU1141"/>
  <c r="AU1145"/>
  <c r="AU1149"/>
  <c r="AU1153"/>
  <c r="AU1157"/>
  <c r="AU1161"/>
  <c r="AU1165"/>
  <c r="AU1169"/>
  <c r="AU1173"/>
  <c r="AU1177"/>
  <c r="AU1181"/>
  <c r="AU1185"/>
  <c r="AU1189"/>
  <c r="AT102"/>
  <c r="AT235"/>
  <c r="AT239"/>
  <c r="AT243"/>
  <c r="AT247"/>
  <c r="AT251"/>
  <c r="AT255"/>
  <c r="AT259"/>
  <c r="AT263"/>
  <c r="AT267"/>
  <c r="AT271"/>
  <c r="AT275"/>
  <c r="AT279"/>
  <c r="AT283"/>
  <c r="AT287"/>
  <c r="AT291"/>
  <c r="AT295"/>
  <c r="AT299"/>
  <c r="AT303"/>
  <c r="AT307"/>
  <c r="AT311"/>
  <c r="AT315"/>
  <c r="AT319"/>
  <c r="AT323"/>
  <c r="AT327"/>
  <c r="AT331"/>
  <c r="AT335"/>
  <c r="AT339"/>
  <c r="AT343"/>
  <c r="AT347"/>
  <c r="AT351"/>
  <c r="AT355"/>
  <c r="AT359"/>
  <c r="AT363"/>
  <c r="AT367"/>
  <c r="AT371"/>
  <c r="AT375"/>
  <c r="AT379"/>
  <c r="AT383"/>
  <c r="AT387"/>
  <c r="AT391"/>
  <c r="AT395"/>
  <c r="AT399"/>
  <c r="AT403"/>
  <c r="AT407"/>
  <c r="AT411"/>
  <c r="AT415"/>
  <c r="AT419"/>
  <c r="AT423"/>
  <c r="AT427"/>
  <c r="AT431"/>
  <c r="AT435"/>
  <c r="AT439"/>
  <c r="AU952"/>
  <c r="AU968"/>
  <c r="AU980"/>
  <c r="AU988"/>
  <c r="AU996"/>
  <c r="AU1004"/>
  <c r="AU1012"/>
  <c r="AU1020"/>
  <c r="AU1028"/>
  <c r="AU1035"/>
  <c r="AU1040"/>
  <c r="AU1045"/>
  <c r="AU1050"/>
  <c r="AU1054"/>
  <c r="AU1058"/>
  <c r="AU1062"/>
  <c r="AU1066"/>
  <c r="AU1070"/>
  <c r="AU1074"/>
  <c r="AU1078"/>
  <c r="AU1082"/>
  <c r="AU1086"/>
  <c r="AU1090"/>
  <c r="AU1094"/>
  <c r="AU1098"/>
  <c r="AU1102"/>
  <c r="AU1106"/>
  <c r="AU1110"/>
  <c r="AU1114"/>
  <c r="AU1118"/>
  <c r="AU1122"/>
  <c r="AU1126"/>
  <c r="AU1130"/>
  <c r="AU1134"/>
  <c r="AU1138"/>
  <c r="AU1142"/>
  <c r="AU1146"/>
  <c r="AU1150"/>
  <c r="AU1154"/>
  <c r="AU1158"/>
  <c r="AU1162"/>
  <c r="AU1166"/>
  <c r="AU1170"/>
  <c r="AU1174"/>
  <c r="AU1178"/>
  <c r="AU1182"/>
  <c r="AU1186"/>
  <c r="AU1190"/>
  <c r="AT135"/>
  <c r="AT236"/>
  <c r="AT240"/>
  <c r="AT244"/>
  <c r="AT248"/>
  <c r="AT252"/>
  <c r="AT256"/>
  <c r="AT260"/>
  <c r="AT264"/>
  <c r="AT268"/>
  <c r="AT272"/>
  <c r="AT276"/>
  <c r="AT280"/>
  <c r="AT284"/>
  <c r="AT288"/>
  <c r="AT292"/>
  <c r="AT296"/>
  <c r="AT300"/>
  <c r="AT304"/>
  <c r="AT308"/>
  <c r="AT312"/>
  <c r="AT316"/>
  <c r="AT320"/>
  <c r="AT324"/>
  <c r="AT328"/>
  <c r="AT332"/>
  <c r="AT336"/>
  <c r="AT340"/>
  <c r="AT344"/>
  <c r="AT348"/>
  <c r="AT352"/>
  <c r="AT356"/>
  <c r="AT360"/>
  <c r="AT364"/>
  <c r="AT368"/>
  <c r="AT372"/>
  <c r="AT376"/>
  <c r="AT380"/>
  <c r="AT384"/>
  <c r="AT388"/>
  <c r="AT392"/>
  <c r="AT396"/>
  <c r="AT400"/>
  <c r="AT404"/>
  <c r="AT408"/>
  <c r="AT412"/>
  <c r="AT416"/>
  <c r="AT420"/>
  <c r="AT424"/>
  <c r="AT428"/>
  <c r="AT432"/>
  <c r="AT436"/>
  <c r="AT440"/>
  <c r="AT444"/>
  <c r="AT448"/>
  <c r="AT452"/>
  <c r="AT456"/>
  <c r="AT460"/>
  <c r="AT464"/>
  <c r="AT468"/>
  <c r="AT472"/>
  <c r="AT476"/>
  <c r="AT480"/>
  <c r="AT484"/>
  <c r="AT488"/>
  <c r="AT492"/>
  <c r="AT496"/>
  <c r="AT500"/>
  <c r="AT504"/>
  <c r="AT508"/>
  <c r="AT378"/>
  <c r="AT394"/>
  <c r="AT410"/>
  <c r="AT426"/>
  <c r="AT442"/>
  <c r="AT450"/>
  <c r="AT458"/>
  <c r="AT466"/>
  <c r="AT474"/>
  <c r="AT479"/>
  <c r="AT485"/>
  <c r="AT490"/>
  <c r="AT495"/>
  <c r="AT501"/>
  <c r="AT506"/>
  <c r="AT511"/>
  <c r="AT515"/>
  <c r="AT519"/>
  <c r="AT523"/>
  <c r="AT527"/>
  <c r="AT531"/>
  <c r="AT535"/>
  <c r="AT539"/>
  <c r="AT543"/>
  <c r="AT547"/>
  <c r="AT551"/>
  <c r="AT555"/>
  <c r="AT559"/>
  <c r="AT563"/>
  <c r="AT567"/>
  <c r="AT571"/>
  <c r="AT575"/>
  <c r="AT579"/>
  <c r="AT583"/>
  <c r="AT587"/>
  <c r="AT591"/>
  <c r="AT595"/>
  <c r="AT599"/>
  <c r="AT603"/>
  <c r="AT607"/>
  <c r="AT611"/>
  <c r="AT615"/>
  <c r="AT619"/>
  <c r="AT623"/>
  <c r="AT627"/>
  <c r="AT631"/>
  <c r="AT635"/>
  <c r="AT639"/>
  <c r="AT643"/>
  <c r="AT647"/>
  <c r="AT651"/>
  <c r="AT655"/>
  <c r="AT659"/>
  <c r="AT663"/>
  <c r="AT667"/>
  <c r="AT671"/>
  <c r="AT675"/>
  <c r="AT679"/>
  <c r="AT683"/>
  <c r="AT687"/>
  <c r="AT691"/>
  <c r="AT695"/>
  <c r="AT699"/>
  <c r="AT703"/>
  <c r="AT707"/>
  <c r="AT711"/>
  <c r="AT715"/>
  <c r="AT719"/>
  <c r="AT723"/>
  <c r="AT727"/>
  <c r="AT731"/>
  <c r="AT735"/>
  <c r="AT739"/>
  <c r="AT743"/>
  <c r="AT747"/>
  <c r="AT751"/>
  <c r="AT755"/>
  <c r="AT759"/>
  <c r="AT763"/>
  <c r="AT767"/>
  <c r="AT771"/>
  <c r="AT775"/>
  <c r="AT779"/>
  <c r="AT783"/>
  <c r="AT787"/>
  <c r="AT791"/>
  <c r="AT795"/>
  <c r="AT799"/>
  <c r="AT803"/>
  <c r="AT807"/>
  <c r="AT811"/>
  <c r="AT815"/>
  <c r="AT819"/>
  <c r="AT823"/>
  <c r="AT827"/>
  <c r="AT831"/>
  <c r="AT835"/>
  <c r="AT839"/>
  <c r="AT843"/>
  <c r="AT847"/>
  <c r="AT851"/>
  <c r="AT855"/>
  <c r="AT859"/>
  <c r="AT863"/>
  <c r="AT867"/>
  <c r="AT871"/>
  <c r="AT875"/>
  <c r="AT879"/>
  <c r="AT883"/>
  <c r="AT887"/>
  <c r="AT891"/>
  <c r="AT895"/>
  <c r="AT899"/>
  <c r="AT903"/>
  <c r="AT907"/>
  <c r="AT911"/>
  <c r="AT915"/>
  <c r="AT919"/>
  <c r="AT923"/>
  <c r="AT927"/>
  <c r="AT931"/>
  <c r="AT935"/>
  <c r="AT939"/>
  <c r="AT943"/>
  <c r="AT947"/>
  <c r="AT951"/>
  <c r="AT955"/>
  <c r="AT959"/>
  <c r="AT963"/>
  <c r="AT967"/>
  <c r="AT971"/>
  <c r="AT975"/>
  <c r="AT979"/>
  <c r="AT983"/>
  <c r="AT987"/>
  <c r="AT991"/>
  <c r="AT995"/>
  <c r="AT999"/>
  <c r="AT1003"/>
  <c r="AT1007"/>
  <c r="AT382"/>
  <c r="AT398"/>
  <c r="AT414"/>
  <c r="AT430"/>
  <c r="AT443"/>
  <c r="AT451"/>
  <c r="AT459"/>
  <c r="AT467"/>
  <c r="AT475"/>
  <c r="AT481"/>
  <c r="AT486"/>
  <c r="AT491"/>
  <c r="AT497"/>
  <c r="AT502"/>
  <c r="AT507"/>
  <c r="AT512"/>
  <c r="AT516"/>
  <c r="AT520"/>
  <c r="AT524"/>
  <c r="AT528"/>
  <c r="AT532"/>
  <c r="AT536"/>
  <c r="AT540"/>
  <c r="AT544"/>
  <c r="AT548"/>
  <c r="AT552"/>
  <c r="AT556"/>
  <c r="AT560"/>
  <c r="AT564"/>
  <c r="AT568"/>
  <c r="AT572"/>
  <c r="AT576"/>
  <c r="AT580"/>
  <c r="AT584"/>
  <c r="AT588"/>
  <c r="AT592"/>
  <c r="AT596"/>
  <c r="AT600"/>
  <c r="AT604"/>
  <c r="AT608"/>
  <c r="AT612"/>
  <c r="AT616"/>
  <c r="AT620"/>
  <c r="AT624"/>
  <c r="AT628"/>
  <c r="AT632"/>
  <c r="AT636"/>
  <c r="AT640"/>
  <c r="AT644"/>
  <c r="AT648"/>
  <c r="AT652"/>
  <c r="AT656"/>
  <c r="AT660"/>
  <c r="AT664"/>
  <c r="AT668"/>
  <c r="AT672"/>
  <c r="AT676"/>
  <c r="AT680"/>
  <c r="AT684"/>
  <c r="AT688"/>
  <c r="AT692"/>
  <c r="AT696"/>
  <c r="AT700"/>
  <c r="AT704"/>
  <c r="AT708"/>
  <c r="AT712"/>
  <c r="AT716"/>
  <c r="AT720"/>
  <c r="AT724"/>
  <c r="AT728"/>
  <c r="AT732"/>
  <c r="AT736"/>
  <c r="AT740"/>
  <c r="AT744"/>
  <c r="AT748"/>
  <c r="AT752"/>
  <c r="AT756"/>
  <c r="AT760"/>
  <c r="AT764"/>
  <c r="AT768"/>
  <c r="AT772"/>
  <c r="AT776"/>
  <c r="AT780"/>
  <c r="AT784"/>
  <c r="AT788"/>
  <c r="AT792"/>
  <c r="AT796"/>
  <c r="AT800"/>
  <c r="AT804"/>
  <c r="AT808"/>
  <c r="AT812"/>
  <c r="AT816"/>
  <c r="AT820"/>
  <c r="AT824"/>
  <c r="AT828"/>
  <c r="AT832"/>
  <c r="AT836"/>
  <c r="AT840"/>
  <c r="AT844"/>
  <c r="AT848"/>
  <c r="AT852"/>
  <c r="AT856"/>
  <c r="AT860"/>
  <c r="AT864"/>
  <c r="AT868"/>
  <c r="AT872"/>
  <c r="AT876"/>
  <c r="AT386"/>
  <c r="AT402"/>
  <c r="AT418"/>
  <c r="AT434"/>
  <c r="AT446"/>
  <c r="AT454"/>
  <c r="AT462"/>
  <c r="AT470"/>
  <c r="AT477"/>
  <c r="AT482"/>
  <c r="AT487"/>
  <c r="AT493"/>
  <c r="AT498"/>
  <c r="AT503"/>
  <c r="AT509"/>
  <c r="AT513"/>
  <c r="AT517"/>
  <c r="AT521"/>
  <c r="AT525"/>
  <c r="AT529"/>
  <c r="AT533"/>
  <c r="AT537"/>
  <c r="AT541"/>
  <c r="AT545"/>
  <c r="AT549"/>
  <c r="AT553"/>
  <c r="AT557"/>
  <c r="AT561"/>
  <c r="AT565"/>
  <c r="AT569"/>
  <c r="AT573"/>
  <c r="AT577"/>
  <c r="AT581"/>
  <c r="AT585"/>
  <c r="AT589"/>
  <c r="AT593"/>
  <c r="AT597"/>
  <c r="AT601"/>
  <c r="AT605"/>
  <c r="AT609"/>
  <c r="AT613"/>
  <c r="AT617"/>
  <c r="AT621"/>
  <c r="AT625"/>
  <c r="AT629"/>
  <c r="AT633"/>
  <c r="AT637"/>
  <c r="AT641"/>
  <c r="AT645"/>
  <c r="AT649"/>
  <c r="AT653"/>
  <c r="AT657"/>
  <c r="AT661"/>
  <c r="AT665"/>
  <c r="AT669"/>
  <c r="AT673"/>
  <c r="AT677"/>
  <c r="AT681"/>
  <c r="AT685"/>
  <c r="AT689"/>
  <c r="AT693"/>
  <c r="AT697"/>
  <c r="AT701"/>
  <c r="AT705"/>
  <c r="AT709"/>
  <c r="AT713"/>
  <c r="AT717"/>
  <c r="AT721"/>
  <c r="AT725"/>
  <c r="AT729"/>
  <c r="AT733"/>
  <c r="AT737"/>
  <c r="AT741"/>
  <c r="AT745"/>
  <c r="AT749"/>
  <c r="AT753"/>
  <c r="AT757"/>
  <c r="AT761"/>
  <c r="AT765"/>
  <c r="AT769"/>
  <c r="AT773"/>
  <c r="AT777"/>
  <c r="AT781"/>
  <c r="AT785"/>
  <c r="AT789"/>
  <c r="AT793"/>
  <c r="AT797"/>
  <c r="AT801"/>
  <c r="AT805"/>
  <c r="AT809"/>
  <c r="AT813"/>
  <c r="AT817"/>
  <c r="AT821"/>
  <c r="AT825"/>
  <c r="AT829"/>
  <c r="AT833"/>
  <c r="AT837"/>
  <c r="AT841"/>
  <c r="AT845"/>
  <c r="AT849"/>
  <c r="AT853"/>
  <c r="AT857"/>
  <c r="AT861"/>
  <c r="AT865"/>
  <c r="AT869"/>
  <c r="AT873"/>
  <c r="AT877"/>
  <c r="AT881"/>
  <c r="AT885"/>
  <c r="AT889"/>
  <c r="AT893"/>
  <c r="AT897"/>
  <c r="AT901"/>
  <c r="AT905"/>
  <c r="AT909"/>
  <c r="AT913"/>
  <c r="AT917"/>
  <c r="AT921"/>
  <c r="AT925"/>
  <c r="AT929"/>
  <c r="AT933"/>
  <c r="AT937"/>
  <c r="AT941"/>
  <c r="AT945"/>
  <c r="AT949"/>
  <c r="AT953"/>
  <c r="AT957"/>
  <c r="AT961"/>
  <c r="AT965"/>
  <c r="AT969"/>
  <c r="AT973"/>
  <c r="AT977"/>
  <c r="AT981"/>
  <c r="AT390"/>
  <c r="AT406"/>
  <c r="AT422"/>
  <c r="AT438"/>
  <c r="AT447"/>
  <c r="AT455"/>
  <c r="AT463"/>
  <c r="AT471"/>
  <c r="AT478"/>
  <c r="AT483"/>
  <c r="AT489"/>
  <c r="AT494"/>
  <c r="AT499"/>
  <c r="AT505"/>
  <c r="AT510"/>
  <c r="AT514"/>
  <c r="AT518"/>
  <c r="AT522"/>
  <c r="AT526"/>
  <c r="AT530"/>
  <c r="AT534"/>
  <c r="AT538"/>
  <c r="AT542"/>
  <c r="AT546"/>
  <c r="AT550"/>
  <c r="AT554"/>
  <c r="AT558"/>
  <c r="AT562"/>
  <c r="AT566"/>
  <c r="AT570"/>
  <c r="AT574"/>
  <c r="AT578"/>
  <c r="AT582"/>
  <c r="AT586"/>
  <c r="AT590"/>
  <c r="AT594"/>
  <c r="AT598"/>
  <c r="AT602"/>
  <c r="AT606"/>
  <c r="AT610"/>
  <c r="AT614"/>
  <c r="AT618"/>
  <c r="AT622"/>
  <c r="AT626"/>
  <c r="AT630"/>
  <c r="AT634"/>
  <c r="AT638"/>
  <c r="AT642"/>
  <c r="AT646"/>
  <c r="AT650"/>
  <c r="AT654"/>
  <c r="AT658"/>
  <c r="AT662"/>
  <c r="AT666"/>
  <c r="AT670"/>
  <c r="AT674"/>
  <c r="AT678"/>
  <c r="AT682"/>
  <c r="AT686"/>
  <c r="AT690"/>
  <c r="AT694"/>
  <c r="AT698"/>
  <c r="AT702"/>
  <c r="AT706"/>
  <c r="AT710"/>
  <c r="AT714"/>
  <c r="AT718"/>
  <c r="AT722"/>
  <c r="AT726"/>
  <c r="AT730"/>
  <c r="AT734"/>
  <c r="AT738"/>
  <c r="AT742"/>
  <c r="AT746"/>
  <c r="AT750"/>
  <c r="AT754"/>
  <c r="AT758"/>
  <c r="AT762"/>
  <c r="AT766"/>
  <c r="AT770"/>
  <c r="AT774"/>
  <c r="AT778"/>
  <c r="AT782"/>
  <c r="AT786"/>
  <c r="AT790"/>
  <c r="AT794"/>
  <c r="AT798"/>
  <c r="AT802"/>
  <c r="AT806"/>
  <c r="AT810"/>
  <c r="AT814"/>
  <c r="AT818"/>
  <c r="AT822"/>
  <c r="AT826"/>
  <c r="AT830"/>
  <c r="AT834"/>
  <c r="AT838"/>
  <c r="AT842"/>
  <c r="AT846"/>
  <c r="AT850"/>
  <c r="AT854"/>
  <c r="AT858"/>
  <c r="AT862"/>
  <c r="AT866"/>
  <c r="AT870"/>
  <c r="AT874"/>
  <c r="AT878"/>
  <c r="AT882"/>
  <c r="AT886"/>
  <c r="AT890"/>
  <c r="AT894"/>
  <c r="AT898"/>
  <c r="AT902"/>
  <c r="AT906"/>
  <c r="AT910"/>
  <c r="AT914"/>
  <c r="AT918"/>
  <c r="AT922"/>
  <c r="AT926"/>
  <c r="AT930"/>
  <c r="AT934"/>
  <c r="AT938"/>
  <c r="AT942"/>
  <c r="AT946"/>
  <c r="AT950"/>
  <c r="AT954"/>
  <c r="AT958"/>
  <c r="AT962"/>
  <c r="AT966"/>
  <c r="AT970"/>
  <c r="AT974"/>
  <c r="AT978"/>
  <c r="AT982"/>
  <c r="AT986"/>
  <c r="AT990"/>
  <c r="AT994"/>
  <c r="AT998"/>
  <c r="AT1002"/>
  <c r="AT1006"/>
  <c r="AT1010"/>
  <c r="AT1014"/>
  <c r="AT1018"/>
  <c r="AT1022"/>
  <c r="AT1026"/>
  <c r="AT1030"/>
  <c r="AT1034"/>
  <c r="AT1038"/>
  <c r="AT1042"/>
  <c r="AT1046"/>
  <c r="AT1050"/>
  <c r="AT1054"/>
  <c r="AT1058"/>
  <c r="AT1062"/>
  <c r="AT1066"/>
  <c r="AT1070"/>
  <c r="AT1074"/>
  <c r="AT1078"/>
  <c r="AT1082"/>
  <c r="AT1086"/>
  <c r="AT1090"/>
  <c r="AT1094"/>
  <c r="AT1098"/>
  <c r="AT1102"/>
  <c r="AT1106"/>
  <c r="AT1110"/>
  <c r="AT1114"/>
  <c r="AT1118"/>
  <c r="AT1122"/>
  <c r="AT1126"/>
  <c r="AT1130"/>
  <c r="AT880"/>
  <c r="AT896"/>
  <c r="AT912"/>
  <c r="AT928"/>
  <c r="AT944"/>
  <c r="AT960"/>
  <c r="AT976"/>
  <c r="AT988"/>
  <c r="AT996"/>
  <c r="AT1004"/>
  <c r="AT1011"/>
  <c r="AT1016"/>
  <c r="AT1021"/>
  <c r="AT1027"/>
  <c r="AT1032"/>
  <c r="AT1037"/>
  <c r="AT1043"/>
  <c r="AT1048"/>
  <c r="AT1053"/>
  <c r="AT1059"/>
  <c r="AT1064"/>
  <c r="AT1069"/>
  <c r="AT1075"/>
  <c r="AT1080"/>
  <c r="AT1085"/>
  <c r="AT1091"/>
  <c r="AT1096"/>
  <c r="AT1101"/>
  <c r="AT1107"/>
  <c r="AT1112"/>
  <c r="AT1117"/>
  <c r="AT1123"/>
  <c r="AT1128"/>
  <c r="AT1133"/>
  <c r="AT1137"/>
  <c r="AT1141"/>
  <c r="AT1145"/>
  <c r="AT1149"/>
  <c r="AT1153"/>
  <c r="AT1157"/>
  <c r="AT1161"/>
  <c r="AT1165"/>
  <c r="AT1169"/>
  <c r="AT1173"/>
  <c r="AT1177"/>
  <c r="AT1181"/>
  <c r="AT1185"/>
  <c r="AT1189"/>
  <c r="AS69"/>
  <c r="AS201"/>
  <c r="AS205"/>
  <c r="AS209"/>
  <c r="AS213"/>
  <c r="AS217"/>
  <c r="AS221"/>
  <c r="AS225"/>
  <c r="AS229"/>
  <c r="AS233"/>
  <c r="AS237"/>
  <c r="AS241"/>
  <c r="AS245"/>
  <c r="AS249"/>
  <c r="AS253"/>
  <c r="AS257"/>
  <c r="AS261"/>
  <c r="AS265"/>
  <c r="AS269"/>
  <c r="AS273"/>
  <c r="AS277"/>
  <c r="AS281"/>
  <c r="AS285"/>
  <c r="AS289"/>
  <c r="AS293"/>
  <c r="AS297"/>
  <c r="AS301"/>
  <c r="AS305"/>
  <c r="AS309"/>
  <c r="AS313"/>
  <c r="AS317"/>
  <c r="AS321"/>
  <c r="AS325"/>
  <c r="AS329"/>
  <c r="AS333"/>
  <c r="AS337"/>
  <c r="AS341"/>
  <c r="AS345"/>
  <c r="AS349"/>
  <c r="AS353"/>
  <c r="AS357"/>
  <c r="AS361"/>
  <c r="AS365"/>
  <c r="AS369"/>
  <c r="AS373"/>
  <c r="AS377"/>
  <c r="AS381"/>
  <c r="AS385"/>
  <c r="AS389"/>
  <c r="AS393"/>
  <c r="AS397"/>
  <c r="AS401"/>
  <c r="AS405"/>
  <c r="AS409"/>
  <c r="AS413"/>
  <c r="AS417"/>
  <c r="AS421"/>
  <c r="AS425"/>
  <c r="AS429"/>
  <c r="AS433"/>
  <c r="AS437"/>
  <c r="AS441"/>
  <c r="AS445"/>
  <c r="AS449"/>
  <c r="AS453"/>
  <c r="AS457"/>
  <c r="AS461"/>
  <c r="AS465"/>
  <c r="AS469"/>
  <c r="AS473"/>
  <c r="AS477"/>
  <c r="AS481"/>
  <c r="AS485"/>
  <c r="AS489"/>
  <c r="AS493"/>
  <c r="AS497"/>
  <c r="AS501"/>
  <c r="AS505"/>
  <c r="AS509"/>
  <c r="AS513"/>
  <c r="AS517"/>
  <c r="AS521"/>
  <c r="AS525"/>
  <c r="AS529"/>
  <c r="AS533"/>
  <c r="AS537"/>
  <c r="AS541"/>
  <c r="AS545"/>
  <c r="AS549"/>
  <c r="AS553"/>
  <c r="AS557"/>
  <c r="AS561"/>
  <c r="AS565"/>
  <c r="AS569"/>
  <c r="AS573"/>
  <c r="AS577"/>
  <c r="AS581"/>
  <c r="AS585"/>
  <c r="AS589"/>
  <c r="AS593"/>
  <c r="AS597"/>
  <c r="AS601"/>
  <c r="AS605"/>
  <c r="AS609"/>
  <c r="AS613"/>
  <c r="AS617"/>
  <c r="AS621"/>
  <c r="AS625"/>
  <c r="AS629"/>
  <c r="AS633"/>
  <c r="AS637"/>
  <c r="AS641"/>
  <c r="AS645"/>
  <c r="AS649"/>
  <c r="AS653"/>
  <c r="AS657"/>
  <c r="AS661"/>
  <c r="AS665"/>
  <c r="AS669"/>
  <c r="AS673"/>
  <c r="AS677"/>
  <c r="AS681"/>
  <c r="AT884"/>
  <c r="AT900"/>
  <c r="AT916"/>
  <c r="AT932"/>
  <c r="AT948"/>
  <c r="AT964"/>
  <c r="AT980"/>
  <c r="AT989"/>
  <c r="AT997"/>
  <c r="AT1005"/>
  <c r="AT1012"/>
  <c r="AT1017"/>
  <c r="AT1023"/>
  <c r="AT1028"/>
  <c r="AT1033"/>
  <c r="AT1039"/>
  <c r="AT1044"/>
  <c r="AT1049"/>
  <c r="AT1055"/>
  <c r="AT1060"/>
  <c r="AT1065"/>
  <c r="AT1071"/>
  <c r="AT1076"/>
  <c r="AT1081"/>
  <c r="AT1087"/>
  <c r="AT1092"/>
  <c r="AT1097"/>
  <c r="AT1103"/>
  <c r="AT1108"/>
  <c r="AT1113"/>
  <c r="AT1119"/>
  <c r="AT1124"/>
  <c r="AT1129"/>
  <c r="AT1134"/>
  <c r="AT1138"/>
  <c r="AT1142"/>
  <c r="AT1146"/>
  <c r="AT1150"/>
  <c r="AT1154"/>
  <c r="AT1158"/>
  <c r="AT1162"/>
  <c r="AT1166"/>
  <c r="AT1170"/>
  <c r="AT1174"/>
  <c r="AT1178"/>
  <c r="AT1182"/>
  <c r="AT1186"/>
  <c r="AT1190"/>
  <c r="AS102"/>
  <c r="AS202"/>
  <c r="AS206"/>
  <c r="AS210"/>
  <c r="AS214"/>
  <c r="AS218"/>
  <c r="AS222"/>
  <c r="AS226"/>
  <c r="AS230"/>
  <c r="AS234"/>
  <c r="AS238"/>
  <c r="AS242"/>
  <c r="AS246"/>
  <c r="AS250"/>
  <c r="AS254"/>
  <c r="AS258"/>
  <c r="AS262"/>
  <c r="AS266"/>
  <c r="AS270"/>
  <c r="AS274"/>
  <c r="AS278"/>
  <c r="AS282"/>
  <c r="AS286"/>
  <c r="AS290"/>
  <c r="AS294"/>
  <c r="AS298"/>
  <c r="AS302"/>
  <c r="AS306"/>
  <c r="AS310"/>
  <c r="AS314"/>
  <c r="AS318"/>
  <c r="AS322"/>
  <c r="AS326"/>
  <c r="AS330"/>
  <c r="AS334"/>
  <c r="AS338"/>
  <c r="AS342"/>
  <c r="AS346"/>
  <c r="AS350"/>
  <c r="AS354"/>
  <c r="AS358"/>
  <c r="AS362"/>
  <c r="AS366"/>
  <c r="AS370"/>
  <c r="AS374"/>
  <c r="AS378"/>
  <c r="AS382"/>
  <c r="AS386"/>
  <c r="AS390"/>
  <c r="AS394"/>
  <c r="AS398"/>
  <c r="AS402"/>
  <c r="AS406"/>
  <c r="AS410"/>
  <c r="AS414"/>
  <c r="AS418"/>
  <c r="AS422"/>
  <c r="AS426"/>
  <c r="AS430"/>
  <c r="AS434"/>
  <c r="AS438"/>
  <c r="AS442"/>
  <c r="AS446"/>
  <c r="AS450"/>
  <c r="AS454"/>
  <c r="AS458"/>
  <c r="AS462"/>
  <c r="AS466"/>
  <c r="AS470"/>
  <c r="AS474"/>
  <c r="AS478"/>
  <c r="AS482"/>
  <c r="AS486"/>
  <c r="AS490"/>
  <c r="AS494"/>
  <c r="AS498"/>
  <c r="AS502"/>
  <c r="AS506"/>
  <c r="AS510"/>
  <c r="AS514"/>
  <c r="AS518"/>
  <c r="AS522"/>
  <c r="AS526"/>
  <c r="AS530"/>
  <c r="AS534"/>
  <c r="AT888"/>
  <c r="AT904"/>
  <c r="AT920"/>
  <c r="AT936"/>
  <c r="AT952"/>
  <c r="AT968"/>
  <c r="AT984"/>
  <c r="AT992"/>
  <c r="AT1000"/>
  <c r="AT1008"/>
  <c r="AT1013"/>
  <c r="AT1019"/>
  <c r="AT1024"/>
  <c r="AT1029"/>
  <c r="AT1035"/>
  <c r="AT1040"/>
  <c r="AT1045"/>
  <c r="AT1051"/>
  <c r="AT1056"/>
  <c r="AT1061"/>
  <c r="AT1067"/>
  <c r="AT1072"/>
  <c r="AT1077"/>
  <c r="AT1083"/>
  <c r="AT1088"/>
  <c r="AT1093"/>
  <c r="AT1099"/>
  <c r="AT1104"/>
  <c r="AT1109"/>
  <c r="AT1115"/>
  <c r="AT1120"/>
  <c r="AT1125"/>
  <c r="AT1131"/>
  <c r="AT1135"/>
  <c r="AT1139"/>
  <c r="AT1143"/>
  <c r="AT1147"/>
  <c r="AT1151"/>
  <c r="AT1155"/>
  <c r="AT1159"/>
  <c r="AT1163"/>
  <c r="AT1167"/>
  <c r="AT1171"/>
  <c r="AT1175"/>
  <c r="AT1179"/>
  <c r="AT1183"/>
  <c r="AT1187"/>
  <c r="AS3"/>
  <c r="AS135"/>
  <c r="AS203"/>
  <c r="AS207"/>
  <c r="AS211"/>
  <c r="AS215"/>
  <c r="AS219"/>
  <c r="AS223"/>
  <c r="AS227"/>
  <c r="AS231"/>
  <c r="AS235"/>
  <c r="AS239"/>
  <c r="AS243"/>
  <c r="AS247"/>
  <c r="AS251"/>
  <c r="AS255"/>
  <c r="AS259"/>
  <c r="AS263"/>
  <c r="AS267"/>
  <c r="AS271"/>
  <c r="AS275"/>
  <c r="AS279"/>
  <c r="AS283"/>
  <c r="AS287"/>
  <c r="AS291"/>
  <c r="AS295"/>
  <c r="AS299"/>
  <c r="AS303"/>
  <c r="AS307"/>
  <c r="AS311"/>
  <c r="AS315"/>
  <c r="AS319"/>
  <c r="AS323"/>
  <c r="AS327"/>
  <c r="AS331"/>
  <c r="AS335"/>
  <c r="AS339"/>
  <c r="AS343"/>
  <c r="AS347"/>
  <c r="AS351"/>
  <c r="AS355"/>
  <c r="AS359"/>
  <c r="AS363"/>
  <c r="AS367"/>
  <c r="AS371"/>
  <c r="AS375"/>
  <c r="AS379"/>
  <c r="AS383"/>
  <c r="AS387"/>
  <c r="AS391"/>
  <c r="AS395"/>
  <c r="AS399"/>
  <c r="AS403"/>
  <c r="AS407"/>
  <c r="AS411"/>
  <c r="AS415"/>
  <c r="AS419"/>
  <c r="AS423"/>
  <c r="AS427"/>
  <c r="AS431"/>
  <c r="AS435"/>
  <c r="AS439"/>
  <c r="AS443"/>
  <c r="AS447"/>
  <c r="AS451"/>
  <c r="AS455"/>
  <c r="AS459"/>
  <c r="AS463"/>
  <c r="AS467"/>
  <c r="AS471"/>
  <c r="AS475"/>
  <c r="AS479"/>
  <c r="AS483"/>
  <c r="AS487"/>
  <c r="AS491"/>
  <c r="AS495"/>
  <c r="AS499"/>
  <c r="AS503"/>
  <c r="AS507"/>
  <c r="AS511"/>
  <c r="AS515"/>
  <c r="AS519"/>
  <c r="AS523"/>
  <c r="AS527"/>
  <c r="AS531"/>
  <c r="AS535"/>
  <c r="AS539"/>
  <c r="AS543"/>
  <c r="AS547"/>
  <c r="AS551"/>
  <c r="AS555"/>
  <c r="AS559"/>
  <c r="AS563"/>
  <c r="AS567"/>
  <c r="AS571"/>
  <c r="AS575"/>
  <c r="AS579"/>
  <c r="AS583"/>
  <c r="AS587"/>
  <c r="AS591"/>
  <c r="AS595"/>
  <c r="AS599"/>
  <c r="AS603"/>
  <c r="AS607"/>
  <c r="AS611"/>
  <c r="AS615"/>
  <c r="AS619"/>
  <c r="AS623"/>
  <c r="AS627"/>
  <c r="AS631"/>
  <c r="AS635"/>
  <c r="AS639"/>
  <c r="AS643"/>
  <c r="AS647"/>
  <c r="AS651"/>
  <c r="AS655"/>
  <c r="AS659"/>
  <c r="AS663"/>
  <c r="AS667"/>
  <c r="AS671"/>
  <c r="AS675"/>
  <c r="AT892"/>
  <c r="AT908"/>
  <c r="AT924"/>
  <c r="AT940"/>
  <c r="AT956"/>
  <c r="AT972"/>
  <c r="AT985"/>
  <c r="AT993"/>
  <c r="AT1001"/>
  <c r="AT1009"/>
  <c r="AT1015"/>
  <c r="AT1020"/>
  <c r="AT1025"/>
  <c r="AT1031"/>
  <c r="AT1036"/>
  <c r="AT1041"/>
  <c r="AT1047"/>
  <c r="AT1052"/>
  <c r="AT1057"/>
  <c r="AT1063"/>
  <c r="AT1068"/>
  <c r="AT1073"/>
  <c r="AT1079"/>
  <c r="AT1084"/>
  <c r="AT1089"/>
  <c r="AT1095"/>
  <c r="AT1100"/>
  <c r="AT1105"/>
  <c r="AT1111"/>
  <c r="AT1116"/>
  <c r="AT1121"/>
  <c r="AT1127"/>
  <c r="AT1132"/>
  <c r="AT1136"/>
  <c r="AT1140"/>
  <c r="AT1144"/>
  <c r="AT1148"/>
  <c r="AT1152"/>
  <c r="AT1156"/>
  <c r="AT1160"/>
  <c r="AT1164"/>
  <c r="AT1168"/>
  <c r="AT1172"/>
  <c r="AT1176"/>
  <c r="AT1180"/>
  <c r="AT1184"/>
  <c r="AT1188"/>
  <c r="AS36"/>
  <c r="AS168"/>
  <c r="AS204"/>
  <c r="AS208"/>
  <c r="AS212"/>
  <c r="AS216"/>
  <c r="AS220"/>
  <c r="AS224"/>
  <c r="AS228"/>
  <c r="AS232"/>
  <c r="AS236"/>
  <c r="AS240"/>
  <c r="AS244"/>
  <c r="AS248"/>
  <c r="AS252"/>
  <c r="AS256"/>
  <c r="AS260"/>
  <c r="AS264"/>
  <c r="AS268"/>
  <c r="AS272"/>
  <c r="AS276"/>
  <c r="AS280"/>
  <c r="AS284"/>
  <c r="AS288"/>
  <c r="AS292"/>
  <c r="AS296"/>
  <c r="AS300"/>
  <c r="AS304"/>
  <c r="AS308"/>
  <c r="AS312"/>
  <c r="AS316"/>
  <c r="AS320"/>
  <c r="AS324"/>
  <c r="AS328"/>
  <c r="AS332"/>
  <c r="AS336"/>
  <c r="AS340"/>
  <c r="AS344"/>
  <c r="AS348"/>
  <c r="AS352"/>
  <c r="AS356"/>
  <c r="AS360"/>
  <c r="AS364"/>
  <c r="AS368"/>
  <c r="AS372"/>
  <c r="AS376"/>
  <c r="AS380"/>
  <c r="AS384"/>
  <c r="AS388"/>
  <c r="AS392"/>
  <c r="AS396"/>
  <c r="AS400"/>
  <c r="AS404"/>
  <c r="AS408"/>
  <c r="AS412"/>
  <c r="AS416"/>
  <c r="AS420"/>
  <c r="AS424"/>
  <c r="AS428"/>
  <c r="AS432"/>
  <c r="AS436"/>
  <c r="AS440"/>
  <c r="AS444"/>
  <c r="AS448"/>
  <c r="AS452"/>
  <c r="AS456"/>
  <c r="AS460"/>
  <c r="AS464"/>
  <c r="AS468"/>
  <c r="AS472"/>
  <c r="AS476"/>
  <c r="AS480"/>
  <c r="AS484"/>
  <c r="AS488"/>
  <c r="AS492"/>
  <c r="AS496"/>
  <c r="AS500"/>
  <c r="AS504"/>
  <c r="AS508"/>
  <c r="AS512"/>
  <c r="AS516"/>
  <c r="AS520"/>
  <c r="AS524"/>
  <c r="AS528"/>
  <c r="AS532"/>
  <c r="AS536"/>
  <c r="AS540"/>
  <c r="AS544"/>
  <c r="AS548"/>
  <c r="AS552"/>
  <c r="AS556"/>
  <c r="AS560"/>
  <c r="AS564"/>
  <c r="AS568"/>
  <c r="AS572"/>
  <c r="AS576"/>
  <c r="AS580"/>
  <c r="AS584"/>
  <c r="AS588"/>
  <c r="AS592"/>
  <c r="AS596"/>
  <c r="AS600"/>
  <c r="AS604"/>
  <c r="AS608"/>
  <c r="AS612"/>
  <c r="AS616"/>
  <c r="AS620"/>
  <c r="AS624"/>
  <c r="AS628"/>
  <c r="AS632"/>
  <c r="AS636"/>
  <c r="AS640"/>
  <c r="AS644"/>
  <c r="AS648"/>
  <c r="AS652"/>
  <c r="AS656"/>
  <c r="AS660"/>
  <c r="AS664"/>
  <c r="AS668"/>
  <c r="AS672"/>
  <c r="AS676"/>
  <c r="AS680"/>
  <c r="AS684"/>
  <c r="AS688"/>
  <c r="AS692"/>
  <c r="AS696"/>
  <c r="AS700"/>
  <c r="AS704"/>
  <c r="AS708"/>
  <c r="AS712"/>
  <c r="AS716"/>
  <c r="AS720"/>
  <c r="AS724"/>
  <c r="AS728"/>
  <c r="AS732"/>
  <c r="AS736"/>
  <c r="AS740"/>
  <c r="AS744"/>
  <c r="AS748"/>
  <c r="AS752"/>
  <c r="AS756"/>
  <c r="AS760"/>
  <c r="AS764"/>
  <c r="AS768"/>
  <c r="AS772"/>
  <c r="AS776"/>
  <c r="AS780"/>
  <c r="AS784"/>
  <c r="AS788"/>
  <c r="AS792"/>
  <c r="AS796"/>
  <c r="AS800"/>
  <c r="AS804"/>
  <c r="AS808"/>
  <c r="AS812"/>
  <c r="AS816"/>
  <c r="AS820"/>
  <c r="AS824"/>
  <c r="AS828"/>
  <c r="AS832"/>
  <c r="AS836"/>
  <c r="AS840"/>
  <c r="AS844"/>
  <c r="AS848"/>
  <c r="AS852"/>
  <c r="AS856"/>
  <c r="AS538"/>
  <c r="AS554"/>
  <c r="AS570"/>
  <c r="AS586"/>
  <c r="AS602"/>
  <c r="AS618"/>
  <c r="AS634"/>
  <c r="AS650"/>
  <c r="AS666"/>
  <c r="AS679"/>
  <c r="AS686"/>
  <c r="AS691"/>
  <c r="AS697"/>
  <c r="AS702"/>
  <c r="AS707"/>
  <c r="AS713"/>
  <c r="AS718"/>
  <c r="AS723"/>
  <c r="AS729"/>
  <c r="AS734"/>
  <c r="AS739"/>
  <c r="AS745"/>
  <c r="AS750"/>
  <c r="AS755"/>
  <c r="AS761"/>
  <c r="AS766"/>
  <c r="AS771"/>
  <c r="AS777"/>
  <c r="AS782"/>
  <c r="AS787"/>
  <c r="AS793"/>
  <c r="AS798"/>
  <c r="AS803"/>
  <c r="AS809"/>
  <c r="AS814"/>
  <c r="AS819"/>
  <c r="AS825"/>
  <c r="AS830"/>
  <c r="AS835"/>
  <c r="AS841"/>
  <c r="AS846"/>
  <c r="AS851"/>
  <c r="AS857"/>
  <c r="AS861"/>
  <c r="AS865"/>
  <c r="AS869"/>
  <c r="AS873"/>
  <c r="AS877"/>
  <c r="AS881"/>
  <c r="AS885"/>
  <c r="AS889"/>
  <c r="AS893"/>
  <c r="AS897"/>
  <c r="AS901"/>
  <c r="AS905"/>
  <c r="AS909"/>
  <c r="AS913"/>
  <c r="AS917"/>
  <c r="AS921"/>
  <c r="AS925"/>
  <c r="AS929"/>
  <c r="AS933"/>
  <c r="AS937"/>
  <c r="AS941"/>
  <c r="AS945"/>
  <c r="AS949"/>
  <c r="AS953"/>
  <c r="AS957"/>
  <c r="AS961"/>
  <c r="AS965"/>
  <c r="AS969"/>
  <c r="AS973"/>
  <c r="AS977"/>
  <c r="AS981"/>
  <c r="AS985"/>
  <c r="AS989"/>
  <c r="AS993"/>
  <c r="AS997"/>
  <c r="AS1001"/>
  <c r="AS1005"/>
  <c r="AS1009"/>
  <c r="AS1013"/>
  <c r="AS1017"/>
  <c r="AS1021"/>
  <c r="AS1025"/>
  <c r="AS1029"/>
  <c r="AS1033"/>
  <c r="AS1037"/>
  <c r="AS1041"/>
  <c r="AS1045"/>
  <c r="AS1049"/>
  <c r="AS1053"/>
  <c r="AS1057"/>
  <c r="AS1061"/>
  <c r="AS1065"/>
  <c r="AS1069"/>
  <c r="AS1073"/>
  <c r="AS1077"/>
  <c r="AS1081"/>
  <c r="AS1085"/>
  <c r="AS1089"/>
  <c r="AS1093"/>
  <c r="AS1097"/>
  <c r="AS1101"/>
  <c r="AS1105"/>
  <c r="AS1109"/>
  <c r="AS1113"/>
  <c r="AS1117"/>
  <c r="AS1121"/>
  <c r="AS1125"/>
  <c r="AS1129"/>
  <c r="AS1133"/>
  <c r="AS1137"/>
  <c r="AS1141"/>
  <c r="AS1145"/>
  <c r="AS1149"/>
  <c r="AS1153"/>
  <c r="AS1157"/>
  <c r="AS1161"/>
  <c r="AS1165"/>
  <c r="AS1169"/>
  <c r="AS1173"/>
  <c r="AS1177"/>
  <c r="AS1181"/>
  <c r="AS1185"/>
  <c r="AS1189"/>
  <c r="AR36"/>
  <c r="AR102"/>
  <c r="AQ201"/>
  <c r="AQ203"/>
  <c r="AQ205"/>
  <c r="AQ207"/>
  <c r="AQ209"/>
  <c r="AQ211"/>
  <c r="AQ213"/>
  <c r="AQ215"/>
  <c r="AQ217"/>
  <c r="AQ219"/>
  <c r="AQ221"/>
  <c r="AQ223"/>
  <c r="AQ225"/>
  <c r="AQ227"/>
  <c r="AQ229"/>
  <c r="AQ231"/>
  <c r="AQ233"/>
  <c r="AQ235"/>
  <c r="AQ237"/>
  <c r="AQ239"/>
  <c r="AQ241"/>
  <c r="AQ243"/>
  <c r="AQ245"/>
  <c r="AQ247"/>
  <c r="AQ249"/>
  <c r="AQ251"/>
  <c r="AQ253"/>
  <c r="AQ255"/>
  <c r="AQ257"/>
  <c r="AQ259"/>
  <c r="AQ261"/>
  <c r="AQ263"/>
  <c r="AQ265"/>
  <c r="AQ267"/>
  <c r="AQ269"/>
  <c r="AQ271"/>
  <c r="AQ273"/>
  <c r="AQ275"/>
  <c r="AQ277"/>
  <c r="AQ279"/>
  <c r="AQ281"/>
  <c r="AQ283"/>
  <c r="AQ285"/>
  <c r="AQ287"/>
  <c r="AQ289"/>
  <c r="AQ291"/>
  <c r="AQ293"/>
  <c r="AQ295"/>
  <c r="AQ297"/>
  <c r="AQ299"/>
  <c r="AQ301"/>
  <c r="AQ303"/>
  <c r="AQ305"/>
  <c r="AQ307"/>
  <c r="AQ309"/>
  <c r="AQ311"/>
  <c r="AQ313"/>
  <c r="AQ315"/>
  <c r="AQ317"/>
  <c r="AQ319"/>
  <c r="AQ321"/>
  <c r="AQ323"/>
  <c r="AQ325"/>
  <c r="AQ327"/>
  <c r="AQ329"/>
  <c r="AQ331"/>
  <c r="AQ333"/>
  <c r="AQ335"/>
  <c r="AQ337"/>
  <c r="AQ339"/>
  <c r="AQ341"/>
  <c r="AQ343"/>
  <c r="AQ345"/>
  <c r="AQ347"/>
  <c r="AQ349"/>
  <c r="AQ351"/>
  <c r="AQ353"/>
  <c r="AQ355"/>
  <c r="AQ357"/>
  <c r="AQ359"/>
  <c r="AQ361"/>
  <c r="AQ363"/>
  <c r="AQ365"/>
  <c r="AQ367"/>
  <c r="AQ369"/>
  <c r="AQ371"/>
  <c r="AQ373"/>
  <c r="AQ375"/>
  <c r="AQ377"/>
  <c r="AQ379"/>
  <c r="AQ381"/>
  <c r="AQ383"/>
  <c r="AQ385"/>
  <c r="AQ387"/>
  <c r="AQ389"/>
  <c r="AQ391"/>
  <c r="AS542"/>
  <c r="AS558"/>
  <c r="AS574"/>
  <c r="AS590"/>
  <c r="AS606"/>
  <c r="AS622"/>
  <c r="AS638"/>
  <c r="AS654"/>
  <c r="AS670"/>
  <c r="AS682"/>
  <c r="AS687"/>
  <c r="AS693"/>
  <c r="AS698"/>
  <c r="AS703"/>
  <c r="AS709"/>
  <c r="AS714"/>
  <c r="AS719"/>
  <c r="AS725"/>
  <c r="AS730"/>
  <c r="AS735"/>
  <c r="AS741"/>
  <c r="AS746"/>
  <c r="AS751"/>
  <c r="AS757"/>
  <c r="AS762"/>
  <c r="AS767"/>
  <c r="AS773"/>
  <c r="AS778"/>
  <c r="AS783"/>
  <c r="AS789"/>
  <c r="AS794"/>
  <c r="AS799"/>
  <c r="AS805"/>
  <c r="AS810"/>
  <c r="AS815"/>
  <c r="AS821"/>
  <c r="AS826"/>
  <c r="AS831"/>
  <c r="AS837"/>
  <c r="AS842"/>
  <c r="AS847"/>
  <c r="AS853"/>
  <c r="AS858"/>
  <c r="AS862"/>
  <c r="AS866"/>
  <c r="AS870"/>
  <c r="AS874"/>
  <c r="AS878"/>
  <c r="AS882"/>
  <c r="AS886"/>
  <c r="AS890"/>
  <c r="AS894"/>
  <c r="AS898"/>
  <c r="AS902"/>
  <c r="AS906"/>
  <c r="AS910"/>
  <c r="AS914"/>
  <c r="AS918"/>
  <c r="AS922"/>
  <c r="AS926"/>
  <c r="AS930"/>
  <c r="AS934"/>
  <c r="AS938"/>
  <c r="AS942"/>
  <c r="AS946"/>
  <c r="AS950"/>
  <c r="AS954"/>
  <c r="AS958"/>
  <c r="AS962"/>
  <c r="AS966"/>
  <c r="AS970"/>
  <c r="AS974"/>
  <c r="AS978"/>
  <c r="AS982"/>
  <c r="AS986"/>
  <c r="AS990"/>
  <c r="AS994"/>
  <c r="AS998"/>
  <c r="AS1002"/>
  <c r="AS1006"/>
  <c r="AS1010"/>
  <c r="AS1014"/>
  <c r="AS1018"/>
  <c r="AS1022"/>
  <c r="AS1026"/>
  <c r="AS1030"/>
  <c r="AS1034"/>
  <c r="AS1038"/>
  <c r="AS1042"/>
  <c r="AS1046"/>
  <c r="AS1050"/>
  <c r="AS1054"/>
  <c r="AS1058"/>
  <c r="AS1062"/>
  <c r="AS1066"/>
  <c r="AS1070"/>
  <c r="AS1074"/>
  <c r="AS1078"/>
  <c r="AS1082"/>
  <c r="AS1086"/>
  <c r="AS1090"/>
  <c r="AS1094"/>
  <c r="AS1098"/>
  <c r="AS1102"/>
  <c r="AS1106"/>
  <c r="AS1110"/>
  <c r="AS1114"/>
  <c r="AS1118"/>
  <c r="AS1122"/>
  <c r="AS1126"/>
  <c r="AS1130"/>
  <c r="AS1134"/>
  <c r="AS1138"/>
  <c r="AS1142"/>
  <c r="AS1146"/>
  <c r="AS1150"/>
  <c r="AS1154"/>
  <c r="AS1158"/>
  <c r="AS1162"/>
  <c r="AS1166"/>
  <c r="AS1170"/>
  <c r="AS1174"/>
  <c r="AS1178"/>
  <c r="AS1182"/>
  <c r="AS1186"/>
  <c r="AS1190"/>
  <c r="AQ69"/>
  <c r="AR135"/>
  <c r="AR201"/>
  <c r="AR203"/>
  <c r="AR205"/>
  <c r="AR207"/>
  <c r="AR209"/>
  <c r="AR211"/>
  <c r="AR213"/>
  <c r="AR215"/>
  <c r="AR217"/>
  <c r="AR219"/>
  <c r="AR221"/>
  <c r="AR223"/>
  <c r="AR225"/>
  <c r="AR227"/>
  <c r="AR229"/>
  <c r="AR231"/>
  <c r="AR233"/>
  <c r="AR235"/>
  <c r="AR237"/>
  <c r="AR239"/>
  <c r="AR241"/>
  <c r="AR243"/>
  <c r="AR245"/>
  <c r="AR247"/>
  <c r="AR249"/>
  <c r="AR251"/>
  <c r="AR253"/>
  <c r="AR255"/>
  <c r="AR257"/>
  <c r="AR259"/>
  <c r="AR261"/>
  <c r="AR263"/>
  <c r="AS546"/>
  <c r="AS562"/>
  <c r="AS578"/>
  <c r="AS594"/>
  <c r="AS610"/>
  <c r="AS626"/>
  <c r="AS642"/>
  <c r="AS658"/>
  <c r="AS674"/>
  <c r="AS683"/>
  <c r="AS689"/>
  <c r="AS694"/>
  <c r="AS699"/>
  <c r="AS705"/>
  <c r="AS710"/>
  <c r="AS715"/>
  <c r="AS721"/>
  <c r="AS726"/>
  <c r="AS731"/>
  <c r="AS737"/>
  <c r="AS742"/>
  <c r="AS747"/>
  <c r="AS753"/>
  <c r="AS758"/>
  <c r="AS763"/>
  <c r="AS769"/>
  <c r="AS774"/>
  <c r="AS779"/>
  <c r="AS785"/>
  <c r="AS790"/>
  <c r="AS795"/>
  <c r="AS801"/>
  <c r="AS806"/>
  <c r="AS811"/>
  <c r="AS817"/>
  <c r="AS822"/>
  <c r="AS827"/>
  <c r="AS833"/>
  <c r="AS838"/>
  <c r="AS843"/>
  <c r="AS849"/>
  <c r="AS854"/>
  <c r="AS859"/>
  <c r="AS863"/>
  <c r="AS867"/>
  <c r="AS871"/>
  <c r="AS875"/>
  <c r="AS879"/>
  <c r="AS883"/>
  <c r="AS887"/>
  <c r="AS891"/>
  <c r="AS895"/>
  <c r="AS899"/>
  <c r="AS903"/>
  <c r="AS907"/>
  <c r="AS911"/>
  <c r="AS915"/>
  <c r="AS919"/>
  <c r="AS923"/>
  <c r="AS927"/>
  <c r="AS931"/>
  <c r="AS935"/>
  <c r="AS939"/>
  <c r="AS943"/>
  <c r="AS947"/>
  <c r="AS951"/>
  <c r="AS955"/>
  <c r="AS959"/>
  <c r="AS963"/>
  <c r="AS967"/>
  <c r="AS971"/>
  <c r="AS975"/>
  <c r="AS979"/>
  <c r="AS983"/>
  <c r="AS987"/>
  <c r="AS991"/>
  <c r="AS995"/>
  <c r="AS999"/>
  <c r="AS1003"/>
  <c r="AS1007"/>
  <c r="AS1011"/>
  <c r="AS1015"/>
  <c r="AS1019"/>
  <c r="AS1023"/>
  <c r="AS1027"/>
  <c r="AS1031"/>
  <c r="AS1035"/>
  <c r="AS1039"/>
  <c r="AS1043"/>
  <c r="AS1047"/>
  <c r="AS1051"/>
  <c r="AS1055"/>
  <c r="AS1059"/>
  <c r="AS1063"/>
  <c r="AS1067"/>
  <c r="AS1071"/>
  <c r="AS1075"/>
  <c r="AS1079"/>
  <c r="AS1083"/>
  <c r="AS1087"/>
  <c r="AS1091"/>
  <c r="AS1095"/>
  <c r="AS1099"/>
  <c r="AS1103"/>
  <c r="AS1107"/>
  <c r="AS1111"/>
  <c r="AS1115"/>
  <c r="AS1119"/>
  <c r="AS1123"/>
  <c r="AS1127"/>
  <c r="AS1131"/>
  <c r="AS1135"/>
  <c r="AS1139"/>
  <c r="AS1143"/>
  <c r="AS1147"/>
  <c r="AS1151"/>
  <c r="AS1155"/>
  <c r="AS1159"/>
  <c r="AS1163"/>
  <c r="AS1167"/>
  <c r="AS1171"/>
  <c r="AS1175"/>
  <c r="AS1179"/>
  <c r="AS1183"/>
  <c r="AS1187"/>
  <c r="AQ135"/>
  <c r="AR69"/>
  <c r="AQ168"/>
  <c r="AQ202"/>
  <c r="AQ204"/>
  <c r="AQ206"/>
  <c r="AQ208"/>
  <c r="AQ210"/>
  <c r="AQ212"/>
  <c r="AQ214"/>
  <c r="AQ216"/>
  <c r="AQ218"/>
  <c r="AQ220"/>
  <c r="AQ222"/>
  <c r="AQ224"/>
  <c r="AQ226"/>
  <c r="AQ228"/>
  <c r="AQ230"/>
  <c r="AQ232"/>
  <c r="AQ234"/>
  <c r="AQ236"/>
  <c r="AQ238"/>
  <c r="AQ240"/>
  <c r="AQ242"/>
  <c r="AQ244"/>
  <c r="AQ246"/>
  <c r="AQ248"/>
  <c r="AQ250"/>
  <c r="AQ252"/>
  <c r="AQ254"/>
  <c r="AQ256"/>
  <c r="AQ258"/>
  <c r="AQ260"/>
  <c r="AQ262"/>
  <c r="AQ264"/>
  <c r="AQ266"/>
  <c r="AQ268"/>
  <c r="AQ270"/>
  <c r="AQ272"/>
  <c r="AQ274"/>
  <c r="AQ276"/>
  <c r="AQ278"/>
  <c r="AQ280"/>
  <c r="AQ282"/>
  <c r="AQ284"/>
  <c r="AS550"/>
  <c r="AS566"/>
  <c r="AS582"/>
  <c r="AS598"/>
  <c r="AS614"/>
  <c r="AS630"/>
  <c r="AS646"/>
  <c r="AS662"/>
  <c r="AS678"/>
  <c r="AS685"/>
  <c r="AS690"/>
  <c r="AS695"/>
  <c r="AS701"/>
  <c r="AS706"/>
  <c r="AS711"/>
  <c r="AS717"/>
  <c r="AS722"/>
  <c r="AS727"/>
  <c r="AS733"/>
  <c r="AS738"/>
  <c r="AS743"/>
  <c r="AS749"/>
  <c r="AS754"/>
  <c r="AS759"/>
  <c r="AS765"/>
  <c r="AS770"/>
  <c r="AS775"/>
  <c r="AS781"/>
  <c r="AS786"/>
  <c r="AS791"/>
  <c r="AS797"/>
  <c r="AS802"/>
  <c r="AS807"/>
  <c r="AS813"/>
  <c r="AS818"/>
  <c r="AS823"/>
  <c r="AS829"/>
  <c r="AS834"/>
  <c r="AS839"/>
  <c r="AS845"/>
  <c r="AS850"/>
  <c r="AS855"/>
  <c r="AS860"/>
  <c r="AS864"/>
  <c r="AS868"/>
  <c r="AS872"/>
  <c r="AS876"/>
  <c r="AS880"/>
  <c r="AS884"/>
  <c r="AS888"/>
  <c r="AS892"/>
  <c r="AS896"/>
  <c r="AS900"/>
  <c r="AS904"/>
  <c r="AS908"/>
  <c r="AS912"/>
  <c r="AS916"/>
  <c r="AS920"/>
  <c r="AS924"/>
  <c r="AS928"/>
  <c r="AS932"/>
  <c r="AS936"/>
  <c r="AS940"/>
  <c r="AS944"/>
  <c r="AS948"/>
  <c r="AS952"/>
  <c r="AS956"/>
  <c r="AS960"/>
  <c r="AS964"/>
  <c r="AS968"/>
  <c r="AS972"/>
  <c r="AS976"/>
  <c r="AS980"/>
  <c r="AS984"/>
  <c r="AS988"/>
  <c r="AS992"/>
  <c r="AS996"/>
  <c r="AS1000"/>
  <c r="AS1004"/>
  <c r="AS1008"/>
  <c r="AS1012"/>
  <c r="AS1016"/>
  <c r="AS1020"/>
  <c r="AS1024"/>
  <c r="AS1028"/>
  <c r="AS1032"/>
  <c r="AS1036"/>
  <c r="AS1040"/>
  <c r="AS1044"/>
  <c r="AS1048"/>
  <c r="AS1052"/>
  <c r="AS1056"/>
  <c r="AS1060"/>
  <c r="AS1064"/>
  <c r="AS1068"/>
  <c r="AS1072"/>
  <c r="AS1076"/>
  <c r="AS1080"/>
  <c r="AS1084"/>
  <c r="AS1088"/>
  <c r="AS1092"/>
  <c r="AS1096"/>
  <c r="AS1100"/>
  <c r="AS1104"/>
  <c r="AS1108"/>
  <c r="AS1112"/>
  <c r="AS1116"/>
  <c r="AS1120"/>
  <c r="AS1124"/>
  <c r="AS1128"/>
  <c r="AS1132"/>
  <c r="AS1136"/>
  <c r="AS1140"/>
  <c r="AS1144"/>
  <c r="AS1148"/>
  <c r="AS1152"/>
  <c r="AS1156"/>
  <c r="AS1160"/>
  <c r="AS1164"/>
  <c r="AS1168"/>
  <c r="AS1172"/>
  <c r="AS1176"/>
  <c r="AS1180"/>
  <c r="AS1184"/>
  <c r="AS1188"/>
  <c r="AQ36"/>
  <c r="AQ102"/>
  <c r="AR168"/>
  <c r="AR202"/>
  <c r="AR204"/>
  <c r="AR206"/>
  <c r="AR208"/>
  <c r="AR210"/>
  <c r="AR212"/>
  <c r="AR214"/>
  <c r="AR216"/>
  <c r="AR218"/>
  <c r="AR220"/>
  <c r="AR222"/>
  <c r="AR224"/>
  <c r="AR226"/>
  <c r="AR228"/>
  <c r="AR230"/>
  <c r="AR232"/>
  <c r="AR234"/>
  <c r="AR236"/>
  <c r="AR238"/>
  <c r="AR240"/>
  <c r="AR242"/>
  <c r="AR244"/>
  <c r="AR246"/>
  <c r="AR248"/>
  <c r="AR250"/>
  <c r="AR252"/>
  <c r="AR254"/>
  <c r="AR256"/>
  <c r="AR258"/>
  <c r="AR260"/>
  <c r="AR262"/>
  <c r="AR264"/>
  <c r="AR266"/>
  <c r="AR268"/>
  <c r="AR270"/>
  <c r="AR272"/>
  <c r="AR274"/>
  <c r="AR276"/>
  <c r="AR278"/>
  <c r="AR280"/>
  <c r="AR282"/>
  <c r="AR284"/>
  <c r="AR286"/>
  <c r="AR288"/>
  <c r="AR290"/>
  <c r="AR292"/>
  <c r="AR294"/>
  <c r="AR296"/>
  <c r="AR298"/>
  <c r="AR300"/>
  <c r="AR302"/>
  <c r="AR304"/>
  <c r="AR306"/>
  <c r="AR308"/>
  <c r="AR310"/>
  <c r="AR312"/>
  <c r="AR314"/>
  <c r="AR316"/>
  <c r="AR318"/>
  <c r="AR320"/>
  <c r="AR322"/>
  <c r="AR324"/>
  <c r="AR326"/>
  <c r="AR328"/>
  <c r="AR330"/>
  <c r="AR332"/>
  <c r="AR334"/>
  <c r="AR336"/>
  <c r="AR338"/>
  <c r="AR340"/>
  <c r="AR342"/>
  <c r="AR344"/>
  <c r="AR346"/>
  <c r="AR348"/>
  <c r="AR350"/>
  <c r="AR352"/>
  <c r="AR354"/>
  <c r="AR356"/>
  <c r="AR358"/>
  <c r="AR360"/>
  <c r="AR362"/>
  <c r="AR364"/>
  <c r="AR366"/>
  <c r="AR368"/>
  <c r="AR370"/>
  <c r="AR372"/>
  <c r="AR374"/>
  <c r="AR376"/>
  <c r="AR378"/>
  <c r="AR380"/>
  <c r="AR382"/>
  <c r="AR384"/>
  <c r="AR386"/>
  <c r="AR388"/>
  <c r="AR390"/>
  <c r="AR392"/>
  <c r="AR394"/>
  <c r="AR396"/>
  <c r="AR398"/>
  <c r="AR400"/>
  <c r="AR402"/>
  <c r="AR404"/>
  <c r="AR406"/>
  <c r="AR408"/>
  <c r="AR410"/>
  <c r="AR412"/>
  <c r="AR414"/>
  <c r="AR416"/>
  <c r="AR418"/>
  <c r="AR420"/>
  <c r="AR422"/>
  <c r="AR424"/>
  <c r="AR426"/>
  <c r="AR428"/>
  <c r="AR430"/>
  <c r="AR432"/>
  <c r="AR434"/>
  <c r="AR436"/>
  <c r="AR438"/>
  <c r="AR440"/>
  <c r="AR442"/>
  <c r="AR444"/>
  <c r="AR446"/>
  <c r="AR448"/>
  <c r="AR450"/>
  <c r="AR452"/>
  <c r="AR454"/>
  <c r="AR456"/>
  <c r="AR458"/>
  <c r="AR460"/>
  <c r="AR462"/>
  <c r="AR464"/>
  <c r="AR466"/>
  <c r="AR468"/>
  <c r="AR470"/>
  <c r="AR472"/>
  <c r="AR474"/>
  <c r="AR476"/>
  <c r="AR478"/>
  <c r="AR265"/>
  <c r="AR273"/>
  <c r="AR281"/>
  <c r="AR287"/>
  <c r="AR291"/>
  <c r="AR295"/>
  <c r="AR299"/>
  <c r="AR303"/>
  <c r="AR307"/>
  <c r="AR311"/>
  <c r="AR315"/>
  <c r="AR319"/>
  <c r="AR323"/>
  <c r="AR327"/>
  <c r="AR331"/>
  <c r="AR335"/>
  <c r="AR339"/>
  <c r="AR343"/>
  <c r="AR347"/>
  <c r="AR351"/>
  <c r="AR355"/>
  <c r="AR359"/>
  <c r="AR363"/>
  <c r="AR367"/>
  <c r="AR371"/>
  <c r="AR375"/>
  <c r="AR379"/>
  <c r="AR383"/>
  <c r="AR387"/>
  <c r="AR391"/>
  <c r="AQ394"/>
  <c r="AQ397"/>
  <c r="AR399"/>
  <c r="AQ402"/>
  <c r="AQ405"/>
  <c r="AR407"/>
  <c r="AQ410"/>
  <c r="AQ413"/>
  <c r="AR415"/>
  <c r="AQ418"/>
  <c r="AQ421"/>
  <c r="AR423"/>
  <c r="AQ426"/>
  <c r="AQ429"/>
  <c r="AR431"/>
  <c r="AQ434"/>
  <c r="AQ437"/>
  <c r="AR439"/>
  <c r="AQ442"/>
  <c r="AQ445"/>
  <c r="AR447"/>
  <c r="AQ450"/>
  <c r="AQ453"/>
  <c r="AR455"/>
  <c r="AQ458"/>
  <c r="AQ461"/>
  <c r="AR463"/>
  <c r="AQ466"/>
  <c r="AQ469"/>
  <c r="AR471"/>
  <c r="AQ474"/>
  <c r="AQ477"/>
  <c r="AR479"/>
  <c r="AR481"/>
  <c r="AR483"/>
  <c r="AR485"/>
  <c r="AR487"/>
  <c r="AR489"/>
  <c r="AR491"/>
  <c r="AR493"/>
  <c r="AR495"/>
  <c r="AR497"/>
  <c r="AR499"/>
  <c r="AR501"/>
  <c r="AR503"/>
  <c r="AR505"/>
  <c r="AR507"/>
  <c r="AR509"/>
  <c r="AR511"/>
  <c r="AR513"/>
  <c r="AR515"/>
  <c r="AR517"/>
  <c r="AR519"/>
  <c r="AR521"/>
  <c r="AR523"/>
  <c r="AR525"/>
  <c r="AR527"/>
  <c r="AR529"/>
  <c r="AR531"/>
  <c r="AR533"/>
  <c r="AR535"/>
  <c r="AR537"/>
  <c r="AR539"/>
  <c r="AR541"/>
  <c r="AR543"/>
  <c r="AR545"/>
  <c r="AR547"/>
  <c r="AR549"/>
  <c r="AR551"/>
  <c r="AR553"/>
  <c r="AR555"/>
  <c r="AR557"/>
  <c r="AR559"/>
  <c r="AR561"/>
  <c r="AR563"/>
  <c r="AR565"/>
  <c r="AR567"/>
  <c r="AR569"/>
  <c r="AR571"/>
  <c r="AR573"/>
  <c r="AR575"/>
  <c r="AR577"/>
  <c r="AR579"/>
  <c r="AR581"/>
  <c r="AR583"/>
  <c r="AR585"/>
  <c r="AR587"/>
  <c r="AR589"/>
  <c r="AR591"/>
  <c r="AR593"/>
  <c r="AR595"/>
  <c r="AR597"/>
  <c r="AR599"/>
  <c r="AR601"/>
  <c r="AR603"/>
  <c r="AR605"/>
  <c r="AR607"/>
  <c r="AR609"/>
  <c r="AR611"/>
  <c r="AR613"/>
  <c r="AR615"/>
  <c r="AR617"/>
  <c r="AR619"/>
  <c r="AR621"/>
  <c r="AR623"/>
  <c r="AR625"/>
  <c r="AR627"/>
  <c r="AR629"/>
  <c r="AR631"/>
  <c r="AR633"/>
  <c r="AR635"/>
  <c r="AR637"/>
  <c r="AR639"/>
  <c r="AR641"/>
  <c r="AR643"/>
  <c r="AR645"/>
  <c r="AR647"/>
  <c r="AR649"/>
  <c r="AR651"/>
  <c r="AR653"/>
  <c r="AR655"/>
  <c r="AR657"/>
  <c r="AR659"/>
  <c r="AR661"/>
  <c r="AR663"/>
  <c r="AR665"/>
  <c r="AR667"/>
  <c r="AR669"/>
  <c r="AR671"/>
  <c r="AR673"/>
  <c r="AR675"/>
  <c r="AR677"/>
  <c r="AR679"/>
  <c r="AR681"/>
  <c r="AR683"/>
  <c r="AR685"/>
  <c r="AR687"/>
  <c r="AR689"/>
  <c r="AR691"/>
  <c r="AR693"/>
  <c r="AR695"/>
  <c r="AR697"/>
  <c r="AR699"/>
  <c r="AR701"/>
  <c r="AR703"/>
  <c r="AR705"/>
  <c r="AR707"/>
  <c r="AR709"/>
  <c r="AR711"/>
  <c r="AR713"/>
  <c r="AR715"/>
  <c r="AR717"/>
  <c r="AR719"/>
  <c r="AR721"/>
  <c r="AR723"/>
  <c r="AR725"/>
  <c r="AR727"/>
  <c r="AR729"/>
  <c r="AR731"/>
  <c r="AR733"/>
  <c r="AR735"/>
  <c r="AR737"/>
  <c r="AR739"/>
  <c r="AR741"/>
  <c r="AR743"/>
  <c r="AR745"/>
  <c r="AR747"/>
  <c r="AR749"/>
  <c r="AR751"/>
  <c r="AR753"/>
  <c r="AR755"/>
  <c r="AR757"/>
  <c r="AR759"/>
  <c r="AR761"/>
  <c r="AR763"/>
  <c r="AR765"/>
  <c r="AR767"/>
  <c r="AR769"/>
  <c r="AR771"/>
  <c r="AR773"/>
  <c r="AR775"/>
  <c r="AR777"/>
  <c r="AR779"/>
  <c r="AR781"/>
  <c r="AR783"/>
  <c r="AR785"/>
  <c r="AR787"/>
  <c r="AR789"/>
  <c r="AR791"/>
  <c r="AR793"/>
  <c r="AR795"/>
  <c r="AR797"/>
  <c r="AR799"/>
  <c r="AR801"/>
  <c r="AR803"/>
  <c r="AR805"/>
  <c r="AR807"/>
  <c r="AR809"/>
  <c r="AR811"/>
  <c r="AR813"/>
  <c r="AR815"/>
  <c r="AR817"/>
  <c r="AR819"/>
  <c r="AR821"/>
  <c r="AR823"/>
  <c r="AR825"/>
  <c r="AR827"/>
  <c r="AR829"/>
  <c r="AR831"/>
  <c r="AR833"/>
  <c r="AR835"/>
  <c r="AR837"/>
  <c r="AR839"/>
  <c r="AR841"/>
  <c r="AR843"/>
  <c r="AR845"/>
  <c r="AR847"/>
  <c r="AR849"/>
  <c r="AR851"/>
  <c r="AR267"/>
  <c r="AR275"/>
  <c r="AR283"/>
  <c r="AQ288"/>
  <c r="AQ292"/>
  <c r="AQ296"/>
  <c r="AQ300"/>
  <c r="AQ304"/>
  <c r="AQ308"/>
  <c r="AQ312"/>
  <c r="AQ316"/>
  <c r="AQ320"/>
  <c r="AQ324"/>
  <c r="AQ328"/>
  <c r="AQ332"/>
  <c r="AQ336"/>
  <c r="AQ340"/>
  <c r="AQ344"/>
  <c r="AQ348"/>
  <c r="AQ352"/>
  <c r="AQ356"/>
  <c r="AQ360"/>
  <c r="AQ364"/>
  <c r="AQ368"/>
  <c r="AQ372"/>
  <c r="AQ376"/>
  <c r="AQ380"/>
  <c r="AQ384"/>
  <c r="AQ388"/>
  <c r="AQ392"/>
  <c r="AQ395"/>
  <c r="AR397"/>
  <c r="AQ400"/>
  <c r="AQ403"/>
  <c r="AR405"/>
  <c r="AQ408"/>
  <c r="AQ411"/>
  <c r="AR413"/>
  <c r="AQ416"/>
  <c r="AQ419"/>
  <c r="AR421"/>
  <c r="AQ424"/>
  <c r="AQ427"/>
  <c r="AR429"/>
  <c r="AQ432"/>
  <c r="AQ435"/>
  <c r="AR437"/>
  <c r="AQ440"/>
  <c r="AQ443"/>
  <c r="AR445"/>
  <c r="AQ448"/>
  <c r="AQ451"/>
  <c r="AR453"/>
  <c r="AQ456"/>
  <c r="AQ459"/>
  <c r="AR461"/>
  <c r="AQ464"/>
  <c r="AQ467"/>
  <c r="AR469"/>
  <c r="AQ472"/>
  <c r="AQ475"/>
  <c r="AR477"/>
  <c r="AQ480"/>
  <c r="AQ482"/>
  <c r="AQ484"/>
  <c r="AQ486"/>
  <c r="AQ488"/>
  <c r="AQ490"/>
  <c r="AQ492"/>
  <c r="AQ494"/>
  <c r="AQ496"/>
  <c r="AQ498"/>
  <c r="AQ500"/>
  <c r="AQ502"/>
  <c r="AQ504"/>
  <c r="AQ506"/>
  <c r="AQ508"/>
  <c r="AQ510"/>
  <c r="AQ512"/>
  <c r="AQ514"/>
  <c r="AQ516"/>
  <c r="AQ518"/>
  <c r="AQ520"/>
  <c r="AQ522"/>
  <c r="AQ524"/>
  <c r="AQ526"/>
  <c r="AQ528"/>
  <c r="AQ530"/>
  <c r="AQ532"/>
  <c r="AQ534"/>
  <c r="AQ536"/>
  <c r="AQ538"/>
  <c r="AQ540"/>
  <c r="AQ542"/>
  <c r="AQ544"/>
  <c r="AQ546"/>
  <c r="AQ548"/>
  <c r="AQ550"/>
  <c r="AQ552"/>
  <c r="AQ554"/>
  <c r="AQ556"/>
  <c r="AQ558"/>
  <c r="AQ560"/>
  <c r="AQ562"/>
  <c r="AQ564"/>
  <c r="AQ566"/>
  <c r="AQ568"/>
  <c r="AQ570"/>
  <c r="AQ572"/>
  <c r="AQ574"/>
  <c r="AQ576"/>
  <c r="AQ578"/>
  <c r="AQ580"/>
  <c r="AQ582"/>
  <c r="AQ584"/>
  <c r="AQ586"/>
  <c r="AQ588"/>
  <c r="AQ590"/>
  <c r="AQ592"/>
  <c r="AQ594"/>
  <c r="AQ596"/>
  <c r="AQ598"/>
  <c r="AQ600"/>
  <c r="AQ602"/>
  <c r="AQ604"/>
  <c r="AQ606"/>
  <c r="AQ608"/>
  <c r="AQ610"/>
  <c r="AQ612"/>
  <c r="AQ614"/>
  <c r="AQ616"/>
  <c r="AQ618"/>
  <c r="AQ620"/>
  <c r="AQ622"/>
  <c r="AQ624"/>
  <c r="AQ626"/>
  <c r="AQ628"/>
  <c r="AQ630"/>
  <c r="AQ632"/>
  <c r="AQ634"/>
  <c r="AQ636"/>
  <c r="AQ638"/>
  <c r="AQ640"/>
  <c r="AQ642"/>
  <c r="AQ644"/>
  <c r="AQ646"/>
  <c r="AQ648"/>
  <c r="AQ650"/>
  <c r="AQ652"/>
  <c r="AQ654"/>
  <c r="AQ656"/>
  <c r="AQ658"/>
  <c r="AQ660"/>
  <c r="AQ662"/>
  <c r="AQ664"/>
  <c r="AQ666"/>
  <c r="AQ668"/>
  <c r="AQ670"/>
  <c r="AQ672"/>
  <c r="AQ674"/>
  <c r="AQ676"/>
  <c r="AQ678"/>
  <c r="AQ680"/>
  <c r="AQ682"/>
  <c r="AQ684"/>
  <c r="AQ686"/>
  <c r="AQ688"/>
  <c r="AQ690"/>
  <c r="AQ692"/>
  <c r="AQ694"/>
  <c r="AR269"/>
  <c r="AR277"/>
  <c r="AR285"/>
  <c r="AR289"/>
  <c r="AR293"/>
  <c r="AR297"/>
  <c r="AR301"/>
  <c r="AR305"/>
  <c r="AR309"/>
  <c r="AR313"/>
  <c r="AR317"/>
  <c r="AR321"/>
  <c r="AR325"/>
  <c r="AR329"/>
  <c r="AR333"/>
  <c r="AR337"/>
  <c r="AR341"/>
  <c r="AR345"/>
  <c r="AR349"/>
  <c r="AR353"/>
  <c r="AR357"/>
  <c r="AR361"/>
  <c r="AR365"/>
  <c r="AR369"/>
  <c r="AR373"/>
  <c r="AR377"/>
  <c r="AR381"/>
  <c r="AR385"/>
  <c r="AR389"/>
  <c r="AQ393"/>
  <c r="AR395"/>
  <c r="AQ398"/>
  <c r="AQ401"/>
  <c r="AR403"/>
  <c r="AQ406"/>
  <c r="AQ409"/>
  <c r="AR411"/>
  <c r="AQ414"/>
  <c r="AQ417"/>
  <c r="AR419"/>
  <c r="AQ422"/>
  <c r="AQ425"/>
  <c r="AR427"/>
  <c r="AQ430"/>
  <c r="AQ433"/>
  <c r="AR435"/>
  <c r="AQ438"/>
  <c r="AQ441"/>
  <c r="AR443"/>
  <c r="AQ446"/>
  <c r="AQ449"/>
  <c r="AR451"/>
  <c r="AQ454"/>
  <c r="AQ457"/>
  <c r="AR459"/>
  <c r="AQ462"/>
  <c r="AQ465"/>
  <c r="AR467"/>
  <c r="AQ470"/>
  <c r="AQ473"/>
  <c r="AR475"/>
  <c r="AQ478"/>
  <c r="AR480"/>
  <c r="AR482"/>
  <c r="AR484"/>
  <c r="AR486"/>
  <c r="AR488"/>
  <c r="AR490"/>
  <c r="AR492"/>
  <c r="AR494"/>
  <c r="AR496"/>
  <c r="AR498"/>
  <c r="AR500"/>
  <c r="AR502"/>
  <c r="AR504"/>
  <c r="AR506"/>
  <c r="AR508"/>
  <c r="AR510"/>
  <c r="AR512"/>
  <c r="AR514"/>
  <c r="AR516"/>
  <c r="AR518"/>
  <c r="AR520"/>
  <c r="AR522"/>
  <c r="AR524"/>
  <c r="AR526"/>
  <c r="AR528"/>
  <c r="AR530"/>
  <c r="AR532"/>
  <c r="AR534"/>
  <c r="AR536"/>
  <c r="AR538"/>
  <c r="AR540"/>
  <c r="AR542"/>
  <c r="AR544"/>
  <c r="AR546"/>
  <c r="AR548"/>
  <c r="AR550"/>
  <c r="AR552"/>
  <c r="AR554"/>
  <c r="AR556"/>
  <c r="AR558"/>
  <c r="AR560"/>
  <c r="AR562"/>
  <c r="AR564"/>
  <c r="AR566"/>
  <c r="AR568"/>
  <c r="AR570"/>
  <c r="AR572"/>
  <c r="AR574"/>
  <c r="AR576"/>
  <c r="AR578"/>
  <c r="AR580"/>
  <c r="AR582"/>
  <c r="AR584"/>
  <c r="AR586"/>
  <c r="AR588"/>
  <c r="AR590"/>
  <c r="AR592"/>
  <c r="AR594"/>
  <c r="AR596"/>
  <c r="AR598"/>
  <c r="AR600"/>
  <c r="AR602"/>
  <c r="AR604"/>
  <c r="AR606"/>
  <c r="AR608"/>
  <c r="AR610"/>
  <c r="AR612"/>
  <c r="AR614"/>
  <c r="AR616"/>
  <c r="AR618"/>
  <c r="AR620"/>
  <c r="AR622"/>
  <c r="AR624"/>
  <c r="AR626"/>
  <c r="AR628"/>
  <c r="AR630"/>
  <c r="AR632"/>
  <c r="AR634"/>
  <c r="AR636"/>
  <c r="AR638"/>
  <c r="AR640"/>
  <c r="AR642"/>
  <c r="AR644"/>
  <c r="AR646"/>
  <c r="AR648"/>
  <c r="AR650"/>
  <c r="AR652"/>
  <c r="AR654"/>
  <c r="AR656"/>
  <c r="AR658"/>
  <c r="AR660"/>
  <c r="AR662"/>
  <c r="AR664"/>
  <c r="AR666"/>
  <c r="AR668"/>
  <c r="AR670"/>
  <c r="AR672"/>
  <c r="AR674"/>
  <c r="AR676"/>
  <c r="AR678"/>
  <c r="AR680"/>
  <c r="AR682"/>
  <c r="AR684"/>
  <c r="AR686"/>
  <c r="AR688"/>
  <c r="AR690"/>
  <c r="AR692"/>
  <c r="AR694"/>
  <c r="AR696"/>
  <c r="AR698"/>
  <c r="AR700"/>
  <c r="AR702"/>
  <c r="AR704"/>
  <c r="AR706"/>
  <c r="AR708"/>
  <c r="AR710"/>
  <c r="AR712"/>
  <c r="AR714"/>
  <c r="AR716"/>
  <c r="AR718"/>
  <c r="AR720"/>
  <c r="AR722"/>
  <c r="AR724"/>
  <c r="AR726"/>
  <c r="AR728"/>
  <c r="AR730"/>
  <c r="AR732"/>
  <c r="AR734"/>
  <c r="AR736"/>
  <c r="AR738"/>
  <c r="AR740"/>
  <c r="AR742"/>
  <c r="AR744"/>
  <c r="AR746"/>
  <c r="AR748"/>
  <c r="AR750"/>
  <c r="AR752"/>
  <c r="AR754"/>
  <c r="AR756"/>
  <c r="AR758"/>
  <c r="AR760"/>
  <c r="AR762"/>
  <c r="AR764"/>
  <c r="AR766"/>
  <c r="AR768"/>
  <c r="AR770"/>
  <c r="AR772"/>
  <c r="AR774"/>
  <c r="AR776"/>
  <c r="AR778"/>
  <c r="AR780"/>
  <c r="AR782"/>
  <c r="AR784"/>
  <c r="AR786"/>
  <c r="AR788"/>
  <c r="AR790"/>
  <c r="AR792"/>
  <c r="AR794"/>
  <c r="AR796"/>
  <c r="AR798"/>
  <c r="AR271"/>
  <c r="AR279"/>
  <c r="AQ286"/>
  <c r="AQ290"/>
  <c r="AQ294"/>
  <c r="AQ298"/>
  <c r="AQ302"/>
  <c r="AQ306"/>
  <c r="AQ310"/>
  <c r="AQ314"/>
  <c r="AQ318"/>
  <c r="AQ322"/>
  <c r="AQ326"/>
  <c r="AQ330"/>
  <c r="AQ334"/>
  <c r="AQ338"/>
  <c r="AQ342"/>
  <c r="AQ346"/>
  <c r="AQ350"/>
  <c r="AQ354"/>
  <c r="AQ358"/>
  <c r="AQ362"/>
  <c r="AQ366"/>
  <c r="AQ370"/>
  <c r="AQ374"/>
  <c r="AQ378"/>
  <c r="AQ382"/>
  <c r="AQ386"/>
  <c r="AQ390"/>
  <c r="AR393"/>
  <c r="AQ396"/>
  <c r="AQ399"/>
  <c r="AR401"/>
  <c r="AQ404"/>
  <c r="AQ407"/>
  <c r="AR409"/>
  <c r="AQ412"/>
  <c r="AQ415"/>
  <c r="AR417"/>
  <c r="AQ420"/>
  <c r="AQ423"/>
  <c r="AR425"/>
  <c r="AQ428"/>
  <c r="AQ431"/>
  <c r="AR433"/>
  <c r="AQ436"/>
  <c r="AQ439"/>
  <c r="AR441"/>
  <c r="AQ444"/>
  <c r="AQ447"/>
  <c r="AR449"/>
  <c r="AQ452"/>
  <c r="AQ455"/>
  <c r="AR457"/>
  <c r="AQ460"/>
  <c r="AQ463"/>
  <c r="AR465"/>
  <c r="AQ468"/>
  <c r="AQ471"/>
  <c r="AR473"/>
  <c r="AQ476"/>
  <c r="AQ479"/>
  <c r="AQ481"/>
  <c r="AQ483"/>
  <c r="AQ485"/>
  <c r="AQ487"/>
  <c r="AQ489"/>
  <c r="AQ491"/>
  <c r="AQ493"/>
  <c r="AQ495"/>
  <c r="AQ497"/>
  <c r="AQ499"/>
  <c r="AQ501"/>
  <c r="AQ503"/>
  <c r="AQ505"/>
  <c r="AQ507"/>
  <c r="AQ509"/>
  <c r="AQ511"/>
  <c r="AQ513"/>
  <c r="AQ515"/>
  <c r="AQ517"/>
  <c r="AQ519"/>
  <c r="AQ521"/>
  <c r="AQ523"/>
  <c r="AQ525"/>
  <c r="AQ527"/>
  <c r="AQ529"/>
  <c r="AQ531"/>
  <c r="AQ533"/>
  <c r="AQ535"/>
  <c r="AQ537"/>
  <c r="AQ539"/>
  <c r="AQ541"/>
  <c r="AQ543"/>
  <c r="AQ545"/>
  <c r="AQ547"/>
  <c r="AQ549"/>
  <c r="AQ551"/>
  <c r="AQ553"/>
  <c r="AQ555"/>
  <c r="AQ557"/>
  <c r="AQ559"/>
  <c r="AQ561"/>
  <c r="AQ563"/>
  <c r="AQ565"/>
  <c r="AQ567"/>
  <c r="AQ569"/>
  <c r="AQ571"/>
  <c r="AQ573"/>
  <c r="AQ575"/>
  <c r="AQ577"/>
  <c r="AQ579"/>
  <c r="AQ581"/>
  <c r="AQ583"/>
  <c r="AQ585"/>
  <c r="AQ587"/>
  <c r="AQ589"/>
  <c r="AQ591"/>
  <c r="AQ593"/>
  <c r="AQ595"/>
  <c r="AQ597"/>
  <c r="AQ599"/>
  <c r="AQ601"/>
  <c r="AQ603"/>
  <c r="AQ605"/>
  <c r="AQ607"/>
  <c r="AQ609"/>
  <c r="AQ611"/>
  <c r="AQ613"/>
  <c r="AQ615"/>
  <c r="AQ617"/>
  <c r="AQ619"/>
  <c r="AQ621"/>
  <c r="AQ623"/>
  <c r="AQ625"/>
  <c r="AQ627"/>
  <c r="AQ629"/>
  <c r="AQ631"/>
  <c r="AQ633"/>
  <c r="AQ635"/>
  <c r="AQ637"/>
  <c r="AQ639"/>
  <c r="AQ641"/>
  <c r="AQ643"/>
  <c r="AQ645"/>
  <c r="AQ647"/>
  <c r="AQ649"/>
  <c r="AQ651"/>
  <c r="AQ653"/>
  <c r="AQ655"/>
  <c r="AQ657"/>
  <c r="AQ659"/>
  <c r="AQ661"/>
  <c r="AQ663"/>
  <c r="AQ665"/>
  <c r="AQ667"/>
  <c r="AQ669"/>
  <c r="AQ671"/>
  <c r="AQ673"/>
  <c r="AQ675"/>
  <c r="AQ677"/>
  <c r="AQ679"/>
  <c r="AQ681"/>
  <c r="AQ683"/>
  <c r="AQ685"/>
  <c r="AQ687"/>
  <c r="AQ689"/>
  <c r="AQ691"/>
  <c r="AQ693"/>
  <c r="AQ695"/>
  <c r="AQ697"/>
  <c r="AQ699"/>
  <c r="AQ701"/>
  <c r="AQ703"/>
  <c r="AQ705"/>
  <c r="AQ707"/>
  <c r="AQ709"/>
  <c r="AQ711"/>
  <c r="AQ713"/>
  <c r="AQ715"/>
  <c r="AQ717"/>
  <c r="AQ719"/>
  <c r="AQ721"/>
  <c r="AQ723"/>
  <c r="AQ725"/>
  <c r="AQ727"/>
  <c r="AQ729"/>
  <c r="AQ731"/>
  <c r="AQ733"/>
  <c r="AQ735"/>
  <c r="AQ737"/>
  <c r="AQ739"/>
  <c r="AQ741"/>
  <c r="AQ743"/>
  <c r="AQ745"/>
  <c r="AQ747"/>
  <c r="AQ749"/>
  <c r="AQ751"/>
  <c r="AQ753"/>
  <c r="AQ755"/>
  <c r="AQ757"/>
  <c r="AQ759"/>
  <c r="AQ761"/>
  <c r="AQ763"/>
  <c r="AQ765"/>
  <c r="AQ767"/>
  <c r="AQ769"/>
  <c r="AQ771"/>
  <c r="AQ773"/>
  <c r="AQ775"/>
  <c r="AQ777"/>
  <c r="AQ779"/>
  <c r="AQ781"/>
  <c r="AQ783"/>
  <c r="AQ785"/>
  <c r="AQ787"/>
  <c r="AQ789"/>
  <c r="AQ791"/>
  <c r="AQ793"/>
  <c r="AQ795"/>
  <c r="AQ797"/>
  <c r="AQ799"/>
  <c r="AQ801"/>
  <c r="AQ803"/>
  <c r="AQ805"/>
  <c r="AQ807"/>
  <c r="AQ809"/>
  <c r="AQ811"/>
  <c r="AQ813"/>
  <c r="AQ815"/>
  <c r="AQ817"/>
  <c r="AQ819"/>
  <c r="AQ821"/>
  <c r="AQ823"/>
  <c r="AQ825"/>
  <c r="AQ827"/>
  <c r="AQ829"/>
  <c r="AQ831"/>
  <c r="AQ833"/>
  <c r="AQ835"/>
  <c r="AQ837"/>
  <c r="AQ839"/>
  <c r="AQ841"/>
  <c r="AQ843"/>
  <c r="AQ845"/>
  <c r="AQ847"/>
  <c r="AQ849"/>
  <c r="AQ851"/>
  <c r="AQ853"/>
  <c r="AQ855"/>
  <c r="AQ857"/>
  <c r="AQ859"/>
  <c r="AQ861"/>
  <c r="AQ863"/>
  <c r="AQ865"/>
  <c r="AQ867"/>
  <c r="AQ869"/>
  <c r="AQ871"/>
  <c r="AQ873"/>
  <c r="AQ875"/>
  <c r="AQ877"/>
  <c r="AQ879"/>
  <c r="AQ881"/>
  <c r="AQ883"/>
  <c r="AQ885"/>
  <c r="AQ887"/>
  <c r="AQ889"/>
  <c r="AQ891"/>
  <c r="AQ893"/>
  <c r="AQ895"/>
  <c r="AQ897"/>
  <c r="AQ899"/>
  <c r="AQ901"/>
  <c r="AQ903"/>
  <c r="AQ905"/>
  <c r="AQ907"/>
  <c r="AQ909"/>
  <c r="AQ911"/>
  <c r="AQ913"/>
  <c r="AQ915"/>
  <c r="AQ917"/>
  <c r="AQ919"/>
  <c r="AQ921"/>
  <c r="AQ923"/>
  <c r="AQ925"/>
  <c r="AQ927"/>
  <c r="AQ929"/>
  <c r="AQ931"/>
  <c r="AQ933"/>
  <c r="AQ935"/>
  <c r="AQ937"/>
  <c r="AQ939"/>
  <c r="AQ941"/>
  <c r="AQ943"/>
  <c r="AQ945"/>
  <c r="AQ947"/>
  <c r="AQ949"/>
  <c r="AQ951"/>
  <c r="AQ953"/>
  <c r="AQ955"/>
  <c r="AQ957"/>
  <c r="AQ959"/>
  <c r="AQ961"/>
  <c r="AQ963"/>
  <c r="AQ965"/>
  <c r="AQ967"/>
  <c r="AQ969"/>
  <c r="AQ971"/>
  <c r="AQ973"/>
  <c r="AQ975"/>
  <c r="AQ977"/>
  <c r="AQ979"/>
  <c r="AQ981"/>
  <c r="AQ983"/>
  <c r="AQ985"/>
  <c r="AU68"/>
  <c r="AT200"/>
  <c r="AQ1189"/>
  <c r="AQ1187"/>
  <c r="AQ1185"/>
  <c r="AQ1183"/>
  <c r="AQ1181"/>
  <c r="AQ1179"/>
  <c r="AQ1177"/>
  <c r="AQ1175"/>
  <c r="AQ1173"/>
  <c r="AQ1171"/>
  <c r="AQ1169"/>
  <c r="AQ1167"/>
  <c r="AQ1165"/>
  <c r="AQ1163"/>
  <c r="AQ1161"/>
  <c r="AQ1159"/>
  <c r="AQ1157"/>
  <c r="AQ1155"/>
  <c r="AQ1153"/>
  <c r="AQ1151"/>
  <c r="AQ1149"/>
  <c r="AQ1147"/>
  <c r="AQ1145"/>
  <c r="AQ1143"/>
  <c r="AQ1141"/>
  <c r="AQ1139"/>
  <c r="AQ1137"/>
  <c r="AQ1135"/>
  <c r="AQ1133"/>
  <c r="AQ1131"/>
  <c r="AQ1129"/>
  <c r="AQ1127"/>
  <c r="AQ1125"/>
  <c r="AQ1123"/>
  <c r="AQ1121"/>
  <c r="AQ1119"/>
  <c r="AQ1117"/>
  <c r="AQ1115"/>
  <c r="AQ1113"/>
  <c r="AQ1111"/>
  <c r="AQ1109"/>
  <c r="AQ1107"/>
  <c r="AQ1105"/>
  <c r="AQ1103"/>
  <c r="AQ1101"/>
  <c r="AQ1099"/>
  <c r="AQ1097"/>
  <c r="AQ1095"/>
  <c r="AQ1093"/>
  <c r="AQ1091"/>
  <c r="AQ1089"/>
  <c r="AQ1087"/>
  <c r="AQ1085"/>
  <c r="AQ1083"/>
  <c r="AQ1081"/>
  <c r="AQ1079"/>
  <c r="AQ1077"/>
  <c r="AQ1075"/>
  <c r="AQ1073"/>
  <c r="AQ1071"/>
  <c r="AQ1069"/>
  <c r="AQ1067"/>
  <c r="AQ1065"/>
  <c r="AQ1063"/>
  <c r="AQ1061"/>
  <c r="AQ1059"/>
  <c r="AQ1057"/>
  <c r="AQ1055"/>
  <c r="AQ1053"/>
  <c r="AQ1051"/>
  <c r="AQ1049"/>
  <c r="AQ1047"/>
  <c r="AQ1045"/>
  <c r="AQ1043"/>
  <c r="AQ1041"/>
  <c r="AQ1039"/>
  <c r="AQ1037"/>
  <c r="AQ1035"/>
  <c r="AQ1033"/>
  <c r="AQ1031"/>
  <c r="AQ1029"/>
  <c r="AQ1027"/>
  <c r="AQ1025"/>
  <c r="AQ1023"/>
  <c r="AQ1021"/>
  <c r="AQ1019"/>
  <c r="AQ1017"/>
  <c r="AQ1015"/>
  <c r="AQ1013"/>
  <c r="AQ1011"/>
  <c r="AQ1009"/>
  <c r="AQ1007"/>
  <c r="AQ1005"/>
  <c r="AQ1003"/>
  <c r="AQ1001"/>
  <c r="AQ999"/>
  <c r="AQ997"/>
  <c r="AQ995"/>
  <c r="AQ993"/>
  <c r="AQ991"/>
  <c r="AQ989"/>
  <c r="AQ987"/>
  <c r="AR984"/>
  <c r="AQ982"/>
  <c r="AR979"/>
  <c r="AR976"/>
  <c r="AQ974"/>
  <c r="AR971"/>
  <c r="AR968"/>
  <c r="AQ966"/>
  <c r="AR963"/>
  <c r="AR960"/>
  <c r="AQ958"/>
  <c r="AR955"/>
  <c r="AR952"/>
  <c r="AQ950"/>
  <c r="AR947"/>
  <c r="AR944"/>
  <c r="AQ942"/>
  <c r="AR939"/>
  <c r="AR936"/>
  <c r="AQ934"/>
  <c r="AR931"/>
  <c r="AR928"/>
  <c r="AQ926"/>
  <c r="AR923"/>
  <c r="AR920"/>
  <c r="AQ918"/>
  <c r="AR915"/>
  <c r="AR912"/>
  <c r="AQ910"/>
  <c r="AR907"/>
  <c r="AR904"/>
  <c r="AQ902"/>
  <c r="AR899"/>
  <c r="AR896"/>
  <c r="AQ894"/>
  <c r="AR891"/>
  <c r="AR888"/>
  <c r="AQ886"/>
  <c r="AR883"/>
  <c r="AR880"/>
  <c r="AQ878"/>
  <c r="AR875"/>
  <c r="AR872"/>
  <c r="AQ870"/>
  <c r="AR867"/>
  <c r="AR864"/>
  <c r="AQ862"/>
  <c r="AR859"/>
  <c r="AR856"/>
  <c r="AQ854"/>
  <c r="AR850"/>
  <c r="AR846"/>
  <c r="AR842"/>
  <c r="AR838"/>
  <c r="AR834"/>
  <c r="AR830"/>
  <c r="AR826"/>
  <c r="AR822"/>
  <c r="AR818"/>
  <c r="AR814"/>
  <c r="AR810"/>
  <c r="AR806"/>
  <c r="AR802"/>
  <c r="AQ798"/>
  <c r="AQ790"/>
  <c r="AQ782"/>
  <c r="AQ774"/>
  <c r="AQ766"/>
  <c r="AQ758"/>
  <c r="AQ750"/>
  <c r="AQ742"/>
  <c r="AQ734"/>
  <c r="AQ726"/>
  <c r="AQ718"/>
  <c r="AQ710"/>
  <c r="AQ702"/>
  <c r="AR1154"/>
  <c r="AR1152"/>
  <c r="AR1150"/>
  <c r="AR1148"/>
  <c r="AR1146"/>
  <c r="AR1144"/>
  <c r="AR1142"/>
  <c r="AR1140"/>
  <c r="AR1138"/>
  <c r="AR1136"/>
  <c r="AR1134"/>
  <c r="AR1132"/>
  <c r="AR1130"/>
  <c r="AR1128"/>
  <c r="AR1126"/>
  <c r="AR1124"/>
  <c r="AR1122"/>
  <c r="AR1120"/>
  <c r="AR1118"/>
  <c r="AR1116"/>
  <c r="AR1114"/>
  <c r="AR1112"/>
  <c r="AR1110"/>
  <c r="AR1108"/>
  <c r="AR1106"/>
  <c r="AR1104"/>
  <c r="AR1102"/>
  <c r="AR1100"/>
  <c r="AR1098"/>
  <c r="AR1096"/>
  <c r="AR1094"/>
  <c r="AR1092"/>
  <c r="AR1090"/>
  <c r="AR1088"/>
  <c r="AR1086"/>
  <c r="AR1084"/>
  <c r="AR1082"/>
  <c r="AR1080"/>
  <c r="AR1078"/>
  <c r="AR1076"/>
  <c r="AR1074"/>
  <c r="AR1072"/>
  <c r="AR1070"/>
  <c r="AR1068"/>
  <c r="AR1066"/>
  <c r="AR1064"/>
  <c r="AR1062"/>
  <c r="AR1060"/>
  <c r="AR1058"/>
  <c r="AR1056"/>
  <c r="AR1054"/>
  <c r="AR1052"/>
  <c r="AR1050"/>
  <c r="AR1048"/>
  <c r="AR1046"/>
  <c r="AR1044"/>
  <c r="AR1042"/>
  <c r="AR1040"/>
  <c r="AR1038"/>
  <c r="AR1036"/>
  <c r="AR1034"/>
  <c r="AR1032"/>
  <c r="AR1030"/>
  <c r="AR1028"/>
  <c r="AR1026"/>
  <c r="AR1024"/>
  <c r="AR1022"/>
  <c r="AR1020"/>
  <c r="AR1018"/>
  <c r="AR1016"/>
  <c r="AR1014"/>
  <c r="AR1012"/>
  <c r="AR1010"/>
  <c r="AR1008"/>
  <c r="AR1006"/>
  <c r="AR1004"/>
  <c r="AR1002"/>
  <c r="AR1000"/>
  <c r="AR998"/>
  <c r="AR996"/>
  <c r="AR994"/>
  <c r="AR992"/>
  <c r="AR990"/>
  <c r="AR988"/>
  <c r="AR986"/>
  <c r="AQ984"/>
  <c r="AR981"/>
  <c r="AR978"/>
  <c r="AQ976"/>
  <c r="AR973"/>
  <c r="AR970"/>
  <c r="AQ968"/>
  <c r="AR965"/>
  <c r="AR962"/>
  <c r="AQ960"/>
  <c r="AR957"/>
  <c r="AR954"/>
  <c r="AQ952"/>
  <c r="AR949"/>
  <c r="AR946"/>
  <c r="AQ944"/>
  <c r="AR941"/>
  <c r="AR938"/>
  <c r="AQ936"/>
  <c r="AR933"/>
  <c r="AR930"/>
  <c r="AQ928"/>
  <c r="AR925"/>
  <c r="AR922"/>
  <c r="AQ920"/>
  <c r="AR917"/>
  <c r="AR914"/>
  <c r="AQ912"/>
  <c r="AR909"/>
  <c r="AR906"/>
  <c r="AQ904"/>
  <c r="AR901"/>
  <c r="AR898"/>
  <c r="AQ896"/>
  <c r="AR893"/>
  <c r="AR890"/>
  <c r="AQ888"/>
  <c r="AR885"/>
  <c r="AR882"/>
  <c r="AQ880"/>
  <c r="AR877"/>
  <c r="AR874"/>
  <c r="AQ872"/>
  <c r="AR869"/>
  <c r="AR866"/>
  <c r="AQ864"/>
  <c r="AR861"/>
  <c r="AR858"/>
  <c r="AQ856"/>
  <c r="AR853"/>
  <c r="AQ850"/>
  <c r="AQ846"/>
  <c r="AQ842"/>
  <c r="AQ838"/>
  <c r="AQ834"/>
  <c r="AQ830"/>
  <c r="AQ826"/>
  <c r="AQ822"/>
  <c r="AQ818"/>
  <c r="AQ814"/>
  <c r="AQ810"/>
  <c r="AQ806"/>
  <c r="AQ802"/>
  <c r="AQ796"/>
  <c r="AQ788"/>
  <c r="AQ780"/>
  <c r="AQ772"/>
  <c r="AQ764"/>
  <c r="AQ756"/>
  <c r="AQ748"/>
  <c r="AQ740"/>
  <c r="AQ732"/>
  <c r="AQ724"/>
  <c r="AQ716"/>
  <c r="AQ708"/>
  <c r="AQ700"/>
  <c r="AQ1068"/>
  <c r="AQ1066"/>
  <c r="AQ1064"/>
  <c r="AQ1062"/>
  <c r="AQ1060"/>
  <c r="AQ1058"/>
  <c r="AQ1056"/>
  <c r="AQ1054"/>
  <c r="AQ1052"/>
  <c r="AQ1050"/>
  <c r="AQ1048"/>
  <c r="AQ1046"/>
  <c r="AQ1044"/>
  <c r="AQ1042"/>
  <c r="AQ1040"/>
  <c r="AQ1038"/>
  <c r="AQ1036"/>
  <c r="AQ1034"/>
  <c r="AQ1032"/>
  <c r="AQ1030"/>
  <c r="AQ1028"/>
  <c r="AQ1026"/>
  <c r="AQ1024"/>
  <c r="AQ1022"/>
  <c r="AQ1020"/>
  <c r="AQ1018"/>
  <c r="AQ1016"/>
  <c r="AQ1014"/>
  <c r="AQ1012"/>
  <c r="AQ1010"/>
  <c r="AQ1008"/>
  <c r="AQ1006"/>
  <c r="AQ1004"/>
  <c r="AQ1002"/>
  <c r="AQ1000"/>
  <c r="AQ998"/>
  <c r="AQ996"/>
  <c r="AQ994"/>
  <c r="AQ992"/>
  <c r="AQ990"/>
  <c r="AQ988"/>
  <c r="AQ986"/>
  <c r="AR983"/>
  <c r="AR980"/>
  <c r="AQ978"/>
  <c r="AR975"/>
  <c r="AR972"/>
  <c r="AQ970"/>
  <c r="AR967"/>
  <c r="AR964"/>
  <c r="AQ962"/>
  <c r="AR959"/>
  <c r="AR956"/>
  <c r="AQ954"/>
  <c r="AR951"/>
  <c r="AR948"/>
  <c r="AQ946"/>
  <c r="AR943"/>
  <c r="AR940"/>
  <c r="AQ938"/>
  <c r="AR935"/>
  <c r="AR932"/>
  <c r="AQ930"/>
  <c r="AR927"/>
  <c r="AR924"/>
  <c r="AQ922"/>
  <c r="AR919"/>
  <c r="AR916"/>
  <c r="AQ914"/>
  <c r="AR911"/>
  <c r="AR908"/>
  <c r="AQ906"/>
  <c r="AR903"/>
  <c r="AR900"/>
  <c r="AQ898"/>
  <c r="AR895"/>
  <c r="AR892"/>
  <c r="AQ890"/>
  <c r="AR887"/>
  <c r="AR884"/>
  <c r="AQ882"/>
  <c r="AR879"/>
  <c r="AR876"/>
  <c r="AQ874"/>
  <c r="AR871"/>
  <c r="AR868"/>
  <c r="AQ866"/>
  <c r="AR863"/>
  <c r="AR860"/>
  <c r="AQ858"/>
  <c r="AR855"/>
  <c r="AR852"/>
  <c r="AR848"/>
  <c r="AR844"/>
  <c r="AR840"/>
  <c r="AR836"/>
  <c r="AR832"/>
  <c r="AR828"/>
  <c r="AR824"/>
  <c r="AR820"/>
  <c r="AR816"/>
  <c r="AR812"/>
  <c r="AR808"/>
  <c r="AR804"/>
  <c r="AR800"/>
  <c r="AQ794"/>
  <c r="AQ786"/>
  <c r="AQ778"/>
  <c r="AQ770"/>
  <c r="AQ762"/>
  <c r="AQ754"/>
  <c r="AQ746"/>
  <c r="AQ738"/>
  <c r="AQ730"/>
  <c r="AQ722"/>
  <c r="AQ714"/>
  <c r="AQ706"/>
  <c r="AQ698"/>
  <c r="AR1189"/>
  <c r="AR1187"/>
  <c r="AR1185"/>
  <c r="AR1183"/>
  <c r="AR1181"/>
  <c r="AR1179"/>
  <c r="AR1177"/>
  <c r="AR1175"/>
  <c r="AR1173"/>
  <c r="AR1171"/>
  <c r="AR1169"/>
  <c r="AR1167"/>
  <c r="AR1165"/>
  <c r="AR1163"/>
  <c r="AR1161"/>
  <c r="AR1159"/>
  <c r="AR1157"/>
  <c r="AR1155"/>
  <c r="AR1153"/>
  <c r="AR1151"/>
  <c r="AR1149"/>
  <c r="AR1147"/>
  <c r="AR1145"/>
  <c r="AR1143"/>
  <c r="AR1141"/>
  <c r="AR1139"/>
  <c r="AR1137"/>
  <c r="AR1135"/>
  <c r="AR1133"/>
  <c r="AR1131"/>
  <c r="AR1129"/>
  <c r="AR1127"/>
  <c r="AR1125"/>
  <c r="AR1123"/>
  <c r="AR1121"/>
  <c r="AR1119"/>
  <c r="AR1117"/>
  <c r="AR1115"/>
  <c r="AR1113"/>
  <c r="AR1111"/>
  <c r="AR1109"/>
  <c r="AR1107"/>
  <c r="AR1105"/>
  <c r="AR1103"/>
  <c r="AR1101"/>
  <c r="AR1099"/>
  <c r="AR1097"/>
  <c r="AR1095"/>
  <c r="AR1093"/>
  <c r="AR1091"/>
  <c r="AR1089"/>
  <c r="AR1087"/>
  <c r="AR1085"/>
  <c r="AR1083"/>
  <c r="AR1081"/>
  <c r="AR1079"/>
  <c r="AR1077"/>
  <c r="AR1075"/>
  <c r="AR1073"/>
  <c r="AR1071"/>
  <c r="AR1069"/>
  <c r="AR1067"/>
  <c r="AR1065"/>
  <c r="AR1063"/>
  <c r="AR1061"/>
  <c r="AR1059"/>
  <c r="AR1057"/>
  <c r="AR1055"/>
  <c r="AR1053"/>
  <c r="AR1051"/>
  <c r="AR1049"/>
  <c r="AR1047"/>
  <c r="AR1045"/>
  <c r="AR1043"/>
  <c r="AR1041"/>
  <c r="AR1039"/>
  <c r="AR1037"/>
  <c r="AR1035"/>
  <c r="AR1033"/>
  <c r="AR1031"/>
  <c r="AR1029"/>
  <c r="AR1027"/>
  <c r="AR1025"/>
  <c r="AR1023"/>
  <c r="AR1021"/>
  <c r="AR1019"/>
  <c r="AR1017"/>
  <c r="AR1015"/>
  <c r="AR1013"/>
  <c r="AR1011"/>
  <c r="AR1009"/>
  <c r="AR1007"/>
  <c r="AR1005"/>
  <c r="AR1003"/>
  <c r="AR1001"/>
  <c r="AR999"/>
  <c r="AR997"/>
  <c r="AR995"/>
  <c r="AR993"/>
  <c r="AR991"/>
  <c r="AR989"/>
  <c r="AR987"/>
  <c r="AR985"/>
  <c r="AR982"/>
  <c r="AQ980"/>
  <c r="AR977"/>
  <c r="AR974"/>
  <c r="AQ972"/>
  <c r="AR969"/>
  <c r="AR966"/>
  <c r="AQ964"/>
  <c r="AR961"/>
  <c r="AR958"/>
  <c r="AQ956"/>
  <c r="AR953"/>
  <c r="AR950"/>
  <c r="AQ948"/>
  <c r="AR945"/>
  <c r="AR942"/>
  <c r="AQ940"/>
  <c r="AR937"/>
  <c r="AR934"/>
  <c r="AQ932"/>
  <c r="AR929"/>
  <c r="AR926"/>
  <c r="AQ924"/>
  <c r="AR921"/>
  <c r="AR918"/>
  <c r="AQ916"/>
  <c r="AR913"/>
  <c r="AR910"/>
  <c r="AQ908"/>
  <c r="AR905"/>
  <c r="AR902"/>
  <c r="AQ900"/>
  <c r="AR897"/>
  <c r="AR894"/>
  <c r="AQ892"/>
  <c r="AR889"/>
  <c r="AR886"/>
  <c r="AQ884"/>
  <c r="AR881"/>
  <c r="AR878"/>
  <c r="AQ876"/>
  <c r="AR873"/>
  <c r="AR870"/>
  <c r="AQ868"/>
  <c r="AR865"/>
  <c r="AR862"/>
  <c r="AQ860"/>
  <c r="AR857"/>
  <c r="AR854"/>
  <c r="AQ852"/>
  <c r="AQ848"/>
  <c r="AQ844"/>
  <c r="AQ840"/>
  <c r="AQ836"/>
  <c r="AQ832"/>
  <c r="AQ828"/>
  <c r="AQ824"/>
  <c r="AQ820"/>
  <c r="AQ816"/>
  <c r="AQ812"/>
  <c r="AQ808"/>
  <c r="AQ804"/>
  <c r="AQ800"/>
  <c r="AQ792"/>
  <c r="AQ784"/>
  <c r="AQ776"/>
  <c r="AQ768"/>
  <c r="AQ760"/>
  <c r="AQ752"/>
  <c r="AQ744"/>
  <c r="AQ736"/>
  <c r="AQ728"/>
  <c r="AQ720"/>
  <c r="AQ712"/>
  <c r="AQ704"/>
  <c r="AQ696"/>
  <c r="G5" i="14"/>
  <c r="G19" s="1"/>
  <c r="K3" s="1"/>
  <c r="AU197" i="6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Q3" i="1"/>
  <c r="K2" i="14" l="1"/>
  <c r="L3" s="1"/>
  <c r="AT8" i="6"/>
  <c r="AS8"/>
  <c r="AO9"/>
  <c r="AU9" s="1"/>
  <c r="AM8"/>
  <c r="AR5"/>
  <c r="AQ5"/>
  <c r="R55"/>
  <c r="I55"/>
  <c r="G55" s="1"/>
  <c r="H55"/>
  <c r="R46"/>
  <c r="I46"/>
  <c r="G46" s="1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M28" i="1"/>
  <c r="AT11" i="6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2" i="4"/>
  <c r="J32"/>
  <c r="E32"/>
  <c r="L32" s="1"/>
  <c r="AT13" i="6" l="1"/>
  <c r="AS13"/>
  <c r="AO14"/>
  <c r="AU14" s="1"/>
  <c r="AM13"/>
  <c r="AR10"/>
  <c r="AQ10"/>
  <c r="K32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2" i="4"/>
  <c r="R32" s="1"/>
  <c r="AT14" i="6" l="1"/>
  <c r="AS14"/>
  <c r="AO15"/>
  <c r="AU15" s="1"/>
  <c r="AM14"/>
  <c r="AR11"/>
  <c r="AQ11"/>
  <c r="I37" i="2"/>
  <c r="J36"/>
  <c r="K36"/>
  <c r="J5" i="6"/>
  <c r="H5"/>
  <c r="F5" s="1"/>
  <c r="P2"/>
  <c r="Q6" i="5"/>
  <c r="Q13" i="4"/>
  <c r="L13"/>
  <c r="K13"/>
  <c r="J13"/>
  <c r="V6" i="5"/>
  <c r="U6"/>
  <c r="T6"/>
  <c r="S6"/>
  <c r="R6"/>
  <c r="W6"/>
  <c r="AT15" i="6" l="1"/>
  <c r="AS15"/>
  <c r="AO16"/>
  <c r="AU16" s="1"/>
  <c r="AM15"/>
  <c r="AQ12"/>
  <c r="AR12"/>
  <c r="I38" i="2"/>
  <c r="J37"/>
  <c r="K37"/>
  <c r="O13" i="4"/>
  <c r="R13" s="1"/>
  <c r="Q22"/>
  <c r="L22"/>
  <c r="K22"/>
  <c r="J22"/>
  <c r="K17"/>
  <c r="K16"/>
  <c r="K20"/>
  <c r="K15"/>
  <c r="K21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27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4" i="4" s="1"/>
  <c r="L179" i="3"/>
  <c r="L180"/>
  <c r="L181"/>
  <c r="L182"/>
  <c r="L183"/>
  <c r="L184"/>
  <c r="L185"/>
  <c r="L186"/>
  <c r="L187"/>
  <c r="L188"/>
  <c r="L189"/>
  <c r="M4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9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7"/>
  <c r="L858"/>
  <c r="L859"/>
  <c r="L860"/>
  <c r="L861"/>
  <c r="L862"/>
  <c r="L863"/>
  <c r="L864"/>
  <c r="L865"/>
  <c r="L866"/>
  <c r="L867"/>
  <c r="L868"/>
  <c r="L869"/>
  <c r="L870"/>
  <c r="L871"/>
  <c r="L872"/>
  <c r="L881"/>
  <c r="L882"/>
  <c r="L883"/>
  <c r="L884"/>
  <c r="L885"/>
  <c r="L886"/>
  <c r="L887"/>
  <c r="L888"/>
  <c r="L889"/>
  <c r="L890"/>
  <c r="L892"/>
  <c r="L893"/>
  <c r="L894"/>
  <c r="L895"/>
  <c r="L896"/>
  <c r="L897"/>
  <c r="L898"/>
  <c r="L899"/>
  <c r="L900"/>
  <c r="L901"/>
  <c r="L902"/>
  <c r="L903"/>
  <c r="L904"/>
  <c r="L905"/>
  <c r="L906"/>
  <c r="L908"/>
  <c r="L909"/>
  <c r="L910"/>
  <c r="L912"/>
  <c r="L913"/>
  <c r="L914"/>
  <c r="L916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7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4"/>
  <c r="L1225"/>
  <c r="L1226"/>
  <c r="L1227"/>
  <c r="L1228"/>
  <c r="L1229"/>
  <c r="L1230"/>
  <c r="L1232"/>
  <c r="L1233"/>
  <c r="L1234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7"/>
  <c r="K858"/>
  <c r="K859"/>
  <c r="K860"/>
  <c r="K861"/>
  <c r="K862"/>
  <c r="K863"/>
  <c r="K864"/>
  <c r="K865"/>
  <c r="K866"/>
  <c r="K867"/>
  <c r="K868"/>
  <c r="K869"/>
  <c r="K870"/>
  <c r="K871"/>
  <c r="K872"/>
  <c r="K881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4"/>
  <c r="K1225"/>
  <c r="K1226"/>
  <c r="K1227"/>
  <c r="K1228"/>
  <c r="K1229"/>
  <c r="K1230"/>
  <c r="K1231"/>
  <c r="K1232"/>
  <c r="K1233"/>
  <c r="K1234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2"/>
  <c r="R8"/>
  <c r="K295" s="1"/>
  <c r="T8"/>
  <c r="L295" s="1"/>
  <c r="T5"/>
  <c r="L891" s="1"/>
  <c r="L1370" l="1"/>
  <c r="L1346"/>
  <c r="M7" i="4" s="1"/>
  <c r="P7" s="1"/>
  <c r="K1370" i="3"/>
  <c r="K1346"/>
  <c r="I8" i="4"/>
  <c r="N8" s="1"/>
  <c r="L1327" i="3"/>
  <c r="M8" i="4" s="1"/>
  <c r="P8" s="1"/>
  <c r="K1327" i="3"/>
  <c r="L1231"/>
  <c r="M6" i="4"/>
  <c r="P6" s="1"/>
  <c r="I6"/>
  <c r="N6" s="1"/>
  <c r="K1235" i="3"/>
  <c r="K1223"/>
  <c r="L1235"/>
  <c r="L1223"/>
  <c r="I7" i="4"/>
  <c r="N7" s="1"/>
  <c r="L1114" i="3"/>
  <c r="I14" i="4"/>
  <c r="N14" s="1"/>
  <c r="AT16" i="6"/>
  <c r="AS16"/>
  <c r="AO17"/>
  <c r="AU17" s="1"/>
  <c r="AM16"/>
  <c r="AR13"/>
  <c r="AQ13"/>
  <c r="I32" i="4"/>
  <c r="N32" s="1"/>
  <c r="M32"/>
  <c r="P32" s="1"/>
  <c r="K38" i="2"/>
  <c r="J38"/>
  <c r="M23" i="4"/>
  <c r="K1016" i="3"/>
  <c r="L1016"/>
  <c r="M30" i="4"/>
  <c r="M31"/>
  <c r="M12"/>
  <c r="M15"/>
  <c r="M19"/>
  <c r="M10"/>
  <c r="M9"/>
  <c r="M3"/>
  <c r="M17"/>
  <c r="M11"/>
  <c r="M13"/>
  <c r="P13" s="1"/>
  <c r="M18"/>
  <c r="M29"/>
  <c r="M20"/>
  <c r="M5"/>
  <c r="M28"/>
  <c r="M16"/>
  <c r="M26"/>
  <c r="I13"/>
  <c r="N13" s="1"/>
  <c r="I22"/>
  <c r="N22" s="1"/>
  <c r="O22"/>
  <c r="R22" s="1"/>
  <c r="K878" i="3"/>
  <c r="K874"/>
  <c r="K538"/>
  <c r="L880"/>
  <c r="L876"/>
  <c r="L856"/>
  <c r="M21" i="4" s="1"/>
  <c r="K879" i="3"/>
  <c r="K875"/>
  <c r="L877"/>
  <c r="L873"/>
  <c r="K880"/>
  <c r="K876"/>
  <c r="K856"/>
  <c r="L878"/>
  <c r="L874"/>
  <c r="L538"/>
  <c r="K877"/>
  <c r="K873"/>
  <c r="L879"/>
  <c r="L875"/>
  <c r="L915"/>
  <c r="L911"/>
  <c r="L907"/>
  <c r="Q23" i="4"/>
  <c r="J23"/>
  <c r="L23"/>
  <c r="M14" l="1"/>
  <c r="P14" s="1"/>
  <c r="AT17" i="6"/>
  <c r="AS17"/>
  <c r="AO18"/>
  <c r="AU18" s="1"/>
  <c r="AM17"/>
  <c r="AR14"/>
  <c r="AQ14"/>
  <c r="M22" i="4"/>
  <c r="P22" s="1"/>
  <c r="M25"/>
  <c r="K23"/>
  <c r="O23"/>
  <c r="R23" s="1"/>
  <c r="P23"/>
  <c r="Q25"/>
  <c r="L25"/>
  <c r="K25"/>
  <c r="J25"/>
  <c r="Q15"/>
  <c r="L15"/>
  <c r="J15"/>
  <c r="Q21"/>
  <c r="L21"/>
  <c r="J21"/>
  <c r="Q20"/>
  <c r="L20"/>
  <c r="J20"/>
  <c r="Q17"/>
  <c r="L17"/>
  <c r="J17"/>
  <c r="S5" i="5"/>
  <c r="T5"/>
  <c r="R5"/>
  <c r="V5"/>
  <c r="V4"/>
  <c r="U4"/>
  <c r="W5"/>
  <c r="U5"/>
  <c r="S4"/>
  <c r="T4"/>
  <c r="W4"/>
  <c r="AT18" i="6" l="1"/>
  <c r="AS18"/>
  <c r="AO19"/>
  <c r="AU19" s="1"/>
  <c r="AM18"/>
  <c r="AR15"/>
  <c r="AQ15"/>
  <c r="P25" i="4"/>
  <c r="O25"/>
  <c r="R25" s="1"/>
  <c r="O15"/>
  <c r="R15" s="1"/>
  <c r="O20"/>
  <c r="O17"/>
  <c r="R17" s="1"/>
  <c r="O21"/>
  <c r="R21" s="1"/>
  <c r="R20"/>
  <c r="Q5" i="5"/>
  <c r="Q4"/>
  <c r="R4"/>
  <c r="F66" i="9" l="1"/>
  <c r="G65"/>
  <c r="G60"/>
  <c r="K66"/>
  <c r="O65"/>
  <c r="O60"/>
  <c r="J60"/>
  <c r="N66"/>
  <c r="N65"/>
  <c r="I62"/>
  <c r="I61"/>
  <c r="M67"/>
  <c r="Q62"/>
  <c r="Q61"/>
  <c r="S66"/>
  <c r="H60"/>
  <c r="H66"/>
  <c r="L65"/>
  <c r="P60"/>
  <c r="P66"/>
  <c r="T65"/>
  <c r="F60"/>
  <c r="F62"/>
  <c r="G61"/>
  <c r="K67"/>
  <c r="K62"/>
  <c r="O61"/>
  <c r="J61"/>
  <c r="J67"/>
  <c r="N62"/>
  <c r="I60"/>
  <c r="M66"/>
  <c r="M65"/>
  <c r="Q60"/>
  <c r="S67"/>
  <c r="S62"/>
  <c r="H67"/>
  <c r="L62"/>
  <c r="L61"/>
  <c r="P67"/>
  <c r="T62"/>
  <c r="T61"/>
  <c r="F65"/>
  <c r="F67"/>
  <c r="G66"/>
  <c r="K65"/>
  <c r="K60"/>
  <c r="O66"/>
  <c r="J66"/>
  <c r="J65"/>
  <c r="N60"/>
  <c r="I67"/>
  <c r="M62"/>
  <c r="M61"/>
  <c r="Q67"/>
  <c r="S65"/>
  <c r="S60"/>
  <c r="H65"/>
  <c r="L60"/>
  <c r="L66"/>
  <c r="P65"/>
  <c r="T60"/>
  <c r="T66"/>
  <c r="F61"/>
  <c r="G67"/>
  <c r="G62"/>
  <c r="K61"/>
  <c r="O67"/>
  <c r="O62"/>
  <c r="J62"/>
  <c r="N61"/>
  <c r="N67"/>
  <c r="I66"/>
  <c r="I65"/>
  <c r="M60"/>
  <c r="Q66"/>
  <c r="Q65"/>
  <c r="S61"/>
  <c r="H62"/>
  <c r="H61"/>
  <c r="L67"/>
  <c r="P62"/>
  <c r="P61"/>
  <c r="T67"/>
  <c r="H94"/>
  <c r="H97"/>
  <c r="H98"/>
  <c r="H92"/>
  <c r="H99"/>
  <c r="H93"/>
  <c r="G98"/>
  <c r="F93"/>
  <c r="F94"/>
  <c r="T92"/>
  <c r="S99"/>
  <c r="S94"/>
  <c r="G94"/>
  <c r="F97"/>
  <c r="F92"/>
  <c r="T97"/>
  <c r="S93"/>
  <c r="S97"/>
  <c r="G99"/>
  <c r="G93"/>
  <c r="F99"/>
  <c r="T98"/>
  <c r="T94"/>
  <c r="S98"/>
  <c r="G97"/>
  <c r="G92"/>
  <c r="F98"/>
  <c r="T99"/>
  <c r="T93"/>
  <c r="S92"/>
  <c r="AT19" i="6"/>
  <c r="AS19"/>
  <c r="AO20"/>
  <c r="AU20" s="1"/>
  <c r="AM19"/>
  <c r="AQ16"/>
  <c r="AR16"/>
  <c r="I23" i="4"/>
  <c r="N23" s="1"/>
  <c r="Q19"/>
  <c r="L19"/>
  <c r="K19"/>
  <c r="J19"/>
  <c r="J2"/>
  <c r="AT20" i="6" l="1"/>
  <c r="AS20"/>
  <c r="AO21"/>
  <c r="AU21" s="1"/>
  <c r="AM20"/>
  <c r="AR17"/>
  <c r="AQ17"/>
  <c r="I25" i="4"/>
  <c r="N25" s="1"/>
  <c r="P21"/>
  <c r="I21"/>
  <c r="N21" s="1"/>
  <c r="I15"/>
  <c r="N15" s="1"/>
  <c r="P15"/>
  <c r="O19"/>
  <c r="R19" s="1"/>
  <c r="AT21" i="6" l="1"/>
  <c r="AS21"/>
  <c r="AO22"/>
  <c r="AU22" s="1"/>
  <c r="AM21"/>
  <c r="AR18"/>
  <c r="AQ18"/>
  <c r="K2" i="4"/>
  <c r="Q2"/>
  <c r="L2"/>
  <c r="AT22" i="6" l="1"/>
  <c r="AS22"/>
  <c r="AO23"/>
  <c r="AU23" s="1"/>
  <c r="AM22"/>
  <c r="AR19"/>
  <c r="AQ19"/>
  <c r="O2" i="4"/>
  <c r="R2" s="1"/>
  <c r="T24" i="9"/>
  <c r="T26" s="1"/>
  <c r="S24"/>
  <c r="S26" s="1"/>
  <c r="R24"/>
  <c r="Q24"/>
  <c r="P24"/>
  <c r="O24"/>
  <c r="N24"/>
  <c r="M24"/>
  <c r="L24"/>
  <c r="K24"/>
  <c r="J24"/>
  <c r="I24"/>
  <c r="H24"/>
  <c r="H26" s="1"/>
  <c r="G24"/>
  <c r="G26" s="1"/>
  <c r="F24"/>
  <c r="F26" s="1"/>
  <c r="R89" l="1"/>
  <c r="R90" s="1"/>
  <c r="R58"/>
  <c r="R26"/>
  <c r="R29" s="1"/>
  <c r="L26"/>
  <c r="L30" s="1"/>
  <c r="L90"/>
  <c r="P26"/>
  <c r="P29" s="1"/>
  <c r="P90"/>
  <c r="I26"/>
  <c r="I29" s="1"/>
  <c r="I90"/>
  <c r="M26"/>
  <c r="M34" s="1"/>
  <c r="M90"/>
  <c r="Q26"/>
  <c r="Q29" s="1"/>
  <c r="Q90"/>
  <c r="J26"/>
  <c r="J30" s="1"/>
  <c r="J90"/>
  <c r="N26"/>
  <c r="N28" s="1"/>
  <c r="N90"/>
  <c r="K26"/>
  <c r="K35" s="1"/>
  <c r="K90"/>
  <c r="O26"/>
  <c r="O28" s="1"/>
  <c r="O90"/>
  <c r="AT23" i="6"/>
  <c r="AS23"/>
  <c r="AO24"/>
  <c r="AU24" s="1"/>
  <c r="AM23"/>
  <c r="AQ20"/>
  <c r="AR20"/>
  <c r="M33" i="9"/>
  <c r="L34"/>
  <c r="T35"/>
  <c r="T28"/>
  <c r="T33"/>
  <c r="T29"/>
  <c r="T34"/>
  <c r="T30"/>
  <c r="J28"/>
  <c r="N34"/>
  <c r="N29"/>
  <c r="N35"/>
  <c r="N30"/>
  <c r="R35"/>
  <c r="R28"/>
  <c r="R34"/>
  <c r="R30"/>
  <c r="P34"/>
  <c r="P35"/>
  <c r="P30"/>
  <c r="P33"/>
  <c r="K29"/>
  <c r="O34"/>
  <c r="S33"/>
  <c r="S29"/>
  <c r="S30"/>
  <c r="S34"/>
  <c r="S35"/>
  <c r="S28"/>
  <c r="H35"/>
  <c r="H33"/>
  <c r="H30"/>
  <c r="H28"/>
  <c r="H34"/>
  <c r="H29"/>
  <c r="G34"/>
  <c r="G28"/>
  <c r="G30"/>
  <c r="G35"/>
  <c r="G33"/>
  <c r="G29"/>
  <c r="F33"/>
  <c r="F29"/>
  <c r="F35"/>
  <c r="F28"/>
  <c r="F34"/>
  <c r="F30"/>
  <c r="Q29" i="4"/>
  <c r="L29"/>
  <c r="K29"/>
  <c r="J29"/>
  <c r="K33" i="9" l="1"/>
  <c r="J34"/>
  <c r="M28"/>
  <c r="R60"/>
  <c r="R61"/>
  <c r="R67"/>
  <c r="U67" s="1"/>
  <c r="R66"/>
  <c r="U66" s="1"/>
  <c r="R65"/>
  <c r="U65" s="1"/>
  <c r="R62"/>
  <c r="N33"/>
  <c r="J33"/>
  <c r="M29"/>
  <c r="R33"/>
  <c r="K34"/>
  <c r="K28"/>
  <c r="K30"/>
  <c r="J35"/>
  <c r="J29"/>
  <c r="I33"/>
  <c r="I28"/>
  <c r="I30"/>
  <c r="I35"/>
  <c r="I34"/>
  <c r="M35"/>
  <c r="M30"/>
  <c r="L28"/>
  <c r="L35"/>
  <c r="L33"/>
  <c r="L29"/>
  <c r="Q35"/>
  <c r="Q30"/>
  <c r="Q33"/>
  <c r="Q34"/>
  <c r="Q28"/>
  <c r="P28"/>
  <c r="O33"/>
  <c r="O35"/>
  <c r="O30"/>
  <c r="O29"/>
  <c r="R98"/>
  <c r="R99"/>
  <c r="R92"/>
  <c r="R97"/>
  <c r="R93"/>
  <c r="R94"/>
  <c r="K97"/>
  <c r="K92"/>
  <c r="K98"/>
  <c r="K93"/>
  <c r="K99"/>
  <c r="K94"/>
  <c r="J99"/>
  <c r="J97"/>
  <c r="J92"/>
  <c r="J94"/>
  <c r="J98"/>
  <c r="J93"/>
  <c r="M98"/>
  <c r="M99"/>
  <c r="M94"/>
  <c r="M92"/>
  <c r="M93"/>
  <c r="M97"/>
  <c r="P97"/>
  <c r="P98"/>
  <c r="P93"/>
  <c r="P99"/>
  <c r="P94"/>
  <c r="P92"/>
  <c r="O97"/>
  <c r="O98"/>
  <c r="O93"/>
  <c r="O94"/>
  <c r="O92"/>
  <c r="O99"/>
  <c r="N99"/>
  <c r="N94"/>
  <c r="N97"/>
  <c r="N92"/>
  <c r="N93"/>
  <c r="N98"/>
  <c r="Q98"/>
  <c r="Q99"/>
  <c r="Q94"/>
  <c r="Q92"/>
  <c r="Q93"/>
  <c r="Q97"/>
  <c r="I98"/>
  <c r="I99"/>
  <c r="I94"/>
  <c r="I97"/>
  <c r="I92"/>
  <c r="I93"/>
  <c r="L97"/>
  <c r="L98"/>
  <c r="L93"/>
  <c r="L99"/>
  <c r="L94"/>
  <c r="L92"/>
  <c r="AT24" i="6"/>
  <c r="AS24"/>
  <c r="AO25"/>
  <c r="AU25" s="1"/>
  <c r="AM24"/>
  <c r="AR21"/>
  <c r="AQ21"/>
  <c r="O29" i="4"/>
  <c r="R29" s="1"/>
  <c r="Q28"/>
  <c r="Q10"/>
  <c r="Q9"/>
  <c r="Q3"/>
  <c r="Q24"/>
  <c r="Q11"/>
  <c r="Q26"/>
  <c r="Q30"/>
  <c r="Q27"/>
  <c r="Q5"/>
  <c r="Q4"/>
  <c r="Q12"/>
  <c r="Q16"/>
  <c r="Q31"/>
  <c r="Q18"/>
  <c r="O29" i="1"/>
  <c r="M17"/>
  <c r="M18" s="1"/>
  <c r="J9" i="4"/>
  <c r="J28"/>
  <c r="J10"/>
  <c r="J5"/>
  <c r="J11"/>
  <c r="J24"/>
  <c r="J26"/>
  <c r="J30"/>
  <c r="J4"/>
  <c r="J3"/>
  <c r="J12"/>
  <c r="J16"/>
  <c r="J31"/>
  <c r="J27"/>
  <c r="J18"/>
  <c r="L9"/>
  <c r="L28"/>
  <c r="L10"/>
  <c r="L5"/>
  <c r="L11"/>
  <c r="L24"/>
  <c r="L26"/>
  <c r="L30"/>
  <c r="L4"/>
  <c r="L3"/>
  <c r="L12"/>
  <c r="L16"/>
  <c r="L31"/>
  <c r="L27"/>
  <c r="L18"/>
  <c r="U34" i="9" l="1"/>
  <c r="U35"/>
  <c r="U33"/>
  <c r="U97"/>
  <c r="U99"/>
  <c r="U98"/>
  <c r="AT25" i="6"/>
  <c r="AS25"/>
  <c r="AO26"/>
  <c r="AU26" s="1"/>
  <c r="AM25"/>
  <c r="AQ22"/>
  <c r="AR22"/>
  <c r="Q35" i="2"/>
  <c r="Q37"/>
  <c r="O37"/>
  <c r="O35"/>
  <c r="O9" i="4"/>
  <c r="R9" s="1"/>
  <c r="O4"/>
  <c r="R4" s="1"/>
  <c r="O11"/>
  <c r="R11" s="1"/>
  <c r="O18"/>
  <c r="R18" s="1"/>
  <c r="O24"/>
  <c r="R24" s="1"/>
  <c r="O28"/>
  <c r="R28" s="1"/>
  <c r="O3"/>
  <c r="R3" s="1"/>
  <c r="O31"/>
  <c r="R31" s="1"/>
  <c r="O12"/>
  <c r="R12" s="1"/>
  <c r="O26"/>
  <c r="R26" s="1"/>
  <c r="O10"/>
  <c r="R10" s="1"/>
  <c r="O27"/>
  <c r="R27" s="1"/>
  <c r="O16"/>
  <c r="R16" s="1"/>
  <c r="O30"/>
  <c r="R30" s="1"/>
  <c r="O5"/>
  <c r="R5" s="1"/>
  <c r="K10"/>
  <c r="AT26" i="6" l="1"/>
  <c r="AS26"/>
  <c r="AO27"/>
  <c r="AU27" s="1"/>
  <c r="AM26"/>
  <c r="AR23"/>
  <c r="AQ23"/>
  <c r="B35" i="2"/>
  <c r="K18" i="4"/>
  <c r="AT27" i="6" l="1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2" i="4"/>
  <c r="AT29" i="6" l="1"/>
  <c r="AS29"/>
  <c r="AO30"/>
  <c r="AU30" s="1"/>
  <c r="AM29"/>
  <c r="AR26"/>
  <c r="AQ26"/>
  <c r="I24" i="4"/>
  <c r="N24" s="1"/>
  <c r="I4"/>
  <c r="N4" s="1"/>
  <c r="P27"/>
  <c r="P24"/>
  <c r="P4"/>
  <c r="P20"/>
  <c r="AT30" i="6" l="1"/>
  <c r="AS30"/>
  <c r="AO31"/>
  <c r="AU31" s="1"/>
  <c r="AM30"/>
  <c r="AR27"/>
  <c r="AQ27"/>
  <c r="P17" i="4"/>
  <c r="M2"/>
  <c r="P2" s="1"/>
  <c r="I5"/>
  <c r="N5" s="1"/>
  <c r="P19"/>
  <c r="P10"/>
  <c r="P30"/>
  <c r="P31"/>
  <c r="P5"/>
  <c r="P26"/>
  <c r="P18"/>
  <c r="P28"/>
  <c r="P16"/>
  <c r="P12"/>
  <c r="P9"/>
  <c r="P29"/>
  <c r="P3"/>
  <c r="P11"/>
  <c r="I27"/>
  <c r="N27" s="1"/>
  <c r="I17"/>
  <c r="N17" s="1"/>
  <c r="M16" i="1"/>
  <c r="M19" s="1"/>
  <c r="AT31" i="6" l="1"/>
  <c r="AS31"/>
  <c r="AO32"/>
  <c r="AU32" s="1"/>
  <c r="AM31"/>
  <c r="AQ28"/>
  <c r="AR28"/>
  <c r="I20" i="4"/>
  <c r="N20" s="1"/>
  <c r="I2"/>
  <c r="N2" s="1"/>
  <c r="I19"/>
  <c r="N19" s="1"/>
  <c r="I16"/>
  <c r="N16" s="1"/>
  <c r="I12"/>
  <c r="N12" s="1"/>
  <c r="I29"/>
  <c r="N29" s="1"/>
  <c r="I31"/>
  <c r="N31" s="1"/>
  <c r="I30"/>
  <c r="N30" s="1"/>
  <c r="I18"/>
  <c r="N18" s="1"/>
  <c r="I10"/>
  <c r="I26"/>
  <c r="N26" s="1"/>
  <c r="I9"/>
  <c r="N9" s="1"/>
  <c r="I28"/>
  <c r="N28" s="1"/>
  <c r="I11"/>
  <c r="N11" s="1"/>
  <c r="I3"/>
  <c r="N3" s="1"/>
  <c r="O16" i="1"/>
  <c r="M20"/>
  <c r="O18"/>
  <c r="AT32" i="6" l="1"/>
  <c r="AS32"/>
  <c r="AO33"/>
  <c r="AU33" s="1"/>
  <c r="AM32"/>
  <c r="AR29"/>
  <c r="AQ29"/>
  <c r="N10" i="4"/>
  <c r="P35" i="2"/>
  <c r="C35" s="1"/>
  <c r="P37"/>
  <c r="M21" i="1"/>
  <c r="O20"/>
  <c r="W4"/>
  <c r="X4" s="1"/>
  <c r="W5"/>
  <c r="X5" s="1"/>
  <c r="W6"/>
  <c r="X6" s="1"/>
  <c r="W7"/>
  <c r="X7" s="1"/>
  <c r="K30" i="4"/>
  <c r="K31"/>
  <c r="K26"/>
  <c r="K11"/>
  <c r="K27"/>
  <c r="K28"/>
  <c r="K24"/>
  <c r="K3"/>
  <c r="K4"/>
  <c r="K5"/>
  <c r="K9"/>
  <c r="W8" i="1" l="1"/>
  <c r="X8" s="1"/>
  <c r="AT33" i="6"/>
  <c r="AS33"/>
  <c r="AO34"/>
  <c r="AU34" s="1"/>
  <c r="AM33"/>
  <c r="AR30"/>
  <c r="AQ30"/>
  <c r="AA7" i="1"/>
  <c r="AA6"/>
  <c r="AA5"/>
  <c r="AA4"/>
  <c r="Z4"/>
  <c r="Z7"/>
  <c r="Z6"/>
  <c r="Z5"/>
  <c r="Z8" l="1"/>
  <c r="AA8"/>
  <c r="AT34" i="6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Q5" s="1"/>
  <c r="M4"/>
  <c r="S2" i="6"/>
  <c r="U2" s="1"/>
  <c r="J6"/>
  <c r="J7" s="1"/>
  <c r="J8" s="1"/>
  <c r="J9" s="1"/>
  <c r="Q5"/>
  <c r="W3" i="1"/>
  <c r="X3" s="1"/>
  <c r="W2"/>
  <c r="Q4" l="1"/>
  <c r="O5"/>
  <c r="M6" s="1"/>
  <c r="Q6" s="1"/>
  <c r="Q7" i="6"/>
  <c r="R7" s="1"/>
  <c r="R5"/>
  <c r="AQ33"/>
  <c r="AR33"/>
  <c r="F55"/>
  <c r="O55" s="1"/>
  <c r="P55" s="1"/>
  <c r="S55" s="1"/>
  <c r="F46"/>
  <c r="N3"/>
  <c r="J10"/>
  <c r="N4"/>
  <c r="P4" i="1"/>
  <c r="AA2"/>
  <c r="X2"/>
  <c r="O33" i="2"/>
  <c r="O34"/>
  <c r="Z2" i="1"/>
  <c r="Q8" i="6"/>
  <c r="Q6"/>
  <c r="R6" s="1"/>
  <c r="I5"/>
  <c r="G5" s="1"/>
  <c r="H6"/>
  <c r="F6" s="1"/>
  <c r="N5"/>
  <c r="AA3" i="1"/>
  <c r="Z3"/>
  <c r="R27" i="2"/>
  <c r="R26"/>
  <c r="R25"/>
  <c r="R24"/>
  <c r="R23"/>
  <c r="R22"/>
  <c r="R21"/>
  <c r="R20"/>
  <c r="R19"/>
  <c r="R18"/>
  <c r="R17"/>
  <c r="R16"/>
  <c r="R15"/>
  <c r="O7" i="1" l="1"/>
  <c r="M7"/>
  <c r="O6"/>
  <c r="N31" s="1"/>
  <c r="Q9" i="6"/>
  <c r="R8"/>
  <c r="AR34"/>
  <c r="AQ34"/>
  <c r="N55"/>
  <c r="U55"/>
  <c r="O46"/>
  <c r="N46"/>
  <c r="H7"/>
  <c r="N6"/>
  <c r="O3"/>
  <c r="P3" s="1"/>
  <c r="S3" s="1"/>
  <c r="U3" s="1"/>
  <c r="J11"/>
  <c r="Q24" i="2"/>
  <c r="P6" i="1"/>
  <c r="Q19" i="2"/>
  <c r="Q31"/>
  <c r="Q32"/>
  <c r="I6" i="6"/>
  <c r="G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Q7" i="1" l="1"/>
  <c r="N32"/>
  <c r="M32" s="1"/>
  <c r="M31"/>
  <c r="O8"/>
  <c r="M9"/>
  <c r="Q9" s="1"/>
  <c r="M8"/>
  <c r="O9" s="1"/>
  <c r="P46" i="6"/>
  <c r="S46" s="1"/>
  <c r="U46" s="1"/>
  <c r="F7"/>
  <c r="N7" s="1"/>
  <c r="Q10"/>
  <c r="R9"/>
  <c r="AQ35"/>
  <c r="AR35"/>
  <c r="H8"/>
  <c r="I7"/>
  <c r="G7" s="1"/>
  <c r="J12"/>
  <c r="M11" i="1"/>
  <c r="Q11" s="1"/>
  <c r="O6" i="6"/>
  <c r="O24" i="2"/>
  <c r="O22"/>
  <c r="O23"/>
  <c r="P23"/>
  <c r="P24"/>
  <c r="P22"/>
  <c r="O7" i="6" l="1"/>
  <c r="O31" i="1"/>
  <c r="N33"/>
  <c r="O33" s="1"/>
  <c r="Q8"/>
  <c r="Q12" s="1"/>
  <c r="P8"/>
  <c r="F8" i="6"/>
  <c r="N8" s="1"/>
  <c r="Q11"/>
  <c r="R10"/>
  <c r="H9"/>
  <c r="F9" s="1"/>
  <c r="I8"/>
  <c r="G8" s="1"/>
  <c r="J13"/>
  <c r="P7"/>
  <c r="S7" s="1"/>
  <c r="U7" s="1"/>
  <c r="P6"/>
  <c r="S6" s="1"/>
  <c r="U6" s="1"/>
  <c r="P10" i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O37" i="1" l="1"/>
  <c r="P12"/>
  <c r="N34"/>
  <c r="M34" s="1"/>
  <c r="Q12" i="6"/>
  <c r="R11"/>
  <c r="H10"/>
  <c r="F10" s="1"/>
  <c r="I9"/>
  <c r="G9" s="1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Q13" i="6" l="1"/>
  <c r="R12"/>
  <c r="H11"/>
  <c r="F11" s="1"/>
  <c r="I10"/>
  <c r="G10" s="1"/>
  <c r="J15"/>
  <c r="N9"/>
  <c r="Q34" i="2"/>
  <c r="Q33"/>
  <c r="B24"/>
  <c r="C24"/>
  <c r="B23"/>
  <c r="C23"/>
  <c r="O14"/>
  <c r="A3"/>
  <c r="B3" s="1"/>
  <c r="Q14" i="6" l="1"/>
  <c r="R13"/>
  <c r="N11"/>
  <c r="H12"/>
  <c r="F12" s="1"/>
  <c r="I11"/>
  <c r="G11" s="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Q15" i="6" l="1"/>
  <c r="R14"/>
  <c r="N12"/>
  <c r="H13"/>
  <c r="F13" s="1"/>
  <c r="I12"/>
  <c r="G12" s="1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Q16" i="6" l="1"/>
  <c r="R15"/>
  <c r="O12"/>
  <c r="N13"/>
  <c r="H14"/>
  <c r="F14" s="1"/>
  <c r="I13"/>
  <c r="G13" s="1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Q17" i="6" l="1"/>
  <c r="R16"/>
  <c r="H15"/>
  <c r="F15" s="1"/>
  <c r="O13"/>
  <c r="I14"/>
  <c r="G14" s="1"/>
  <c r="J19"/>
  <c r="S11"/>
  <c r="U11" s="1"/>
  <c r="Q18" l="1"/>
  <c r="R17"/>
  <c r="H16"/>
  <c r="F16" s="1"/>
  <c r="N14"/>
  <c r="O14"/>
  <c r="I15"/>
  <c r="G15" s="1"/>
  <c r="J20"/>
  <c r="B36" i="2"/>
  <c r="C36"/>
  <c r="B38"/>
  <c r="C38"/>
  <c r="Q19" i="6" l="1"/>
  <c r="R18"/>
  <c r="N15"/>
  <c r="O15"/>
  <c r="H17"/>
  <c r="F17" s="1"/>
  <c r="I16"/>
  <c r="G16" s="1"/>
  <c r="J21"/>
  <c r="P12"/>
  <c r="Q20" l="1"/>
  <c r="R19"/>
  <c r="N16"/>
  <c r="O16"/>
  <c r="H18"/>
  <c r="F18" s="1"/>
  <c r="I17"/>
  <c r="G17" s="1"/>
  <c r="J22"/>
  <c r="S12"/>
  <c r="U12" s="1"/>
  <c r="P13"/>
  <c r="Q21" l="1"/>
  <c r="R20"/>
  <c r="N17"/>
  <c r="O17"/>
  <c r="H19"/>
  <c r="F19" s="1"/>
  <c r="I18"/>
  <c r="G18" s="1"/>
  <c r="J23"/>
  <c r="S13"/>
  <c r="U13" s="1"/>
  <c r="P14"/>
  <c r="Q22" l="1"/>
  <c r="R21"/>
  <c r="H20"/>
  <c r="F20" s="1"/>
  <c r="N18"/>
  <c r="O18"/>
  <c r="P18" s="1"/>
  <c r="S18" s="1"/>
  <c r="U18" s="1"/>
  <c r="I19"/>
  <c r="G19" s="1"/>
  <c r="J24"/>
  <c r="S14"/>
  <c r="U14" s="1"/>
  <c r="P15"/>
  <c r="Q23" l="1"/>
  <c r="R22"/>
  <c r="H21"/>
  <c r="F21" s="1"/>
  <c r="N19"/>
  <c r="O19"/>
  <c r="P19" s="1"/>
  <c r="S19" s="1"/>
  <c r="U19" s="1"/>
  <c r="I20"/>
  <c r="G20" s="1"/>
  <c r="J25"/>
  <c r="S15"/>
  <c r="U15" s="1"/>
  <c r="P16"/>
  <c r="Q24" l="1"/>
  <c r="R23"/>
  <c r="H22"/>
  <c r="F22" s="1"/>
  <c r="N20"/>
  <c r="O20"/>
  <c r="I21"/>
  <c r="G21" s="1"/>
  <c r="P20"/>
  <c r="S20" s="1"/>
  <c r="U20" s="1"/>
  <c r="J26"/>
  <c r="S16"/>
  <c r="U16" s="1"/>
  <c r="P17"/>
  <c r="Q25" l="1"/>
  <c r="R24"/>
  <c r="O21"/>
  <c r="N21"/>
  <c r="H23"/>
  <c r="F23" s="1"/>
  <c r="I22"/>
  <c r="G22" s="1"/>
  <c r="J27"/>
  <c r="S17"/>
  <c r="U17" s="1"/>
  <c r="J20" i="11"/>
  <c r="J19"/>
  <c r="J21"/>
  <c r="K20"/>
  <c r="K21"/>
  <c r="K19"/>
  <c r="Q26" i="6" l="1"/>
  <c r="R25"/>
  <c r="H24"/>
  <c r="F24" s="1"/>
  <c r="N22"/>
  <c r="O22"/>
  <c r="P22" s="1"/>
  <c r="S22" s="1"/>
  <c r="U22" s="1"/>
  <c r="P21"/>
  <c r="S21" s="1"/>
  <c r="U21" s="1"/>
  <c r="I23"/>
  <c r="G23" s="1"/>
  <c r="J28"/>
  <c r="Q27" l="1"/>
  <c r="R26"/>
  <c r="N23"/>
  <c r="O23"/>
  <c r="H25"/>
  <c r="F25" s="1"/>
  <c r="I24"/>
  <c r="G24" s="1"/>
  <c r="Q28" l="1"/>
  <c r="R28" s="1"/>
  <c r="R27"/>
  <c r="H26"/>
  <c r="F26" s="1"/>
  <c r="N24"/>
  <c r="O24"/>
  <c r="P24" s="1"/>
  <c r="S24" s="1"/>
  <c r="U24" s="1"/>
  <c r="P23"/>
  <c r="S23" s="1"/>
  <c r="U23" s="1"/>
  <c r="I25"/>
  <c r="G25" s="1"/>
  <c r="N25" l="1"/>
  <c r="O25"/>
  <c r="H27"/>
  <c r="F27" s="1"/>
  <c r="I26"/>
  <c r="G26" s="1"/>
  <c r="O26" l="1"/>
  <c r="P26" s="1"/>
  <c r="S26" s="1"/>
  <c r="U26" s="1"/>
  <c r="N26"/>
  <c r="H28"/>
  <c r="F28" s="1"/>
  <c r="P25"/>
  <c r="S25" s="1"/>
  <c r="U25" s="1"/>
  <c r="I27"/>
  <c r="G27" s="1"/>
  <c r="N27" l="1"/>
  <c r="O27"/>
  <c r="P27" s="1"/>
  <c r="S27" s="1"/>
  <c r="U27" s="1"/>
  <c r="O28"/>
  <c r="N28"/>
  <c r="I28"/>
  <c r="G28" l="1"/>
  <c r="P28" s="1"/>
  <c r="S28" s="1"/>
  <c r="U28" s="1"/>
</calcChain>
</file>

<file path=xl/sharedStrings.xml><?xml version="1.0" encoding="utf-8"?>
<sst xmlns="http://schemas.openxmlformats.org/spreadsheetml/2006/main" count="7485" uniqueCount="874">
  <si>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</si>
  <si>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</si>
  <si>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</si>
  <si>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</si>
  <si>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</si>
  <si>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</si>
  <si>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</si>
  <si>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</si>
  <si>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</si>
  <si>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</si>
  <si>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</si>
  <si>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</si>
  <si>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</si>
  <si>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</si>
  <si>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</si>
  <si>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</si>
  <si>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</si>
  <si>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</si>
  <si>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</si>
  <si>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</si>
  <si>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</si>
  <si>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</si>
  <si>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</si>
  <si>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</si>
  <si>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</si>
  <si>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</si>
  <si>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</si>
  <si>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</si>
  <si>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</si>
  <si>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</si>
  <si>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</si>
  <si>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</si>
  <si>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</si>
  <si>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</si>
  <si>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</si>
  <si>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</si>
  <si>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</si>
  <si>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</si>
  <si>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</si>
  <si>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</si>
  <si>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</si>
  <si>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</si>
  <si>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</si>
  <si>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</si>
  <si>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</si>
  <si>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</si>
  <si>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</si>
  <si>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</si>
  <si>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</si>
  <si>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</si>
  <si>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</si>
  <si>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</si>
  <si>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</si>
  <si>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</si>
  <si>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</si>
  <si>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</si>
  <si>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</si>
  <si>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</si>
  <si>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</si>
  <si>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</si>
  <si>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</si>
  <si>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</si>
  <si>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</si>
  <si>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</si>
  <si>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</si>
  <si>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</si>
  <si>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</si>
  <si>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</si>
  <si>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</si>
  <si>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</si>
  <si>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</si>
  <si>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</si>
  <si>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</si>
  <si>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</si>
  <si>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</si>
  <si>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</si>
  <si>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</si>
  <si>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</si>
  <si>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</si>
  <si>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</si>
  <si>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</si>
  <si>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</si>
  <si>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</si>
  <si>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</si>
  <si>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</si>
  <si>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</si>
  <si>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</si>
  <si>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</si>
  <si>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</si>
  <si>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</si>
  <si>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</si>
  <si>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</si>
  <si>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</si>
  <si>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</si>
  <si>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</si>
  <si>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</si>
  <si>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</si>
  <si>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</si>
  <si>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</si>
  <si>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</si>
  <si>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</si>
  <si>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</si>
  <si>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</si>
  <si>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</si>
  <si>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</si>
  <si>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</si>
  <si>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</si>
  <si>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</si>
  <si>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</si>
  <si>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</si>
  <si>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</si>
  <si>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</si>
  <si>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</si>
  <si>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</si>
  <si>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</si>
  <si>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</si>
  <si>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</si>
  <si>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</si>
  <si>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</si>
  <si>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</si>
  <si>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</si>
  <si>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</si>
  <si>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</si>
  <si>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</si>
  <si>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</si>
  <si>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</si>
  <si>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</si>
  <si>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</si>
  <si>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</si>
  <si>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</si>
  <si>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</si>
  <si>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</si>
  <si>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</si>
  <si>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</si>
  <si>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</si>
  <si>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</si>
  <si>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</si>
  <si>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</si>
  <si>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</si>
  <si>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</si>
  <si>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</si>
  <si>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</si>
  <si>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</si>
  <si>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</si>
  <si>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</si>
  <si>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</si>
  <si>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</si>
  <si>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</si>
  <si>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</si>
  <si>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</si>
  <si>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</si>
  <si>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</si>
  <si>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</si>
  <si>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</si>
  <si>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</si>
  <si>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</si>
  <si>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</si>
  <si>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</si>
  <si>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</si>
  <si>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</si>
  <si>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</si>
  <si>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</si>
  <si>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</si>
  <si>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</si>
  <si>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</si>
  <si>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</si>
  <si>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</si>
  <si>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</si>
  <si>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</si>
  <si>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</si>
  <si>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</si>
  <si>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</si>
  <si>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</si>
  <si>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</si>
  <si>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</si>
  <si>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</si>
  <si>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</si>
  <si>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</si>
  <si>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</si>
  <si>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</si>
  <si>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</si>
  <si>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</si>
  <si>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</si>
  <si>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</si>
  <si>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</si>
  <si>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</si>
  <si>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</si>
  <si>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</si>
  <si>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</si>
  <si>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</si>
  <si>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</si>
  <si>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</si>
  <si>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</si>
  <si>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</si>
  <si>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</si>
  <si>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</si>
  <si>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</si>
  <si>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</si>
  <si>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</si>
  <si>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</si>
  <si>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</si>
  <si>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</si>
  <si>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</si>
  <si>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</si>
  <si>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</si>
  <si>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</si>
  <si>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</si>
  <si>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</si>
  <si>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</si>
  <si>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</si>
  <si>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</si>
  <si>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</si>
  <si>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</si>
  <si>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</si>
  <si>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</si>
  <si>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</si>
  <si>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</si>
  <si>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</si>
  <si>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</si>
  <si>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</si>
  <si>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</si>
  <si>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</si>
  <si>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</si>
  <si>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</si>
  <si>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</si>
  <si>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</si>
  <si>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</si>
  <si>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</si>
  <si>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</si>
  <si>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</si>
  <si>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</si>
  <si>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</si>
  <si>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</si>
  <si>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</si>
  <si>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</si>
  <si>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</si>
  <si>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</si>
  <si>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</si>
  <si>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</si>
  <si>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</si>
  <si>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</si>
  <si>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</si>
  <si>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</si>
  <si>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</si>
  <si>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</si>
  <si>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</si>
  <si>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</si>
  <si>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</si>
  <si>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</si>
  <si>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</si>
  <si>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</si>
  <si>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</si>
  <si>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</si>
  <si>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</si>
  <si>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</si>
  <si>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</si>
  <si>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</si>
  <si>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</si>
  <si>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</si>
  <si>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</si>
  <si>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</si>
  <si>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</si>
  <si>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</si>
  <si>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</si>
  <si>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</si>
  <si>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</si>
  <si>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</si>
  <si>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</si>
  <si>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</si>
  <si>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</si>
  <si>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</si>
  <si>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</si>
  <si>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</si>
  <si>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</si>
  <si>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</si>
  <si>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</si>
  <si>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</si>
  <si>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</si>
  <si>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</si>
  <si>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</si>
  <si>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</si>
  <si>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</si>
  <si>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</si>
  <si>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</si>
  <si>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</si>
  <si>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</si>
  <si>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</si>
  <si>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</si>
  <si>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</si>
  <si>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</si>
  <si>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</si>
  <si>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</si>
  <si>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</si>
  <si>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</si>
  <si>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</si>
  <si>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</si>
  <si>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</si>
  <si>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</si>
  <si>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</si>
  <si>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</si>
  <si>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</si>
  <si>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</si>
  <si>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</si>
  <si>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</si>
  <si>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</si>
  <si>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</si>
  <si>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</si>
  <si>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</si>
  <si>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</si>
  <si>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</si>
  <si>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</si>
  <si>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</si>
  <si>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</si>
  <si>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</si>
  <si>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</si>
  <si>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</si>
  <si>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</si>
  <si>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</si>
  <si>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</si>
  <si>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</si>
  <si>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</si>
  <si>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</si>
  <si>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</si>
  <si>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</si>
  <si>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</si>
  <si>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</si>
  <si>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</si>
  <si>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</si>
  <si>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</si>
  <si>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</si>
  <si>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</si>
  <si>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</si>
  <si>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</si>
  <si>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</si>
  <si>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</si>
  <si>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</si>
  <si>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</si>
  <si>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</si>
  <si>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</si>
  <si>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</si>
  <si>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</si>
  <si>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</si>
  <si>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</si>
  <si>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</si>
  <si>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</si>
  <si>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</si>
  <si>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</si>
  <si>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</si>
  <si>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</si>
  <si>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</si>
  <si>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</si>
  <si>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</si>
  <si>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</si>
  <si>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</si>
  <si>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</si>
  <si>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</si>
  <si>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</si>
  <si>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</si>
  <si>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</si>
  <si>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</si>
  <si>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</si>
  <si>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</si>
  <si>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</si>
  <si>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</si>
  <si>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</si>
  <si>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</si>
  <si>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</si>
  <si>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</si>
  <si>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</si>
  <si>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</si>
  <si>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</si>
  <si>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</si>
  <si>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</si>
  <si>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</si>
  <si>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</si>
  <si>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</si>
  <si>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</si>
  <si>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</si>
  <si>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</si>
  <si>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</si>
  <si>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</si>
  <si>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</si>
  <si>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</si>
  <si>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</si>
  <si>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</si>
  <si>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</si>
  <si>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</si>
  <si>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</si>
  <si>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</si>
  <si>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</si>
  <si>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</si>
  <si>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</si>
  <si>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</si>
  <si>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</si>
  <si>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</si>
  <si>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</si>
  <si>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</si>
  <si>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</si>
  <si>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</si>
  <si>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</si>
  <si>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</si>
  <si>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</si>
  <si>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</si>
  <si>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</si>
  <si>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</si>
  <si>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</si>
  <si>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</si>
  <si>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</si>
  <si>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</si>
  <si>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</si>
  <si>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</si>
  <si>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</si>
  <si>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</si>
  <si>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</si>
  <si>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</si>
  <si>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</si>
  <si>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</si>
  <si>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</si>
  <si>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</si>
  <si>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</si>
  <si>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</si>
  <si>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</si>
  <si>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</si>
  <si>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</si>
  <si>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</si>
  <si>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</si>
  <si>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</si>
  <si>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</si>
  <si>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</si>
  <si>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</si>
  <si>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</si>
  <si>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</si>
  <si>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</si>
  <si>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</si>
  <si>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</si>
  <si>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</si>
  <si>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</si>
  <si>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</si>
  <si>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</si>
  <si>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</si>
  <si>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</si>
  <si>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</si>
  <si>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</si>
  <si>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</si>
  <si>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</si>
  <si>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</si>
  <si>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</si>
  <si>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</si>
  <si>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</si>
  <si>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</si>
  <si>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</si>
  <si>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</si>
  <si>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</si>
  <si>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</si>
  <si>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</si>
  <si>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</si>
  <si>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</si>
  <si>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</si>
  <si>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</si>
  <si>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</si>
  <si>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</si>
  <si>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</si>
  <si>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</si>
  <si>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</si>
  <si>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</si>
  <si>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</si>
  <si>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</si>
  <si>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</si>
  <si>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</si>
  <si>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</si>
  <si>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</si>
  <si>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</si>
  <si>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</si>
  <si>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</si>
  <si>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</si>
  <si>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</si>
  <si>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</si>
  <si>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</si>
  <si>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</si>
  <si>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</si>
  <si>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</si>
  <si>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</si>
  <si>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</si>
  <si>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</si>
  <si>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</si>
  <si>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</si>
  <si>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</si>
  <si>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</si>
  <si>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</si>
  <si>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</si>
  <si>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</si>
  <si>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</si>
  <si>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</si>
  <si>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</si>
  <si>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</si>
  <si>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</si>
  <si>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</si>
  <si>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</si>
  <si>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</si>
  <si>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</si>
  <si>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</si>
  <si>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</si>
  <si>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</si>
  <si>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</si>
  <si>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</si>
  <si>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</si>
  <si>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</si>
  <si>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</si>
  <si>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</si>
  <si>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</si>
  <si>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</si>
  <si>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</si>
  <si>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</si>
  <si>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</si>
  <si>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</si>
  <si>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</si>
  <si>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</si>
  <si>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</si>
  <si>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</si>
  <si>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</si>
  <si>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</si>
  <si>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</si>
  <si>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</si>
  <si>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</si>
  <si>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</si>
  <si>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</si>
  <si>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</si>
  <si>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</si>
  <si>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</si>
  <si>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</si>
  <si>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</si>
  <si>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</si>
  <si>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</si>
  <si>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</si>
  <si>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</si>
  <si>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</si>
  <si>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</si>
  <si>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</si>
  <si>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</si>
  <si>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</si>
  <si>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</si>
  <si>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</si>
  <si>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</si>
  <si>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</si>
  <si>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</si>
  <si>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</si>
  <si>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</si>
  <si>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</si>
  <si>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</si>
  <si>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</si>
  <si>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</si>
  <si>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</si>
  <si>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</si>
  <si>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</si>
  <si>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</si>
  <si>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</si>
  <si>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</si>
  <si>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</si>
  <si>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</si>
  <si>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</si>
  <si>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</si>
  <si>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</si>
  <si>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</si>
  <si>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</si>
  <si>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</si>
  <si>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</si>
  <si>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</si>
  <si>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</si>
  <si>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</si>
  <si>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</si>
  <si>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</si>
  <si>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</si>
  <si>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</si>
  <si>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</si>
  <si>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</si>
  <si>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</si>
  <si>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</si>
  <si>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</si>
  <si>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</si>
  <si>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</si>
  <si>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</si>
  <si>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</si>
  <si>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</si>
  <si>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</si>
  <si>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</si>
  <si>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</si>
  <si>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</si>
  <si>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</si>
  <si>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</si>
  <si>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</si>
  <si>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</si>
  <si>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</si>
  <si>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</si>
  <si>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</si>
  <si>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</si>
  <si>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</si>
  <si>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</si>
  <si>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</si>
  <si>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</si>
  <si>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</si>
  <si>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</si>
  <si>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</si>
  <si>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</si>
  <si>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</si>
  <si>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</si>
  <si>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</si>
  <si>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</si>
  <si>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</si>
  <si>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</si>
  <si>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</si>
  <si>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</si>
  <si>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</si>
  <si>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</si>
  <si>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</si>
  <si>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</si>
  <si>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</si>
  <si>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</si>
  <si>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</si>
  <si>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</si>
  <si>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</si>
  <si>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</si>
  <si>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</si>
  <si>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</si>
  <si>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</si>
  <si>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</si>
  <si>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</si>
  <si>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</si>
  <si>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</si>
  <si>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</si>
  <si>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</si>
  <si>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</si>
  <si>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</si>
  <si>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</si>
  <si>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</si>
  <si>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</si>
  <si>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</si>
  <si>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</si>
  <si>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</si>
  <si>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</si>
  <si>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</si>
  <si>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</si>
  <si>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</si>
  <si>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</si>
  <si>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</si>
  <si>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</si>
  <si>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</si>
  <si>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</si>
  <si>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</si>
  <si>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</si>
  <si>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</si>
  <si>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</si>
  <si>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</si>
  <si>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</si>
  <si>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</si>
  <si>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</si>
  <si>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</si>
  <si>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</si>
  <si>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</si>
  <si>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</si>
  <si>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</si>
  <si>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</si>
  <si>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</si>
  <si>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</si>
  <si>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</si>
  <si>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</si>
  <si>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</si>
  <si>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</si>
  <si>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</si>
  <si>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</si>
  <si>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</si>
  <si>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</si>
  <si>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</si>
  <si>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</si>
  <si>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</si>
  <si>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</si>
  <si>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</si>
  <si>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</si>
  <si>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</si>
  <si>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</si>
  <si>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</si>
  <si>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</si>
  <si>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</si>
  <si>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</si>
  <si>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</si>
  <si>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</si>
  <si>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</si>
  <si>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</si>
  <si>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</si>
  <si>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</si>
  <si>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</si>
  <si>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</si>
  <si>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</si>
  <si>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</si>
  <si>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</si>
  <si>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</si>
  <si>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</si>
  <si>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</si>
  <si>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</si>
  <si>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</si>
  <si>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</si>
  <si>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</si>
  <si>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</si>
  <si>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</si>
  <si>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</si>
  <si>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</si>
  <si>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</si>
  <si>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</si>
  <si>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</si>
  <si>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</si>
  <si>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</si>
  <si>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</si>
  <si>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</si>
  <si>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</si>
  <si>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</si>
  <si>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</si>
  <si>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</si>
  <si>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</si>
  <si>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</si>
  <si>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</si>
  <si>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</si>
  <si>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</si>
  <si>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</si>
  <si>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</si>
  <si>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</si>
  <si>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</si>
  <si>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</si>
  <si>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</si>
  <si>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</si>
  <si>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</si>
  <si>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</si>
  <si>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</si>
  <si>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</si>
  <si>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</si>
  <si>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</si>
  <si>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</si>
  <si>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</si>
  <si>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</si>
  <si>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</si>
  <si>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</si>
  <si>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</si>
  <si>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</si>
  <si>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</si>
  <si>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</si>
  <si>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</si>
  <si>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</si>
  <si>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</si>
  <si>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</si>
  <si>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</si>
  <si>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</si>
  <si>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</si>
  <si>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</si>
  <si>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</si>
  <si>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</si>
  <si>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</si>
  <si>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</si>
  <si>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</si>
  <si>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</si>
  <si>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</si>
  <si>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</si>
  <si>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</si>
  <si>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</si>
  <si>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</si>
  <si>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</si>
  <si>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</si>
  <si>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</si>
  <si>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</si>
  <si>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</si>
  <si>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</si>
  <si>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</si>
  <si>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</si>
  <si>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</si>
  <si>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</si>
  <si>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</si>
  <si>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</si>
  <si>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</si>
  <si>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</si>
  <si>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</si>
  <si>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</si>
  <si>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</si>
  <si>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</si>
  <si>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</si>
  <si>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</si>
  <si>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</si>
  <si>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</si>
  <si>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</si>
  <si>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</si>
  <si>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</si>
  <si>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</si>
  <si>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</si>
  <si>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</si>
  <si>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</si>
  <si>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</si>
  <si>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</si>
  <si>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</si>
  <si>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</si>
  <si>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</si>
  <si>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</si>
  <si>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</si>
  <si>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</si>
  <si>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</si>
  <si>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</si>
  <si>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</si>
  <si>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</si>
  <si>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</si>
  <si>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</si>
  <si>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</si>
  <si>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</si>
  <si>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</si>
  <si>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</si>
  <si>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</si>
  <si>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</si>
  <si>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</si>
  <si>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</si>
  <si>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</si>
  <si>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</si>
  <si>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</si>
  <si>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</si>
  <si>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</si>
  <si>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</si>
  <si>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</si>
  <si>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</si>
  <si>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</si>
  <si>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</si>
  <si>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</si>
  <si>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</si>
  <si>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</si>
  <si>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</si>
  <si>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</si>
  <si>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</si>
  <si>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</si>
  <si>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</si>
  <si>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</si>
  <si>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</si>
  <si>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</si>
  <si>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</si>
  <si>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</si>
  <si>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</si>
  <si>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</si>
  <si>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</si>
  <si>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</si>
  <si>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</si>
  <si>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</si>
  <si>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</si>
  <si>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</si>
  <si>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</si>
  <si>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</si>
  <si>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</si>
  <si>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</si>
  <si>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</si>
  <si>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</si>
  <si>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</si>
  <si>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</si>
  <si>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</si>
  <si>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</si>
  <si>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</si>
  <si>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</si>
  <si>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</si>
  <si>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</si>
  <si>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</si>
  <si>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</si>
  <si>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</si>
  <si>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</si>
  <si>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</si>
  <si>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</si>
  <si>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</si>
  <si>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</si>
  <si>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</si>
  <si>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</si>
  <si>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</si>
  <si>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</si>
  <si>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</si>
  <si>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</si>
  <si>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</si>
  <si>
    <t>Speed staat +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</si>
</sst>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19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9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34E-2"/>
          <c:w val="0.72971464242649264"/>
          <c:h val="0.89097169207608595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dLbls/>
        <c:marker val="1"/>
        <c:axId val="113710592"/>
        <c:axId val="113712128"/>
      </c:lineChart>
      <c:catAx>
        <c:axId val="113710592"/>
        <c:scaling>
          <c:orientation val="minMax"/>
        </c:scaling>
        <c:axPos val="b"/>
        <c:tickLblPos val="nextTo"/>
        <c:crossAx val="113712128"/>
        <c:crosses val="autoZero"/>
        <c:auto val="1"/>
        <c:lblAlgn val="ctr"/>
        <c:lblOffset val="100"/>
      </c:catAx>
      <c:valAx>
        <c:axId val="113712128"/>
        <c:scaling>
          <c:orientation val="minMax"/>
        </c:scaling>
        <c:axPos val="l"/>
        <c:majorGridlines/>
        <c:numFmt formatCode="General" sourceLinked="1"/>
        <c:tickLblPos val="nextTo"/>
        <c:crossAx val="113710592"/>
        <c:crosses val="autoZero"/>
        <c:crossBetween val="between"/>
      </c:valAx>
    </c:plotArea>
    <c:legend>
      <c:legendPos val="r"/>
    </c:legend>
    <c:plotVisOnly val="1"/>
    <c:dispBlanksAs val="gap"/>
  </c:chart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46.654743865744" createdVersion="3" refreshedVersion="3" minRefreshableVersion="3" recordCount="1996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HoWater"/>
        <s v="HoFire"/>
        <s v="SD"/>
        <s v="HoWind"/>
        <s v="Hydeni"/>
        <s v="Vrofagul"/>
        <s v="Dragon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6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8"/>
    <x v="0"/>
    <x v="7"/>
    <n v="2498"/>
    <n v="2"/>
    <s v="Water"/>
    <n v="3"/>
    <x v="3"/>
    <n v="0"/>
    <n v="0"/>
    <n v="0"/>
    <n v="0"/>
    <m/>
  </r>
  <r>
    <x v="8"/>
    <x v="0"/>
    <x v="6"/>
    <n v="2073"/>
    <n v="0"/>
    <s v="Water"/>
    <n v="1"/>
    <x v="4"/>
    <n v="0"/>
    <n v="0"/>
    <n v="0"/>
    <n v="0"/>
    <m/>
  </r>
  <r>
    <x v="8"/>
    <x v="0"/>
    <x v="6"/>
    <n v="2143"/>
    <n v="0"/>
    <s v="Water"/>
    <n v="3"/>
    <x v="3"/>
    <n v="0"/>
    <n v="0"/>
    <n v="0"/>
    <n v="0"/>
    <m/>
  </r>
  <r>
    <x v="8"/>
    <x v="0"/>
    <x v="6"/>
    <n v="1852"/>
    <n v="1"/>
    <s v="Water"/>
    <n v="1"/>
    <x v="4"/>
    <n v="0"/>
    <n v="0"/>
    <n v="0"/>
    <n v="0"/>
    <m/>
  </r>
  <r>
    <x v="8"/>
    <x v="0"/>
    <x v="6"/>
    <n v="2417"/>
    <n v="0"/>
    <s v="SumStone"/>
    <n v="1"/>
    <x v="5"/>
    <n v="0"/>
    <n v="0"/>
    <n v="862.5"/>
    <n v="895.55"/>
    <m/>
  </r>
  <r>
    <x v="8"/>
    <x v="0"/>
    <x v="7"/>
    <n v="2146"/>
    <n v="0"/>
    <s v="Water"/>
    <n v="2"/>
    <x v="4"/>
    <n v="0"/>
    <n v="0"/>
    <n v="0"/>
    <n v="0"/>
    <m/>
  </r>
  <r>
    <x v="8"/>
    <x v="0"/>
    <x v="7"/>
    <n v="2968"/>
    <n v="0"/>
    <s v="Scroll"/>
    <n v="4"/>
    <x v="2"/>
    <n v="0"/>
    <n v="8000"/>
    <n v="0"/>
    <n v="3200"/>
    <m/>
  </r>
  <r>
    <x v="8"/>
    <x v="0"/>
    <x v="7"/>
    <n v="2237"/>
    <n v="0"/>
    <s v="Scroll"/>
    <n v="4"/>
    <x v="2"/>
    <n v="0"/>
    <n v="8000"/>
    <n v="0"/>
    <n v="3200"/>
    <m/>
  </r>
  <r>
    <x v="8"/>
    <x v="0"/>
    <x v="7"/>
    <n v="2223"/>
    <n v="1"/>
    <s v="Water"/>
    <n v="5"/>
    <x v="3"/>
    <n v="0"/>
    <n v="0"/>
    <n v="0"/>
    <n v="0"/>
    <m/>
  </r>
  <r>
    <x v="8"/>
    <x v="0"/>
    <x v="7"/>
    <n v="2246"/>
    <n v="2"/>
    <s v="Scroll"/>
    <n v="4"/>
    <x v="2"/>
    <n v="0"/>
    <n v="8000"/>
    <n v="0"/>
    <n v="3200"/>
    <m/>
  </r>
  <r>
    <x v="8"/>
    <x v="0"/>
    <x v="7"/>
    <n v="1945"/>
    <n v="0"/>
    <s v="Scroll"/>
    <n v="4"/>
    <x v="2"/>
    <n v="0"/>
    <n v="8000"/>
    <n v="0"/>
    <n v="3200"/>
    <m/>
  </r>
  <r>
    <x v="8"/>
    <x v="0"/>
    <x v="7"/>
    <n v="2404"/>
    <n v="1"/>
    <s v="Water"/>
    <n v="4"/>
    <x v="3"/>
    <n v="0"/>
    <n v="0"/>
    <n v="0"/>
    <n v="0"/>
    <m/>
  </r>
  <r>
    <x v="8"/>
    <x v="0"/>
    <x v="7"/>
    <n v="3017"/>
    <n v="1"/>
    <s v="Water"/>
    <n v="4"/>
    <x v="3"/>
    <n v="0"/>
    <n v="0"/>
    <n v="0"/>
    <n v="0"/>
    <m/>
  </r>
  <r>
    <x v="8"/>
    <x v="0"/>
    <x v="7"/>
    <n v="2175"/>
    <n v="0"/>
    <s v="SweetCookie"/>
    <n v="1"/>
    <x v="0"/>
    <n v="0"/>
    <n v="0"/>
    <n v="0"/>
    <n v="0"/>
    <m/>
  </r>
  <r>
    <x v="8"/>
    <x v="0"/>
    <x v="7"/>
    <n v="2276"/>
    <n v="0"/>
    <s v="Water"/>
    <n v="4"/>
    <x v="3"/>
    <n v="0"/>
    <n v="0"/>
    <n v="0"/>
    <n v="0"/>
    <m/>
  </r>
  <r>
    <x v="8"/>
    <x v="0"/>
    <x v="7"/>
    <n v="2576"/>
    <n v="3"/>
    <s v="Water"/>
    <n v="4"/>
    <x v="3"/>
    <n v="0"/>
    <n v="0"/>
    <n v="0"/>
    <n v="0"/>
    <m/>
  </r>
  <r>
    <x v="8"/>
    <x v="0"/>
    <x v="7"/>
    <n v="2058"/>
    <n v="1"/>
    <s v="Water"/>
    <n v="5"/>
    <x v="3"/>
    <n v="0"/>
    <n v="0"/>
    <n v="0"/>
    <n v="0"/>
    <m/>
  </r>
  <r>
    <x v="8"/>
    <x v="0"/>
    <x v="7"/>
    <n v="2086"/>
    <n v="1"/>
    <s v="Scroll"/>
    <n v="4"/>
    <x v="2"/>
    <n v="0"/>
    <n v="8000"/>
    <n v="0"/>
    <n v="3200"/>
    <m/>
  </r>
  <r>
    <x v="8"/>
    <x v="0"/>
    <x v="7"/>
    <n v="2586"/>
    <n v="3"/>
    <s v="Scroll"/>
    <n v="4"/>
    <x v="2"/>
    <n v="0"/>
    <n v="8000"/>
    <n v="0"/>
    <n v="3200"/>
    <m/>
  </r>
  <r>
    <x v="8"/>
    <x v="0"/>
    <x v="7"/>
    <n v="2500"/>
    <n v="1"/>
    <s v="Scroll"/>
    <n v="5"/>
    <x v="2"/>
    <n v="0"/>
    <n v="10000"/>
    <n v="0"/>
    <n v="4000"/>
    <m/>
  </r>
  <r>
    <x v="8"/>
    <x v="0"/>
    <x v="7"/>
    <n v="2526"/>
    <n v="0"/>
    <s v="Water"/>
    <n v="1"/>
    <x v="6"/>
    <n v="0"/>
    <n v="0"/>
    <n v="0"/>
    <n v="0"/>
    <m/>
  </r>
  <r>
    <x v="8"/>
    <x v="0"/>
    <x v="7"/>
    <n v="2483"/>
    <n v="3"/>
    <s v="Water"/>
    <n v="1"/>
    <x v="6"/>
    <n v="0"/>
    <n v="0"/>
    <n v="0"/>
    <n v="0"/>
    <m/>
  </r>
  <r>
    <x v="8"/>
    <x v="0"/>
    <x v="7"/>
    <n v="2491"/>
    <n v="0"/>
    <s v="SD"/>
    <s v="Bearman"/>
    <x v="5"/>
    <n v="0"/>
    <n v="0"/>
    <n v="0"/>
    <n v="0"/>
    <m/>
  </r>
  <r>
    <x v="8"/>
    <x v="0"/>
    <x v="7"/>
    <n v="2730"/>
    <n v="0"/>
    <s v="Scroll"/>
    <n v="4"/>
    <x v="2"/>
    <n v="0"/>
    <n v="8000"/>
    <n v="0"/>
    <n v="3200"/>
    <m/>
  </r>
  <r>
    <x v="8"/>
    <x v="0"/>
    <x v="7"/>
    <n v="2671"/>
    <n v="2"/>
    <s v="Water"/>
    <n v="4"/>
    <x v="3"/>
    <n v="0"/>
    <n v="0"/>
    <n v="0"/>
    <n v="0"/>
    <m/>
  </r>
  <r>
    <x v="8"/>
    <x v="0"/>
    <x v="7"/>
    <n v="2186"/>
    <n v="1"/>
    <s v="Angelmon"/>
    <n v="1"/>
    <x v="2"/>
    <n v="0"/>
    <n v="0"/>
    <n v="0"/>
    <n v="0"/>
    <m/>
  </r>
  <r>
    <x v="8"/>
    <x v="0"/>
    <x v="7"/>
    <n v="2316"/>
    <n v="0"/>
    <s v="Water"/>
    <n v="3"/>
    <x v="3"/>
    <n v="0"/>
    <n v="0"/>
    <n v="0"/>
    <n v="0"/>
    <m/>
  </r>
  <r>
    <x v="8"/>
    <x v="0"/>
    <x v="7"/>
    <n v="2046"/>
    <n v="1"/>
    <s v="Water"/>
    <n v="4"/>
    <x v="3"/>
    <n v="0"/>
    <n v="0"/>
    <n v="0"/>
    <n v="0"/>
    <m/>
  </r>
  <r>
    <x v="8"/>
    <x v="0"/>
    <x v="7"/>
    <n v="2303"/>
    <n v="3"/>
    <s v="Water"/>
    <n v="1"/>
    <x v="4"/>
    <n v="0"/>
    <n v="0"/>
    <n v="0"/>
    <n v="0"/>
    <m/>
  </r>
  <r>
    <x v="8"/>
    <x v="0"/>
    <x v="7"/>
    <n v="2396"/>
    <n v="1"/>
    <s v="Water"/>
    <n v="1"/>
    <x v="4"/>
    <n v="0"/>
    <n v="0"/>
    <n v="0"/>
    <n v="0"/>
    <m/>
  </r>
  <r>
    <x v="8"/>
    <x v="0"/>
    <x v="7"/>
    <n v="2325"/>
    <n v="1"/>
    <s v="Water"/>
    <n v="2"/>
    <x v="6"/>
    <n v="0"/>
    <n v="0"/>
    <n v="0"/>
    <n v="0"/>
    <m/>
  </r>
  <r>
    <x v="8"/>
    <x v="0"/>
    <x v="7"/>
    <n v="2398"/>
    <n v="1"/>
    <s v="Water"/>
    <n v="3"/>
    <x v="3"/>
    <n v="0"/>
    <n v="0"/>
    <n v="0"/>
    <n v="0"/>
    <m/>
  </r>
  <r>
    <x v="8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9"/>
    <x v="0"/>
    <x v="10"/>
    <n v="2891"/>
    <n v="0"/>
    <s v="Scroll"/>
    <n v="4"/>
    <x v="2"/>
    <n v="0"/>
    <n v="8000"/>
    <n v="0"/>
    <n v="3200"/>
    <m/>
  </r>
  <r>
    <x v="9"/>
    <x v="0"/>
    <x v="10"/>
    <n v="2801"/>
    <n v="0"/>
    <s v="Fire"/>
    <n v="4"/>
    <x v="3"/>
    <n v="0"/>
    <n v="0"/>
    <n v="0"/>
    <n v="0"/>
    <m/>
  </r>
  <r>
    <x v="9"/>
    <x v="0"/>
    <x v="10"/>
    <n v="2407"/>
    <n v="0"/>
    <s v="Fire"/>
    <n v="1"/>
    <x v="4"/>
    <n v="0"/>
    <n v="0"/>
    <n v="0"/>
    <n v="0"/>
    <m/>
  </r>
  <r>
    <x v="9"/>
    <x v="0"/>
    <x v="10"/>
    <n v="2748"/>
    <n v="0"/>
    <m/>
    <m/>
    <x v="0"/>
    <n v="0"/>
    <n v="0"/>
    <n v="0"/>
    <n v="0"/>
    <m/>
  </r>
  <r>
    <x v="9"/>
    <x v="0"/>
    <x v="10"/>
    <n v="2679"/>
    <n v="1"/>
    <s v="Rainb"/>
    <n v="1"/>
    <x v="1"/>
    <n v="0"/>
    <n v="0"/>
    <n v="11500"/>
    <n v="35822"/>
    <m/>
  </r>
  <r>
    <x v="9"/>
    <x v="0"/>
    <x v="11"/>
    <n v="2720"/>
    <n v="0"/>
    <s v="Fire"/>
    <n v="1"/>
    <x v="4"/>
    <n v="0"/>
    <n v="0"/>
    <n v="0"/>
    <n v="0"/>
    <m/>
  </r>
  <r>
    <x v="9"/>
    <x v="0"/>
    <x v="11"/>
    <n v="0"/>
    <n v="0"/>
    <m/>
    <m/>
    <x v="0"/>
    <n v="0"/>
    <n v="0"/>
    <n v="0"/>
    <n v="0"/>
    <s v="Y"/>
  </r>
  <r>
    <x v="9"/>
    <x v="0"/>
    <x v="10"/>
    <n v="2875"/>
    <n v="0"/>
    <s v="Angelmon"/>
    <n v="1"/>
    <x v="2"/>
    <n v="0"/>
    <n v="0"/>
    <n v="0"/>
    <n v="0"/>
    <m/>
  </r>
  <r>
    <x v="9"/>
    <x v="0"/>
    <x v="10"/>
    <n v="2734"/>
    <n v="0"/>
    <s v="Fire"/>
    <n v="3"/>
    <x v="6"/>
    <n v="0"/>
    <n v="0"/>
    <n v="0"/>
    <n v="0"/>
    <m/>
  </r>
  <r>
    <x v="9"/>
    <x v="0"/>
    <x v="10"/>
    <n v="3073"/>
    <n v="0"/>
    <s v="Fire"/>
    <n v="2"/>
    <x v="4"/>
    <n v="0"/>
    <n v="0"/>
    <n v="0"/>
    <n v="0"/>
    <m/>
  </r>
  <r>
    <x v="9"/>
    <x v="0"/>
    <x v="10"/>
    <n v="2813"/>
    <n v="0"/>
    <s v="Fire"/>
    <n v="2"/>
    <x v="4"/>
    <n v="0"/>
    <n v="0"/>
    <n v="0"/>
    <n v="0"/>
    <m/>
  </r>
  <r>
    <x v="9"/>
    <x v="0"/>
    <x v="10"/>
    <n v="2758"/>
    <n v="0"/>
    <s v="Candy"/>
    <n v="3"/>
    <x v="0"/>
    <n v="0"/>
    <n v="0"/>
    <n v="0"/>
    <n v="0"/>
    <m/>
  </r>
  <r>
    <x v="9"/>
    <x v="0"/>
    <x v="10"/>
    <n v="2313"/>
    <n v="1"/>
    <s v="Fire"/>
    <n v="3"/>
    <x v="4"/>
    <n v="0"/>
    <n v="0"/>
    <n v="0"/>
    <n v="0"/>
    <m/>
  </r>
  <r>
    <x v="9"/>
    <x v="0"/>
    <x v="10"/>
    <n v="2625"/>
    <n v="1"/>
    <s v="Fire"/>
    <n v="3"/>
    <x v="4"/>
    <n v="0"/>
    <n v="0"/>
    <n v="0"/>
    <n v="0"/>
    <m/>
  </r>
  <r>
    <x v="9"/>
    <x v="0"/>
    <x v="10"/>
    <n v="2515"/>
    <n v="0"/>
    <s v="Fire"/>
    <n v="1"/>
    <x v="6"/>
    <n v="0"/>
    <n v="0"/>
    <n v="0"/>
    <n v="0"/>
    <m/>
  </r>
  <r>
    <x v="9"/>
    <x v="0"/>
    <x v="10"/>
    <n v="2516"/>
    <n v="1"/>
    <s v="Candy"/>
    <n v="1"/>
    <x v="0"/>
    <n v="0"/>
    <n v="0"/>
    <n v="0"/>
    <n v="0"/>
    <m/>
  </r>
  <r>
    <x v="9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9"/>
    <x v="0"/>
    <x v="10"/>
    <n v="2517"/>
    <n v="0"/>
    <s v="Candy"/>
    <n v="2"/>
    <x v="0"/>
    <n v="0"/>
    <n v="0"/>
    <n v="0"/>
    <n v="0"/>
    <m/>
  </r>
  <r>
    <x v="9"/>
    <x v="0"/>
    <x v="10"/>
    <n v="2615"/>
    <n v="2"/>
    <s v="Fire"/>
    <n v="2"/>
    <x v="6"/>
    <n v="0"/>
    <n v="0"/>
    <n v="0"/>
    <n v="0"/>
    <m/>
  </r>
  <r>
    <x v="9"/>
    <x v="0"/>
    <x v="10"/>
    <n v="2798"/>
    <n v="2"/>
    <s v="Rainb"/>
    <n v="1"/>
    <x v="1"/>
    <n v="0"/>
    <n v="0"/>
    <n v="11500"/>
    <n v="35822"/>
    <m/>
  </r>
  <r>
    <x v="9"/>
    <x v="0"/>
    <x v="10"/>
    <n v="2602"/>
    <n v="0"/>
    <s v="Fire"/>
    <n v="3"/>
    <x v="4"/>
    <n v="0"/>
    <n v="0"/>
    <n v="0"/>
    <n v="0"/>
    <m/>
  </r>
  <r>
    <x v="9"/>
    <x v="0"/>
    <x v="10"/>
    <n v="2901"/>
    <n v="1"/>
    <s v="Fire"/>
    <n v="1"/>
    <x v="4"/>
    <n v="0"/>
    <n v="0"/>
    <n v="0"/>
    <n v="0"/>
    <m/>
  </r>
  <r>
    <x v="9"/>
    <x v="0"/>
    <x v="10"/>
    <n v="540"/>
    <n v="0"/>
    <m/>
    <m/>
    <x v="0"/>
    <n v="0"/>
    <n v="0"/>
    <n v="0"/>
    <n v="0"/>
    <s v="Y"/>
  </r>
  <r>
    <x v="9"/>
    <x v="0"/>
    <x v="10"/>
    <n v="3199"/>
    <n v="0"/>
    <s v="Fire"/>
    <n v="1"/>
    <x v="4"/>
    <n v="0"/>
    <n v="0"/>
    <n v="0"/>
    <n v="0"/>
    <m/>
  </r>
  <r>
    <x v="9"/>
    <x v="0"/>
    <x v="10"/>
    <n v="2926"/>
    <n v="1"/>
    <s v="Fire"/>
    <n v="1"/>
    <x v="4"/>
    <n v="0"/>
    <n v="0"/>
    <n v="0"/>
    <n v="0"/>
    <m/>
  </r>
  <r>
    <x v="9"/>
    <x v="0"/>
    <x v="10"/>
    <n v="2560"/>
    <n v="1"/>
    <s v="Fire"/>
    <n v="4"/>
    <x v="3"/>
    <n v="0"/>
    <n v="0"/>
    <n v="0"/>
    <n v="0"/>
    <m/>
  </r>
  <r>
    <x v="9"/>
    <x v="0"/>
    <x v="10"/>
    <n v="2313"/>
    <n v="1"/>
    <s v="Fire"/>
    <n v="4"/>
    <x v="3"/>
    <n v="0"/>
    <n v="0"/>
    <n v="0"/>
    <n v="0"/>
    <m/>
  </r>
  <r>
    <x v="9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9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8"/>
    <x v="0"/>
    <x v="10"/>
    <n v="2924"/>
    <n v="1"/>
    <s v="Water"/>
    <n v="1"/>
    <x v="4"/>
    <n v="0"/>
    <n v="0"/>
    <n v="0"/>
    <n v="0"/>
    <m/>
  </r>
  <r>
    <x v="8"/>
    <x v="0"/>
    <x v="10"/>
    <n v="3192"/>
    <n v="2"/>
    <s v="Water"/>
    <n v="2"/>
    <x v="4"/>
    <n v="0"/>
    <n v="0"/>
    <n v="0"/>
    <n v="0"/>
    <m/>
  </r>
  <r>
    <x v="8"/>
    <x v="0"/>
    <x v="10"/>
    <n v="2967"/>
    <n v="1"/>
    <s v="Water"/>
    <n v="2"/>
    <x v="4"/>
    <n v="0"/>
    <n v="0"/>
    <n v="0"/>
    <n v="0"/>
    <m/>
  </r>
  <r>
    <x v="8"/>
    <x v="0"/>
    <x v="10"/>
    <n v="2926"/>
    <n v="0"/>
    <s v="Water"/>
    <n v="3"/>
    <x v="3"/>
    <n v="0"/>
    <n v="0"/>
    <n v="0"/>
    <n v="0"/>
    <m/>
  </r>
  <r>
    <x v="8"/>
    <x v="0"/>
    <x v="10"/>
    <n v="2801"/>
    <n v="1"/>
    <s v="Water"/>
    <n v="3"/>
    <x v="3"/>
    <n v="0"/>
    <n v="0"/>
    <n v="0"/>
    <n v="0"/>
    <m/>
  </r>
  <r>
    <x v="8"/>
    <x v="0"/>
    <x v="10"/>
    <n v="2800"/>
    <n v="0"/>
    <s v="SD"/>
    <s v="Vagabond"/>
    <x v="1"/>
    <n v="0"/>
    <n v="0"/>
    <n v="0"/>
    <n v="0"/>
    <m/>
  </r>
  <r>
    <x v="8"/>
    <x v="0"/>
    <x v="10"/>
    <n v="2913"/>
    <n v="0"/>
    <s v="Water"/>
    <n v="1"/>
    <x v="6"/>
    <n v="0"/>
    <n v="0"/>
    <n v="0"/>
    <n v="0"/>
    <m/>
  </r>
  <r>
    <x v="8"/>
    <x v="0"/>
    <x v="10"/>
    <n v="2812"/>
    <n v="1"/>
    <s v="Water"/>
    <n v="1"/>
    <x v="4"/>
    <n v="0"/>
    <n v="0"/>
    <n v="0"/>
    <n v="0"/>
    <m/>
  </r>
  <r>
    <x v="8"/>
    <x v="0"/>
    <x v="10"/>
    <n v="2449"/>
    <n v="0"/>
    <s v="Rainb"/>
    <n v="1"/>
    <x v="1"/>
    <n v="0"/>
    <n v="0"/>
    <n v="11500"/>
    <n v="35822"/>
    <m/>
  </r>
  <r>
    <x v="8"/>
    <x v="0"/>
    <x v="10"/>
    <n v="2754"/>
    <n v="1"/>
    <s v="MystScroll"/>
    <n v="1"/>
    <x v="2"/>
    <n v="0"/>
    <n v="120000"/>
    <n v="0"/>
    <n v="0"/>
    <m/>
  </r>
  <r>
    <x v="8"/>
    <x v="0"/>
    <x v="10"/>
    <n v="2824"/>
    <n v="1"/>
    <s v="SD"/>
    <s v="Pixie"/>
    <x v="1"/>
    <n v="0"/>
    <n v="0"/>
    <n v="0"/>
    <n v="0"/>
    <m/>
  </r>
  <r>
    <x v="8"/>
    <x v="0"/>
    <x v="10"/>
    <n v="2980"/>
    <n v="0"/>
    <s v="Water"/>
    <n v="1"/>
    <x v="4"/>
    <n v="0"/>
    <n v="0"/>
    <n v="0"/>
    <n v="0"/>
    <m/>
  </r>
  <r>
    <x v="8"/>
    <x v="0"/>
    <x v="10"/>
    <n v="2957"/>
    <n v="0"/>
    <s v="Angelmon"/>
    <n v="1"/>
    <x v="2"/>
    <n v="0"/>
    <n v="0"/>
    <n v="0"/>
    <n v="0"/>
    <m/>
  </r>
  <r>
    <x v="8"/>
    <x v="0"/>
    <x v="10"/>
    <n v="2417"/>
    <n v="0"/>
    <s v="Scroll"/>
    <n v="4"/>
    <x v="2"/>
    <n v="0"/>
    <n v="8000"/>
    <n v="0"/>
    <n v="3200"/>
    <m/>
  </r>
  <r>
    <x v="8"/>
    <x v="0"/>
    <x v="10"/>
    <n v="2671"/>
    <n v="0"/>
    <s v="Water"/>
    <n v="5"/>
    <x v="3"/>
    <n v="0"/>
    <n v="0"/>
    <n v="0"/>
    <n v="0"/>
    <m/>
  </r>
  <r>
    <x v="8"/>
    <x v="0"/>
    <x v="10"/>
    <n v="2947"/>
    <n v="1"/>
    <s v="Water"/>
    <n v="1"/>
    <x v="6"/>
    <n v="0"/>
    <n v="0"/>
    <n v="0"/>
    <n v="0"/>
    <m/>
  </r>
  <r>
    <x v="8"/>
    <x v="0"/>
    <x v="10"/>
    <n v="3358"/>
    <n v="1"/>
    <s v="Scroll"/>
    <n v="4"/>
    <x v="2"/>
    <n v="0"/>
    <n v="8000"/>
    <n v="0"/>
    <n v="3200"/>
    <m/>
  </r>
  <r>
    <x v="8"/>
    <x v="0"/>
    <x v="10"/>
    <n v="2184"/>
    <n v="0"/>
    <s v="Water"/>
    <n v="4"/>
    <x v="3"/>
    <n v="0"/>
    <n v="0"/>
    <n v="0"/>
    <n v="0"/>
    <m/>
  </r>
  <r>
    <x v="8"/>
    <x v="0"/>
    <x v="10"/>
    <n v="2654"/>
    <n v="3"/>
    <s v="Water"/>
    <n v="1"/>
    <x v="4"/>
    <n v="0"/>
    <n v="0"/>
    <n v="0"/>
    <n v="0"/>
    <m/>
  </r>
  <r>
    <x v="8"/>
    <x v="0"/>
    <x v="10"/>
    <n v="2592"/>
    <n v="1"/>
    <s v="Water"/>
    <n v="1"/>
    <x v="4"/>
    <n v="0"/>
    <n v="0"/>
    <n v="0"/>
    <n v="0"/>
    <m/>
  </r>
  <r>
    <x v="8"/>
    <x v="0"/>
    <x v="10"/>
    <n v="2625"/>
    <n v="0"/>
    <s v="Water"/>
    <n v="1"/>
    <x v="6"/>
    <n v="0"/>
    <n v="0"/>
    <n v="0"/>
    <n v="0"/>
    <m/>
  </r>
  <r>
    <x v="8"/>
    <x v="0"/>
    <x v="10"/>
    <n v="3029"/>
    <n v="0"/>
    <s v="Water"/>
    <n v="1"/>
    <x v="4"/>
    <n v="0"/>
    <n v="0"/>
    <n v="0"/>
    <n v="0"/>
    <m/>
  </r>
  <r>
    <x v="8"/>
    <x v="0"/>
    <x v="10"/>
    <n v="2865"/>
    <n v="1"/>
    <s v="Water"/>
    <n v="1"/>
    <x v="4"/>
    <n v="0"/>
    <n v="0"/>
    <n v="0"/>
    <n v="0"/>
    <m/>
  </r>
  <r>
    <x v="8"/>
    <x v="0"/>
    <x v="10"/>
    <n v="3075"/>
    <n v="3"/>
    <s v="Water"/>
    <n v="5"/>
    <x v="3"/>
    <n v="0"/>
    <n v="0"/>
    <n v="0"/>
    <n v="0"/>
    <m/>
  </r>
  <r>
    <x v="8"/>
    <x v="0"/>
    <x v="10"/>
    <n v="3767"/>
    <n v="2"/>
    <s v="Water"/>
    <n v="4"/>
    <x v="3"/>
    <n v="0"/>
    <n v="0"/>
    <n v="0"/>
    <n v="0"/>
    <m/>
  </r>
  <r>
    <x v="8"/>
    <x v="0"/>
    <x v="10"/>
    <n v="3007"/>
    <n v="2"/>
    <s v="Water"/>
    <n v="3"/>
    <x v="4"/>
    <n v="0"/>
    <n v="0"/>
    <n v="0"/>
    <n v="0"/>
    <m/>
  </r>
  <r>
    <x v="8"/>
    <x v="0"/>
    <x v="10"/>
    <n v="2942"/>
    <n v="0"/>
    <s v="Water"/>
    <n v="1"/>
    <x v="4"/>
    <n v="0"/>
    <n v="0"/>
    <n v="0"/>
    <n v="0"/>
    <m/>
  </r>
  <r>
    <x v="8"/>
    <x v="0"/>
    <x v="10"/>
    <n v="2701"/>
    <n v="0"/>
    <s v="Water"/>
    <n v="5"/>
    <x v="3"/>
    <n v="0"/>
    <n v="0"/>
    <n v="0"/>
    <n v="0"/>
    <m/>
  </r>
  <r>
    <x v="8"/>
    <x v="0"/>
    <x v="10"/>
    <n v="3320"/>
    <n v="0"/>
    <s v="Water"/>
    <n v="3"/>
    <x v="6"/>
    <n v="0"/>
    <n v="0"/>
    <n v="0"/>
    <n v="0"/>
    <m/>
  </r>
  <r>
    <x v="8"/>
    <x v="0"/>
    <x v="10"/>
    <n v="2890"/>
    <n v="2"/>
    <s v="Water"/>
    <n v="3"/>
    <x v="3"/>
    <n v="0"/>
    <n v="0"/>
    <n v="0"/>
    <n v="0"/>
    <m/>
  </r>
  <r>
    <x v="8"/>
    <x v="0"/>
    <x v="10"/>
    <n v="3274"/>
    <n v="1"/>
    <s v="Water"/>
    <n v="2"/>
    <x v="6"/>
    <n v="0"/>
    <n v="0"/>
    <n v="0"/>
    <n v="0"/>
    <m/>
  </r>
  <r>
    <x v="8"/>
    <x v="0"/>
    <x v="10"/>
    <n v="2847"/>
    <n v="1"/>
    <s v="Water"/>
    <n v="1"/>
    <x v="6"/>
    <n v="0"/>
    <n v="0"/>
    <n v="0"/>
    <n v="0"/>
    <m/>
  </r>
  <r>
    <x v="8"/>
    <x v="0"/>
    <x v="10"/>
    <n v="2602"/>
    <n v="0"/>
    <s v="Water"/>
    <n v="4"/>
    <x v="3"/>
    <n v="0"/>
    <n v="0"/>
    <n v="0"/>
    <n v="0"/>
    <m/>
  </r>
  <r>
    <x v="8"/>
    <x v="0"/>
    <x v="10"/>
    <n v="2901"/>
    <n v="1"/>
    <s v="SD"/>
    <s v="Golem"/>
    <x v="5"/>
    <n v="0"/>
    <n v="0"/>
    <n v="0"/>
    <n v="0"/>
    <m/>
  </r>
  <r>
    <x v="8"/>
    <x v="0"/>
    <x v="10"/>
    <n v="2768"/>
    <n v="0"/>
    <s v="Water"/>
    <n v="5"/>
    <x v="3"/>
    <n v="0"/>
    <n v="0"/>
    <n v="0"/>
    <n v="0"/>
    <m/>
  </r>
  <r>
    <x v="8"/>
    <x v="0"/>
    <x v="10"/>
    <n v="2401"/>
    <n v="1"/>
    <s v="Water"/>
    <n v="1"/>
    <x v="4"/>
    <n v="0"/>
    <n v="0"/>
    <n v="0"/>
    <n v="0"/>
    <m/>
  </r>
  <r>
    <x v="8"/>
    <x v="0"/>
    <x v="10"/>
    <n v="2915"/>
    <n v="0"/>
    <s v="SumStone"/>
    <n v="3"/>
    <x v="5"/>
    <n v="0"/>
    <n v="0"/>
    <n v="2587.5"/>
    <n v="2686.6499999999996"/>
    <m/>
  </r>
  <r>
    <x v="8"/>
    <x v="0"/>
    <x v="10"/>
    <n v="2978"/>
    <n v="0"/>
    <s v="Water"/>
    <n v="4"/>
    <x v="3"/>
    <n v="0"/>
    <n v="0"/>
    <n v="0"/>
    <n v="0"/>
    <m/>
  </r>
  <r>
    <x v="8"/>
    <x v="0"/>
    <x v="10"/>
    <n v="2956"/>
    <n v="0"/>
    <s v="Water"/>
    <n v="5"/>
    <x v="3"/>
    <n v="0"/>
    <n v="0"/>
    <n v="0"/>
    <n v="0"/>
    <m/>
  </r>
  <r>
    <x v="8"/>
    <x v="0"/>
    <x v="10"/>
    <n v="2657"/>
    <n v="1"/>
    <s v="Water"/>
    <n v="5"/>
    <x v="3"/>
    <n v="0"/>
    <n v="0"/>
    <n v="0"/>
    <n v="0"/>
    <m/>
  </r>
  <r>
    <x v="8"/>
    <x v="0"/>
    <x v="10"/>
    <n v="2789"/>
    <n v="0"/>
    <s v="Angelmon"/>
    <n v="1"/>
    <x v="2"/>
    <n v="0"/>
    <n v="0"/>
    <n v="0"/>
    <n v="0"/>
    <m/>
  </r>
  <r>
    <x v="8"/>
    <x v="0"/>
    <x v="10"/>
    <n v="2793"/>
    <n v="1"/>
    <s v="Water"/>
    <n v="5"/>
    <x v="3"/>
    <n v="0"/>
    <n v="0"/>
    <n v="0"/>
    <n v="0"/>
    <m/>
  </r>
  <r>
    <x v="8"/>
    <x v="0"/>
    <x v="10"/>
    <n v="2869"/>
    <n v="2"/>
    <s v="Water"/>
    <n v="4"/>
    <x v="3"/>
    <n v="0"/>
    <n v="0"/>
    <n v="0"/>
    <n v="0"/>
    <m/>
  </r>
  <r>
    <x v="8"/>
    <x v="0"/>
    <x v="10"/>
    <n v="2638"/>
    <n v="1"/>
    <s v="Angelmon"/>
    <n v="1"/>
    <x v="2"/>
    <n v="0"/>
    <n v="0"/>
    <n v="0"/>
    <n v="0"/>
    <m/>
  </r>
  <r>
    <x v="8"/>
    <x v="0"/>
    <x v="10"/>
    <n v="2929"/>
    <n v="1"/>
    <s v="Water"/>
    <n v="1"/>
    <x v="4"/>
    <n v="0"/>
    <n v="0"/>
    <n v="0"/>
    <n v="0"/>
    <m/>
  </r>
  <r>
    <x v="8"/>
    <x v="0"/>
    <x v="10"/>
    <n v="2423"/>
    <n v="1"/>
    <s v="Water"/>
    <n v="3"/>
    <x v="3"/>
    <n v="0"/>
    <n v="0"/>
    <n v="0"/>
    <n v="0"/>
    <m/>
  </r>
  <r>
    <x v="8"/>
    <x v="0"/>
    <x v="10"/>
    <n v="2881"/>
    <n v="0"/>
    <s v="Water"/>
    <n v="5"/>
    <x v="3"/>
    <n v="0"/>
    <n v="0"/>
    <n v="0"/>
    <n v="0"/>
    <m/>
  </r>
  <r>
    <x v="8"/>
    <x v="0"/>
    <x v="10"/>
    <n v="3128"/>
    <n v="1"/>
    <s v="Water"/>
    <n v="4"/>
    <x v="3"/>
    <n v="0"/>
    <n v="0"/>
    <n v="0"/>
    <n v="0"/>
    <m/>
  </r>
  <r>
    <x v="8"/>
    <x v="0"/>
    <x v="10"/>
    <n v="3042"/>
    <n v="0"/>
    <s v="Water"/>
    <n v="3"/>
    <x v="6"/>
    <n v="0"/>
    <n v="0"/>
    <n v="0"/>
    <n v="0"/>
    <m/>
  </r>
  <r>
    <x v="8"/>
    <x v="0"/>
    <x v="10"/>
    <n v="2846"/>
    <n v="1"/>
    <s v="Water"/>
    <n v="1"/>
    <x v="6"/>
    <n v="0"/>
    <n v="0"/>
    <n v="0"/>
    <n v="0"/>
    <m/>
  </r>
  <r>
    <x v="8"/>
    <x v="0"/>
    <x v="10"/>
    <n v="3112"/>
    <n v="1"/>
    <s v="Water"/>
    <n v="1"/>
    <x v="6"/>
    <n v="0"/>
    <n v="0"/>
    <n v="0"/>
    <n v="0"/>
    <m/>
  </r>
  <r>
    <x v="8"/>
    <x v="0"/>
    <x v="10"/>
    <n v="2928"/>
    <n v="1"/>
    <s v="Water"/>
    <n v="4"/>
    <x v="3"/>
    <n v="0"/>
    <n v="0"/>
    <n v="0"/>
    <n v="0"/>
    <m/>
  </r>
  <r>
    <x v="8"/>
    <x v="0"/>
    <x v="10"/>
    <n v="2702"/>
    <n v="1"/>
    <s v="Water"/>
    <n v="2"/>
    <x v="4"/>
    <n v="0"/>
    <n v="0"/>
    <n v="0"/>
    <n v="0"/>
    <m/>
  </r>
  <r>
    <x v="10"/>
    <x v="0"/>
    <x v="12"/>
    <n v="6071"/>
    <n v="0"/>
    <s v="SumStone"/>
    <n v="4"/>
    <x v="5"/>
    <n v="0"/>
    <n v="0"/>
    <n v="3450"/>
    <n v="3582.2"/>
    <m/>
  </r>
  <r>
    <x v="10"/>
    <x v="0"/>
    <x v="12"/>
    <n v="5719"/>
    <n v="0"/>
    <s v="SumStone"/>
    <n v="4"/>
    <x v="5"/>
    <n v="0"/>
    <n v="0"/>
    <n v="3450"/>
    <n v="3582.2"/>
    <m/>
  </r>
  <r>
    <x v="10"/>
    <x v="0"/>
    <x v="12"/>
    <n v="5444"/>
    <n v="0"/>
    <s v="SumStone"/>
    <n v="4"/>
    <x v="5"/>
    <n v="0"/>
    <n v="0"/>
    <n v="3450"/>
    <n v="3582.2"/>
    <m/>
  </r>
  <r>
    <x v="10"/>
    <x v="0"/>
    <x v="12"/>
    <n v="5741"/>
    <n v="0"/>
    <s v="SumStone"/>
    <n v="4"/>
    <x v="5"/>
    <n v="0"/>
    <n v="0"/>
    <n v="3450"/>
    <n v="3582.2"/>
    <m/>
  </r>
  <r>
    <x v="10"/>
    <x v="0"/>
    <x v="12"/>
    <n v="6031"/>
    <n v="0"/>
    <s v="SumStone"/>
    <n v="4"/>
    <x v="5"/>
    <n v="0"/>
    <n v="0"/>
    <n v="3450"/>
    <n v="3582.2"/>
    <m/>
  </r>
  <r>
    <x v="10"/>
    <x v="0"/>
    <x v="12"/>
    <n v="5574"/>
    <n v="0"/>
    <s v="SumStone"/>
    <n v="4"/>
    <x v="5"/>
    <n v="0"/>
    <n v="0"/>
    <n v="3450"/>
    <n v="3582.2"/>
    <m/>
  </r>
  <r>
    <x v="10"/>
    <x v="0"/>
    <x v="12"/>
    <n v="6065"/>
    <n v="0"/>
    <s v="SumStone"/>
    <n v="4"/>
    <x v="5"/>
    <n v="0"/>
    <n v="0"/>
    <n v="3450"/>
    <n v="3582.2"/>
    <m/>
  </r>
  <r>
    <x v="10"/>
    <x v="0"/>
    <x v="12"/>
    <n v="5631"/>
    <n v="0"/>
    <s v="SumStone"/>
    <n v="4"/>
    <x v="5"/>
    <n v="0"/>
    <n v="0"/>
    <n v="3450"/>
    <n v="3582.2"/>
    <m/>
  </r>
  <r>
    <x v="8"/>
    <x v="0"/>
    <x v="10"/>
    <n v="2671"/>
    <n v="0"/>
    <s v="Water"/>
    <n v="1"/>
    <x v="4"/>
    <n v="0"/>
    <n v="0"/>
    <n v="0"/>
    <n v="0"/>
    <m/>
  </r>
  <r>
    <x v="8"/>
    <x v="0"/>
    <x v="10"/>
    <n v="2940"/>
    <n v="0"/>
    <s v="Water"/>
    <n v="1"/>
    <x v="6"/>
    <n v="0"/>
    <n v="0"/>
    <n v="0"/>
    <n v="0"/>
    <m/>
  </r>
  <r>
    <x v="8"/>
    <x v="0"/>
    <x v="10"/>
    <n v="2643"/>
    <n v="2"/>
    <s v="Water"/>
    <n v="1"/>
    <x v="6"/>
    <n v="0"/>
    <n v="0"/>
    <n v="0"/>
    <n v="0"/>
    <m/>
  </r>
  <r>
    <x v="8"/>
    <x v="0"/>
    <x v="10"/>
    <n v="2968"/>
    <n v="0"/>
    <s v="Water"/>
    <n v="3"/>
    <x v="4"/>
    <n v="0"/>
    <n v="0"/>
    <n v="0"/>
    <n v="0"/>
    <m/>
  </r>
  <r>
    <x v="8"/>
    <x v="0"/>
    <x v="10"/>
    <n v="2502"/>
    <n v="2"/>
    <s v="Water"/>
    <n v="2"/>
    <x v="4"/>
    <n v="0"/>
    <n v="0"/>
    <n v="0"/>
    <n v="0"/>
    <m/>
  </r>
  <r>
    <x v="8"/>
    <x v="0"/>
    <x v="10"/>
    <n v="2719"/>
    <n v="3"/>
    <s v="SD"/>
    <s v="Serpent"/>
    <x v="5"/>
    <n v="0"/>
    <n v="0"/>
    <n v="0"/>
    <n v="0"/>
    <m/>
  </r>
  <r>
    <x v="8"/>
    <x v="0"/>
    <x v="10"/>
    <n v="2733"/>
    <n v="1"/>
    <s v="Water"/>
    <n v="1"/>
    <x v="4"/>
    <n v="0"/>
    <n v="0"/>
    <n v="0"/>
    <n v="0"/>
    <m/>
  </r>
  <r>
    <x v="8"/>
    <x v="0"/>
    <x v="10"/>
    <n v="2917"/>
    <n v="1"/>
    <s v="Water"/>
    <n v="1"/>
    <x v="4"/>
    <n v="0"/>
    <n v="0"/>
    <n v="0"/>
    <n v="0"/>
    <m/>
  </r>
  <r>
    <x v="8"/>
    <x v="0"/>
    <x v="10"/>
    <n v="2662"/>
    <n v="0"/>
    <s v="Water"/>
    <n v="3"/>
    <x v="6"/>
    <n v="0"/>
    <n v="0"/>
    <n v="0"/>
    <n v="0"/>
    <m/>
  </r>
  <r>
    <x v="8"/>
    <x v="0"/>
    <x v="10"/>
    <n v="2980"/>
    <n v="1"/>
    <s v="Water"/>
    <n v="2"/>
    <x v="4"/>
    <n v="0"/>
    <n v="0"/>
    <n v="0"/>
    <n v="0"/>
    <m/>
  </r>
  <r>
    <x v="8"/>
    <x v="0"/>
    <x v="10"/>
    <n v="2778"/>
    <n v="0"/>
    <s v="Rainb"/>
    <n v="1"/>
    <x v="5"/>
    <n v="0"/>
    <n v="0"/>
    <n v="34500"/>
    <n v="118004"/>
    <m/>
  </r>
  <r>
    <x v="8"/>
    <x v="0"/>
    <x v="10"/>
    <n v="2383"/>
    <n v="0"/>
    <s v="Scroll"/>
    <n v="5"/>
    <x v="2"/>
    <n v="0"/>
    <n v="10000"/>
    <n v="0"/>
    <n v="4000"/>
    <m/>
  </r>
  <r>
    <x v="8"/>
    <x v="0"/>
    <x v="10"/>
    <n v="2705"/>
    <n v="1"/>
    <s v="Water"/>
    <n v="1"/>
    <x v="6"/>
    <n v="0"/>
    <n v="0"/>
    <n v="0"/>
    <n v="0"/>
    <m/>
  </r>
  <r>
    <x v="8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1"/>
    <x v="0"/>
    <x v="10"/>
    <n v="2838"/>
    <n v="0"/>
    <s v="Wind"/>
    <n v="4"/>
    <x v="3"/>
    <n v="0"/>
    <n v="0"/>
    <n v="0"/>
    <n v="0"/>
    <m/>
  </r>
  <r>
    <x v="11"/>
    <x v="0"/>
    <x v="10"/>
    <n v="2427"/>
    <n v="1"/>
    <s v="Candy"/>
    <n v="3"/>
    <x v="0"/>
    <n v="0"/>
    <n v="0"/>
    <n v="0"/>
    <n v="0"/>
    <m/>
  </r>
  <r>
    <x v="11"/>
    <x v="0"/>
    <x v="10"/>
    <n v="3047"/>
    <n v="2"/>
    <s v="Wind"/>
    <n v="1"/>
    <x v="4"/>
    <n v="0"/>
    <n v="0"/>
    <n v="0"/>
    <n v="0"/>
    <m/>
  </r>
  <r>
    <x v="11"/>
    <x v="0"/>
    <x v="10"/>
    <n v="2866"/>
    <n v="1"/>
    <s v="Angelmon"/>
    <n v="1"/>
    <x v="2"/>
    <n v="0"/>
    <n v="0"/>
    <n v="0"/>
    <n v="0"/>
    <m/>
  </r>
  <r>
    <x v="11"/>
    <x v="0"/>
    <x v="10"/>
    <n v="2763"/>
    <n v="0"/>
    <s v="Candy"/>
    <n v="2"/>
    <x v="0"/>
    <n v="0"/>
    <n v="0"/>
    <n v="0"/>
    <n v="0"/>
    <m/>
  </r>
  <r>
    <x v="11"/>
    <x v="0"/>
    <x v="10"/>
    <n v="3056"/>
    <n v="1"/>
    <s v="Candy"/>
    <n v="1"/>
    <x v="0"/>
    <n v="0"/>
    <n v="0"/>
    <n v="0"/>
    <n v="0"/>
    <m/>
  </r>
  <r>
    <x v="11"/>
    <x v="0"/>
    <x v="10"/>
    <n v="2719"/>
    <n v="0"/>
    <s v="Wind"/>
    <n v="5"/>
    <x v="3"/>
    <n v="0"/>
    <n v="0"/>
    <n v="0"/>
    <n v="0"/>
    <m/>
  </r>
  <r>
    <x v="11"/>
    <x v="0"/>
    <x v="10"/>
    <n v="2911"/>
    <n v="1"/>
    <s v="Wind"/>
    <n v="5"/>
    <x v="3"/>
    <n v="0"/>
    <n v="0"/>
    <n v="0"/>
    <n v="0"/>
    <m/>
  </r>
  <r>
    <x v="11"/>
    <x v="0"/>
    <x v="10"/>
    <n v="2858"/>
    <n v="0"/>
    <s v="Wind"/>
    <n v="1"/>
    <x v="4"/>
    <n v="0"/>
    <n v="0"/>
    <n v="0"/>
    <n v="0"/>
    <m/>
  </r>
  <r>
    <x v="11"/>
    <x v="0"/>
    <x v="10"/>
    <n v="2965"/>
    <n v="1"/>
    <s v="Wind"/>
    <n v="3"/>
    <x v="4"/>
    <n v="0"/>
    <n v="0"/>
    <n v="0"/>
    <n v="0"/>
    <m/>
  </r>
  <r>
    <x v="11"/>
    <x v="0"/>
    <x v="10"/>
    <n v="3486"/>
    <n v="1"/>
    <s v="Angelmon"/>
    <n v="1"/>
    <x v="2"/>
    <n v="0"/>
    <n v="0"/>
    <n v="0"/>
    <n v="0"/>
    <m/>
  </r>
  <r>
    <x v="11"/>
    <x v="0"/>
    <x v="10"/>
    <n v="2992"/>
    <n v="0"/>
    <s v="Rainb"/>
    <n v="1"/>
    <x v="5"/>
    <n v="0"/>
    <n v="0"/>
    <n v="34500"/>
    <n v="118004"/>
    <m/>
  </r>
  <r>
    <x v="11"/>
    <x v="0"/>
    <x v="10"/>
    <n v="2961"/>
    <n v="1"/>
    <s v="Scroll"/>
    <n v="5"/>
    <x v="2"/>
    <n v="0"/>
    <n v="10000"/>
    <n v="0"/>
    <n v="4000"/>
    <m/>
  </r>
  <r>
    <x v="11"/>
    <x v="0"/>
    <x v="10"/>
    <n v="2744"/>
    <n v="1"/>
    <s v="Wind"/>
    <n v="1"/>
    <x v="6"/>
    <n v="0"/>
    <n v="0"/>
    <n v="0"/>
    <n v="0"/>
    <m/>
  </r>
  <r>
    <x v="11"/>
    <x v="0"/>
    <x v="10"/>
    <n v="2564"/>
    <n v="0"/>
    <s v="Wind"/>
    <n v="5"/>
    <x v="3"/>
    <n v="0"/>
    <n v="0"/>
    <n v="0"/>
    <n v="0"/>
    <m/>
  </r>
  <r>
    <x v="11"/>
    <x v="0"/>
    <x v="10"/>
    <n v="2876"/>
    <n v="2"/>
    <s v="Rainb"/>
    <n v="1"/>
    <x v="5"/>
    <n v="0"/>
    <n v="0"/>
    <n v="34500"/>
    <n v="118004"/>
    <m/>
  </r>
  <r>
    <x v="11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1"/>
    <x v="0"/>
    <x v="10"/>
    <n v="3032"/>
    <n v="0"/>
    <s v="Wind"/>
    <n v="5"/>
    <x v="3"/>
    <n v="0"/>
    <n v="0"/>
    <n v="0"/>
    <n v="0"/>
    <m/>
  </r>
  <r>
    <x v="11"/>
    <x v="0"/>
    <x v="10"/>
    <n v="2865"/>
    <n v="1"/>
    <s v="Rainb"/>
    <n v="1"/>
    <x v="5"/>
    <n v="0"/>
    <n v="0"/>
    <n v="34500"/>
    <n v="118004"/>
    <m/>
  </r>
  <r>
    <x v="11"/>
    <x v="0"/>
    <x v="10"/>
    <n v="2891"/>
    <n v="2"/>
    <s v="Wind"/>
    <n v="1"/>
    <x v="4"/>
    <n v="0"/>
    <n v="0"/>
    <n v="0"/>
    <n v="0"/>
    <m/>
  </r>
  <r>
    <x v="11"/>
    <x v="0"/>
    <x v="10"/>
    <n v="2799"/>
    <n v="0"/>
    <s v="Wind"/>
    <n v="2"/>
    <x v="4"/>
    <n v="0"/>
    <n v="0"/>
    <n v="0"/>
    <n v="0"/>
    <m/>
  </r>
  <r>
    <x v="11"/>
    <x v="0"/>
    <x v="10"/>
    <n v="3197"/>
    <n v="1"/>
    <s v="Wind"/>
    <n v="2"/>
    <x v="4"/>
    <n v="0"/>
    <n v="0"/>
    <n v="0"/>
    <n v="0"/>
    <m/>
  </r>
  <r>
    <x v="11"/>
    <x v="0"/>
    <x v="10"/>
    <n v="3013"/>
    <n v="0"/>
    <s v="Wind"/>
    <n v="4"/>
    <x v="3"/>
    <n v="0"/>
    <n v="0"/>
    <n v="0"/>
    <n v="0"/>
    <m/>
  </r>
  <r>
    <x v="11"/>
    <x v="0"/>
    <x v="10"/>
    <n v="3393"/>
    <n v="1"/>
    <s v="Wind"/>
    <n v="4"/>
    <x v="3"/>
    <n v="0"/>
    <n v="0"/>
    <n v="0"/>
    <n v="0"/>
    <m/>
  </r>
  <r>
    <x v="11"/>
    <x v="0"/>
    <x v="10"/>
    <n v="3290"/>
    <n v="0"/>
    <s v="MystScroll"/>
    <n v="1"/>
    <x v="2"/>
    <n v="0"/>
    <n v="120000"/>
    <n v="0"/>
    <n v="0"/>
    <m/>
  </r>
  <r>
    <x v="12"/>
    <x v="2"/>
    <x v="3"/>
    <n v="1311"/>
    <n v="0"/>
    <m/>
    <m/>
    <x v="0"/>
    <n v="1236"/>
    <n v="1236"/>
    <n v="0"/>
    <n v="0"/>
    <m/>
  </r>
  <r>
    <x v="11"/>
    <x v="0"/>
    <x v="10"/>
    <n v="2551"/>
    <n v="1"/>
    <s v="SD"/>
    <s v="Yeti"/>
    <x v="1"/>
    <n v="0"/>
    <n v="0"/>
    <n v="0"/>
    <n v="0"/>
    <m/>
  </r>
  <r>
    <x v="11"/>
    <x v="0"/>
    <x v="10"/>
    <n v="2856"/>
    <n v="0"/>
    <s v="Wind"/>
    <n v="1"/>
    <x v="6"/>
    <n v="0"/>
    <n v="0"/>
    <n v="0"/>
    <n v="0"/>
    <m/>
  </r>
  <r>
    <x v="11"/>
    <x v="0"/>
    <x v="10"/>
    <n v="2488"/>
    <n v="1"/>
    <s v="Wind"/>
    <n v="3"/>
    <x v="4"/>
    <n v="0"/>
    <n v="0"/>
    <n v="0"/>
    <n v="0"/>
    <m/>
  </r>
  <r>
    <x v="11"/>
    <x v="0"/>
    <x v="10"/>
    <n v="2583"/>
    <n v="0"/>
    <s v="Wind"/>
    <n v="5"/>
    <x v="3"/>
    <n v="0"/>
    <n v="0"/>
    <n v="0"/>
    <n v="0"/>
    <m/>
  </r>
  <r>
    <x v="11"/>
    <x v="0"/>
    <x v="10"/>
    <n v="2394"/>
    <n v="0"/>
    <s v="Wind"/>
    <n v="4"/>
    <x v="3"/>
    <n v="0"/>
    <n v="0"/>
    <n v="0"/>
    <n v="0"/>
    <m/>
  </r>
  <r>
    <x v="11"/>
    <x v="0"/>
    <x v="10"/>
    <n v="2703"/>
    <n v="0"/>
    <s v="Wind"/>
    <n v="1"/>
    <x v="6"/>
    <n v="0"/>
    <n v="0"/>
    <n v="0"/>
    <n v="0"/>
    <m/>
  </r>
  <r>
    <x v="11"/>
    <x v="0"/>
    <x v="10"/>
    <n v="2880"/>
    <n v="1"/>
    <s v="Wind"/>
    <n v="4"/>
    <x v="3"/>
    <n v="0"/>
    <n v="0"/>
    <n v="0"/>
    <n v="0"/>
    <m/>
  </r>
  <r>
    <x v="11"/>
    <x v="0"/>
    <x v="10"/>
    <n v="2802"/>
    <n v="0"/>
    <s v="Wind"/>
    <n v="3"/>
    <x v="4"/>
    <n v="0"/>
    <n v="0"/>
    <n v="0"/>
    <n v="0"/>
    <m/>
  </r>
  <r>
    <x v="11"/>
    <x v="0"/>
    <x v="10"/>
    <n v="2784"/>
    <n v="2"/>
    <s v="Candy"/>
    <n v="2"/>
    <x v="0"/>
    <n v="0"/>
    <n v="0"/>
    <n v="0"/>
    <n v="0"/>
    <m/>
  </r>
  <r>
    <x v="11"/>
    <x v="0"/>
    <x v="10"/>
    <n v="2856"/>
    <n v="0"/>
    <s v="Wind"/>
    <n v="3"/>
    <x v="4"/>
    <n v="0"/>
    <n v="0"/>
    <n v="0"/>
    <n v="0"/>
    <m/>
  </r>
  <r>
    <x v="11"/>
    <x v="0"/>
    <x v="10"/>
    <n v="3481"/>
    <n v="0"/>
    <s v="Wind"/>
    <n v="4"/>
    <x v="3"/>
    <n v="0"/>
    <n v="0"/>
    <n v="0"/>
    <n v="0"/>
    <m/>
  </r>
  <r>
    <x v="11"/>
    <x v="0"/>
    <x v="10"/>
    <n v="2701"/>
    <n v="0"/>
    <s v="Rainb"/>
    <s v="2*"/>
    <x v="0"/>
    <n v="0"/>
    <n v="0"/>
    <n v="0"/>
    <n v="0"/>
    <m/>
  </r>
  <r>
    <x v="11"/>
    <x v="0"/>
    <x v="10"/>
    <n v="2809"/>
    <n v="1"/>
    <s v="Angelmon"/>
    <s v="1*"/>
    <x v="0"/>
    <n v="0"/>
    <n v="0"/>
    <n v="0"/>
    <n v="0"/>
    <m/>
  </r>
  <r>
    <x v="11"/>
    <x v="0"/>
    <x v="10"/>
    <n v="2999"/>
    <n v="0"/>
    <s v="Wind"/>
    <n v="5"/>
    <x v="3"/>
    <n v="0"/>
    <n v="0"/>
    <n v="0"/>
    <n v="0"/>
    <m/>
  </r>
  <r>
    <x v="11"/>
    <x v="0"/>
    <x v="10"/>
    <n v="2639"/>
    <n v="1"/>
    <s v="Wind"/>
    <n v="2"/>
    <x v="4"/>
    <n v="0"/>
    <n v="0"/>
    <n v="0"/>
    <n v="0"/>
    <m/>
  </r>
  <r>
    <x v="11"/>
    <x v="0"/>
    <x v="10"/>
    <n v="2853"/>
    <n v="0"/>
    <s v="Wind"/>
    <n v="2"/>
    <x v="6"/>
    <n v="0"/>
    <n v="0"/>
    <n v="0"/>
    <n v="0"/>
    <m/>
  </r>
  <r>
    <x v="11"/>
    <x v="0"/>
    <x v="10"/>
    <n v="3206"/>
    <n v="1"/>
    <s v="Wind"/>
    <n v="4"/>
    <x v="3"/>
    <n v="0"/>
    <n v="0"/>
    <n v="0"/>
    <n v="0"/>
    <m/>
  </r>
  <r>
    <x v="11"/>
    <x v="0"/>
    <x v="10"/>
    <n v="3218"/>
    <n v="0"/>
    <s v="Wind"/>
    <n v="3"/>
    <x v="4"/>
    <n v="0"/>
    <n v="0"/>
    <n v="0"/>
    <n v="0"/>
    <m/>
  </r>
  <r>
    <x v="11"/>
    <x v="0"/>
    <x v="10"/>
    <n v="2853"/>
    <n v="2"/>
    <s v="Wind"/>
    <n v="3"/>
    <x v="6"/>
    <n v="0"/>
    <n v="0"/>
    <n v="0"/>
    <n v="0"/>
    <m/>
  </r>
  <r>
    <x v="11"/>
    <x v="0"/>
    <x v="10"/>
    <n v="2921"/>
    <n v="0"/>
    <s v="Wind"/>
    <n v="1"/>
    <x v="6"/>
    <n v="0"/>
    <n v="0"/>
    <n v="0"/>
    <n v="0"/>
    <m/>
  </r>
  <r>
    <x v="11"/>
    <x v="0"/>
    <x v="10"/>
    <n v="2840"/>
    <n v="0"/>
    <s v="Angelmon"/>
    <s v="1*"/>
    <x v="0"/>
    <n v="0"/>
    <n v="0"/>
    <n v="0"/>
    <n v="0"/>
    <m/>
  </r>
  <r>
    <x v="11"/>
    <x v="0"/>
    <x v="10"/>
    <n v="3444"/>
    <n v="0"/>
    <s v="Candy"/>
    <n v="1"/>
    <x v="0"/>
    <n v="0"/>
    <n v="0"/>
    <n v="0"/>
    <n v="0"/>
    <m/>
  </r>
  <r>
    <x v="11"/>
    <x v="0"/>
    <x v="10"/>
    <n v="2844"/>
    <n v="0"/>
    <s v="Wind"/>
    <n v="2"/>
    <x v="4"/>
    <n v="0"/>
    <n v="0"/>
    <n v="0"/>
    <n v="0"/>
    <m/>
  </r>
  <r>
    <x v="11"/>
    <x v="0"/>
    <x v="10"/>
    <n v="2720"/>
    <n v="0"/>
    <s v="Wind"/>
    <n v="4"/>
    <x v="3"/>
    <n v="0"/>
    <n v="0"/>
    <n v="0"/>
    <n v="0"/>
    <m/>
  </r>
  <r>
    <x v="11"/>
    <x v="0"/>
    <x v="10"/>
    <n v="2990"/>
    <n v="1"/>
    <s v="Wind"/>
    <n v="4"/>
    <x v="3"/>
    <n v="0"/>
    <n v="0"/>
    <n v="0"/>
    <n v="0"/>
    <m/>
  </r>
  <r>
    <x v="11"/>
    <x v="0"/>
    <x v="10"/>
    <n v="2846"/>
    <n v="4"/>
    <s v="Wind"/>
    <n v="1"/>
    <x v="4"/>
    <n v="0"/>
    <n v="0"/>
    <n v="0"/>
    <n v="0"/>
    <m/>
  </r>
  <r>
    <x v="11"/>
    <x v="0"/>
    <x v="10"/>
    <n v="2740"/>
    <n v="1"/>
    <s v="Candy"/>
    <n v="1"/>
    <x v="0"/>
    <n v="0"/>
    <n v="0"/>
    <n v="0"/>
    <n v="0"/>
    <m/>
  </r>
  <r>
    <x v="11"/>
    <x v="0"/>
    <x v="10"/>
    <n v="2619"/>
    <n v="2"/>
    <s v="Wind"/>
    <n v="1"/>
    <x v="4"/>
    <n v="0"/>
    <n v="0"/>
    <n v="0"/>
    <n v="0"/>
    <m/>
  </r>
  <r>
    <x v="11"/>
    <x v="0"/>
    <x v="10"/>
    <n v="3000"/>
    <n v="1"/>
    <s v="Wind"/>
    <n v="2"/>
    <x v="4"/>
    <n v="0"/>
    <n v="0"/>
    <n v="0"/>
    <n v="0"/>
    <m/>
  </r>
  <r>
    <x v="11"/>
    <x v="0"/>
    <x v="10"/>
    <n v="2846"/>
    <n v="3"/>
    <s v="Wind"/>
    <n v="4"/>
    <x v="3"/>
    <n v="0"/>
    <n v="0"/>
    <n v="0"/>
    <n v="0"/>
    <m/>
  </r>
  <r>
    <x v="11"/>
    <x v="0"/>
    <x v="10"/>
    <n v="2824"/>
    <n v="2"/>
    <s v="Candy"/>
    <n v="3"/>
    <x v="0"/>
    <n v="0"/>
    <n v="0"/>
    <n v="0"/>
    <n v="0"/>
    <m/>
  </r>
  <r>
    <x v="11"/>
    <x v="0"/>
    <x v="10"/>
    <n v="3201"/>
    <n v="0"/>
    <s v="Wind"/>
    <n v="5"/>
    <x v="3"/>
    <n v="0"/>
    <n v="0"/>
    <n v="0"/>
    <n v="0"/>
    <m/>
  </r>
  <r>
    <x v="11"/>
    <x v="0"/>
    <x v="10"/>
    <n v="2638"/>
    <n v="0"/>
    <s v="Wind"/>
    <n v="3"/>
    <x v="3"/>
    <n v="0"/>
    <n v="0"/>
    <n v="0"/>
    <n v="0"/>
    <m/>
  </r>
  <r>
    <x v="11"/>
    <x v="0"/>
    <x v="10"/>
    <n v="2887"/>
    <n v="1"/>
    <s v="Scroll"/>
    <n v="4"/>
    <x v="2"/>
    <n v="0"/>
    <n v="8000"/>
    <n v="0"/>
    <n v="3200"/>
    <m/>
  </r>
  <r>
    <x v="11"/>
    <x v="0"/>
    <x v="10"/>
    <n v="2399"/>
    <n v="0"/>
    <s v="Wind"/>
    <n v="3"/>
    <x v="6"/>
    <n v="0"/>
    <n v="0"/>
    <n v="0"/>
    <n v="0"/>
    <m/>
  </r>
  <r>
    <x v="11"/>
    <x v="0"/>
    <x v="10"/>
    <n v="3055"/>
    <n v="1"/>
    <s v="Wind"/>
    <n v="1"/>
    <x v="4"/>
    <n v="0"/>
    <n v="0"/>
    <n v="0"/>
    <n v="0"/>
    <m/>
  </r>
  <r>
    <x v="11"/>
    <x v="0"/>
    <x v="10"/>
    <n v="2841"/>
    <n v="0"/>
    <s v="Wind"/>
    <n v="5"/>
    <x v="3"/>
    <n v="0"/>
    <n v="0"/>
    <n v="0"/>
    <n v="0"/>
    <m/>
  </r>
  <r>
    <x v="11"/>
    <x v="0"/>
    <x v="10"/>
    <n v="2937"/>
    <n v="0"/>
    <s v="SD"/>
    <s v="2*"/>
    <x v="0"/>
    <n v="0"/>
    <n v="0"/>
    <n v="0"/>
    <n v="0"/>
    <m/>
  </r>
  <r>
    <x v="11"/>
    <x v="0"/>
    <x v="10"/>
    <n v="2426"/>
    <n v="0"/>
    <s v="Wind"/>
    <n v="1"/>
    <x v="6"/>
    <n v="0"/>
    <n v="0"/>
    <n v="0"/>
    <n v="0"/>
    <m/>
  </r>
  <r>
    <x v="11"/>
    <x v="0"/>
    <x v="10"/>
    <n v="2552"/>
    <n v="1"/>
    <s v="Wind"/>
    <n v="3"/>
    <x v="4"/>
    <n v="0"/>
    <n v="0"/>
    <n v="0"/>
    <n v="0"/>
    <m/>
  </r>
  <r>
    <x v="11"/>
    <x v="0"/>
    <x v="10"/>
    <n v="2771"/>
    <n v="2"/>
    <s v="Wind"/>
    <n v="1"/>
    <x v="4"/>
    <n v="0"/>
    <n v="0"/>
    <n v="0"/>
    <n v="0"/>
    <m/>
  </r>
  <r>
    <x v="11"/>
    <x v="0"/>
    <x v="10"/>
    <n v="2652"/>
    <n v="2"/>
    <s v="Wind"/>
    <n v="4"/>
    <x v="3"/>
    <n v="0"/>
    <n v="0"/>
    <n v="0"/>
    <n v="0"/>
    <m/>
  </r>
  <r>
    <x v="11"/>
    <x v="0"/>
    <x v="10"/>
    <n v="2708"/>
    <n v="0"/>
    <s v="Wind"/>
    <n v="1"/>
    <x v="6"/>
    <n v="0"/>
    <n v="0"/>
    <n v="0"/>
    <n v="0"/>
    <m/>
  </r>
  <r>
    <x v="11"/>
    <x v="0"/>
    <x v="10"/>
    <n v="2684"/>
    <n v="1"/>
    <s v="Wind"/>
    <n v="1"/>
    <x v="6"/>
    <n v="0"/>
    <n v="0"/>
    <n v="0"/>
    <n v="0"/>
    <m/>
  </r>
  <r>
    <x v="11"/>
    <x v="0"/>
    <x v="10"/>
    <n v="3108"/>
    <n v="3"/>
    <s v="Wind"/>
    <n v="4"/>
    <x v="3"/>
    <n v="0"/>
    <n v="0"/>
    <n v="0"/>
    <n v="0"/>
    <m/>
  </r>
  <r>
    <x v="11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2"/>
    <x v="2"/>
    <x v="3"/>
    <n v="2208"/>
    <n v="2"/>
    <m/>
    <m/>
    <x v="0"/>
    <n v="1236"/>
    <n v="1236"/>
    <n v="0"/>
    <n v="0"/>
    <m/>
  </r>
  <r>
    <x v="12"/>
    <x v="2"/>
    <x v="3"/>
    <n v="2585"/>
    <n v="2"/>
    <m/>
    <m/>
    <x v="0"/>
    <n v="2205"/>
    <n v="2205"/>
    <n v="0"/>
    <n v="0"/>
    <m/>
  </r>
  <r>
    <x v="12"/>
    <x v="2"/>
    <x v="3"/>
    <n v="2501"/>
    <n v="0"/>
    <m/>
    <m/>
    <x v="0"/>
    <n v="1236"/>
    <n v="1236"/>
    <n v="0"/>
    <n v="0"/>
    <m/>
  </r>
  <r>
    <x v="12"/>
    <x v="2"/>
    <x v="3"/>
    <n v="1564"/>
    <n v="1"/>
    <m/>
    <m/>
    <x v="0"/>
    <n v="1236"/>
    <n v="1236"/>
    <n v="0"/>
    <n v="0"/>
    <m/>
  </r>
  <r>
    <x v="12"/>
    <x v="2"/>
    <x v="3"/>
    <n v="1352"/>
    <n v="0"/>
    <m/>
    <m/>
    <x v="0"/>
    <n v="2205"/>
    <n v="2205"/>
    <n v="0"/>
    <n v="0"/>
    <m/>
  </r>
  <r>
    <x v="12"/>
    <x v="2"/>
    <x v="3"/>
    <n v="828"/>
    <n v="0"/>
    <m/>
    <m/>
    <x v="0"/>
    <n v="1236"/>
    <n v="1236"/>
    <n v="0"/>
    <n v="0"/>
    <m/>
  </r>
  <r>
    <x v="12"/>
    <x v="2"/>
    <x v="3"/>
    <n v="1020"/>
    <n v="1"/>
    <s v="Candy"/>
    <n v="2"/>
    <x v="0"/>
    <n v="0"/>
    <n v="0"/>
    <n v="0"/>
    <n v="0"/>
    <m/>
  </r>
  <r>
    <x v="12"/>
    <x v="2"/>
    <x v="3"/>
    <n v="1937"/>
    <n v="1"/>
    <s v="Candy"/>
    <n v="3"/>
    <x v="0"/>
    <n v="0"/>
    <n v="0"/>
    <n v="0"/>
    <n v="0"/>
    <m/>
  </r>
  <r>
    <x v="12"/>
    <x v="2"/>
    <x v="3"/>
    <n v="2126"/>
    <n v="1"/>
    <m/>
    <m/>
    <x v="0"/>
    <n v="1443"/>
    <n v="1443"/>
    <n v="0"/>
    <n v="0"/>
    <m/>
  </r>
  <r>
    <x v="12"/>
    <x v="2"/>
    <x v="3"/>
    <n v="1860"/>
    <n v="1"/>
    <m/>
    <m/>
    <x v="0"/>
    <n v="1236"/>
    <n v="1236"/>
    <n v="0"/>
    <n v="0"/>
    <m/>
  </r>
  <r>
    <x v="12"/>
    <x v="2"/>
    <x v="3"/>
    <n v="1824"/>
    <n v="1"/>
    <m/>
    <m/>
    <x v="0"/>
    <n v="1236"/>
    <n v="1236"/>
    <n v="0"/>
    <n v="0"/>
    <m/>
  </r>
  <r>
    <x v="12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3"/>
    <x v="1"/>
    <x v="0"/>
    <n v="1544"/>
    <n v="0"/>
    <m/>
    <m/>
    <x v="0"/>
    <n v="1824"/>
    <n v="1824"/>
    <n v="0"/>
    <n v="0"/>
    <m/>
  </r>
  <r>
    <x v="13"/>
    <x v="1"/>
    <x v="0"/>
    <n v="1180"/>
    <n v="0"/>
    <m/>
    <m/>
    <x v="0"/>
    <n v="1976"/>
    <n v="1976"/>
    <n v="0"/>
    <n v="0"/>
    <m/>
  </r>
  <r>
    <x v="13"/>
    <x v="1"/>
    <x v="0"/>
    <n v="1734"/>
    <n v="4"/>
    <m/>
    <m/>
    <x v="0"/>
    <n v="1824"/>
    <n v="1824"/>
    <n v="0"/>
    <n v="0"/>
    <m/>
  </r>
  <r>
    <x v="13"/>
    <x v="1"/>
    <x v="0"/>
    <n v="1594"/>
    <n v="0"/>
    <m/>
    <m/>
    <x v="0"/>
    <n v="2128"/>
    <n v="2128"/>
    <n v="0"/>
    <n v="0"/>
    <m/>
  </r>
  <r>
    <x v="13"/>
    <x v="1"/>
    <x v="0"/>
    <n v="1672"/>
    <n v="0"/>
    <m/>
    <m/>
    <x v="0"/>
    <n v="1824"/>
    <n v="1824"/>
    <n v="0"/>
    <n v="0"/>
    <m/>
  </r>
  <r>
    <x v="13"/>
    <x v="1"/>
    <x v="0"/>
    <n v="1879"/>
    <n v="1"/>
    <m/>
    <m/>
    <x v="0"/>
    <n v="1824"/>
    <n v="1824"/>
    <n v="0"/>
    <n v="0"/>
    <m/>
  </r>
  <r>
    <x v="13"/>
    <x v="1"/>
    <x v="0"/>
    <n v="1455"/>
    <n v="1"/>
    <m/>
    <m/>
    <x v="0"/>
    <n v="2280"/>
    <n v="2280"/>
    <n v="0"/>
    <n v="0"/>
    <m/>
  </r>
  <r>
    <x v="13"/>
    <x v="1"/>
    <x v="0"/>
    <n v="1898"/>
    <n v="1"/>
    <m/>
    <m/>
    <x v="0"/>
    <n v="1824"/>
    <n v="1824"/>
    <n v="0"/>
    <n v="0"/>
    <m/>
  </r>
  <r>
    <x v="12"/>
    <x v="2"/>
    <x v="3"/>
    <n v="1959"/>
    <n v="1"/>
    <m/>
    <m/>
    <x v="0"/>
    <n v="2205"/>
    <n v="2205"/>
    <n v="0"/>
    <n v="0"/>
    <m/>
  </r>
  <r>
    <x v="12"/>
    <x v="2"/>
    <x v="3"/>
    <n v="1626"/>
    <n v="0"/>
    <m/>
    <m/>
    <x v="0"/>
    <n v="1236"/>
    <n v="1236"/>
    <n v="0"/>
    <n v="0"/>
    <m/>
  </r>
  <r>
    <x v="12"/>
    <x v="2"/>
    <x v="3"/>
    <n v="2155"/>
    <n v="0"/>
    <m/>
    <m/>
    <x v="0"/>
    <n v="1236"/>
    <n v="1236"/>
    <n v="0"/>
    <n v="0"/>
    <m/>
  </r>
  <r>
    <x v="12"/>
    <x v="2"/>
    <x v="3"/>
    <n v="1844"/>
    <n v="1"/>
    <m/>
    <m/>
    <x v="0"/>
    <n v="2205"/>
    <n v="2205"/>
    <n v="0"/>
    <n v="0"/>
    <m/>
  </r>
  <r>
    <x v="12"/>
    <x v="2"/>
    <x v="3"/>
    <n v="645"/>
    <n v="2"/>
    <s v="Scroll"/>
    <n v="3"/>
    <x v="0"/>
    <n v="0"/>
    <n v="0"/>
    <n v="0"/>
    <n v="0"/>
    <m/>
  </r>
  <r>
    <x v="12"/>
    <x v="2"/>
    <x v="3"/>
    <n v="623"/>
    <n v="1"/>
    <m/>
    <m/>
    <x v="0"/>
    <n v="2205"/>
    <n v="2205"/>
    <n v="0"/>
    <n v="0"/>
    <m/>
  </r>
  <r>
    <x v="12"/>
    <x v="2"/>
    <x v="3"/>
    <n v="1484"/>
    <n v="2"/>
    <m/>
    <m/>
    <x v="0"/>
    <n v="2205"/>
    <n v="2205"/>
    <n v="0"/>
    <n v="0"/>
    <m/>
  </r>
  <r>
    <x v="12"/>
    <x v="2"/>
    <x v="3"/>
    <n v="1281"/>
    <n v="0"/>
    <m/>
    <m/>
    <x v="0"/>
    <n v="2572"/>
    <n v="2572"/>
    <n v="0"/>
    <n v="0"/>
    <m/>
  </r>
  <r>
    <x v="12"/>
    <x v="2"/>
    <x v="3"/>
    <n v="839"/>
    <n v="1"/>
    <m/>
    <m/>
    <x v="0"/>
    <n v="2940"/>
    <n v="2940"/>
    <n v="0"/>
    <n v="0"/>
    <m/>
  </r>
  <r>
    <x v="12"/>
    <x v="2"/>
    <x v="3"/>
    <n v="1785"/>
    <n v="2"/>
    <m/>
    <m/>
    <x v="0"/>
    <n v="1824"/>
    <n v="1824"/>
    <n v="0"/>
    <n v="0"/>
    <m/>
  </r>
  <r>
    <x v="12"/>
    <x v="2"/>
    <x v="3"/>
    <n v="1214"/>
    <n v="0"/>
    <m/>
    <m/>
    <x v="0"/>
    <n v="1236"/>
    <n v="1236"/>
    <n v="0"/>
    <n v="0"/>
    <m/>
  </r>
  <r>
    <x v="12"/>
    <x v="2"/>
    <x v="3"/>
    <n v="1200"/>
    <n v="0"/>
    <m/>
    <m/>
    <x v="0"/>
    <n v="1236"/>
    <n v="1236"/>
    <n v="0"/>
    <n v="0"/>
    <m/>
  </r>
  <r>
    <x v="12"/>
    <x v="2"/>
    <x v="3"/>
    <n v="1357"/>
    <n v="2"/>
    <s v="Fod"/>
    <n v="1"/>
    <x v="2"/>
    <n v="0"/>
    <n v="0"/>
    <n v="0"/>
    <n v="0"/>
    <m/>
  </r>
  <r>
    <x v="12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14"/>
    <x v="0"/>
    <x v="10"/>
    <n v="3980"/>
    <n v="0"/>
    <s v="Violet"/>
    <n v="1"/>
    <x v="8"/>
    <n v="8160"/>
    <n v="8160"/>
    <n v="0"/>
    <n v="0"/>
    <m/>
  </r>
  <r>
    <x v="14"/>
    <x v="0"/>
    <x v="10"/>
    <n v="4393"/>
    <n v="0"/>
    <s v="Blue"/>
    <n v="1"/>
    <x v="8"/>
    <n v="10200"/>
    <n v="10200"/>
    <n v="0"/>
    <n v="0"/>
    <m/>
  </r>
  <r>
    <x v="14"/>
    <x v="0"/>
    <x v="10"/>
    <n v="4309"/>
    <n v="1"/>
    <s v="Blue"/>
    <n v="1"/>
    <x v="8"/>
    <n v="7650"/>
    <n v="7650"/>
    <n v="0"/>
    <n v="0"/>
    <m/>
  </r>
  <r>
    <x v="14"/>
    <x v="0"/>
    <x v="10"/>
    <n v="4290"/>
    <n v="1"/>
    <s v="Scroll"/>
    <n v="5"/>
    <x v="2"/>
    <n v="0"/>
    <n v="10000"/>
    <n v="0"/>
    <n v="4000"/>
    <m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14"/>
    <x v="0"/>
    <x v="6"/>
    <n v="3713"/>
    <n v="1"/>
    <s v="Blue"/>
    <n v="1"/>
    <x v="7"/>
    <n v="7350"/>
    <n v="7350"/>
    <n v="0"/>
    <n v="0"/>
    <m/>
  </r>
  <r>
    <x v="14"/>
    <x v="0"/>
    <x v="6"/>
    <n v="3997"/>
    <n v="1"/>
    <s v="Blue"/>
    <n v="1"/>
    <x v="7"/>
    <n v="3445"/>
    <n v="3445"/>
    <n v="0"/>
    <n v="0"/>
    <m/>
  </r>
  <r>
    <x v="14"/>
    <x v="0"/>
    <x v="6"/>
    <n v="3898"/>
    <n v="0"/>
    <s v="Blue"/>
    <n v="1"/>
    <x v="7"/>
    <n v="3491"/>
    <n v="3491"/>
    <n v="0"/>
    <n v="0"/>
    <m/>
  </r>
  <r>
    <x v="14"/>
    <x v="0"/>
    <x v="7"/>
    <n v="3967"/>
    <n v="1"/>
    <s v="Scroll"/>
    <n v="4"/>
    <x v="2"/>
    <n v="0"/>
    <n v="8000"/>
    <n v="0"/>
    <n v="3200"/>
    <m/>
  </r>
  <r>
    <x v="14"/>
    <x v="0"/>
    <x v="7"/>
    <n v="3757"/>
    <n v="0"/>
    <s v="Blue"/>
    <n v="1"/>
    <x v="7"/>
    <n v="2940"/>
    <n v="2940"/>
    <n v="0"/>
    <n v="0"/>
    <m/>
  </r>
  <r>
    <x v="14"/>
    <x v="0"/>
    <x v="7"/>
    <n v="3610"/>
    <n v="2"/>
    <s v="Scroll"/>
    <n v="5"/>
    <x v="2"/>
    <m/>
    <n v="10000"/>
    <n v="0"/>
    <n v="4000"/>
    <m/>
  </r>
  <r>
    <x v="14"/>
    <x v="0"/>
    <x v="7"/>
    <n v="4254"/>
    <n v="0"/>
    <s v="Rainb"/>
    <n v="1"/>
    <x v="1"/>
    <n v="0"/>
    <n v="0"/>
    <n v="11500"/>
    <n v="35822"/>
    <m/>
  </r>
  <r>
    <x v="14"/>
    <x v="0"/>
    <x v="7"/>
    <n v="3927"/>
    <n v="1"/>
    <s v="Orange"/>
    <n v="1"/>
    <x v="8"/>
    <n v="16150"/>
    <n v="16150"/>
    <n v="0"/>
    <n v="0"/>
    <m/>
  </r>
  <r>
    <x v="14"/>
    <x v="0"/>
    <x v="7"/>
    <n v="3878"/>
    <n v="0"/>
    <s v="Blue"/>
    <n v="1"/>
    <x v="8"/>
    <n v="7225"/>
    <n v="7225"/>
    <n v="0"/>
    <n v="0"/>
    <m/>
  </r>
  <r>
    <x v="14"/>
    <x v="0"/>
    <x v="7"/>
    <n v="3941"/>
    <n v="0"/>
    <s v="Scroll"/>
    <n v="5"/>
    <x v="2"/>
    <n v="0"/>
    <n v="10000"/>
    <n v="0"/>
    <n v="4000"/>
    <m/>
  </r>
  <r>
    <x v="14"/>
    <x v="0"/>
    <x v="7"/>
    <n v="4409"/>
    <n v="0"/>
    <s v="Blue"/>
    <n v="1"/>
    <x v="7"/>
    <n v="4364"/>
    <n v="4364"/>
    <n v="0"/>
    <n v="0"/>
    <m/>
  </r>
  <r>
    <x v="14"/>
    <x v="0"/>
    <x v="7"/>
    <n v="4062"/>
    <n v="4"/>
    <s v="Scroll"/>
    <n v="5"/>
    <x v="2"/>
    <n v="0"/>
    <n v="10000"/>
    <n v="0"/>
    <n v="4000"/>
    <m/>
  </r>
  <r>
    <x v="14"/>
    <x v="0"/>
    <x v="7"/>
    <n v="3764"/>
    <n v="0"/>
    <s v="Blue"/>
    <n v="1"/>
    <x v="8"/>
    <n v="12920"/>
    <n v="12920"/>
    <n v="0"/>
    <n v="0"/>
    <m/>
  </r>
  <r>
    <x v="14"/>
    <x v="0"/>
    <x v="7"/>
    <n v="3972"/>
    <n v="3"/>
    <s v="Blue"/>
    <n v="1"/>
    <x v="8"/>
    <n v="12920"/>
    <n v="12920"/>
    <n v="0"/>
    <n v="0"/>
    <m/>
  </r>
  <r>
    <x v="14"/>
    <x v="0"/>
    <x v="7"/>
    <n v="3793"/>
    <n v="1"/>
    <s v="Blue"/>
    <n v="1"/>
    <x v="7"/>
    <n v="6615"/>
    <n v="6615"/>
    <n v="0"/>
    <n v="0"/>
    <m/>
  </r>
  <r>
    <x v="14"/>
    <x v="0"/>
    <x v="7"/>
    <n v="3869"/>
    <n v="0"/>
    <s v="Scroll"/>
    <n v="4"/>
    <x v="2"/>
    <n v="0"/>
    <n v="8000"/>
    <n v="0"/>
    <n v="3200"/>
    <m/>
  </r>
  <r>
    <x v="14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14"/>
    <x v="0"/>
    <x v="7"/>
    <n v="3963"/>
    <n v="4"/>
    <s v="Blue"/>
    <n v="1"/>
    <x v="8"/>
    <n v="6375"/>
    <n v="6375"/>
    <n v="0"/>
    <n v="0"/>
    <m/>
  </r>
  <r>
    <x v="14"/>
    <x v="0"/>
    <x v="7"/>
    <n v="3833"/>
    <n v="0"/>
    <s v="Scroll"/>
    <n v="4"/>
    <x v="2"/>
    <n v="0"/>
    <n v="8000"/>
    <n v="0"/>
    <n v="3200"/>
    <m/>
  </r>
  <r>
    <x v="14"/>
    <x v="0"/>
    <x v="7"/>
    <n v="3798"/>
    <n v="0"/>
    <s v="Blue"/>
    <n v="1"/>
    <x v="7"/>
    <n v="4134"/>
    <n v="4134"/>
    <n v="0"/>
    <n v="0"/>
    <m/>
  </r>
  <r>
    <x v="14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2"/>
    <x v="0"/>
    <x v="11"/>
    <n v="3965"/>
    <n v="0"/>
    <s v="Blue"/>
    <n v="1"/>
    <x v="7"/>
    <n v="2573"/>
    <n v="2573"/>
    <n v="0"/>
    <n v="0"/>
    <m/>
  </r>
  <r>
    <x v="2"/>
    <x v="0"/>
    <x v="11"/>
    <n v="3790"/>
    <n v="1"/>
    <s v="Scroll"/>
    <n v="4"/>
    <x v="2"/>
    <n v="0"/>
    <n v="8000"/>
    <n v="0"/>
    <n v="3200"/>
    <m/>
  </r>
  <r>
    <x v="2"/>
    <x v="0"/>
    <x v="11"/>
    <n v="4142"/>
    <n v="1"/>
    <s v="Blue"/>
    <n v="1"/>
    <x v="7"/>
    <n v="2411"/>
    <n v="2411"/>
    <n v="0"/>
    <n v="0"/>
    <m/>
  </r>
  <r>
    <x v="2"/>
    <x v="0"/>
    <x v="11"/>
    <n v="3754"/>
    <n v="0"/>
    <s v="Rainb"/>
    <n v="1"/>
    <x v="1"/>
    <n v="0"/>
    <n v="0"/>
    <n v="11500"/>
    <n v="35822"/>
    <m/>
  </r>
  <r>
    <x v="2"/>
    <x v="0"/>
    <x v="11"/>
    <n v="4313"/>
    <n v="1"/>
    <s v="Blue"/>
    <n v="1"/>
    <x v="8"/>
    <n v="11560"/>
    <n v="11560"/>
    <n v="0"/>
    <n v="0"/>
    <m/>
  </r>
  <r>
    <x v="14"/>
    <x v="0"/>
    <x v="11"/>
    <n v="4211"/>
    <n v="0"/>
    <s v="Orange"/>
    <n v="1"/>
    <x v="8"/>
    <n v="10880"/>
    <n v="10880"/>
    <n v="0"/>
    <n v="0"/>
    <m/>
  </r>
  <r>
    <x v="14"/>
    <x v="0"/>
    <x v="11"/>
    <n v="4311"/>
    <n v="0"/>
    <s v="Scroll"/>
    <n v="5"/>
    <x v="2"/>
    <n v="0"/>
    <n v="10000"/>
    <n v="0"/>
    <n v="4000"/>
    <m/>
  </r>
  <r>
    <x v="14"/>
    <x v="0"/>
    <x v="11"/>
    <n v="4245"/>
    <n v="0"/>
    <s v="Scroll"/>
    <n v="4"/>
    <x v="2"/>
    <n v="0"/>
    <n v="8000"/>
    <n v="0"/>
    <n v="3200"/>
    <m/>
  </r>
  <r>
    <x v="14"/>
    <x v="0"/>
    <x v="11"/>
    <n v="4436"/>
    <n v="1"/>
    <s v="Blue"/>
    <n v="1"/>
    <x v="8"/>
    <n v="8925"/>
    <n v="8925"/>
    <n v="0"/>
    <n v="0"/>
    <m/>
  </r>
  <r>
    <x v="14"/>
    <x v="0"/>
    <x v="11"/>
    <n v="4301"/>
    <n v="0"/>
    <s v="Scroll"/>
    <n v="5"/>
    <x v="2"/>
    <n v="0"/>
    <n v="10000"/>
    <n v="0"/>
    <n v="4000"/>
    <m/>
  </r>
  <r>
    <x v="14"/>
    <x v="0"/>
    <x v="11"/>
    <n v="4084"/>
    <n v="0"/>
    <s v="Scroll"/>
    <n v="4"/>
    <x v="2"/>
    <n v="0"/>
    <n v="8000"/>
    <n v="0"/>
    <n v="3200"/>
    <m/>
  </r>
  <r>
    <x v="14"/>
    <x v="0"/>
    <x v="11"/>
    <n v="4184"/>
    <n v="1"/>
    <s v="Violet"/>
    <n v="1"/>
    <x v="8"/>
    <n v="13580"/>
    <n v="13580"/>
    <n v="0"/>
    <n v="0"/>
    <m/>
  </r>
  <r>
    <x v="14"/>
    <x v="0"/>
    <x v="11"/>
    <n v="4874"/>
    <n v="1"/>
    <s v="Rainb"/>
    <n v="1"/>
    <x v="1"/>
    <n v="0"/>
    <n v="0"/>
    <n v="11500"/>
    <n v="35822"/>
    <m/>
  </r>
  <r>
    <x v="14"/>
    <x v="0"/>
    <x v="11"/>
    <n v="4504"/>
    <n v="3"/>
    <s v="SumStone"/>
    <n v="3"/>
    <x v="5"/>
    <n v="0"/>
    <n v="0"/>
    <n v="2587.5"/>
    <n v="2686.6499999999996"/>
    <m/>
  </r>
  <r>
    <x v="14"/>
    <x v="0"/>
    <x v="11"/>
    <n v="4678"/>
    <n v="0"/>
    <s v="Blue"/>
    <n v="1"/>
    <x v="7"/>
    <n v="2940"/>
    <n v="2940"/>
    <n v="0"/>
    <n v="0"/>
    <m/>
  </r>
  <r>
    <x v="14"/>
    <x v="0"/>
    <x v="11"/>
    <n v="4384"/>
    <n v="3"/>
    <s v="Blue"/>
    <n v="1"/>
    <x v="8"/>
    <n v="6120"/>
    <n v="6120"/>
    <n v="0"/>
    <n v="0"/>
    <m/>
  </r>
  <r>
    <x v="14"/>
    <x v="0"/>
    <x v="11"/>
    <n v="4926"/>
    <n v="2"/>
    <s v="Blue"/>
    <n v="1"/>
    <x v="9"/>
    <n v="22190"/>
    <n v="22190"/>
    <n v="0"/>
    <n v="0"/>
    <m/>
  </r>
  <r>
    <x v="14"/>
    <x v="0"/>
    <x v="11"/>
    <n v="4473"/>
    <n v="4"/>
    <s v="Scroll"/>
    <n v="4"/>
    <x v="2"/>
    <n v="0"/>
    <n v="8000"/>
    <n v="0"/>
    <n v="3200"/>
    <m/>
  </r>
  <r>
    <x v="14"/>
    <x v="0"/>
    <x v="11"/>
    <n v="4685"/>
    <n v="0"/>
    <s v="Blue"/>
    <n v="1"/>
    <x v="7"/>
    <n v="3904"/>
    <n v="3904"/>
    <n v="0"/>
    <n v="0"/>
    <m/>
  </r>
  <r>
    <x v="14"/>
    <x v="0"/>
    <x v="11"/>
    <n v="5046"/>
    <n v="1"/>
    <s v="Blue"/>
    <n v="1"/>
    <x v="8"/>
    <n v="10710"/>
    <n v="10710"/>
    <n v="0"/>
    <n v="0"/>
    <m/>
  </r>
  <r>
    <x v="14"/>
    <x v="0"/>
    <x v="10"/>
    <n v="3976"/>
    <n v="1"/>
    <s v="Scroll"/>
    <n v="4"/>
    <x v="2"/>
    <n v="0"/>
    <n v="8000"/>
    <n v="0"/>
    <n v="3200"/>
    <m/>
  </r>
  <r>
    <x v="14"/>
    <x v="0"/>
    <x v="10"/>
    <n v="3952"/>
    <n v="1"/>
    <s v="Scroll"/>
    <n v="4"/>
    <x v="2"/>
    <n v="0"/>
    <n v="8000"/>
    <n v="0"/>
    <n v="3200"/>
    <m/>
  </r>
  <r>
    <x v="14"/>
    <x v="0"/>
    <x v="10"/>
    <n v="4003"/>
    <n v="1"/>
    <s v="Blue"/>
    <n v="1"/>
    <x v="7"/>
    <n v="6615"/>
    <n v="6615"/>
    <n v="0"/>
    <n v="0"/>
    <m/>
  </r>
  <r>
    <x v="14"/>
    <x v="0"/>
    <x v="10"/>
    <n v="4086"/>
    <n v="0"/>
    <s v="Orange"/>
    <n v="1"/>
    <x v="8"/>
    <n v="15300"/>
    <n v="15300"/>
    <n v="0"/>
    <n v="0"/>
    <m/>
  </r>
  <r>
    <x v="14"/>
    <x v="0"/>
    <x v="10"/>
    <n v="4099"/>
    <n v="0"/>
    <s v="Blue"/>
    <n v="1"/>
    <x v="7"/>
    <n v="6982"/>
    <n v="6982"/>
    <n v="0"/>
    <n v="0"/>
    <m/>
  </r>
  <r>
    <x v="14"/>
    <x v="0"/>
    <x v="10"/>
    <n v="3929"/>
    <n v="3"/>
    <s v="Blue"/>
    <n v="1"/>
    <x v="7"/>
    <n v="7028"/>
    <n v="7028"/>
    <n v="0"/>
    <n v="0"/>
    <m/>
  </r>
  <r>
    <x v="14"/>
    <x v="0"/>
    <x v="10"/>
    <n v="4239"/>
    <n v="1"/>
    <s v="Blue"/>
    <n v="1"/>
    <x v="7"/>
    <n v="7855"/>
    <n v="7855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4064"/>
    <n v="1"/>
    <s v="Scroll"/>
    <n v="5"/>
    <x v="2"/>
    <n v="0"/>
    <n v="10000"/>
    <n v="0"/>
    <n v="4000"/>
    <m/>
  </r>
  <r>
    <x v="14"/>
    <x v="0"/>
    <x v="10"/>
    <n v="4083"/>
    <n v="0"/>
    <s v="Blue"/>
    <n v="1"/>
    <x v="7"/>
    <n v="6615"/>
    <n v="6615"/>
    <n v="0"/>
    <n v="0"/>
    <m/>
  </r>
  <r>
    <x v="14"/>
    <x v="0"/>
    <x v="10"/>
    <n v="3906"/>
    <n v="1"/>
    <s v="Blue"/>
    <n v="1"/>
    <x v="8"/>
    <n v="13005"/>
    <n v="13005"/>
    <n v="0"/>
    <n v="0"/>
    <m/>
  </r>
  <r>
    <x v="14"/>
    <x v="0"/>
    <x v="10"/>
    <n v="4056"/>
    <n v="0"/>
    <s v="Blue"/>
    <n v="1"/>
    <x v="7"/>
    <n v="6615"/>
    <n v="6615"/>
    <n v="0"/>
    <n v="0"/>
    <m/>
  </r>
  <r>
    <x v="14"/>
    <x v="0"/>
    <x v="10"/>
    <n v="4209"/>
    <n v="1"/>
    <s v="SumStone"/>
    <n v="3"/>
    <x v="5"/>
    <n v="0"/>
    <n v="0"/>
    <n v="2587.5"/>
    <n v="2686.6499999999996"/>
    <m/>
  </r>
  <r>
    <x v="14"/>
    <x v="0"/>
    <x v="10"/>
    <n v="3820"/>
    <n v="1"/>
    <s v="Blue"/>
    <n v="1"/>
    <x v="7"/>
    <n v="3445"/>
    <n v="3445"/>
    <n v="0"/>
    <n v="0"/>
    <m/>
  </r>
  <r>
    <x v="14"/>
    <x v="0"/>
    <x v="10"/>
    <n v="3866"/>
    <n v="1"/>
    <s v="Blue"/>
    <n v="1"/>
    <x v="8"/>
    <n v="12340"/>
    <n v="12340"/>
    <n v="0"/>
    <n v="0"/>
    <m/>
  </r>
  <r>
    <x v="14"/>
    <x v="0"/>
    <x v="10"/>
    <n v="3662"/>
    <n v="2"/>
    <s v="Scroll"/>
    <n v="4"/>
    <x v="2"/>
    <n v="0"/>
    <n v="8000"/>
    <n v="0"/>
    <n v="3200"/>
    <m/>
  </r>
  <r>
    <x v="14"/>
    <x v="0"/>
    <x v="10"/>
    <n v="4037"/>
    <n v="2"/>
    <s v="Blue"/>
    <n v="1"/>
    <x v="8"/>
    <n v="5440"/>
    <n v="5440"/>
    <n v="0"/>
    <n v="0"/>
    <m/>
  </r>
  <r>
    <x v="14"/>
    <x v="0"/>
    <x v="10"/>
    <n v="4030"/>
    <n v="0"/>
    <s v="Blue"/>
    <n v="1"/>
    <x v="7"/>
    <n v="5788"/>
    <n v="5788"/>
    <n v="0"/>
    <n v="0"/>
    <m/>
  </r>
  <r>
    <x v="14"/>
    <x v="0"/>
    <x v="10"/>
    <n v="4230"/>
    <n v="0"/>
    <s v="Scroll"/>
    <n v="5"/>
    <x v="2"/>
    <n v="0"/>
    <n v="10000"/>
    <n v="0"/>
    <n v="4000"/>
    <m/>
  </r>
  <r>
    <x v="14"/>
    <x v="0"/>
    <x v="10"/>
    <n v="4242"/>
    <n v="1"/>
    <s v="Rainb"/>
    <n v="1"/>
    <x v="1"/>
    <n v="0"/>
    <n v="0"/>
    <n v="11500"/>
    <n v="35822"/>
    <m/>
  </r>
  <r>
    <x v="14"/>
    <x v="0"/>
    <x v="10"/>
    <n v="3742"/>
    <n v="1"/>
    <s v="Blue"/>
    <n v="1"/>
    <x v="9"/>
    <n v="20288"/>
    <n v="20288"/>
    <n v="0"/>
    <n v="0"/>
    <m/>
  </r>
  <r>
    <x v="14"/>
    <x v="0"/>
    <x v="10"/>
    <n v="4004"/>
    <n v="1"/>
    <s v="Blue"/>
    <n v="1"/>
    <x v="7"/>
    <n v="3123"/>
    <n v="3123"/>
    <n v="0"/>
    <n v="0"/>
    <m/>
  </r>
  <r>
    <x v="14"/>
    <x v="0"/>
    <x v="10"/>
    <n v="3972"/>
    <n v="1"/>
    <s v="Violet"/>
    <n v="1"/>
    <x v="7"/>
    <n v="7809"/>
    <n v="7809"/>
    <n v="0"/>
    <n v="0"/>
    <m/>
  </r>
  <r>
    <x v="14"/>
    <x v="0"/>
    <x v="10"/>
    <n v="3789"/>
    <n v="3"/>
    <s v="Blue"/>
    <n v="1"/>
    <x v="8"/>
    <n v="12240"/>
    <n v="12240"/>
    <n v="0"/>
    <n v="0"/>
    <m/>
  </r>
  <r>
    <x v="14"/>
    <x v="0"/>
    <x v="10"/>
    <n v="3881"/>
    <n v="1"/>
    <s v="Violet"/>
    <n v="1"/>
    <x v="8"/>
    <n v="8160"/>
    <n v="8160"/>
    <n v="0"/>
    <n v="0"/>
    <m/>
  </r>
  <r>
    <x v="14"/>
    <x v="0"/>
    <x v="10"/>
    <n v="4062"/>
    <n v="1"/>
    <s v="Violet"/>
    <n v="1"/>
    <x v="7"/>
    <n v="4410"/>
    <n v="4410"/>
    <n v="0"/>
    <n v="0"/>
    <m/>
  </r>
  <r>
    <x v="14"/>
    <x v="0"/>
    <x v="10"/>
    <n v="3897"/>
    <n v="1"/>
    <s v="Blue"/>
    <n v="1"/>
    <x v="8"/>
    <n v="5100"/>
    <n v="5100"/>
    <n v="0"/>
    <n v="0"/>
    <m/>
  </r>
  <r>
    <x v="14"/>
    <x v="0"/>
    <x v="10"/>
    <n v="4552"/>
    <n v="1"/>
    <s v="Blue"/>
    <n v="1"/>
    <x v="7"/>
    <n v="3491"/>
    <n v="3491"/>
    <n v="0"/>
    <n v="0"/>
    <m/>
  </r>
  <r>
    <x v="14"/>
    <x v="0"/>
    <x v="10"/>
    <n v="3972"/>
    <n v="0"/>
    <s v="Scroll"/>
    <n v="5"/>
    <x v="2"/>
    <n v="0"/>
    <n v="10000"/>
    <n v="0"/>
    <n v="4000"/>
    <m/>
  </r>
  <r>
    <x v="14"/>
    <x v="0"/>
    <x v="10"/>
    <n v="3822"/>
    <n v="0"/>
    <s v="Blue"/>
    <n v="1"/>
    <x v="8"/>
    <n v="12240"/>
    <n v="12240"/>
    <n v="0"/>
    <n v="0"/>
    <m/>
  </r>
  <r>
    <x v="14"/>
    <x v="0"/>
    <x v="10"/>
    <n v="4179"/>
    <n v="2"/>
    <s v="Blue"/>
    <n v="1"/>
    <x v="9"/>
    <n v="14265"/>
    <n v="14265"/>
    <n v="0"/>
    <n v="0"/>
    <m/>
  </r>
  <r>
    <x v="14"/>
    <x v="0"/>
    <x v="10"/>
    <n v="4975"/>
    <n v="1"/>
    <s v="Blue"/>
    <n v="1"/>
    <x v="8"/>
    <n v="7650"/>
    <n v="7650"/>
    <n v="0"/>
    <n v="0"/>
    <m/>
  </r>
  <r>
    <x v="14"/>
    <x v="0"/>
    <x v="10"/>
    <n v="4786"/>
    <n v="0"/>
    <s v="Orange"/>
    <n v="1"/>
    <x v="8"/>
    <n v="12920"/>
    <n v="12920"/>
    <n v="0"/>
    <n v="0"/>
    <m/>
  </r>
  <r>
    <x v="14"/>
    <x v="0"/>
    <x v="10"/>
    <n v="3843"/>
    <n v="1"/>
    <s v="Rainb"/>
    <n v="1"/>
    <x v="1"/>
    <n v="0"/>
    <n v="0"/>
    <n v="11500"/>
    <n v="35822"/>
    <m/>
  </r>
  <r>
    <x v="14"/>
    <x v="0"/>
    <x v="10"/>
    <n v="4162"/>
    <n v="1"/>
    <s v="Blue"/>
    <n v="1"/>
    <x v="8"/>
    <n v="5780"/>
    <n v="5780"/>
    <n v="0"/>
    <n v="0"/>
    <m/>
  </r>
  <r>
    <x v="14"/>
    <x v="0"/>
    <x v="10"/>
    <n v="3879"/>
    <n v="1"/>
    <s v="Blue"/>
    <n v="1"/>
    <x v="7"/>
    <n v="7350"/>
    <n v="7350"/>
    <n v="0"/>
    <n v="0"/>
    <m/>
  </r>
  <r>
    <x v="14"/>
    <x v="0"/>
    <x v="10"/>
    <n v="3611"/>
    <n v="0"/>
    <s v="SumStone"/>
    <n v="3"/>
    <x v="5"/>
    <n v="0"/>
    <n v="0"/>
    <n v="2587.5"/>
    <n v="2686.6499999999996"/>
    <m/>
  </r>
  <r>
    <x v="14"/>
    <x v="0"/>
    <x v="10"/>
    <n v="4220"/>
    <n v="1"/>
    <s v="Blue"/>
    <n v="1"/>
    <x v="8"/>
    <n v="11560"/>
    <n v="11560"/>
    <n v="0"/>
    <n v="0"/>
    <m/>
  </r>
  <r>
    <x v="14"/>
    <x v="0"/>
    <x v="10"/>
    <n v="3765"/>
    <n v="0"/>
    <s v="Blue"/>
    <n v="1"/>
    <x v="7"/>
    <n v="3904"/>
    <n v="3904"/>
    <n v="0"/>
    <n v="0"/>
    <m/>
  </r>
  <r>
    <x v="14"/>
    <x v="0"/>
    <x v="10"/>
    <n v="4073"/>
    <n v="3"/>
    <s v="Scroll"/>
    <n v="4"/>
    <x v="2"/>
    <n v="0"/>
    <n v="8000"/>
    <n v="0"/>
    <n v="3200"/>
    <m/>
  </r>
  <r>
    <x v="14"/>
    <x v="0"/>
    <x v="10"/>
    <n v="3957"/>
    <n v="0"/>
    <s v="Violet"/>
    <n v="1"/>
    <x v="8"/>
    <n v="6375"/>
    <n v="6375"/>
    <n v="0"/>
    <n v="0"/>
    <m/>
  </r>
  <r>
    <x v="14"/>
    <x v="0"/>
    <x v="10"/>
    <n v="3704"/>
    <n v="2"/>
    <s v="Blue"/>
    <n v="1"/>
    <x v="8"/>
    <n v="11560"/>
    <n v="11560"/>
    <n v="0"/>
    <n v="0"/>
    <m/>
  </r>
  <r>
    <x v="14"/>
    <x v="0"/>
    <x v="10"/>
    <n v="4168"/>
    <n v="1"/>
    <s v="Rainb"/>
    <n v="1"/>
    <x v="1"/>
    <n v="0"/>
    <n v="0"/>
    <n v="11500"/>
    <n v="35822"/>
    <m/>
  </r>
  <r>
    <x v="14"/>
    <x v="0"/>
    <x v="10"/>
    <n v="4443"/>
    <n v="2"/>
    <s v="Blue"/>
    <n v="1"/>
    <x v="8"/>
    <n v="11560"/>
    <n v="11560"/>
    <n v="0"/>
    <n v="0"/>
    <m/>
  </r>
  <r>
    <x v="14"/>
    <x v="0"/>
    <x v="10"/>
    <n v="4007"/>
    <n v="0"/>
    <s v="Blue"/>
    <n v="1"/>
    <x v="8"/>
    <n v="12240"/>
    <n v="12240"/>
    <n v="0"/>
    <n v="0"/>
    <m/>
  </r>
  <r>
    <x v="14"/>
    <x v="0"/>
    <x v="10"/>
    <n v="4304"/>
    <n v="2"/>
    <s v="Blue"/>
    <n v="1"/>
    <x v="9"/>
    <n v="20288"/>
    <n v="20288"/>
    <n v="0"/>
    <n v="0"/>
    <m/>
  </r>
  <r>
    <x v="14"/>
    <x v="0"/>
    <x v="10"/>
    <n v="3825"/>
    <n v="1"/>
    <s v="Violet"/>
    <n v="1"/>
    <x v="9"/>
    <n v="17118"/>
    <n v="17118"/>
    <n v="0"/>
    <n v="0"/>
    <m/>
  </r>
  <r>
    <x v="14"/>
    <x v="0"/>
    <x v="10"/>
    <n v="3952"/>
    <n v="0"/>
    <s v="Blue"/>
    <n v="1"/>
    <x v="7"/>
    <n v="3445"/>
    <n v="3445"/>
    <n v="0"/>
    <n v="0"/>
    <m/>
  </r>
  <r>
    <x v="14"/>
    <x v="0"/>
    <x v="10"/>
    <n v="3837"/>
    <n v="0"/>
    <s v="Blue"/>
    <n v="1"/>
    <x v="9"/>
    <n v="18861"/>
    <n v="18861"/>
    <n v="0"/>
    <n v="0"/>
    <m/>
  </r>
  <r>
    <x v="14"/>
    <x v="0"/>
    <x v="10"/>
    <n v="3964"/>
    <n v="2"/>
    <s v="Blue"/>
    <n v="1"/>
    <x v="8"/>
    <n v="8075"/>
    <n v="8075"/>
    <n v="0"/>
    <n v="0"/>
    <m/>
  </r>
  <r>
    <x v="14"/>
    <x v="0"/>
    <x v="10"/>
    <n v="3954"/>
    <n v="1"/>
    <s v="Blue"/>
    <n v="1"/>
    <x v="8"/>
    <n v="5440"/>
    <n v="5440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3708"/>
    <n v="2"/>
    <s v="Scroll"/>
    <n v="5"/>
    <x v="2"/>
    <n v="0"/>
    <n v="10000"/>
    <n v="0"/>
    <n v="4000"/>
    <m/>
  </r>
  <r>
    <x v="14"/>
    <x v="0"/>
    <x v="10"/>
    <n v="3596"/>
    <n v="3"/>
    <s v="Blue"/>
    <n v="1"/>
    <x v="9"/>
    <n v="10144"/>
    <n v="10144"/>
    <n v="0"/>
    <n v="0"/>
    <m/>
  </r>
  <r>
    <x v="14"/>
    <x v="0"/>
    <x v="10"/>
    <n v="3997"/>
    <n v="2"/>
    <s v="Rainb"/>
    <n v="1"/>
    <x v="1"/>
    <n v="0"/>
    <n v="0"/>
    <n v="11500"/>
    <n v="35822"/>
    <m/>
  </r>
  <r>
    <x v="14"/>
    <x v="0"/>
    <x v="10"/>
    <n v="4264"/>
    <n v="0"/>
    <s v="Scroll"/>
    <n v="4"/>
    <x v="2"/>
    <n v="0"/>
    <n v="8000"/>
    <n v="0"/>
    <n v="3200"/>
    <m/>
  </r>
  <r>
    <x v="14"/>
    <x v="0"/>
    <x v="10"/>
    <n v="4199"/>
    <n v="3"/>
    <s v="Blue"/>
    <n v="1"/>
    <x v="8"/>
    <n v="5440"/>
    <n v="5440"/>
    <n v="0"/>
    <n v="0"/>
    <m/>
  </r>
  <r>
    <x v="14"/>
    <x v="0"/>
    <x v="10"/>
    <n v="4060"/>
    <n v="2"/>
    <s v="Scroll"/>
    <n v="4"/>
    <x v="2"/>
    <n v="0"/>
    <n v="8000"/>
    <n v="0"/>
    <n v="3200"/>
    <m/>
  </r>
  <r>
    <x v="14"/>
    <x v="0"/>
    <x v="10"/>
    <n v="3943"/>
    <n v="3"/>
    <s v="Scroll"/>
    <n v="4"/>
    <x v="2"/>
    <n v="0"/>
    <n v="8000"/>
    <n v="0"/>
    <n v="3200"/>
    <m/>
  </r>
  <r>
    <x v="14"/>
    <x v="0"/>
    <x v="10"/>
    <n v="4141"/>
    <n v="1"/>
    <s v="Scroll"/>
    <n v="4"/>
    <x v="2"/>
    <n v="0"/>
    <n v="8000"/>
    <n v="0"/>
    <n v="3200"/>
    <m/>
  </r>
  <r>
    <x v="14"/>
    <x v="0"/>
    <x v="10"/>
    <n v="4075"/>
    <n v="0"/>
    <s v="Scroll"/>
    <n v="4"/>
    <x v="2"/>
    <n v="0"/>
    <n v="8000"/>
    <n v="0"/>
    <n v="3200"/>
    <m/>
  </r>
  <r>
    <x v="14"/>
    <x v="0"/>
    <x v="10"/>
    <n v="4269"/>
    <n v="1"/>
    <s v="Blue"/>
    <n v="1"/>
    <x v="7"/>
    <n v="6431"/>
    <n v="6431"/>
    <n v="0"/>
    <n v="0"/>
    <m/>
  </r>
  <r>
    <x v="14"/>
    <x v="0"/>
    <x v="10"/>
    <n v="3888"/>
    <n v="2"/>
    <s v="Scroll"/>
    <n v="5"/>
    <x v="2"/>
    <n v="0"/>
    <n v="10000"/>
    <n v="0"/>
    <n v="4000"/>
    <m/>
  </r>
  <r>
    <x v="14"/>
    <x v="0"/>
    <x v="10"/>
    <n v="3672"/>
    <n v="1"/>
    <s v="Blue"/>
    <n v="1"/>
    <x v="7"/>
    <n v="6120"/>
    <n v="6120"/>
    <n v="0"/>
    <n v="0"/>
    <m/>
  </r>
  <r>
    <x v="14"/>
    <x v="0"/>
    <x v="10"/>
    <n v="3924"/>
    <n v="1"/>
    <s v="Blue"/>
    <n v="1"/>
    <x v="8"/>
    <n v="12920"/>
    <n v="12920"/>
    <n v="0"/>
    <n v="0"/>
    <m/>
  </r>
  <r>
    <x v="14"/>
    <x v="0"/>
    <x v="10"/>
    <n v="4086"/>
    <n v="1"/>
    <s v="Blue"/>
    <n v="1"/>
    <x v="7"/>
    <n v="6120"/>
    <n v="6120"/>
    <n v="0"/>
    <n v="0"/>
    <m/>
  </r>
  <r>
    <x v="14"/>
    <x v="0"/>
    <x v="10"/>
    <n v="3956"/>
    <n v="1"/>
    <s v="Scroll"/>
    <n v="4"/>
    <x v="2"/>
    <n v="0"/>
    <n v="8000"/>
    <n v="0"/>
    <n v="3200"/>
    <m/>
  </r>
  <r>
    <x v="14"/>
    <x v="0"/>
    <x v="10"/>
    <n v="4121"/>
    <n v="2"/>
    <s v="Violet"/>
    <n v="1"/>
    <x v="9"/>
    <n v="27103"/>
    <n v="27103"/>
    <n v="0"/>
    <n v="0"/>
    <m/>
  </r>
  <r>
    <x v="14"/>
    <x v="0"/>
    <x v="10"/>
    <n v="3864"/>
    <n v="1"/>
    <s v="Scroll"/>
    <n v="4"/>
    <x v="2"/>
    <n v="0"/>
    <n v="8000"/>
    <n v="0"/>
    <n v="3200"/>
    <m/>
  </r>
  <r>
    <x v="14"/>
    <x v="0"/>
    <x v="10"/>
    <n v="4144"/>
    <n v="2"/>
    <s v="Blue"/>
    <n v="1"/>
    <x v="7"/>
    <n v="3445"/>
    <n v="3445"/>
    <n v="0"/>
    <n v="0"/>
    <m/>
  </r>
  <r>
    <x v="14"/>
    <x v="0"/>
    <x v="10"/>
    <n v="3884"/>
    <n v="1"/>
    <s v="Blue"/>
    <n v="1"/>
    <x v="7"/>
    <n v="3675"/>
    <n v="3675"/>
    <n v="0"/>
    <n v="0"/>
    <m/>
  </r>
  <r>
    <x v="14"/>
    <x v="0"/>
    <x v="10"/>
    <n v="4186"/>
    <n v="0"/>
    <s v="Violet"/>
    <n v="1"/>
    <x v="8"/>
    <n v="17000"/>
    <n v="17000"/>
    <n v="0"/>
    <n v="0"/>
    <m/>
  </r>
  <r>
    <x v="14"/>
    <x v="0"/>
    <x v="10"/>
    <n v="3886"/>
    <n v="0"/>
    <s v="Scroll"/>
    <n v="5"/>
    <x v="2"/>
    <n v="0"/>
    <n v="10000"/>
    <n v="0"/>
    <n v="4000"/>
    <m/>
  </r>
  <r>
    <x v="14"/>
    <x v="0"/>
    <x v="10"/>
    <n v="4242"/>
    <n v="2"/>
    <s v="Blue"/>
    <n v="1"/>
    <x v="7"/>
    <n v="4364"/>
    <n v="4364"/>
    <n v="0"/>
    <n v="0"/>
    <m/>
  </r>
  <r>
    <x v="14"/>
    <x v="0"/>
    <x v="10"/>
    <n v="4062"/>
    <n v="1"/>
    <s v="Blue"/>
    <n v="1"/>
    <x v="7"/>
    <n v="2940"/>
    <n v="2940"/>
    <n v="0"/>
    <n v="0"/>
    <m/>
  </r>
  <r>
    <x v="14"/>
    <x v="0"/>
    <x v="10"/>
    <n v="4025"/>
    <n v="1"/>
    <s v="Blue"/>
    <n v="1"/>
    <x v="8"/>
    <n v="6800"/>
    <n v="6800"/>
    <n v="0"/>
    <n v="0"/>
    <m/>
  </r>
  <r>
    <x v="14"/>
    <x v="0"/>
    <x v="10"/>
    <n v="4416"/>
    <n v="3"/>
    <s v="Blue"/>
    <n v="1"/>
    <x v="7"/>
    <n v="6615"/>
    <n v="6615"/>
    <n v="0"/>
    <n v="0"/>
    <m/>
  </r>
  <r>
    <x v="14"/>
    <x v="0"/>
    <x v="10"/>
    <n v="3856"/>
    <n v="2"/>
    <s v="Violet"/>
    <n v="1"/>
    <x v="7"/>
    <n v="6615"/>
    <n v="6615"/>
    <n v="0"/>
    <n v="0"/>
    <m/>
  </r>
  <r>
    <x v="14"/>
    <x v="0"/>
    <x v="10"/>
    <n v="4170"/>
    <n v="2"/>
    <s v="Scroll"/>
    <n v="4"/>
    <x v="2"/>
    <n v="0"/>
    <n v="8000"/>
    <n v="0"/>
    <n v="3200"/>
    <m/>
  </r>
  <r>
    <x v="14"/>
    <x v="0"/>
    <x v="10"/>
    <n v="4152"/>
    <n v="1"/>
    <s v="Blue"/>
    <n v="1"/>
    <x v="7"/>
    <n v="6247"/>
    <n v="6247"/>
    <n v="0"/>
    <n v="0"/>
    <m/>
  </r>
  <r>
    <x v="14"/>
    <x v="0"/>
    <x v="10"/>
    <n v="3678"/>
    <n v="0"/>
    <s v="Violet"/>
    <n v="1"/>
    <x v="8"/>
    <n v="10200"/>
    <n v="10200"/>
    <n v="0"/>
    <n v="0"/>
    <m/>
  </r>
  <r>
    <x v="14"/>
    <x v="0"/>
    <x v="10"/>
    <n v="4310"/>
    <n v="2"/>
    <s v="Blue"/>
    <n v="1"/>
    <x v="7"/>
    <n v="5100"/>
    <n v="5100"/>
    <n v="0"/>
    <n v="0"/>
    <m/>
  </r>
  <r>
    <x v="14"/>
    <x v="0"/>
    <x v="10"/>
    <n v="3697"/>
    <n v="0"/>
    <s v="Blue"/>
    <n v="1"/>
    <x v="7"/>
    <n v="2940"/>
    <n v="2940"/>
    <n v="0"/>
    <n v="0"/>
    <m/>
  </r>
  <r>
    <x v="14"/>
    <x v="0"/>
    <x v="10"/>
    <n v="4208"/>
    <n v="1"/>
    <s v="Blue"/>
    <n v="1"/>
    <x v="7"/>
    <n v="5788"/>
    <n v="5788"/>
    <n v="0"/>
    <n v="0"/>
    <m/>
  </r>
  <r>
    <x v="14"/>
    <x v="0"/>
    <x v="10"/>
    <n v="4465"/>
    <n v="2"/>
    <s v="Blue"/>
    <n v="1"/>
    <x v="7"/>
    <n v="4134"/>
    <n v="4134"/>
    <n v="0"/>
    <n v="0"/>
    <m/>
  </r>
  <r>
    <x v="14"/>
    <x v="0"/>
    <x v="10"/>
    <n v="3829"/>
    <n v="2"/>
    <s v="Blue"/>
    <n v="1"/>
    <x v="7"/>
    <n v="6982"/>
    <n v="6982"/>
    <n v="0"/>
    <n v="0"/>
    <m/>
  </r>
  <r>
    <x v="14"/>
    <x v="0"/>
    <x v="10"/>
    <n v="4194"/>
    <n v="0"/>
    <s v="Blue"/>
    <n v="1"/>
    <x v="7"/>
    <n v="3307"/>
    <n v="3307"/>
    <n v="0"/>
    <n v="0"/>
    <m/>
  </r>
  <r>
    <x v="14"/>
    <x v="0"/>
    <x v="10"/>
    <n v="3953"/>
    <n v="0"/>
    <s v="Blue"/>
    <n v="1"/>
    <x v="8"/>
    <n v="6800"/>
    <n v="6800"/>
    <n v="0"/>
    <n v="0"/>
    <m/>
  </r>
  <r>
    <x v="14"/>
    <x v="0"/>
    <x v="10"/>
    <n v="3831"/>
    <n v="0"/>
    <s v="Blue"/>
    <n v="1"/>
    <x v="8"/>
    <n v="5780"/>
    <n v="5780"/>
    <n v="0"/>
    <n v="0"/>
    <m/>
  </r>
  <r>
    <x v="14"/>
    <x v="0"/>
    <x v="10"/>
    <n v="3852"/>
    <n v="0"/>
    <s v="Blue"/>
    <n v="1"/>
    <x v="9"/>
    <n v="17752"/>
    <n v="17752"/>
    <n v="0"/>
    <n v="0"/>
    <m/>
  </r>
  <r>
    <x v="14"/>
    <x v="0"/>
    <x v="10"/>
    <n v="4081"/>
    <n v="2"/>
    <s v="Scroll"/>
    <n v="4"/>
    <x v="2"/>
    <n v="0"/>
    <n v="8000"/>
    <n v="0"/>
    <n v="3200"/>
    <m/>
  </r>
  <r>
    <x v="14"/>
    <x v="0"/>
    <x v="10"/>
    <n v="4016"/>
    <n v="1"/>
    <s v="Blue"/>
    <n v="1"/>
    <x v="7"/>
    <n v="6100"/>
    <n v="6100"/>
    <n v="0"/>
    <n v="0"/>
    <m/>
  </r>
  <r>
    <x v="14"/>
    <x v="0"/>
    <x v="10"/>
    <n v="4213"/>
    <n v="0"/>
    <s v="Blue"/>
    <n v="1"/>
    <x v="8"/>
    <n v="8075"/>
    <n v="8075"/>
    <n v="0"/>
    <n v="0"/>
    <m/>
  </r>
  <r>
    <x v="14"/>
    <x v="0"/>
    <x v="10"/>
    <n v="3708"/>
    <n v="1"/>
    <s v="Violet"/>
    <n v="1"/>
    <x v="7"/>
    <n v="4961"/>
    <n v="4961"/>
    <n v="0"/>
    <n v="0"/>
    <m/>
  </r>
  <r>
    <x v="14"/>
    <x v="0"/>
    <x v="11"/>
    <n v="4889"/>
    <n v="2"/>
    <s v="Blue"/>
    <n v="1"/>
    <x v="8"/>
    <n v="15300"/>
    <n v="15300"/>
    <n v="0"/>
    <n v="0"/>
    <m/>
  </r>
  <r>
    <x v="14"/>
    <x v="0"/>
    <x v="10"/>
    <n v="4352"/>
    <n v="1"/>
    <s v="Blue"/>
    <n v="1"/>
    <x v="9"/>
    <n v="15850"/>
    <n v="15850"/>
    <n v="0"/>
    <n v="0"/>
    <m/>
  </r>
  <r>
    <x v="14"/>
    <x v="0"/>
    <x v="10"/>
    <n v="4128"/>
    <n v="0"/>
    <s v="Blue"/>
    <n v="1"/>
    <x v="8"/>
    <n v="10710"/>
    <n v="10710"/>
    <n v="0"/>
    <n v="0"/>
    <m/>
  </r>
  <r>
    <x v="14"/>
    <x v="0"/>
    <x v="10"/>
    <n v="4086"/>
    <n v="1"/>
    <s v="Blue"/>
    <n v="1"/>
    <x v="7"/>
    <n v="1593"/>
    <n v="1593"/>
    <n v="0"/>
    <n v="0"/>
    <m/>
  </r>
  <r>
    <x v="14"/>
    <x v="0"/>
    <x v="10"/>
    <n v="3994"/>
    <n v="1"/>
    <s v="Scroll"/>
    <n v="5"/>
    <x v="2"/>
    <n v="0"/>
    <n v="10000"/>
    <n v="0"/>
    <n v="4000"/>
    <m/>
  </r>
  <r>
    <x v="14"/>
    <x v="0"/>
    <x v="10"/>
    <n v="3963"/>
    <n v="1"/>
    <s v="Blue"/>
    <n v="1"/>
    <x v="8"/>
    <n v="5440"/>
    <n v="5440"/>
    <n v="0"/>
    <n v="0"/>
    <m/>
  </r>
  <r>
    <x v="14"/>
    <x v="0"/>
    <x v="10"/>
    <n v="4372"/>
    <n v="1"/>
    <s v="Blue"/>
    <n v="1"/>
    <x v="7"/>
    <n v="2756"/>
    <n v="2756"/>
    <n v="0"/>
    <n v="0"/>
    <m/>
  </r>
  <r>
    <x v="14"/>
    <x v="0"/>
    <x v="10"/>
    <n v="4374"/>
    <n v="1"/>
    <s v="Scroll"/>
    <n v="5"/>
    <x v="2"/>
    <n v="0"/>
    <n v="10000"/>
    <n v="0"/>
    <n v="4000"/>
    <m/>
  </r>
  <r>
    <x v="14"/>
    <x v="0"/>
    <x v="10"/>
    <n v="3694"/>
    <n v="1"/>
    <s v="Blue"/>
    <n v="1"/>
    <x v="8"/>
    <n v="10115"/>
    <n v="10115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3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5" firstHeaderRow="1" firstDataRow="2" firstDataCol="1"/>
  <pivotFields count="13">
    <pivotField axis="axisRow" showAll="0">
      <items count="18">
        <item h="1" x="5"/>
        <item x="14"/>
        <item h="1" x="1"/>
        <item h="1" m="1" x="16"/>
        <item x="2"/>
        <item h="1" x="7"/>
        <item h="1" x="9"/>
        <item h="1" x="6"/>
        <item h="1" x="3"/>
        <item h="1" x="8"/>
        <item h="1" x="11"/>
        <item h="1" x="12"/>
        <item h="1" x="4"/>
        <item h="1" x="10"/>
        <item h="1" x="0"/>
        <item h="1" x="13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14">
    <i>
      <x v="1"/>
    </i>
    <i r="1">
      <x v="6"/>
    </i>
    <i r="1">
      <x v="7"/>
    </i>
    <i r="1">
      <x v="8"/>
    </i>
    <i r="1">
      <x v="9"/>
    </i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3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14"/>
        <item h="1" x="1"/>
        <item h="1" m="1" x="16"/>
        <item h="1" x="2"/>
        <item x="7"/>
        <item x="6"/>
        <item x="3"/>
        <item x="8"/>
        <item h="1" x="4"/>
        <item h="1" x="0"/>
        <item h="1" x="15"/>
        <item x="9"/>
        <item h="1" x="10"/>
        <item h="1"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3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14"/>
        <item x="8"/>
        <item x="9"/>
        <item h="1" x="10"/>
        <item h="1"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3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14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1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4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9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8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44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43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42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41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8">
      <calculatedColumnFormula>MAXA(-(4*M1-Tabela6[[#This Row],[Done]]),0)</calculatedColumnFormula>
    </tableColumn>
    <tableColumn id="4" name="XP to gain" dataDxfId="127"/>
    <tableColumn id="6" name="Mana Cost" dataDxfId="126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25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24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1997" totalsRowShown="0">
  <autoFilter ref="A1:M1997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23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22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21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ref="A2:A94"/>
    <sortCondition ref="B2:B94"/>
    <sortCondition ref="C2:C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20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9">
      <calculatedColumnFormula>4*LocFeatures[[#This Row],[XP Gain per member]]</calculatedColumnFormula>
    </tableColumn>
    <tableColumn id="11" name="XP Train Gain"/>
    <tableColumn id="22" name="XP drop" dataDxfId="118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17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16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15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12" tableBorderDxfId="111">
  <autoFilter ref="Q3:W6"/>
  <tableColumns count="7">
    <tableColumn id="1" name="Kolumna1">
      <calculatedColumnFormula>G5</calculatedColumnFormula>
    </tableColumn>
    <tableColumn id="2" name="4" dataDxfId="110"/>
    <tableColumn id="3" name="5" dataDxfId="109"/>
    <tableColumn id="4" name="7" dataDxfId="108"/>
    <tableColumn id="5" name="8" dataDxfId="107"/>
    <tableColumn id="6" name="9" dataDxfId="106"/>
    <tableColumn id="7" name="10" dataDxfId="105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104">
  <autoFilter ref="X1:AB5"/>
  <tableColumns count="5">
    <tableColumn id="1" name="Set Name" dataDxfId="103"/>
    <tableColumn id="2" name="Attack" dataDxfId="102"/>
    <tableColumn id="3" name="Crit.Dmg" dataDxfId="101"/>
    <tableColumn id="4" name="Crit.Cha" dataDxfId="100"/>
    <tableColumn id="5" name="Speed" dataDxfId="99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98" dataDxfId="97" tableBorderDxfId="96">
  <autoFilter ref="A1:U74"/>
  <tableColumns count="21">
    <tableColumn id="1" name="Set" dataDxfId="95"/>
    <tableColumn id="2" name="Runes" dataDxfId="94"/>
    <tableColumn id="3" name="Fatal Nbr" dataDxfId="93"/>
    <tableColumn id="4" name="Rage Nbr" dataDxfId="92"/>
    <tableColumn id="5" name="Blade Nbr" dataDxfId="91"/>
    <tableColumn id="6" name="Atk Mult" dataDxfId="90"/>
    <tableColumn id="7" name="CritD" dataDxfId="89"/>
    <tableColumn id="8" name="Atk % from subs" dataDxfId="88"/>
    <tableColumn id="9" name="Crit D % from subs" dataDxfId="87"/>
    <tableColumn id="10" name="% of Crit C from subs" dataDxfId="86"/>
    <tableColumn id="11" name="Nbr of Atk rune" dataDxfId="85"/>
    <tableColumn id="12" name="Nbr of Crit D rune" dataDxfId="84"/>
    <tableColumn id="13" name="Nbr of Crit C rune" dataDxfId="83"/>
    <tableColumn id="14" name="Atk" dataDxfId="82"/>
    <tableColumn id="15" name="Dmg" dataDxfId="81"/>
    <tableColumn id="16" name="DmgC" dataDxfId="80"/>
    <tableColumn id="17" name="Crit Chance Basic" dataDxfId="79"/>
    <tableColumn id="18" name="Final Crit Chance" dataDxfId="78"/>
    <tableColumn id="19" name="AvgDmg" dataDxfId="77"/>
    <tableColumn id="20" name="AvgDmg Basic" dataDxfId="76"/>
    <tableColumn id="21" name="% change to basic" dataDxfId="75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74">
  <autoFilter ref="W20:AF43"/>
  <tableColumns count="10">
    <tableColumn id="1" name="Crit C" dataDxfId="73"/>
    <tableColumn id="2" name="Crit D" dataDxfId="72"/>
    <tableColumn id="3" name="Atk " dataDxfId="71"/>
    <tableColumn id="4" name="Set1" dataDxfId="70"/>
    <tableColumn id="5" name="Set2" dataDxfId="69"/>
    <tableColumn id="6" name="Rune1" dataDxfId="68"/>
    <tableColumn id="7" name="NBR R1"/>
    <tableColumn id="8" name="Rune2" dataDxfId="67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66">
  <autoFilter ref="AJ2:AU1190"/>
  <tableColumns count="12">
    <tableColumn id="1" name="Att stones" dataDxfId="65"/>
    <tableColumn id="2" name="Crid D stone" dataDxfId="64"/>
    <tableColumn id="3" name="Crit C stone" dataDxfId="63"/>
    <tableColumn id="11" name="Kolumna1" dataDxfId="62">
      <calculatedColumnFormula>Tabela21[[#This Row],[Att subs]]+Tabela21[[#This Row],[Crit D subs]]</calculatedColumnFormula>
    </tableColumn>
    <tableColumn id="4" name="Att subs" dataDxfId="61"/>
    <tableColumn id="5" name="Crit D subs" dataDxfId="60"/>
    <tableColumn id="6" name="Crit C subs" dataDxfId="59"/>
    <tableColumn id="7" name="Fatal + Blade" dataDxfId="58">
      <calculatedColumnFormula>$AG$3*(1+$AJ3*$Y$2+$AN3+0.35)*(MAXA(1-$AI$3-$AL3*$AA$3-$AP3-0.12,0)+MINA($AI$3+$AL3*$AA$3+$AP3+0.12,1)*(1+$AH$3+$AO3+$AK3*$Z$4))</calculatedColumnFormula>
    </tableColumn>
    <tableColumn id="8" name="Rage + Blade" dataDxfId="57">
      <calculatedColumnFormula>$AG$3*(1+$AJ3*$Y$2+$AN3)*(MAXA(1-$AI$3-$AL3*$AA$3-$AP3-0.12,0)+MINA($AI$3+$AL3*$AA$3+$AP3+0.12,1)*(1+$AH$3+$AO3+$AK3*$Z$4+0.4))</calculatedColumnFormula>
    </tableColumn>
    <tableColumn id="9" name="3x Blade" dataDxfId="56">
      <calculatedColumnFormula>$AG$3*(1+$AJ3*$Y$2+$AN3)*(MAXA(1-$AI$3-$AL3*$AA$3-$AP3-0.36,0)+MINA($AI$3+$AL3*$AA$3+$AP3+0.36,1)*(1+$AH$3+$AO3+$AK3*$Z$4))</calculatedColumnFormula>
    </tableColumn>
    <tableColumn id="10" name="DobSk Fatal+balde" dataDxfId="55">
      <calculatedColumnFormula>$AG$3*(1+$AJ3*$Y$2+$AN3)*(MAXA(1-$AI$3-$AL3*$AA$3-$AP3-0.36,0)+2*MINA($AI$3+$AL3*$AA$3+$AP3+0.36,1)*(1+$AH$3+$AO3+$AK3*$Z$4))</calculatedColumnFormula>
    </tableColumn>
    <tableColumn id="12" name="DobSk Fatal+balde2" dataDxfId="54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53">
      <calculatedColumnFormula>FLOOR((J$17+J$18*(Tabela1318[[#This Row],[Type]]-1))*1.2,1)</calculatedColumnFormula>
    </tableColumn>
    <tableColumn id="9" name="Att" dataDxfId="52">
      <calculatedColumnFormula>FLOOR((K$17+K$18*(Tabela1318[[#This Row],[Type]]-1))*1.2,1)</calculatedColumnFormula>
    </tableColumn>
    <tableColumn id="10" name="Def" dataDxfId="51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50"/>
    <tableColumn id="5" name="HP"/>
    <tableColumn id="6" name="Acc%"/>
    <tableColumn id="7" name="SPD"/>
    <tableColumn id="8" name="Crit Rate%" dataDxfId="49"/>
    <tableColumn id="9" name="Crit DMG%" dataDxfId="48"/>
    <tableColumn id="10" name="Att%" dataDxfId="47"/>
    <tableColumn id="16" name="Att"/>
    <tableColumn id="11" name="Def%" dataDxfId="46"/>
    <tableColumn id="14" name="Def"/>
    <tableColumn id="12" name="Res%" dataDxfId="45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37">
  <autoFilter ref="A6:R38"/>
  <tableColumns count="18">
    <tableColumn id="1" name="Scenario"/>
    <tableColumn id="2" name="XP" dataDxfId="36">
      <calculatedColumnFormula>(2*$J7+$K7)/($R7-$Q7)*O7</calculatedColumnFormula>
    </tableColumn>
    <tableColumn id="3" name="Gold" dataDxfId="35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34"/>
    <tableColumn id="11" name="Ene normal" dataDxfId="33"/>
    <tableColumn id="12" name="Location" dataDxfId="32"/>
    <tableColumn id="13" name="LVL" dataDxfId="31"/>
    <tableColumn id="14" name="Stage" dataDxfId="30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T327" totalsRowShown="0" headerRowDxfId="29" dataDxfId="28">
  <autoFilter ref="A1:T327"/>
  <sortState ref="A2:T327">
    <sortCondition descending="1" ref="T2:T327"/>
  </sortState>
  <tableColumns count="20">
    <tableColumn id="1" name="LP" dataDxfId="27" dataCellStyle="Normalny 2"/>
    <tableColumn id="16" name="Awakened2" dataDxfId="26" dataCellStyle="Normalny 2"/>
    <tableColumn id="2" name="Name" dataDxfId="25"/>
    <tableColumn id="3" name="Stars" dataDxfId="24"/>
    <tableColumn id="4" name="Attribute" dataDxfId="23"/>
    <tableColumn id="5" name="G" dataDxfId="22"/>
    <tableColumn id="6" name="D" dataDxfId="21"/>
    <tableColumn id="7" name="N" dataDxfId="20"/>
    <tableColumn id="8" name="AO" dataDxfId="19"/>
    <tableColumn id="9" name="AD" dataDxfId="18"/>
    <tableColumn id="10" name="HM" dataDxfId="17"/>
    <tableColumn id="11" name="GWO" dataDxfId="16"/>
    <tableColumn id="12" name="GWD" dataDxfId="15"/>
    <tableColumn id="13" name="Fusion" dataDxfId="14"/>
    <tableColumn id="15" name="Possesion" dataDxfId="13" dataCellStyle="Normalny 2"/>
    <tableColumn id="20" name="Try to Get" dataDxfId="12" dataCellStyle="Normalny 2"/>
    <tableColumn id="17" name="Suma PVE" dataDxfId="11" dataCellStyle="Normalny 2">
      <calculatedColumnFormula>SUM(Tabela2[[#This Row],[G]]+Tabela2[[#This Row],[D]]+Tabela2[[#This Row],[N]]+Tabela2[[#This Row],[HM]])</calculatedColumnFormula>
    </tableColumn>
    <tableColumn id="18" name="Suma PVP" dataDxfId="10" dataCellStyle="Normalny 2">
      <calculatedColumnFormula>SUM(Tabela2[[#This Row],[AO]]+Tabela2[[#This Row],[AD]]+Tabela2[[#This Row],[GWO]]+Tabela2[[#This Row],[GWD]])</calculatedColumnFormula>
    </tableColumn>
    <tableColumn id="19" name="Suma GW" dataDxfId="9" dataCellStyle="Normalny 2">
      <calculatedColumnFormula>Tabela2[[#This Row],[GWO]]+Tabela2[[#This Row],[GWD]]</calculatedColumnFormula>
    </tableColumn>
    <tableColumn id="14" name="Suma ALL" dataDxfId="8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7" totalsRowShown="0">
  <autoFilter ref="A1:G17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41"/>
  <sheetViews>
    <sheetView topLeftCell="A10" workbookViewId="0">
      <selection activeCell="C49" sqref="C49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1</v>
      </c>
      <c r="N3">
        <v>4</v>
      </c>
      <c r="O3" s="43">
        <v>0</v>
      </c>
      <c r="P3" s="1">
        <v>0</v>
      </c>
      <c r="Q3" s="1">
        <f>Tabela6[[#This Row],[Missing]]*22300</f>
        <v>22300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0</v>
      </c>
      <c r="N4">
        <v>4</v>
      </c>
      <c r="O4" s="43">
        <f>MAXA(Tabela6[[#This Row],[Done]]-M3,0)</f>
        <v>3</v>
      </c>
      <c r="P4" s="1">
        <f>M4*$B$5</f>
        <v>0</v>
      </c>
      <c r="Q4" s="1">
        <f>Tabela6[[#This Row],[Missing]]*9600</f>
        <v>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0</v>
      </c>
      <c r="N5">
        <v>4</v>
      </c>
      <c r="O5" s="43">
        <f>MAXA(-(4*M3-Tabela6[[#This Row],[Done]])-M4,0)</f>
        <v>0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0</v>
      </c>
      <c r="N6">
        <v>15</v>
      </c>
      <c r="O6" s="43">
        <f>MAXA(-(M5+M4-O5-Tabela6[[#This Row],[Done]]),0)</f>
        <v>15</v>
      </c>
      <c r="P6" s="1">
        <f>M6*$B$4</f>
        <v>0</v>
      </c>
      <c r="Q6" s="1">
        <f>Tabela6[[#This Row],[Missing]]*4000</f>
        <v>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0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0</v>
      </c>
      <c r="N8">
        <v>20</v>
      </c>
      <c r="O8" s="43">
        <f>MAXA(-(M7+M6-O7-Tabela6[[#This Row],[Done]]),0)</f>
        <v>20</v>
      </c>
      <c r="P8" s="1">
        <f>M8*$B$3</f>
        <v>0</v>
      </c>
      <c r="Q8" s="1">
        <f>Tabela6[[#This Row],[Missing]]*4000</f>
        <v>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0</v>
      </c>
      <c r="N9">
        <v>3</v>
      </c>
      <c r="O9" s="43">
        <f>MAXA(-(2*M7+M8-Tabela6[[#This Row],[Done]]),0)</f>
        <v>3</v>
      </c>
      <c r="P9" s="39"/>
      <c r="Q9" s="39">
        <f>Tabela6[[#This Row],[Missing]]*11000</f>
        <v>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0</v>
      </c>
      <c r="Q12" s="38">
        <f>SUM(Q3:Q9)</f>
        <v>22300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0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0</v>
      </c>
      <c r="N31">
        <f>O6</f>
        <v>15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0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0</v>
      </c>
      <c r="N33">
        <f>O8</f>
        <v>20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f>MAXA(2*(M31+M32-10)-Tabela610[[#This Row],[Done]],0)</f>
        <v>0</v>
      </c>
      <c r="N34">
        <f>O9</f>
        <v>3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446647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O11"/>
  <sheetViews>
    <sheetView workbookViewId="0">
      <selection activeCell="L2" sqref="L2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3" max="13" width="10" bestFit="1" customWidth="1"/>
  </cols>
  <sheetData>
    <row r="1" spans="1:15">
      <c r="A1" t="s">
        <v>867</v>
      </c>
      <c r="B1" t="s">
        <v>862</v>
      </c>
      <c r="C1" t="s">
        <v>340</v>
      </c>
      <c r="D1" t="s">
        <v>857</v>
      </c>
      <c r="E1" t="s">
        <v>864</v>
      </c>
      <c r="F1" t="s">
        <v>865</v>
      </c>
      <c r="G1" t="s">
        <v>871</v>
      </c>
      <c r="H1" t="s">
        <v>872</v>
      </c>
      <c r="I1" t="s">
        <v>866</v>
      </c>
      <c r="K1" t="s">
        <v>870</v>
      </c>
      <c r="L1" t="s">
        <v>873</v>
      </c>
      <c r="M1" t="s">
        <v>868</v>
      </c>
      <c r="N1" t="s">
        <v>863</v>
      </c>
      <c r="O1" t="s">
        <v>869</v>
      </c>
    </row>
    <row r="2" spans="1:15">
      <c r="A2" t="s">
        <v>858</v>
      </c>
      <c r="B2">
        <v>1</v>
      </c>
      <c r="C2" s="15">
        <f>$M$2+N2+0.35</f>
        <v>1.65</v>
      </c>
      <c r="D2">
        <f>$K$2+$L$2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100</v>
      </c>
      <c r="L2">
        <v>31</v>
      </c>
      <c r="M2" s="15">
        <v>0.93</v>
      </c>
      <c r="N2" s="15">
        <v>0.37</v>
      </c>
      <c r="O2">
        <v>39</v>
      </c>
    </row>
    <row r="3" spans="1:15">
      <c r="A3" s="2" t="s">
        <v>859</v>
      </c>
      <c r="B3" s="2">
        <v>1</v>
      </c>
      <c r="C3" s="144">
        <f>C2-N2</f>
        <v>1.2799999999999998</v>
      </c>
      <c r="D3" s="2">
        <f>D2+$O$2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  <c r="K3">
        <v>100</v>
      </c>
      <c r="L3">
        <v>31</v>
      </c>
      <c r="M3" s="15">
        <v>0.93</v>
      </c>
      <c r="N3" s="15">
        <v>0.63</v>
      </c>
      <c r="O3">
        <v>39</v>
      </c>
    </row>
    <row r="4" spans="1:15">
      <c r="A4" t="s">
        <v>860</v>
      </c>
      <c r="B4">
        <v>1</v>
      </c>
      <c r="C4" s="15">
        <f>$M$2+N2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5">
      <c r="A5" t="s">
        <v>861</v>
      </c>
      <c r="B5">
        <v>1</v>
      </c>
      <c r="C5" s="15">
        <f>$M$2</f>
        <v>0.93</v>
      </c>
      <c r="D5">
        <f>D4+$O$2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5">
      <c r="A6" t="s">
        <v>858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5">
      <c r="A7" t="s">
        <v>859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5">
      <c r="A8" t="s">
        <v>860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5">
      <c r="A9" t="s">
        <v>861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5">
      <c r="F1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997"/>
  <sheetViews>
    <sheetView tabSelected="1" zoomScale="85" zoomScaleNormal="85" workbookViewId="0">
      <pane ySplit="1" topLeftCell="A1399" activePane="bottomLeft" state="frozen"/>
      <selection pane="bottomLeft" activeCell="C1442" sqref="C1442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9" width="3.125" customWidth="1"/>
    <col min="20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178</v>
      </c>
      <c r="P12" s="43"/>
      <c r="Q12" s="43">
        <v>35</v>
      </c>
      <c r="R12" s="43">
        <v>6</v>
      </c>
      <c r="S12" s="43">
        <v>3</v>
      </c>
      <c r="T12" s="43">
        <v>46</v>
      </c>
      <c r="U12" s="43">
        <v>43</v>
      </c>
      <c r="V12" s="43">
        <v>10</v>
      </c>
      <c r="W12" s="43">
        <v>4</v>
      </c>
      <c r="X12" s="43">
        <v>147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7</v>
      </c>
      <c r="P13" s="43"/>
      <c r="Q13" s="43"/>
      <c r="R13" s="43"/>
      <c r="S13" s="43"/>
      <c r="T13" s="43">
        <v>3</v>
      </c>
      <c r="U13" s="43"/>
      <c r="V13" s="43"/>
      <c r="W13" s="43"/>
      <c r="X13" s="43">
        <v>3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8</v>
      </c>
      <c r="P14" s="43"/>
      <c r="Q14" s="43">
        <v>6</v>
      </c>
      <c r="R14" s="43">
        <v>1</v>
      </c>
      <c r="S14" s="43"/>
      <c r="T14" s="43">
        <v>6</v>
      </c>
      <c r="U14" s="43">
        <v>5</v>
      </c>
      <c r="V14" s="43"/>
      <c r="W14" s="43"/>
      <c r="X14" s="43">
        <v>18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9</v>
      </c>
      <c r="P15" s="43"/>
      <c r="Q15" s="43">
        <v>24</v>
      </c>
      <c r="R15" s="43">
        <v>4</v>
      </c>
      <c r="S15" s="43">
        <v>2</v>
      </c>
      <c r="T15" s="43">
        <v>35</v>
      </c>
      <c r="U15" s="43">
        <v>32</v>
      </c>
      <c r="V15" s="43">
        <v>9</v>
      </c>
      <c r="W15" s="43">
        <v>4</v>
      </c>
      <c r="X15" s="43">
        <v>110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10</v>
      </c>
      <c r="P16" s="43"/>
      <c r="Q16" s="43">
        <v>5</v>
      </c>
      <c r="R16" s="43">
        <v>1</v>
      </c>
      <c r="S16" s="43">
        <v>1</v>
      </c>
      <c r="T16" s="43">
        <v>2</v>
      </c>
      <c r="U16" s="43">
        <v>6</v>
      </c>
      <c r="V16" s="43">
        <v>1</v>
      </c>
      <c r="W16" s="43"/>
      <c r="X16" s="43">
        <v>16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2" t="s">
        <v>172</v>
      </c>
      <c r="P17" s="43">
        <v>1</v>
      </c>
      <c r="Q17" s="43">
        <v>60</v>
      </c>
      <c r="R17" s="43">
        <v>11</v>
      </c>
      <c r="S17" s="43">
        <v>7</v>
      </c>
      <c r="T17" s="43">
        <v>86</v>
      </c>
      <c r="U17" s="43">
        <v>105</v>
      </c>
      <c r="V17" s="43">
        <v>12</v>
      </c>
      <c r="W17" s="43">
        <v>21</v>
      </c>
      <c r="X17" s="43">
        <v>303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3</v>
      </c>
      <c r="P18" s="43"/>
      <c r="Q18" s="43"/>
      <c r="R18" s="43"/>
      <c r="S18" s="43"/>
      <c r="T18" s="43"/>
      <c r="U18" s="43"/>
      <c r="V18" s="43"/>
      <c r="W18" s="43">
        <v>1</v>
      </c>
      <c r="X18" s="43">
        <v>1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4</v>
      </c>
      <c r="P19" s="43"/>
      <c r="Q19" s="43"/>
      <c r="R19" s="43"/>
      <c r="S19" s="43"/>
      <c r="T19" s="43"/>
      <c r="U19" s="43"/>
      <c r="V19" s="43"/>
      <c r="W19" s="43">
        <v>1</v>
      </c>
      <c r="X19" s="43">
        <v>1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3">
        <v>5</v>
      </c>
      <c r="P20" s="43"/>
      <c r="Q20" s="43">
        <v>5</v>
      </c>
      <c r="R20" s="43"/>
      <c r="S20" s="43"/>
      <c r="T20" s="43"/>
      <c r="U20" s="43"/>
      <c r="V20" s="43"/>
      <c r="W20" s="43">
        <v>11</v>
      </c>
      <c r="X20" s="43">
        <v>16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  <c r="O21" s="13">
        <v>6</v>
      </c>
      <c r="P21" s="43"/>
      <c r="Q21" s="43">
        <v>3</v>
      </c>
      <c r="R21" s="43">
        <v>1</v>
      </c>
      <c r="S21" s="43"/>
      <c r="T21" s="43">
        <v>1</v>
      </c>
      <c r="U21" s="43"/>
      <c r="V21" s="43"/>
      <c r="W21" s="43">
        <v>6</v>
      </c>
      <c r="X21" s="43">
        <v>11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  <c r="O22" s="13">
        <v>7</v>
      </c>
      <c r="P22" s="43"/>
      <c r="Q22" s="43">
        <v>17</v>
      </c>
      <c r="R22" s="43">
        <v>1</v>
      </c>
      <c r="S22" s="43">
        <v>3</v>
      </c>
      <c r="T22" s="43">
        <v>23</v>
      </c>
      <c r="U22" s="43">
        <v>5</v>
      </c>
      <c r="V22" s="43"/>
      <c r="W22" s="43">
        <v>1</v>
      </c>
      <c r="X22" s="43">
        <v>50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  <c r="O23" s="13">
        <v>8</v>
      </c>
      <c r="P23" s="43"/>
      <c r="Q23" s="43">
        <v>8</v>
      </c>
      <c r="R23" s="43"/>
      <c r="S23" s="43"/>
      <c r="T23" s="43">
        <v>17</v>
      </c>
      <c r="U23" s="43">
        <v>11</v>
      </c>
      <c r="V23" s="43"/>
      <c r="W23" s="43">
        <v>1</v>
      </c>
      <c r="X23" s="43">
        <v>37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  <c r="O24" s="13">
        <v>10</v>
      </c>
      <c r="P24" s="43">
        <v>1</v>
      </c>
      <c r="Q24" s="43">
        <v>27</v>
      </c>
      <c r="R24" s="43">
        <v>9</v>
      </c>
      <c r="S24" s="43">
        <v>4</v>
      </c>
      <c r="T24" s="43">
        <v>45</v>
      </c>
      <c r="U24" s="43">
        <v>89</v>
      </c>
      <c r="V24" s="43">
        <v>12</v>
      </c>
      <c r="W24" s="43"/>
      <c r="X24" s="43">
        <v>187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  <c r="O25" s="12" t="s">
        <v>66</v>
      </c>
      <c r="P25" s="43">
        <v>1</v>
      </c>
      <c r="Q25" s="43">
        <v>95</v>
      </c>
      <c r="R25" s="43">
        <v>17</v>
      </c>
      <c r="S25" s="43">
        <v>10</v>
      </c>
      <c r="T25" s="43">
        <v>132</v>
      </c>
      <c r="U25" s="43">
        <v>148</v>
      </c>
      <c r="V25" s="43">
        <v>22</v>
      </c>
      <c r="W25" s="43">
        <v>25</v>
      </c>
      <c r="X25" s="43">
        <v>450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8</v>
      </c>
      <c r="B438" t="s">
        <v>32</v>
      </c>
      <c r="C438">
        <v>3</v>
      </c>
      <c r="D438">
        <v>2271</v>
      </c>
      <c r="E438">
        <v>1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1066</v>
      </c>
      <c r="E439">
        <v>0</v>
      </c>
      <c r="F439" t="s">
        <v>58</v>
      </c>
      <c r="G439">
        <v>1</v>
      </c>
      <c r="H439" t="s">
        <v>12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11500</v>
      </c>
      <c r="L439" s="43">
        <f>IFERROR(SUMIFS(Tabela10[Exp Gain only 2*+],Tabela10[Drop],DropAnalityka[[#This Row],[Drop]],Tabela10[Grade],DropAnalityka[[#This Row],[Grade]])*DropAnalityka[[#This Row],[Quality/Quantity]],0)</f>
        <v>35822</v>
      </c>
    </row>
    <row r="440" spans="1:12">
      <c r="A440" t="s">
        <v>8</v>
      </c>
      <c r="B440" t="s">
        <v>32</v>
      </c>
      <c r="C440">
        <v>3</v>
      </c>
      <c r="D440">
        <v>1217</v>
      </c>
      <c r="E440">
        <v>0</v>
      </c>
      <c r="I440">
        <v>1159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0" s="43">
        <f>IFERROR(SUMIFS(Tabela10[Fod Worth],Tabela10[Drop],DropAnalityka[[#This Row],[Drop]],Tabela10[Grade],DropAnalityka[[#This Row],[Grade]])*DropAnalityka[[#This Row],[Quality/Quantity]],0)</f>
        <v>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1369</v>
      </c>
      <c r="E441">
        <v>0</v>
      </c>
      <c r="F441" t="s">
        <v>57</v>
      </c>
      <c r="G441">
        <v>1</v>
      </c>
      <c r="H441" t="s">
        <v>26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1" s="43">
        <f>IFERROR(SUMIFS(Tabela10[Fod Worth],Tabela10[Drop],DropAnalityka[[#This Row],[Drop]],Tabela10[Grade],DropAnalityka[[#This Row],[Grade]])*DropAnalityka[[#This Row],[Quality/Quantity]],0)</f>
        <v>34500</v>
      </c>
      <c r="L441" s="43">
        <f>IFERROR(SUMIFS(Tabela10[Exp Gain only 2*+],Tabela10[Drop],DropAnalityka[[#This Row],[Drop]],Tabela10[Grade],DropAnalityka[[#This Row],[Grade]])*DropAnalityka[[#This Row],[Quality/Quantity]],0)</f>
        <v>35822</v>
      </c>
    </row>
    <row r="442" spans="1:12">
      <c r="A442" t="s">
        <v>8</v>
      </c>
      <c r="B442" t="s">
        <v>32</v>
      </c>
      <c r="C442">
        <v>3</v>
      </c>
      <c r="D442">
        <v>1200</v>
      </c>
      <c r="E442">
        <v>1</v>
      </c>
      <c r="I442">
        <v>1546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2" s="43">
        <f>IFERROR(SUMIFS(Tabela10[Fod Worth],Tabela10[Drop],DropAnalityka[[#This Row],[Drop]],Tabela10[Grade],DropAnalityka[[#This Row],[Grade]])*DropAnalityka[[#This Row],[Quality/Quantity]],0)</f>
        <v>0</v>
      </c>
      <c r="L442" s="43">
        <f>IFERROR(SUMIFS(Tabela10[Exp Gain only 2*+],Tabela10[Drop],DropAnalityka[[#This Row],[Drop]],Tabela10[Grade],DropAnalityka[[#This Row],[Grade]])*DropAnalityka[[#This Row],[Quality/Quantity]],0)</f>
        <v>0</v>
      </c>
    </row>
    <row r="443" spans="1:12">
      <c r="A443" t="s">
        <v>8</v>
      </c>
      <c r="B443" t="s">
        <v>32</v>
      </c>
      <c r="C443">
        <v>3</v>
      </c>
      <c r="D443">
        <v>2084</v>
      </c>
      <c r="E443">
        <v>1</v>
      </c>
      <c r="I443">
        <v>1159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1041</v>
      </c>
      <c r="E444">
        <v>2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1173</v>
      </c>
      <c r="E445">
        <v>0</v>
      </c>
      <c r="F445" t="s">
        <v>34</v>
      </c>
      <c r="G445">
        <v>3</v>
      </c>
      <c r="H445" t="s">
        <v>17</v>
      </c>
      <c r="I445">
        <v>0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2400</v>
      </c>
    </row>
    <row r="446" spans="1:12">
      <c r="A446" t="s">
        <v>8</v>
      </c>
      <c r="B446" t="s">
        <v>32</v>
      </c>
      <c r="C446">
        <v>3</v>
      </c>
      <c r="D446">
        <v>1203</v>
      </c>
      <c r="E446">
        <v>0</v>
      </c>
      <c r="I446">
        <v>1159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1265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1133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967</v>
      </c>
      <c r="E449">
        <v>1</v>
      </c>
      <c r="F449" t="s">
        <v>57</v>
      </c>
      <c r="G449">
        <v>1</v>
      </c>
      <c r="H449" t="s">
        <v>17</v>
      </c>
      <c r="I449">
        <v>0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2246</v>
      </c>
      <c r="E450">
        <v>1</v>
      </c>
      <c r="I450">
        <v>2067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1423</v>
      </c>
      <c r="E451">
        <v>2</v>
      </c>
      <c r="I451">
        <v>1159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1858</v>
      </c>
      <c r="E452">
        <v>0</v>
      </c>
      <c r="I452">
        <v>2067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1423</v>
      </c>
      <c r="E453">
        <v>1</v>
      </c>
      <c r="I453">
        <v>1546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2042</v>
      </c>
      <c r="E454">
        <v>1</v>
      </c>
      <c r="I454">
        <v>1159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2001</v>
      </c>
      <c r="E455">
        <v>1</v>
      </c>
      <c r="F455" t="s">
        <v>57</v>
      </c>
      <c r="G455">
        <v>1</v>
      </c>
      <c r="H455" t="s">
        <v>17</v>
      </c>
      <c r="I455">
        <v>0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1540</v>
      </c>
      <c r="E456">
        <v>0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1699</v>
      </c>
      <c r="E457">
        <v>1</v>
      </c>
      <c r="I457">
        <v>2067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1916</v>
      </c>
      <c r="E458">
        <v>1</v>
      </c>
      <c r="I458">
        <v>1159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2501</v>
      </c>
      <c r="E459">
        <v>0</v>
      </c>
      <c r="I459">
        <v>2067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1812</v>
      </c>
      <c r="E460">
        <v>1</v>
      </c>
      <c r="F460" t="s">
        <v>34</v>
      </c>
      <c r="G460">
        <v>3</v>
      </c>
      <c r="H460" t="s">
        <v>17</v>
      </c>
      <c r="I460">
        <v>0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2400</v>
      </c>
    </row>
    <row r="461" spans="1:12">
      <c r="A461" t="s">
        <v>8</v>
      </c>
      <c r="B461" t="s">
        <v>32</v>
      </c>
      <c r="C461">
        <v>3</v>
      </c>
      <c r="D461">
        <v>1215</v>
      </c>
      <c r="E461">
        <v>0</v>
      </c>
      <c r="I461">
        <v>1159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422</v>
      </c>
      <c r="E462">
        <v>1</v>
      </c>
      <c r="I462">
        <v>2756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1105</v>
      </c>
      <c r="E463">
        <v>0</v>
      </c>
      <c r="F463" t="s">
        <v>57</v>
      </c>
      <c r="G463">
        <v>1</v>
      </c>
      <c r="H463" t="s">
        <v>12</v>
      </c>
      <c r="I463">
        <v>0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3" s="43">
        <f>IFERROR(SUMIFS(Tabela10[Fod Worth],Tabela10[Drop],DropAnalityka[[#This Row],[Drop]],Tabela10[Grade],DropAnalityka[[#This Row],[Grade]])*DropAnalityka[[#This Row],[Quality/Quantity]],0)</f>
        <v>11500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821</v>
      </c>
      <c r="E464">
        <v>1</v>
      </c>
      <c r="I464">
        <v>1159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4" s="43">
        <f>IFERROR(SUMIFS(Tabela10[Fod Worth],Tabela10[Drop],DropAnalityka[[#This Row],[Drop]],Tabela10[Grade],DropAnalityka[[#This Row],[Grade]])*DropAnalityka[[#This Row],[Quality/Quantity]],0)</f>
        <v>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1748</v>
      </c>
      <c r="E465">
        <v>1</v>
      </c>
      <c r="F465" t="s">
        <v>143</v>
      </c>
      <c r="I465">
        <v>0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1840</v>
      </c>
      <c r="E466">
        <v>0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1395</v>
      </c>
      <c r="E467">
        <v>2</v>
      </c>
      <c r="I467">
        <v>1159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1292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1574</v>
      </c>
      <c r="E469">
        <v>0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1388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3326</v>
      </c>
      <c r="E471">
        <v>0</v>
      </c>
      <c r="F471" t="s">
        <v>34</v>
      </c>
      <c r="G471">
        <v>3</v>
      </c>
      <c r="H471" t="s">
        <v>17</v>
      </c>
      <c r="I471">
        <v>0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2400</v>
      </c>
    </row>
    <row r="472" spans="1:12">
      <c r="A472" t="s">
        <v>8</v>
      </c>
      <c r="B472" t="s">
        <v>32</v>
      </c>
      <c r="C472">
        <v>3</v>
      </c>
      <c r="D472">
        <v>999</v>
      </c>
      <c r="E472">
        <v>1</v>
      </c>
      <c r="F472" t="s">
        <v>143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1225</v>
      </c>
      <c r="E473">
        <v>0</v>
      </c>
      <c r="I473">
        <v>2411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1362</v>
      </c>
      <c r="E474">
        <v>2</v>
      </c>
      <c r="F474" t="s">
        <v>57</v>
      </c>
      <c r="G474">
        <v>1</v>
      </c>
      <c r="H474" t="s">
        <v>17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1149</v>
      </c>
      <c r="E475">
        <v>2</v>
      </c>
      <c r="I475">
        <v>1159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1186</v>
      </c>
      <c r="E476">
        <v>1</v>
      </c>
      <c r="I476">
        <v>2067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1366</v>
      </c>
      <c r="E477">
        <v>1</v>
      </c>
      <c r="I477">
        <v>2411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2407</v>
      </c>
      <c r="E478">
        <v>4</v>
      </c>
      <c r="F478" t="s">
        <v>57</v>
      </c>
      <c r="G478">
        <v>1</v>
      </c>
      <c r="H478" t="s">
        <v>12</v>
      </c>
      <c r="I478">
        <v>0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8" s="43">
        <f>IFERROR(SUMIFS(Tabela10[Fod Worth],Tabela10[Drop],DropAnalityka[[#This Row],[Drop]],Tabela10[Grade],DropAnalityka[[#This Row],[Grade]])*DropAnalityka[[#This Row],[Quality/Quantity]],0)</f>
        <v>11500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2050</v>
      </c>
      <c r="E479">
        <v>1</v>
      </c>
      <c r="I479">
        <v>2067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9" s="43">
        <f>IFERROR(SUMIFS(Tabela10[Fod Worth],Tabela10[Drop],DropAnalityka[[#This Row],[Drop]],Tabela10[Grade],DropAnalityka[[#This Row],[Grade]])*DropAnalityka[[#This Row],[Quality/Quantity]],0)</f>
        <v>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2063</v>
      </c>
      <c r="E480">
        <v>1</v>
      </c>
      <c r="F480" t="s">
        <v>57</v>
      </c>
      <c r="G480">
        <v>1</v>
      </c>
      <c r="H480" t="s">
        <v>17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1086</v>
      </c>
      <c r="E481">
        <v>0</v>
      </c>
      <c r="I481">
        <v>1546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1248</v>
      </c>
      <c r="E482">
        <v>2</v>
      </c>
      <c r="F482" t="s">
        <v>34</v>
      </c>
      <c r="G482">
        <v>3</v>
      </c>
      <c r="H482" t="s">
        <v>17</v>
      </c>
      <c r="I482">
        <v>0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2400</v>
      </c>
    </row>
    <row r="483" spans="1:12">
      <c r="A483" t="s">
        <v>8</v>
      </c>
      <c r="B483" t="s">
        <v>32</v>
      </c>
      <c r="C483">
        <v>3</v>
      </c>
      <c r="D483">
        <v>1342</v>
      </c>
      <c r="E483">
        <v>1</v>
      </c>
      <c r="F483" t="s">
        <v>143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2048</v>
      </c>
      <c r="E484">
        <v>0</v>
      </c>
      <c r="I484">
        <v>1159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2152</v>
      </c>
      <c r="E485">
        <v>2</v>
      </c>
      <c r="F485" t="s">
        <v>57</v>
      </c>
      <c r="G485">
        <v>1</v>
      </c>
      <c r="H485" t="s">
        <v>17</v>
      </c>
      <c r="I485">
        <v>0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1171</v>
      </c>
      <c r="E486">
        <v>1</v>
      </c>
      <c r="I486">
        <v>2067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2951</v>
      </c>
      <c r="E487">
        <v>2</v>
      </c>
      <c r="I487">
        <v>2411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1340</v>
      </c>
      <c r="E488">
        <v>0</v>
      </c>
      <c r="I488">
        <v>1159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1120</v>
      </c>
      <c r="E489">
        <v>1</v>
      </c>
      <c r="I489">
        <v>1546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805</v>
      </c>
      <c r="E490">
        <v>1</v>
      </c>
      <c r="I490">
        <v>2067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1611</v>
      </c>
      <c r="E491">
        <v>3</v>
      </c>
      <c r="I491">
        <v>1159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1332</v>
      </c>
      <c r="E492">
        <v>0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1613</v>
      </c>
      <c r="E493">
        <v>1</v>
      </c>
      <c r="I493">
        <v>2411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1375</v>
      </c>
      <c r="E494">
        <v>1</v>
      </c>
      <c r="I494">
        <v>1159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1277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1167</v>
      </c>
      <c r="E496">
        <v>0</v>
      </c>
      <c r="I496">
        <v>2067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1156</v>
      </c>
      <c r="E497">
        <v>2</v>
      </c>
      <c r="I497">
        <v>1352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1404</v>
      </c>
      <c r="E498">
        <v>0</v>
      </c>
      <c r="F498" t="s">
        <v>57</v>
      </c>
      <c r="G498">
        <v>1</v>
      </c>
      <c r="H498" t="s">
        <v>26</v>
      </c>
      <c r="I498">
        <v>0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8" s="43">
        <f>IFERROR(SUMIFS(Tabela10[Fod Worth],Tabela10[Drop],DropAnalityka[[#This Row],[Drop]],Tabela10[Grade],DropAnalityka[[#This Row],[Grade]])*DropAnalityka[[#This Row],[Quality/Quantity]],0)</f>
        <v>34500</v>
      </c>
      <c r="L498" s="43">
        <f>IFERROR(SUMIFS(Tabela10[Exp Gain only 2*+],Tabela10[Drop],DropAnalityka[[#This Row],[Drop]],Tabela10[Grade],DropAnalityka[[#This Row],[Grade]])*DropAnalityka[[#This Row],[Quality/Quantity]],0)</f>
        <v>35822</v>
      </c>
    </row>
    <row r="499" spans="1:12">
      <c r="A499" t="s">
        <v>8</v>
      </c>
      <c r="B499" t="s">
        <v>32</v>
      </c>
      <c r="C499">
        <v>3</v>
      </c>
      <c r="D499">
        <v>1462</v>
      </c>
      <c r="E499">
        <v>0</v>
      </c>
      <c r="I499">
        <v>1159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9" s="43">
        <f>IFERROR(SUMIFS(Tabela10[Fod Worth],Tabela10[Drop],DropAnalityka[[#This Row],[Drop]],Tabela10[Grade],DropAnalityka[[#This Row],[Grade]])*DropAnalityka[[#This Row],[Quality/Quantity]],0)</f>
        <v>0</v>
      </c>
      <c r="L499" s="43">
        <f>IFERROR(SUMIFS(Tabela10[Exp Gain only 2*+],Tabela10[Drop],DropAnalityka[[#This Row],[Drop]],Tabela10[Grade],DropAnalityka[[#This Row],[Grade]])*DropAnalityka[[#This Row],[Quality/Quantity]],0)</f>
        <v>0</v>
      </c>
    </row>
    <row r="500" spans="1:12">
      <c r="A500" t="s">
        <v>8</v>
      </c>
      <c r="B500" t="s">
        <v>32</v>
      </c>
      <c r="C500">
        <v>3</v>
      </c>
      <c r="D500">
        <v>1957</v>
      </c>
      <c r="E500">
        <v>2</v>
      </c>
      <c r="F500" t="s">
        <v>143</v>
      </c>
      <c r="I500">
        <v>0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1051</v>
      </c>
      <c r="E501">
        <v>0</v>
      </c>
      <c r="I501">
        <v>2411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1187</v>
      </c>
      <c r="E502">
        <v>2</v>
      </c>
      <c r="I502">
        <v>1159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1798</v>
      </c>
      <c r="E503">
        <v>2</v>
      </c>
      <c r="F503" t="s">
        <v>34</v>
      </c>
      <c r="G503">
        <v>3</v>
      </c>
      <c r="H503" t="s">
        <v>17</v>
      </c>
      <c r="I503">
        <v>0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2400</v>
      </c>
    </row>
    <row r="504" spans="1:12">
      <c r="A504" t="s">
        <v>8</v>
      </c>
      <c r="B504" t="s">
        <v>32</v>
      </c>
      <c r="C504">
        <v>3</v>
      </c>
      <c r="D504">
        <v>1909</v>
      </c>
      <c r="E504">
        <v>3</v>
      </c>
      <c r="I504">
        <v>1159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829</v>
      </c>
      <c r="E505">
        <v>2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1201</v>
      </c>
      <c r="E506">
        <v>2</v>
      </c>
      <c r="F506" t="s">
        <v>34</v>
      </c>
      <c r="G506">
        <v>3</v>
      </c>
      <c r="H506" t="s">
        <v>17</v>
      </c>
      <c r="I506">
        <v>0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2400</v>
      </c>
    </row>
    <row r="507" spans="1:12">
      <c r="A507" t="s">
        <v>8</v>
      </c>
      <c r="B507" t="s">
        <v>32</v>
      </c>
      <c r="C507">
        <v>3</v>
      </c>
      <c r="D507">
        <v>1770</v>
      </c>
      <c r="E507">
        <v>0</v>
      </c>
      <c r="I507">
        <v>1159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1190</v>
      </c>
      <c r="E508">
        <v>0</v>
      </c>
      <c r="I508">
        <v>1739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60</v>
      </c>
      <c r="B509" t="s">
        <v>9</v>
      </c>
      <c r="C509">
        <v>1</v>
      </c>
      <c r="D509">
        <v>849</v>
      </c>
      <c r="E509">
        <v>2</v>
      </c>
      <c r="I509">
        <v>823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1244</v>
      </c>
      <c r="E510">
        <v>2</v>
      </c>
      <c r="I510">
        <v>1976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1902</v>
      </c>
      <c r="E511">
        <v>2</v>
      </c>
      <c r="F511" t="s">
        <v>34</v>
      </c>
      <c r="G511">
        <v>1</v>
      </c>
      <c r="H511" t="s">
        <v>17</v>
      </c>
      <c r="I511">
        <v>0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800</v>
      </c>
    </row>
    <row r="512" spans="1:12">
      <c r="A512" t="s">
        <v>60</v>
      </c>
      <c r="B512" t="s">
        <v>9</v>
      </c>
      <c r="C512">
        <v>1</v>
      </c>
      <c r="D512">
        <v>1295</v>
      </c>
      <c r="E512">
        <v>0</v>
      </c>
      <c r="I512">
        <v>1976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60</v>
      </c>
      <c r="B513" t="s">
        <v>9</v>
      </c>
      <c r="C513">
        <v>1</v>
      </c>
      <c r="D513">
        <v>993</v>
      </c>
      <c r="E513">
        <v>0</v>
      </c>
      <c r="F513" t="s">
        <v>34</v>
      </c>
      <c r="G513">
        <v>1</v>
      </c>
      <c r="H513" t="s">
        <v>17</v>
      </c>
      <c r="I513">
        <v>0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800</v>
      </c>
    </row>
    <row r="514" spans="1:12">
      <c r="A514" t="s">
        <v>60</v>
      </c>
      <c r="B514" t="s">
        <v>9</v>
      </c>
      <c r="C514">
        <v>1</v>
      </c>
      <c r="D514">
        <v>1238</v>
      </c>
      <c r="E514">
        <v>0</v>
      </c>
      <c r="I514">
        <v>892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60</v>
      </c>
      <c r="B515" t="s">
        <v>9</v>
      </c>
      <c r="C515">
        <v>1</v>
      </c>
      <c r="D515">
        <v>1277</v>
      </c>
      <c r="E515">
        <v>0</v>
      </c>
      <c r="F515" t="s">
        <v>34</v>
      </c>
      <c r="G515">
        <v>1</v>
      </c>
      <c r="H515" t="s">
        <v>17</v>
      </c>
      <c r="I515">
        <v>0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800</v>
      </c>
    </row>
    <row r="516" spans="1:12">
      <c r="A516" t="s">
        <v>8</v>
      </c>
      <c r="B516" t="s">
        <v>30</v>
      </c>
      <c r="C516">
        <v>3</v>
      </c>
      <c r="D516">
        <v>2474</v>
      </c>
      <c r="E516">
        <v>3</v>
      </c>
      <c r="F516" t="s">
        <v>34</v>
      </c>
      <c r="G516">
        <v>2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1600</v>
      </c>
    </row>
    <row r="517" spans="1:12">
      <c r="A517" t="s">
        <v>8</v>
      </c>
      <c r="B517" t="s">
        <v>32</v>
      </c>
      <c r="C517">
        <v>3</v>
      </c>
      <c r="D517">
        <v>920</v>
      </c>
      <c r="E517">
        <v>2</v>
      </c>
      <c r="F517" t="s">
        <v>34</v>
      </c>
      <c r="G517">
        <v>3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2400</v>
      </c>
    </row>
    <row r="518" spans="1:12">
      <c r="A518" t="s">
        <v>8</v>
      </c>
      <c r="B518" t="s">
        <v>32</v>
      </c>
      <c r="C518">
        <v>3</v>
      </c>
      <c r="D518">
        <v>1475</v>
      </c>
      <c r="E518">
        <v>3</v>
      </c>
      <c r="I518">
        <v>2756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1500</v>
      </c>
      <c r="E519">
        <v>3</v>
      </c>
      <c r="F519" t="s">
        <v>57</v>
      </c>
      <c r="G519">
        <v>1</v>
      </c>
      <c r="H519" t="s">
        <v>26</v>
      </c>
      <c r="I519">
        <v>0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9" s="43">
        <f>IFERROR(SUMIFS(Tabela10[Fod Worth],Tabela10[Drop],DropAnalityka[[#This Row],[Drop]],Tabela10[Grade],DropAnalityka[[#This Row],[Grade]])*DropAnalityka[[#This Row],[Quality/Quantity]],0)</f>
        <v>34500</v>
      </c>
      <c r="L519" s="43">
        <f>IFERROR(SUMIFS(Tabela10[Exp Gain only 2*+],Tabela10[Drop],DropAnalityka[[#This Row],[Drop]],Tabela10[Grade],DropAnalityka[[#This Row],[Grade]])*DropAnalityka[[#This Row],[Quality/Quantity]],0)</f>
        <v>35822</v>
      </c>
    </row>
    <row r="520" spans="1:12">
      <c r="A520" t="s">
        <v>8</v>
      </c>
      <c r="B520" t="s">
        <v>32</v>
      </c>
      <c r="C520">
        <v>3</v>
      </c>
      <c r="D520">
        <v>2329</v>
      </c>
      <c r="E520">
        <v>2</v>
      </c>
      <c r="I520">
        <v>2067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0" s="43">
        <f>IFERROR(SUMIFS(Tabela10[Fod Worth],Tabela10[Drop],DropAnalityka[[#This Row],[Drop]],Tabela10[Grade],DropAnalityka[[#This Row],[Grade]])*DropAnalityka[[#This Row],[Quality/Quantity]],0)</f>
        <v>0</v>
      </c>
      <c r="L520" s="43">
        <f>IFERROR(SUMIFS(Tabela10[Exp Gain only 2*+],Tabela10[Drop],DropAnalityka[[#This Row],[Drop]],Tabela10[Grade],DropAnalityka[[#This Row],[Grade]])*DropAnalityka[[#This Row],[Quality/Quantity]],0)</f>
        <v>0</v>
      </c>
    </row>
    <row r="521" spans="1:12">
      <c r="A521" t="s">
        <v>36</v>
      </c>
      <c r="B521" t="s">
        <v>9</v>
      </c>
      <c r="C521">
        <v>7</v>
      </c>
      <c r="D521">
        <v>2340</v>
      </c>
      <c r="E521">
        <v>0</v>
      </c>
      <c r="F521" t="s">
        <v>252</v>
      </c>
      <c r="G521">
        <v>1</v>
      </c>
      <c r="H521" t="s">
        <v>292</v>
      </c>
      <c r="I521">
        <v>0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2182</v>
      </c>
      <c r="E523">
        <v>0</v>
      </c>
      <c r="F523" t="s">
        <v>252</v>
      </c>
      <c r="G523">
        <v>4</v>
      </c>
      <c r="H523" t="s">
        <v>270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s="10" t="s">
        <v>172</v>
      </c>
      <c r="B524" t="s">
        <v>9</v>
      </c>
      <c r="C524">
        <v>6</v>
      </c>
      <c r="D524">
        <v>2090</v>
      </c>
      <c r="E524">
        <v>2</v>
      </c>
      <c r="I524">
        <v>1971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2783</v>
      </c>
      <c r="E525">
        <v>2</v>
      </c>
      <c r="F525" t="s">
        <v>34</v>
      </c>
      <c r="G525">
        <v>3</v>
      </c>
      <c r="H525" t="s">
        <v>17</v>
      </c>
      <c r="I525">
        <v>0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2400</v>
      </c>
    </row>
    <row r="526" spans="1:12">
      <c r="A526" s="10" t="s">
        <v>172</v>
      </c>
      <c r="B526" t="s">
        <v>9</v>
      </c>
      <c r="C526">
        <v>6</v>
      </c>
      <c r="D526">
        <v>2090</v>
      </c>
      <c r="E526">
        <v>0</v>
      </c>
      <c r="I526">
        <v>12000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172</v>
      </c>
      <c r="B527" t="s">
        <v>9</v>
      </c>
      <c r="C527">
        <v>6</v>
      </c>
      <c r="D527">
        <v>2367</v>
      </c>
      <c r="E527">
        <v>0</v>
      </c>
      <c r="F527" t="s">
        <v>58</v>
      </c>
      <c r="G527">
        <v>1</v>
      </c>
      <c r="H527" t="s">
        <v>12</v>
      </c>
      <c r="I527">
        <v>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7" s="43">
        <f>IFERROR(SUMIFS(Tabela10[Fod Worth],Tabela10[Drop],DropAnalityka[[#This Row],[Drop]],Tabela10[Grade],DropAnalityka[[#This Row],[Grade]])*DropAnalityka[[#This Row],[Quality/Quantity]],0)</f>
        <v>11500</v>
      </c>
      <c r="L527" s="43">
        <f>IFERROR(SUMIFS(Tabela10[Exp Gain only 2*+],Tabela10[Drop],DropAnalityka[[#This Row],[Drop]],Tabela10[Grade],DropAnalityka[[#This Row],[Grade]])*DropAnalityka[[#This Row],[Quality/Quantity]],0)</f>
        <v>35822</v>
      </c>
    </row>
    <row r="528" spans="1:12">
      <c r="A528" s="10" t="s">
        <v>172</v>
      </c>
      <c r="B528" t="s">
        <v>9</v>
      </c>
      <c r="C528">
        <v>6</v>
      </c>
      <c r="D528">
        <v>3236</v>
      </c>
      <c r="E528">
        <v>1</v>
      </c>
      <c r="I528">
        <v>1236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8" s="43">
        <f>IFERROR(SUMIFS(Tabela10[Fod Worth],Tabela10[Drop],DropAnalityka[[#This Row],[Drop]],Tabela10[Grade],DropAnalityka[[#This Row],[Grade]])*DropAnalityka[[#This Row],[Quality/Quantity]],0)</f>
        <v>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172</v>
      </c>
      <c r="B529" t="s">
        <v>9</v>
      </c>
      <c r="C529">
        <v>6</v>
      </c>
      <c r="D529">
        <v>2638</v>
      </c>
      <c r="E529">
        <v>0</v>
      </c>
      <c r="F529" t="s">
        <v>143</v>
      </c>
      <c r="I529">
        <v>0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2603</v>
      </c>
      <c r="E530">
        <v>0</v>
      </c>
      <c r="F530" t="s">
        <v>34</v>
      </c>
      <c r="G530">
        <v>4</v>
      </c>
      <c r="H530" t="s">
        <v>17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3200</v>
      </c>
    </row>
    <row r="531" spans="1:12">
      <c r="A531" s="10" t="s">
        <v>172</v>
      </c>
      <c r="B531" t="s">
        <v>9</v>
      </c>
      <c r="C531">
        <v>6</v>
      </c>
      <c r="D531">
        <v>2600</v>
      </c>
      <c r="E531">
        <v>2</v>
      </c>
      <c r="I531">
        <v>3916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172</v>
      </c>
      <c r="B532" t="s">
        <v>9</v>
      </c>
      <c r="C532">
        <v>6</v>
      </c>
      <c r="D532">
        <v>2913</v>
      </c>
      <c r="E532">
        <v>0</v>
      </c>
      <c r="I532">
        <v>3789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2460</v>
      </c>
      <c r="E533">
        <v>1</v>
      </c>
      <c r="F533" t="s">
        <v>34</v>
      </c>
      <c r="G533">
        <v>4</v>
      </c>
      <c r="H533" t="s">
        <v>17</v>
      </c>
      <c r="I533">
        <v>0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3200</v>
      </c>
    </row>
    <row r="534" spans="1:12">
      <c r="A534" s="10" t="s">
        <v>207</v>
      </c>
      <c r="B534" t="s">
        <v>9</v>
      </c>
      <c r="C534">
        <v>8</v>
      </c>
      <c r="D534">
        <v>2498</v>
      </c>
      <c r="E534">
        <v>2</v>
      </c>
      <c r="F534" t="s">
        <v>249</v>
      </c>
      <c r="G534">
        <v>3</v>
      </c>
      <c r="H534" t="s">
        <v>270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207</v>
      </c>
      <c r="B535" t="s">
        <v>9</v>
      </c>
      <c r="C535">
        <v>7</v>
      </c>
      <c r="D535">
        <v>2073</v>
      </c>
      <c r="E535">
        <v>0</v>
      </c>
      <c r="F535" t="s">
        <v>249</v>
      </c>
      <c r="G535">
        <v>1</v>
      </c>
      <c r="H535" t="s">
        <v>292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2143</v>
      </c>
      <c r="E536">
        <v>0</v>
      </c>
      <c r="F536" t="s">
        <v>249</v>
      </c>
      <c r="G536">
        <v>3</v>
      </c>
      <c r="H536" t="s">
        <v>270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1852</v>
      </c>
      <c r="E537">
        <v>1</v>
      </c>
      <c r="F537" t="s">
        <v>249</v>
      </c>
      <c r="G537">
        <v>1</v>
      </c>
      <c r="H537" t="s">
        <v>292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2417</v>
      </c>
      <c r="E538">
        <v>0</v>
      </c>
      <c r="F538" t="s">
        <v>205</v>
      </c>
      <c r="G538">
        <v>1</v>
      </c>
      <c r="H538" t="s">
        <v>26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862.5</v>
      </c>
      <c r="L538" s="43">
        <f>IFERROR(SUMIFS(Tabela10[Exp Gain only 2*+],Tabela10[Drop],DropAnalityka[[#This Row],[Drop]],Tabela10[Grade],DropAnalityka[[#This Row],[Grade]])*DropAnalityka[[#This Row],[Quality/Quantity]],0)</f>
        <v>895.55</v>
      </c>
    </row>
    <row r="539" spans="1:12">
      <c r="A539" s="10" t="s">
        <v>207</v>
      </c>
      <c r="B539" t="s">
        <v>9</v>
      </c>
      <c r="C539">
        <v>8</v>
      </c>
      <c r="D539">
        <v>2146</v>
      </c>
      <c r="E539">
        <v>0</v>
      </c>
      <c r="F539" t="s">
        <v>249</v>
      </c>
      <c r="G539">
        <v>2</v>
      </c>
      <c r="H539" t="s">
        <v>292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0</v>
      </c>
      <c r="L539" s="43">
        <f>IFERROR(SUMIFS(Tabela10[Exp Gain only 2*+],Tabela10[Drop],DropAnalityka[[#This Row],[Drop]],Tabela10[Grade],DropAnalityka[[#This Row],[Grade]])*DropAnalityka[[#This Row],[Quality/Quantity]],0)</f>
        <v>0</v>
      </c>
    </row>
    <row r="540" spans="1:12">
      <c r="A540" s="10" t="s">
        <v>207</v>
      </c>
      <c r="B540" t="s">
        <v>9</v>
      </c>
      <c r="C540">
        <v>8</v>
      </c>
      <c r="D540">
        <v>2968</v>
      </c>
      <c r="E540">
        <v>0</v>
      </c>
      <c r="F540" t="s">
        <v>34</v>
      </c>
      <c r="G540">
        <v>4</v>
      </c>
      <c r="H540" t="s">
        <v>17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3200</v>
      </c>
    </row>
    <row r="541" spans="1:12">
      <c r="A541" s="10" t="s">
        <v>207</v>
      </c>
      <c r="B541" t="s">
        <v>9</v>
      </c>
      <c r="C541">
        <v>8</v>
      </c>
      <c r="D541">
        <v>2237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2223</v>
      </c>
      <c r="E542">
        <v>1</v>
      </c>
      <c r="F542" t="s">
        <v>249</v>
      </c>
      <c r="G542">
        <v>5</v>
      </c>
      <c r="H542" t="s">
        <v>270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207</v>
      </c>
      <c r="B543" t="s">
        <v>9</v>
      </c>
      <c r="C543">
        <v>8</v>
      </c>
      <c r="D543">
        <v>2246</v>
      </c>
      <c r="E543">
        <v>2</v>
      </c>
      <c r="F543" t="s">
        <v>34</v>
      </c>
      <c r="G543">
        <v>4</v>
      </c>
      <c r="H543" t="s">
        <v>17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3200</v>
      </c>
    </row>
    <row r="544" spans="1:12">
      <c r="A544" s="10" t="s">
        <v>207</v>
      </c>
      <c r="B544" t="s">
        <v>9</v>
      </c>
      <c r="C544">
        <v>8</v>
      </c>
      <c r="D544">
        <v>1945</v>
      </c>
      <c r="E544">
        <v>0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2404</v>
      </c>
      <c r="E545">
        <v>1</v>
      </c>
      <c r="F545" t="s">
        <v>249</v>
      </c>
      <c r="G545">
        <v>4</v>
      </c>
      <c r="H545" t="s">
        <v>270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207</v>
      </c>
      <c r="B546" t="s">
        <v>9</v>
      </c>
      <c r="C546">
        <v>8</v>
      </c>
      <c r="D546">
        <v>3017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2175</v>
      </c>
      <c r="E547">
        <v>0</v>
      </c>
      <c r="F547" t="s">
        <v>143</v>
      </c>
      <c r="G547">
        <v>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2276</v>
      </c>
      <c r="E548">
        <v>0</v>
      </c>
      <c r="F548" t="s">
        <v>249</v>
      </c>
      <c r="G548">
        <v>4</v>
      </c>
      <c r="H548" t="s">
        <v>270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2576</v>
      </c>
      <c r="E549">
        <v>3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2058</v>
      </c>
      <c r="E550">
        <v>1</v>
      </c>
      <c r="F550" t="s">
        <v>249</v>
      </c>
      <c r="G550">
        <v>5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2086</v>
      </c>
      <c r="E551">
        <v>1</v>
      </c>
      <c r="F551" t="s">
        <v>34</v>
      </c>
      <c r="G551">
        <v>4</v>
      </c>
      <c r="H551" t="s">
        <v>17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3200</v>
      </c>
    </row>
    <row r="552" spans="1:12">
      <c r="A552" s="10" t="s">
        <v>207</v>
      </c>
      <c r="B552" t="s">
        <v>9</v>
      </c>
      <c r="C552">
        <v>8</v>
      </c>
      <c r="D552">
        <v>2586</v>
      </c>
      <c r="E552">
        <v>3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2500</v>
      </c>
      <c r="E553">
        <v>1</v>
      </c>
      <c r="F553" t="s">
        <v>34</v>
      </c>
      <c r="G553">
        <v>5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4000</v>
      </c>
    </row>
    <row r="554" spans="1:12">
      <c r="A554" s="10" t="s">
        <v>207</v>
      </c>
      <c r="B554" t="s">
        <v>9</v>
      </c>
      <c r="C554">
        <v>8</v>
      </c>
      <c r="D554">
        <v>2526</v>
      </c>
      <c r="E554">
        <v>0</v>
      </c>
      <c r="F554" t="s">
        <v>249</v>
      </c>
      <c r="G554">
        <v>1</v>
      </c>
      <c r="H554" t="s">
        <v>271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207</v>
      </c>
      <c r="B555" t="s">
        <v>9</v>
      </c>
      <c r="C555">
        <v>8</v>
      </c>
      <c r="D555">
        <v>2483</v>
      </c>
      <c r="E555">
        <v>3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2491</v>
      </c>
      <c r="E556">
        <v>0</v>
      </c>
      <c r="F556" t="s">
        <v>223</v>
      </c>
      <c r="G556" t="s">
        <v>290</v>
      </c>
      <c r="H556" t="s">
        <v>26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2730</v>
      </c>
      <c r="E557">
        <v>0</v>
      </c>
      <c r="F557" t="s">
        <v>34</v>
      </c>
      <c r="G557">
        <v>4</v>
      </c>
      <c r="H557" t="s">
        <v>17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3200</v>
      </c>
    </row>
    <row r="558" spans="1:12">
      <c r="A558" s="10" t="s">
        <v>207</v>
      </c>
      <c r="B558" t="s">
        <v>9</v>
      </c>
      <c r="C558">
        <v>8</v>
      </c>
      <c r="D558">
        <v>2671</v>
      </c>
      <c r="E558">
        <v>2</v>
      </c>
      <c r="F558" t="s">
        <v>249</v>
      </c>
      <c r="G558">
        <v>4</v>
      </c>
      <c r="H558" t="s">
        <v>270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207</v>
      </c>
      <c r="B559" t="s">
        <v>9</v>
      </c>
      <c r="C559">
        <v>8</v>
      </c>
      <c r="D559">
        <v>2186</v>
      </c>
      <c r="E559">
        <v>1</v>
      </c>
      <c r="F559" t="s">
        <v>206</v>
      </c>
      <c r="G559">
        <v>1</v>
      </c>
      <c r="H559" t="s">
        <v>17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2316</v>
      </c>
      <c r="E560">
        <v>0</v>
      </c>
      <c r="F560" t="s">
        <v>249</v>
      </c>
      <c r="G560">
        <v>3</v>
      </c>
      <c r="H560" t="s">
        <v>270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2046</v>
      </c>
      <c r="E561">
        <v>1</v>
      </c>
      <c r="F561" t="s">
        <v>249</v>
      </c>
      <c r="G561">
        <v>4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2303</v>
      </c>
      <c r="E562">
        <v>3</v>
      </c>
      <c r="F562" t="s">
        <v>249</v>
      </c>
      <c r="G562">
        <v>1</v>
      </c>
      <c r="H562" t="s">
        <v>292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2396</v>
      </c>
      <c r="E563">
        <v>1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2325</v>
      </c>
      <c r="E564">
        <v>1</v>
      </c>
      <c r="F564" t="s">
        <v>249</v>
      </c>
      <c r="G564">
        <v>2</v>
      </c>
      <c r="H564" t="s">
        <v>271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2398</v>
      </c>
      <c r="E565">
        <v>1</v>
      </c>
      <c r="F565" t="s">
        <v>249</v>
      </c>
      <c r="G565">
        <v>3</v>
      </c>
      <c r="H565" t="s">
        <v>270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2668</v>
      </c>
      <c r="E566">
        <v>0</v>
      </c>
      <c r="F566" t="s">
        <v>249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36</v>
      </c>
      <c r="B567" t="s">
        <v>9</v>
      </c>
      <c r="C567">
        <v>7</v>
      </c>
      <c r="D567">
        <v>3002</v>
      </c>
      <c r="E567">
        <v>2</v>
      </c>
      <c r="F567" t="s">
        <v>252</v>
      </c>
      <c r="G567">
        <v>2</v>
      </c>
      <c r="H567" t="s">
        <v>292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2021</v>
      </c>
      <c r="E568">
        <v>1</v>
      </c>
      <c r="F568" t="s">
        <v>252</v>
      </c>
      <c r="G568">
        <v>1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2168</v>
      </c>
      <c r="E569">
        <v>0</v>
      </c>
      <c r="F569" t="s">
        <v>252</v>
      </c>
      <c r="G569">
        <v>4</v>
      </c>
      <c r="H569" t="s">
        <v>270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2540</v>
      </c>
      <c r="E570">
        <v>3</v>
      </c>
      <c r="F570" t="s">
        <v>252</v>
      </c>
      <c r="G570">
        <v>1</v>
      </c>
      <c r="H570" t="s">
        <v>292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2251</v>
      </c>
      <c r="E571">
        <v>1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2591</v>
      </c>
      <c r="E572">
        <v>1</v>
      </c>
      <c r="F572" t="s">
        <v>252</v>
      </c>
      <c r="G572">
        <v>4</v>
      </c>
      <c r="H572" t="s">
        <v>270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2238</v>
      </c>
      <c r="E573">
        <v>1</v>
      </c>
      <c r="F573" t="s">
        <v>252</v>
      </c>
      <c r="G573">
        <v>3</v>
      </c>
      <c r="H573" t="s">
        <v>292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2506</v>
      </c>
      <c r="E574">
        <v>0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2339</v>
      </c>
      <c r="E575">
        <v>0</v>
      </c>
      <c r="F575" t="s">
        <v>252</v>
      </c>
      <c r="G575">
        <v>4</v>
      </c>
      <c r="H575" t="s">
        <v>270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2207</v>
      </c>
      <c r="E576">
        <v>1</v>
      </c>
      <c r="F576" t="s">
        <v>252</v>
      </c>
      <c r="G576">
        <v>3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1988</v>
      </c>
      <c r="E577">
        <v>0</v>
      </c>
      <c r="F577" t="s">
        <v>249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2659</v>
      </c>
      <c r="E578">
        <v>0</v>
      </c>
      <c r="F578" t="s">
        <v>252</v>
      </c>
      <c r="G578">
        <v>5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2237</v>
      </c>
      <c r="E579">
        <v>0</v>
      </c>
      <c r="F579" t="s">
        <v>34</v>
      </c>
      <c r="G579">
        <v>4</v>
      </c>
      <c r="H579" t="s">
        <v>17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3200</v>
      </c>
    </row>
    <row r="580" spans="1:12">
      <c r="A580" s="10" t="s">
        <v>36</v>
      </c>
      <c r="B580" t="s">
        <v>9</v>
      </c>
      <c r="C580">
        <v>7</v>
      </c>
      <c r="D580">
        <v>2137</v>
      </c>
      <c r="E580">
        <v>1</v>
      </c>
      <c r="F580" t="s">
        <v>143</v>
      </c>
      <c r="G580">
        <v>1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36</v>
      </c>
      <c r="B581" t="s">
        <v>9</v>
      </c>
      <c r="C581">
        <v>7</v>
      </c>
      <c r="D581">
        <v>2588</v>
      </c>
      <c r="E581">
        <v>1</v>
      </c>
      <c r="F581" t="s">
        <v>252</v>
      </c>
      <c r="G581">
        <v>3</v>
      </c>
      <c r="H581" t="s">
        <v>270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2248</v>
      </c>
      <c r="E582">
        <v>1</v>
      </c>
      <c r="F582" t="s">
        <v>252</v>
      </c>
      <c r="G582">
        <v>2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172</v>
      </c>
      <c r="B583" t="s">
        <v>9</v>
      </c>
      <c r="C583">
        <v>6</v>
      </c>
      <c r="D583">
        <v>2097</v>
      </c>
      <c r="E583">
        <v>2</v>
      </c>
      <c r="F583" t="s">
        <v>258</v>
      </c>
      <c r="G583">
        <v>1</v>
      </c>
      <c r="H583" t="s">
        <v>27</v>
      </c>
      <c r="I583">
        <v>3307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31</v>
      </c>
      <c r="B584" t="s">
        <v>30</v>
      </c>
      <c r="C584">
        <v>11</v>
      </c>
      <c r="D584">
        <v>707</v>
      </c>
      <c r="E584">
        <v>1</v>
      </c>
      <c r="I584">
        <v>1824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1504</v>
      </c>
      <c r="E585">
        <v>1</v>
      </c>
      <c r="F585" t="s">
        <v>57</v>
      </c>
      <c r="G585">
        <v>1</v>
      </c>
      <c r="H585" t="s">
        <v>12</v>
      </c>
      <c r="I585">
        <v>0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5" s="43">
        <f>IFERROR(SUMIFS(Tabela10[Fod Worth],Tabela10[Drop],DropAnalityka[[#This Row],[Drop]],Tabela10[Grade],DropAnalityka[[#This Row],[Grade]])*DropAnalityka[[#This Row],[Quality/Quantity]],0)</f>
        <v>11500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1442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1510</v>
      </c>
      <c r="E587">
        <v>0</v>
      </c>
      <c r="I587">
        <v>1824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7" s="43">
        <f>IFERROR(SUMIFS(Tabela10[Fod Worth],Tabela10[Drop],DropAnalityka[[#This Row],[Drop]],Tabela10[Grade],DropAnalityka[[#This Row],[Grade]])*DropAnalityka[[#This Row],[Quality/Quantity]],0)</f>
        <v>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1606</v>
      </c>
      <c r="E588">
        <v>0</v>
      </c>
      <c r="F588" t="s">
        <v>34</v>
      </c>
      <c r="G588">
        <v>2</v>
      </c>
      <c r="H588" t="s">
        <v>17</v>
      </c>
      <c r="I588">
        <v>0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1600</v>
      </c>
    </row>
    <row r="589" spans="1:12">
      <c r="A589" s="10" t="s">
        <v>31</v>
      </c>
      <c r="B589" t="s">
        <v>30</v>
      </c>
      <c r="C589">
        <v>11</v>
      </c>
      <c r="D589">
        <v>1532</v>
      </c>
      <c r="E589">
        <v>1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1918</v>
      </c>
      <c r="E590">
        <v>0</v>
      </c>
      <c r="I590">
        <v>1824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2175</v>
      </c>
      <c r="E591">
        <v>2</v>
      </c>
      <c r="F591" t="s">
        <v>34</v>
      </c>
      <c r="G591">
        <v>2</v>
      </c>
      <c r="H591" t="s">
        <v>17</v>
      </c>
      <c r="I591">
        <v>0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1600</v>
      </c>
    </row>
    <row r="592" spans="1:12">
      <c r="A592" s="10" t="s">
        <v>31</v>
      </c>
      <c r="B592" t="s">
        <v>30</v>
      </c>
      <c r="C592">
        <v>11</v>
      </c>
      <c r="D592">
        <v>1952</v>
      </c>
      <c r="E592">
        <v>2</v>
      </c>
      <c r="I592">
        <v>3182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2050</v>
      </c>
      <c r="E593">
        <v>0</v>
      </c>
      <c r="I593">
        <v>3427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1235</v>
      </c>
      <c r="E594">
        <v>0</v>
      </c>
      <c r="I594">
        <v>1824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1960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1632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1128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1864</v>
      </c>
      <c r="E598">
        <v>1</v>
      </c>
      <c r="F598" t="s">
        <v>34</v>
      </c>
      <c r="G598">
        <v>2</v>
      </c>
      <c r="H598" t="s">
        <v>17</v>
      </c>
      <c r="I598">
        <v>0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1600</v>
      </c>
    </row>
    <row r="599" spans="1:12">
      <c r="A599" s="10" t="s">
        <v>31</v>
      </c>
      <c r="B599" t="s">
        <v>30</v>
      </c>
      <c r="C599">
        <v>11</v>
      </c>
      <c r="D599">
        <v>1372</v>
      </c>
      <c r="E599">
        <v>0</v>
      </c>
      <c r="I599">
        <v>2280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1560</v>
      </c>
      <c r="E600">
        <v>3</v>
      </c>
      <c r="I600">
        <v>1824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971</v>
      </c>
      <c r="E601">
        <v>1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1750</v>
      </c>
      <c r="E602">
        <v>2</v>
      </c>
      <c r="I602">
        <v>2128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586</v>
      </c>
      <c r="E603">
        <v>1</v>
      </c>
      <c r="F603" t="s">
        <v>57</v>
      </c>
      <c r="G603">
        <v>1</v>
      </c>
      <c r="H603" t="s">
        <v>12</v>
      </c>
      <c r="I603">
        <v>0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3" s="43">
        <f>IFERROR(SUMIFS(Tabela10[Fod Worth],Tabela10[Drop],DropAnalityka[[#This Row],[Drop]],Tabela10[Grade],DropAnalityka[[#This Row],[Grade]])*DropAnalityka[[#This Row],[Quality/Quantity]],0)</f>
        <v>11500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1287</v>
      </c>
      <c r="E604">
        <v>4</v>
      </c>
      <c r="F604" t="s">
        <v>34</v>
      </c>
      <c r="G604">
        <v>2</v>
      </c>
      <c r="H604" t="s">
        <v>17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4" s="43">
        <f>IFERROR(SUMIFS(Tabela10[Fod Worth],Tabela10[Drop],DropAnalityka[[#This Row],[Drop]],Tabela10[Grade],DropAnalityka[[#This Row],[Grade]])*DropAnalityka[[#This Row],[Quality/Quantity]],0)</f>
        <v>0</v>
      </c>
      <c r="L604" s="43">
        <f>IFERROR(SUMIFS(Tabela10[Exp Gain only 2*+],Tabela10[Drop],DropAnalityka[[#This Row],[Drop]],Tabela10[Grade],DropAnalityka[[#This Row],[Grade]])*DropAnalityka[[#This Row],[Quality/Quantity]],0)</f>
        <v>1600</v>
      </c>
    </row>
    <row r="605" spans="1:12">
      <c r="A605" s="10" t="s">
        <v>31</v>
      </c>
      <c r="B605" t="s">
        <v>30</v>
      </c>
      <c r="C605">
        <v>11</v>
      </c>
      <c r="D605">
        <v>1485</v>
      </c>
      <c r="E605">
        <v>1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2328</v>
      </c>
      <c r="E606">
        <v>2</v>
      </c>
      <c r="I606">
        <v>1824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1784</v>
      </c>
      <c r="E607">
        <v>1</v>
      </c>
      <c r="F607" t="s">
        <v>34</v>
      </c>
      <c r="G607">
        <v>2</v>
      </c>
      <c r="H607" t="s">
        <v>17</v>
      </c>
      <c r="I607">
        <v>0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1600</v>
      </c>
    </row>
    <row r="608" spans="1:12">
      <c r="A608" s="10" t="s">
        <v>31</v>
      </c>
      <c r="B608" t="s">
        <v>30</v>
      </c>
      <c r="C608">
        <v>11</v>
      </c>
      <c r="D608">
        <v>2122</v>
      </c>
      <c r="E608">
        <v>2</v>
      </c>
      <c r="I608">
        <v>1976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1311</v>
      </c>
      <c r="E609">
        <v>0</v>
      </c>
      <c r="I609">
        <v>1824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1185</v>
      </c>
      <c r="E610">
        <v>0</v>
      </c>
      <c r="F610" t="s">
        <v>57</v>
      </c>
      <c r="G610">
        <v>1</v>
      </c>
      <c r="H610" t="s">
        <v>12</v>
      </c>
      <c r="I610">
        <v>0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0" s="43">
        <f>IFERROR(SUMIFS(Tabela10[Fod Worth],Tabela10[Drop],DropAnalityka[[#This Row],[Drop]],Tabela10[Grade],DropAnalityka[[#This Row],[Grade]])*DropAnalityka[[#This Row],[Quality/Quantity]],0)</f>
        <v>11500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1211</v>
      </c>
      <c r="E611">
        <v>1</v>
      </c>
      <c r="I611">
        <v>2937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1" s="43">
        <f>IFERROR(SUMIFS(Tabela10[Fod Worth],Tabela10[Drop],DropAnalityka[[#This Row],[Drop]],Tabela10[Grade],DropAnalityka[[#This Row],[Grade]])*DropAnalityka[[#This Row],[Quality/Quantity]],0)</f>
        <v>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1078</v>
      </c>
      <c r="E612">
        <v>1</v>
      </c>
      <c r="I612">
        <v>1824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1832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1974</v>
      </c>
      <c r="E614">
        <v>1</v>
      </c>
      <c r="I614">
        <v>3427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8</v>
      </c>
      <c r="B615" t="s">
        <v>32</v>
      </c>
      <c r="C615">
        <v>3</v>
      </c>
      <c r="D615">
        <v>1628</v>
      </c>
      <c r="E615">
        <v>2</v>
      </c>
      <c r="I615">
        <v>1159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1636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2219</v>
      </c>
      <c r="E617">
        <v>0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31</v>
      </c>
      <c r="B618" t="s">
        <v>30</v>
      </c>
      <c r="C618">
        <v>11</v>
      </c>
      <c r="D618">
        <v>2000</v>
      </c>
      <c r="E618">
        <v>2</v>
      </c>
      <c r="F618" t="s">
        <v>34</v>
      </c>
      <c r="G618">
        <v>2</v>
      </c>
      <c r="H618" t="s">
        <v>17</v>
      </c>
      <c r="I618">
        <v>0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1600</v>
      </c>
    </row>
    <row r="619" spans="1:12">
      <c r="A619" s="10" t="s">
        <v>31</v>
      </c>
      <c r="B619" t="s">
        <v>30</v>
      </c>
      <c r="C619">
        <v>11</v>
      </c>
      <c r="D619">
        <v>1918</v>
      </c>
      <c r="E619">
        <v>0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1961</v>
      </c>
      <c r="E620">
        <v>1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1686</v>
      </c>
      <c r="E621">
        <v>1</v>
      </c>
      <c r="I621">
        <v>1824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1336</v>
      </c>
      <c r="E622">
        <v>1</v>
      </c>
      <c r="I622">
        <v>1976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2019</v>
      </c>
      <c r="E623">
        <v>2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2327</v>
      </c>
      <c r="E624">
        <v>1</v>
      </c>
      <c r="I624">
        <v>1824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1196</v>
      </c>
      <c r="E625">
        <v>0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1637</v>
      </c>
      <c r="E626">
        <v>0</v>
      </c>
      <c r="I626">
        <v>2937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1391</v>
      </c>
      <c r="E627">
        <v>2</v>
      </c>
      <c r="I627">
        <v>1824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895</v>
      </c>
      <c r="E628">
        <v>0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1297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1906</v>
      </c>
      <c r="E630">
        <v>1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1554</v>
      </c>
      <c r="E631">
        <v>0</v>
      </c>
      <c r="I631">
        <v>2937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1561</v>
      </c>
      <c r="E632">
        <v>0</v>
      </c>
      <c r="I632">
        <v>3182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1059</v>
      </c>
      <c r="E633">
        <v>0</v>
      </c>
      <c r="I633">
        <v>2128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1954</v>
      </c>
      <c r="E634">
        <v>0</v>
      </c>
      <c r="F634" t="s">
        <v>34</v>
      </c>
      <c r="G634">
        <v>2</v>
      </c>
      <c r="H634" t="s">
        <v>17</v>
      </c>
      <c r="I634">
        <v>0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1600</v>
      </c>
    </row>
    <row r="635" spans="1:12">
      <c r="A635" t="s">
        <v>8</v>
      </c>
      <c r="B635" t="s">
        <v>32</v>
      </c>
      <c r="C635">
        <v>13</v>
      </c>
      <c r="D635">
        <v>1836</v>
      </c>
      <c r="E635">
        <v>1</v>
      </c>
      <c r="I635">
        <v>1352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1596</v>
      </c>
      <c r="E636">
        <v>1</v>
      </c>
      <c r="F636" t="s">
        <v>34</v>
      </c>
      <c r="G636">
        <v>3</v>
      </c>
      <c r="H636" t="s">
        <v>17</v>
      </c>
      <c r="I636">
        <v>0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2400</v>
      </c>
    </row>
    <row r="637" spans="1:12">
      <c r="A637" t="s">
        <v>8</v>
      </c>
      <c r="B637" t="s">
        <v>32</v>
      </c>
      <c r="C637">
        <v>13</v>
      </c>
      <c r="D637">
        <v>1249</v>
      </c>
      <c r="E637">
        <v>1</v>
      </c>
      <c r="I637">
        <v>1352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1211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1264</v>
      </c>
      <c r="E639">
        <v>2</v>
      </c>
      <c r="I639">
        <v>2411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2595</v>
      </c>
      <c r="E640">
        <v>0</v>
      </c>
      <c r="I640">
        <v>2067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1424</v>
      </c>
      <c r="E641">
        <v>2</v>
      </c>
      <c r="I641">
        <v>1159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1971</v>
      </c>
      <c r="E642">
        <v>1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2145</v>
      </c>
      <c r="E643">
        <v>0</v>
      </c>
      <c r="I643">
        <v>2067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2223</v>
      </c>
      <c r="E644">
        <v>0</v>
      </c>
      <c r="I644">
        <v>1546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2364</v>
      </c>
      <c r="E645">
        <v>1</v>
      </c>
      <c r="I645">
        <v>1159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781</v>
      </c>
      <c r="E646">
        <v>0</v>
      </c>
      <c r="I646">
        <v>2067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904</v>
      </c>
      <c r="E647">
        <v>2</v>
      </c>
      <c r="F647" t="s">
        <v>34</v>
      </c>
      <c r="G647">
        <v>3</v>
      </c>
      <c r="H647" t="s">
        <v>17</v>
      </c>
      <c r="I647">
        <v>0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2400</v>
      </c>
    </row>
    <row r="648" spans="1:13">
      <c r="A648" t="s">
        <v>8</v>
      </c>
      <c r="B648" t="s">
        <v>32</v>
      </c>
      <c r="C648">
        <v>13</v>
      </c>
      <c r="D648">
        <v>1500</v>
      </c>
      <c r="E648">
        <v>0</v>
      </c>
      <c r="I648">
        <v>1159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1071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1683</v>
      </c>
      <c r="E650">
        <v>2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1102</v>
      </c>
      <c r="E651">
        <v>0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1495</v>
      </c>
      <c r="E652">
        <v>1</v>
      </c>
      <c r="F652" t="s">
        <v>34</v>
      </c>
      <c r="G652">
        <v>3</v>
      </c>
      <c r="H652" t="s">
        <v>17</v>
      </c>
      <c r="I652">
        <v>0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2400</v>
      </c>
      <c r="M652">
        <v>92</v>
      </c>
    </row>
    <row r="653" spans="1:13">
      <c r="A653" t="s">
        <v>31</v>
      </c>
      <c r="B653" t="s">
        <v>30</v>
      </c>
      <c r="C653">
        <v>11</v>
      </c>
      <c r="D653">
        <v>946</v>
      </c>
      <c r="E653">
        <v>0</v>
      </c>
      <c r="I653">
        <v>1824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0</v>
      </c>
    </row>
    <row r="654" spans="1:13">
      <c r="A654" s="10" t="s">
        <v>36</v>
      </c>
      <c r="B654" t="s">
        <v>9</v>
      </c>
      <c r="C654">
        <v>7</v>
      </c>
      <c r="D654">
        <v>2381</v>
      </c>
      <c r="E654">
        <v>2</v>
      </c>
      <c r="F654" t="s">
        <v>252</v>
      </c>
      <c r="G654">
        <v>4</v>
      </c>
      <c r="H654" t="s">
        <v>270</v>
      </c>
      <c r="I654">
        <v>0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2191</v>
      </c>
      <c r="E655">
        <v>1</v>
      </c>
      <c r="F655" t="s">
        <v>252</v>
      </c>
      <c r="G655">
        <v>1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2209</v>
      </c>
      <c r="E656">
        <v>0</v>
      </c>
      <c r="F656" t="s">
        <v>252</v>
      </c>
      <c r="G656">
        <v>1</v>
      </c>
      <c r="H656" t="s">
        <v>292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2202</v>
      </c>
      <c r="E657">
        <v>1</v>
      </c>
      <c r="F657" t="s">
        <v>249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2118</v>
      </c>
      <c r="E658">
        <v>0</v>
      </c>
      <c r="F658" t="s">
        <v>34</v>
      </c>
      <c r="G658">
        <v>4</v>
      </c>
      <c r="H658" t="s">
        <v>17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3200</v>
      </c>
    </row>
    <row r="659" spans="1:12">
      <c r="A659" s="10" t="s">
        <v>36</v>
      </c>
      <c r="B659" t="s">
        <v>9</v>
      </c>
      <c r="C659">
        <v>7</v>
      </c>
      <c r="D659">
        <v>2413</v>
      </c>
      <c r="E659">
        <v>1</v>
      </c>
      <c r="F659" t="s">
        <v>252</v>
      </c>
      <c r="G659">
        <v>1</v>
      </c>
      <c r="H659" t="s">
        <v>292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36</v>
      </c>
      <c r="B660" t="s">
        <v>9</v>
      </c>
      <c r="C660">
        <v>7</v>
      </c>
      <c r="D660">
        <v>2546</v>
      </c>
      <c r="E660">
        <v>2</v>
      </c>
      <c r="F660" t="s">
        <v>34</v>
      </c>
      <c r="G660">
        <v>4</v>
      </c>
      <c r="H660" t="s">
        <v>17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3200</v>
      </c>
    </row>
    <row r="661" spans="1:12">
      <c r="A661" s="10" t="s">
        <v>36</v>
      </c>
      <c r="B661" t="s">
        <v>9</v>
      </c>
      <c r="C661">
        <v>7</v>
      </c>
      <c r="D661">
        <v>1950</v>
      </c>
      <c r="E661">
        <v>0</v>
      </c>
      <c r="F661" t="s">
        <v>252</v>
      </c>
      <c r="G661">
        <v>1</v>
      </c>
      <c r="H661" t="s">
        <v>292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36</v>
      </c>
      <c r="B662" t="s">
        <v>9</v>
      </c>
      <c r="C662">
        <v>7</v>
      </c>
      <c r="D662">
        <v>2444</v>
      </c>
      <c r="E662">
        <v>1</v>
      </c>
      <c r="F662" t="s">
        <v>252</v>
      </c>
      <c r="G662">
        <v>5</v>
      </c>
      <c r="H662" t="s">
        <v>270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2293</v>
      </c>
      <c r="E663">
        <v>1</v>
      </c>
      <c r="F663" t="s">
        <v>252</v>
      </c>
      <c r="G663">
        <v>4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2100</v>
      </c>
      <c r="E664">
        <v>0</v>
      </c>
      <c r="F664" t="s">
        <v>252</v>
      </c>
      <c r="G664">
        <v>2</v>
      </c>
      <c r="H664" t="s">
        <v>292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2235</v>
      </c>
      <c r="E665">
        <v>1</v>
      </c>
      <c r="F665" t="s">
        <v>252</v>
      </c>
      <c r="G665">
        <v>1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2213</v>
      </c>
      <c r="E666">
        <v>0</v>
      </c>
      <c r="F666" t="s">
        <v>252</v>
      </c>
      <c r="G666">
        <v>3</v>
      </c>
      <c r="H666" t="s">
        <v>270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2376</v>
      </c>
      <c r="E667">
        <v>1</v>
      </c>
      <c r="F667" t="s">
        <v>250</v>
      </c>
      <c r="G667">
        <v>1</v>
      </c>
      <c r="H667" t="s">
        <v>292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2190</v>
      </c>
      <c r="E668">
        <v>0</v>
      </c>
      <c r="F668" t="s">
        <v>250</v>
      </c>
      <c r="G668">
        <v>2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2435</v>
      </c>
      <c r="E669">
        <v>1</v>
      </c>
      <c r="F669" t="s">
        <v>252</v>
      </c>
      <c r="G669">
        <v>5</v>
      </c>
      <c r="H669" t="s">
        <v>270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2777</v>
      </c>
      <c r="E670">
        <v>0</v>
      </c>
      <c r="F670" t="s">
        <v>58</v>
      </c>
      <c r="G670">
        <v>1</v>
      </c>
      <c r="H670" t="s">
        <v>12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11500</v>
      </c>
      <c r="L670" s="43">
        <f>IFERROR(SUMIFS(Tabela10[Exp Gain only 2*+],Tabela10[Drop],DropAnalityka[[#This Row],[Drop]],Tabela10[Grade],DropAnalityka[[#This Row],[Grade]])*DropAnalityka[[#This Row],[Quality/Quantity]],0)</f>
        <v>35822</v>
      </c>
    </row>
    <row r="671" spans="1:12">
      <c r="A671" s="10" t="s">
        <v>36</v>
      </c>
      <c r="B671" t="s">
        <v>9</v>
      </c>
      <c r="C671">
        <v>7</v>
      </c>
      <c r="D671">
        <v>2127</v>
      </c>
      <c r="E671">
        <v>0</v>
      </c>
      <c r="F671" t="s">
        <v>252</v>
      </c>
      <c r="G671">
        <v>3</v>
      </c>
      <c r="H671" t="s">
        <v>270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36</v>
      </c>
      <c r="B672" t="s">
        <v>9</v>
      </c>
      <c r="C672">
        <v>7</v>
      </c>
      <c r="D672">
        <v>2217</v>
      </c>
      <c r="E672">
        <v>1</v>
      </c>
      <c r="F672" t="s">
        <v>252</v>
      </c>
      <c r="G672">
        <v>4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2126</v>
      </c>
      <c r="E673">
        <v>0</v>
      </c>
      <c r="F673" t="s">
        <v>250</v>
      </c>
      <c r="G673">
        <v>3</v>
      </c>
      <c r="H673" t="s">
        <v>292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2061</v>
      </c>
      <c r="E674">
        <v>0</v>
      </c>
      <c r="F674" t="s">
        <v>252</v>
      </c>
      <c r="G674">
        <v>5</v>
      </c>
      <c r="H674" t="s">
        <v>270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1946</v>
      </c>
      <c r="E675">
        <v>0</v>
      </c>
      <c r="F675" t="s">
        <v>18</v>
      </c>
      <c r="G675">
        <v>2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2497</v>
      </c>
      <c r="E676">
        <v>1</v>
      </c>
      <c r="F676" t="s">
        <v>252</v>
      </c>
      <c r="G676">
        <v>5</v>
      </c>
      <c r="H676" t="s">
        <v>270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1941</v>
      </c>
      <c r="E677">
        <v>0</v>
      </c>
      <c r="F677" t="s">
        <v>250</v>
      </c>
      <c r="G677">
        <v>1</v>
      </c>
      <c r="H677" t="s">
        <v>292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t="s">
        <v>172</v>
      </c>
      <c r="B678" t="s">
        <v>9</v>
      </c>
      <c r="C678">
        <v>8</v>
      </c>
      <c r="D678">
        <v>3681</v>
      </c>
      <c r="E678">
        <v>1</v>
      </c>
      <c r="F678" t="s">
        <v>258</v>
      </c>
      <c r="G678">
        <v>1</v>
      </c>
      <c r="H678" t="s">
        <v>27</v>
      </c>
      <c r="I678">
        <v>3300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60</v>
      </c>
      <c r="B679" t="s">
        <v>30</v>
      </c>
      <c r="C679">
        <v>1</v>
      </c>
      <c r="D679">
        <v>830</v>
      </c>
      <c r="E679">
        <v>0</v>
      </c>
      <c r="I679">
        <v>1824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1949</v>
      </c>
      <c r="E680">
        <v>4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1975</v>
      </c>
      <c r="E681">
        <v>1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1446</v>
      </c>
      <c r="E682">
        <v>0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891</v>
      </c>
      <c r="E683">
        <v>2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1724</v>
      </c>
      <c r="E684">
        <v>1</v>
      </c>
      <c r="I684">
        <v>2128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1612</v>
      </c>
      <c r="E685">
        <v>1</v>
      </c>
      <c r="I685">
        <v>1824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1367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1529</v>
      </c>
      <c r="E687">
        <v>0</v>
      </c>
      <c r="I687">
        <v>2937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s="10" t="s">
        <v>36</v>
      </c>
      <c r="B688" t="s">
        <v>9</v>
      </c>
      <c r="C688">
        <v>7</v>
      </c>
      <c r="D688">
        <v>2489</v>
      </c>
      <c r="E688">
        <v>0</v>
      </c>
      <c r="F688" t="s">
        <v>34</v>
      </c>
      <c r="G688">
        <v>4</v>
      </c>
      <c r="H688" t="s">
        <v>17</v>
      </c>
      <c r="I688">
        <v>0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3200</v>
      </c>
    </row>
    <row r="689" spans="1:12">
      <c r="A689" s="10" t="s">
        <v>36</v>
      </c>
      <c r="B689" t="s">
        <v>9</v>
      </c>
      <c r="C689">
        <v>7</v>
      </c>
      <c r="D689">
        <v>2683</v>
      </c>
      <c r="E689">
        <v>0</v>
      </c>
      <c r="F689" t="s">
        <v>252</v>
      </c>
      <c r="G689">
        <v>1</v>
      </c>
      <c r="H689" t="s">
        <v>292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36</v>
      </c>
      <c r="B690" t="s">
        <v>9</v>
      </c>
      <c r="C690">
        <v>7</v>
      </c>
      <c r="D690">
        <v>2361</v>
      </c>
      <c r="E690">
        <v>3</v>
      </c>
      <c r="F690" t="s">
        <v>252</v>
      </c>
      <c r="G690">
        <v>1</v>
      </c>
      <c r="H690" t="s">
        <v>271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2012</v>
      </c>
      <c r="E691">
        <v>1</v>
      </c>
      <c r="F691" t="s">
        <v>252</v>
      </c>
      <c r="G691">
        <v>1</v>
      </c>
      <c r="H691" t="s">
        <v>292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2525</v>
      </c>
      <c r="E692">
        <v>0</v>
      </c>
      <c r="F692" t="s">
        <v>250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2271</v>
      </c>
      <c r="E693">
        <v>0</v>
      </c>
      <c r="F693" t="s">
        <v>252</v>
      </c>
      <c r="G693">
        <v>4</v>
      </c>
      <c r="H693" t="s">
        <v>270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2602</v>
      </c>
      <c r="E694">
        <v>1</v>
      </c>
      <c r="F694" t="s">
        <v>18</v>
      </c>
      <c r="G694">
        <v>1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2453</v>
      </c>
      <c r="E695">
        <v>0</v>
      </c>
      <c r="F695" t="s">
        <v>252</v>
      </c>
      <c r="G695">
        <v>1</v>
      </c>
      <c r="H695" t="s">
        <v>292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2244</v>
      </c>
      <c r="E696">
        <v>0</v>
      </c>
      <c r="F696" t="s">
        <v>252</v>
      </c>
      <c r="G696">
        <v>5</v>
      </c>
      <c r="H696" t="s">
        <v>270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2817</v>
      </c>
      <c r="E697">
        <v>0</v>
      </c>
      <c r="F697" t="s">
        <v>252</v>
      </c>
      <c r="G697">
        <v>1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2234</v>
      </c>
      <c r="E698">
        <v>1</v>
      </c>
      <c r="F698" t="s">
        <v>252</v>
      </c>
      <c r="G698">
        <v>3</v>
      </c>
      <c r="H698" t="s">
        <v>270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2463</v>
      </c>
      <c r="E699">
        <v>0</v>
      </c>
      <c r="F699" t="s">
        <v>34</v>
      </c>
      <c r="G699">
        <v>4</v>
      </c>
      <c r="H699" t="s">
        <v>17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3200</v>
      </c>
    </row>
    <row r="700" spans="1:12">
      <c r="A700" s="10" t="s">
        <v>36</v>
      </c>
      <c r="B700" t="s">
        <v>9</v>
      </c>
      <c r="C700">
        <v>7</v>
      </c>
      <c r="D700">
        <v>2474</v>
      </c>
      <c r="E700">
        <v>0</v>
      </c>
      <c r="F700" t="s">
        <v>252</v>
      </c>
      <c r="G700">
        <v>5</v>
      </c>
      <c r="H700" t="s">
        <v>270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36</v>
      </c>
      <c r="B701" t="s">
        <v>9</v>
      </c>
      <c r="C701">
        <v>7</v>
      </c>
      <c r="D701">
        <v>2455</v>
      </c>
      <c r="E701">
        <v>0</v>
      </c>
      <c r="F701" t="s">
        <v>252</v>
      </c>
      <c r="G701">
        <v>1</v>
      </c>
      <c r="H701" t="s">
        <v>292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2373</v>
      </c>
      <c r="E702">
        <v>1</v>
      </c>
      <c r="F702" t="s">
        <v>252</v>
      </c>
      <c r="G702">
        <v>1</v>
      </c>
      <c r="H702" t="s">
        <v>271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2131</v>
      </c>
      <c r="E703">
        <v>1</v>
      </c>
      <c r="F703" t="s">
        <v>252</v>
      </c>
      <c r="G703">
        <v>1</v>
      </c>
      <c r="H703" t="s">
        <v>292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2300</v>
      </c>
      <c r="E704">
        <v>0</v>
      </c>
      <c r="F704" t="s">
        <v>34</v>
      </c>
      <c r="G704">
        <v>4</v>
      </c>
      <c r="H704" t="s">
        <v>17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3200</v>
      </c>
    </row>
    <row r="705" spans="1:12">
      <c r="A705" s="10" t="s">
        <v>36</v>
      </c>
      <c r="B705" t="s">
        <v>9</v>
      </c>
      <c r="C705">
        <v>7</v>
      </c>
      <c r="D705">
        <v>2089</v>
      </c>
      <c r="E705">
        <v>0</v>
      </c>
      <c r="F705" t="s">
        <v>252</v>
      </c>
      <c r="G705">
        <v>3</v>
      </c>
      <c r="H705" t="s">
        <v>270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36</v>
      </c>
      <c r="B706" t="s">
        <v>9</v>
      </c>
      <c r="C706">
        <v>7</v>
      </c>
      <c r="D706">
        <v>2291</v>
      </c>
      <c r="E706">
        <v>1</v>
      </c>
      <c r="F706" t="s">
        <v>252</v>
      </c>
      <c r="G706">
        <v>4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t="s">
        <v>173</v>
      </c>
      <c r="B707" t="s">
        <v>9</v>
      </c>
      <c r="C707">
        <v>7</v>
      </c>
      <c r="D707">
        <v>2217</v>
      </c>
      <c r="E707">
        <v>0</v>
      </c>
      <c r="F707" t="s">
        <v>251</v>
      </c>
      <c r="G707">
        <v>2</v>
      </c>
      <c r="H707" t="s">
        <v>292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8</v>
      </c>
      <c r="D708">
        <v>2635</v>
      </c>
      <c r="E708">
        <v>0</v>
      </c>
      <c r="F708" t="s">
        <v>34</v>
      </c>
      <c r="G708">
        <v>5</v>
      </c>
      <c r="H708" t="s">
        <v>17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4000</v>
      </c>
    </row>
    <row r="709" spans="1:12">
      <c r="A709" t="s">
        <v>173</v>
      </c>
      <c r="B709" t="s">
        <v>9</v>
      </c>
      <c r="C709">
        <v>8</v>
      </c>
      <c r="D709">
        <v>2286</v>
      </c>
      <c r="E709">
        <v>0</v>
      </c>
      <c r="F709" t="s">
        <v>251</v>
      </c>
      <c r="G709">
        <v>2</v>
      </c>
      <c r="H709" t="s">
        <v>292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173</v>
      </c>
      <c r="B710" t="s">
        <v>9</v>
      </c>
      <c r="C710">
        <v>8</v>
      </c>
      <c r="D710">
        <v>2828</v>
      </c>
      <c r="E710">
        <v>0</v>
      </c>
      <c r="F710" t="s">
        <v>251</v>
      </c>
      <c r="G710">
        <v>1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9</v>
      </c>
      <c r="D711">
        <v>2917</v>
      </c>
      <c r="E711">
        <v>2</v>
      </c>
      <c r="F711" t="s">
        <v>251</v>
      </c>
      <c r="G711">
        <v>3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10</v>
      </c>
      <c r="D712">
        <v>2771</v>
      </c>
      <c r="E712">
        <v>0</v>
      </c>
      <c r="F712" t="s">
        <v>251</v>
      </c>
      <c r="G712">
        <v>1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3158</v>
      </c>
      <c r="E713">
        <v>1</v>
      </c>
      <c r="F713" t="s">
        <v>251</v>
      </c>
      <c r="G713">
        <v>3</v>
      </c>
      <c r="H713" t="s">
        <v>271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3080</v>
      </c>
      <c r="E714">
        <v>0</v>
      </c>
      <c r="F714" t="s">
        <v>251</v>
      </c>
      <c r="G714">
        <v>5</v>
      </c>
      <c r="H714" t="s">
        <v>270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3091</v>
      </c>
      <c r="E715">
        <v>2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36</v>
      </c>
      <c r="B716" t="s">
        <v>9</v>
      </c>
      <c r="C716">
        <v>9</v>
      </c>
      <c r="D716">
        <v>2945</v>
      </c>
      <c r="E716">
        <v>1</v>
      </c>
      <c r="F716" t="s">
        <v>252</v>
      </c>
      <c r="G716">
        <v>2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2556</v>
      </c>
      <c r="E717">
        <v>1</v>
      </c>
      <c r="F717" t="s">
        <v>252</v>
      </c>
      <c r="G717">
        <v>1</v>
      </c>
      <c r="H717" t="s">
        <v>292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2925</v>
      </c>
      <c r="E718">
        <v>0</v>
      </c>
      <c r="F718" t="s">
        <v>252</v>
      </c>
      <c r="G718">
        <v>5</v>
      </c>
      <c r="H718" t="s">
        <v>270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2776</v>
      </c>
      <c r="E719">
        <v>1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2669</v>
      </c>
      <c r="E720">
        <v>0</v>
      </c>
      <c r="F720" t="s">
        <v>252</v>
      </c>
      <c r="G720">
        <v>1</v>
      </c>
      <c r="H720" t="s">
        <v>292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2813</v>
      </c>
      <c r="E721">
        <v>1</v>
      </c>
      <c r="F721" t="s">
        <v>252</v>
      </c>
      <c r="G721">
        <v>5</v>
      </c>
      <c r="H721" t="s">
        <v>270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2871</v>
      </c>
      <c r="E722">
        <v>0</v>
      </c>
      <c r="F722" t="s">
        <v>252</v>
      </c>
      <c r="G722">
        <v>2</v>
      </c>
      <c r="H722" t="s">
        <v>292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2829</v>
      </c>
      <c r="E723">
        <v>0</v>
      </c>
      <c r="F723" t="s">
        <v>252</v>
      </c>
      <c r="G723">
        <v>3</v>
      </c>
      <c r="H723" t="s">
        <v>270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2312</v>
      </c>
      <c r="E724">
        <v>1</v>
      </c>
      <c r="F724" t="s">
        <v>58</v>
      </c>
      <c r="G724">
        <v>1</v>
      </c>
      <c r="H724" t="s">
        <v>12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11500</v>
      </c>
      <c r="L724" s="43">
        <f>IFERROR(SUMIFS(Tabela10[Exp Gain only 2*+],Tabela10[Drop],DropAnalityka[[#This Row],[Drop]],Tabela10[Grade],DropAnalityka[[#This Row],[Grade]])*DropAnalityka[[#This Row],[Quality/Quantity]],0)</f>
        <v>35822</v>
      </c>
    </row>
    <row r="725" spans="1:13">
      <c r="A725" t="s">
        <v>172</v>
      </c>
      <c r="B725" t="s">
        <v>9</v>
      </c>
      <c r="C725">
        <v>8</v>
      </c>
      <c r="D725">
        <v>3502</v>
      </c>
      <c r="E725">
        <v>1</v>
      </c>
      <c r="F725" t="s">
        <v>258</v>
      </c>
      <c r="G725">
        <v>1</v>
      </c>
      <c r="H725" t="s">
        <v>28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36</v>
      </c>
      <c r="B726" t="s">
        <v>9</v>
      </c>
      <c r="C726">
        <v>9</v>
      </c>
      <c r="D726">
        <v>0</v>
      </c>
      <c r="E726">
        <v>0</v>
      </c>
      <c r="G726">
        <v>0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  <c r="M726" t="s">
        <v>204</v>
      </c>
    </row>
    <row r="727" spans="1:13">
      <c r="A727" t="s">
        <v>36</v>
      </c>
      <c r="B727" t="s">
        <v>9</v>
      </c>
      <c r="C727">
        <v>9</v>
      </c>
      <c r="D727">
        <v>2382</v>
      </c>
      <c r="E727">
        <v>0</v>
      </c>
      <c r="F727" t="s">
        <v>252</v>
      </c>
      <c r="G727">
        <v>1</v>
      </c>
      <c r="H727" t="s">
        <v>271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</row>
    <row r="728" spans="1:13">
      <c r="A728" t="s">
        <v>36</v>
      </c>
      <c r="B728" t="s">
        <v>9</v>
      </c>
      <c r="C728">
        <v>9</v>
      </c>
      <c r="D728">
        <v>2958</v>
      </c>
      <c r="E728">
        <v>0</v>
      </c>
      <c r="F728" t="s">
        <v>58</v>
      </c>
      <c r="G728">
        <v>1</v>
      </c>
      <c r="H728" t="s">
        <v>12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11500</v>
      </c>
      <c r="L728" s="43">
        <f>IFERROR(SUMIFS(Tabela10[Exp Gain only 2*+],Tabela10[Drop],DropAnalityka[[#This Row],[Drop]],Tabela10[Grade],DropAnalityka[[#This Row],[Grade]])*DropAnalityka[[#This Row],[Quality/Quantity]],0)</f>
        <v>35822</v>
      </c>
    </row>
    <row r="729" spans="1:13">
      <c r="A729" t="s">
        <v>36</v>
      </c>
      <c r="B729" t="s">
        <v>9</v>
      </c>
      <c r="C729">
        <v>9</v>
      </c>
      <c r="D729">
        <v>2545</v>
      </c>
      <c r="E729">
        <v>2</v>
      </c>
      <c r="F729" t="s">
        <v>252</v>
      </c>
      <c r="G729">
        <v>3</v>
      </c>
      <c r="H729" t="s">
        <v>292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36</v>
      </c>
      <c r="B730" t="s">
        <v>9</v>
      </c>
      <c r="C730">
        <v>9</v>
      </c>
      <c r="D730">
        <v>2649</v>
      </c>
      <c r="E730">
        <v>3</v>
      </c>
      <c r="F730" t="s">
        <v>249</v>
      </c>
      <c r="G730">
        <v>2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2432</v>
      </c>
      <c r="E731">
        <v>0</v>
      </c>
      <c r="F731" t="s">
        <v>249</v>
      </c>
      <c r="G731">
        <v>4</v>
      </c>
      <c r="H731" t="s">
        <v>270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2881</v>
      </c>
      <c r="E732">
        <v>0</v>
      </c>
      <c r="F732" t="s">
        <v>252</v>
      </c>
      <c r="G732">
        <v>1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31</v>
      </c>
      <c r="B733" t="s">
        <v>30</v>
      </c>
      <c r="C733">
        <v>11</v>
      </c>
      <c r="D733">
        <v>1977</v>
      </c>
      <c r="E733">
        <v>0</v>
      </c>
      <c r="F733" t="s">
        <v>57</v>
      </c>
      <c r="G733">
        <v>1</v>
      </c>
      <c r="H733" t="s">
        <v>26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34500</v>
      </c>
      <c r="L733" s="43">
        <f>IFERROR(SUMIFS(Tabela10[Exp Gain only 2*+],Tabela10[Drop],DropAnalityka[[#This Row],[Drop]],Tabela10[Grade],DropAnalityka[[#This Row],[Grade]])*DropAnalityka[[#This Row],[Quality/Quantity]],0)</f>
        <v>35822</v>
      </c>
    </row>
    <row r="734" spans="1:13">
      <c r="A734" t="s">
        <v>31</v>
      </c>
      <c r="B734" t="s">
        <v>30</v>
      </c>
      <c r="C734">
        <v>11</v>
      </c>
      <c r="D734">
        <v>1544</v>
      </c>
      <c r="E734">
        <v>0</v>
      </c>
      <c r="I734">
        <v>1824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4" s="43">
        <f>IFERROR(SUMIFS(Tabela10[Fod Worth],Tabela10[Drop],DropAnalityka[[#This Row],[Drop]],Tabela10[Grade],DropAnalityka[[#This Row],[Grade]])*DropAnalityka[[#This Row],[Quality/Quantity]],0)</f>
        <v>0</v>
      </c>
      <c r="L734" s="43">
        <f>IFERROR(SUMIFS(Tabela10[Exp Gain only 2*+],Tabela10[Drop],DropAnalityka[[#This Row],[Drop]],Tabela10[Grade],DropAnalityka[[#This Row],[Grade]])*DropAnalityka[[#This Row],[Quality/Quantity]],0)</f>
        <v>0</v>
      </c>
    </row>
    <row r="735" spans="1:13">
      <c r="A735" t="s">
        <v>31</v>
      </c>
      <c r="B735" t="s">
        <v>30</v>
      </c>
      <c r="C735">
        <v>11</v>
      </c>
      <c r="D735">
        <v>1273</v>
      </c>
      <c r="E735">
        <v>1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1536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1739</v>
      </c>
      <c r="E737">
        <v>0</v>
      </c>
      <c r="F737" t="s">
        <v>34</v>
      </c>
      <c r="G737">
        <v>2</v>
      </c>
      <c r="H737" t="s">
        <v>17</v>
      </c>
      <c r="I737">
        <v>0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1600</v>
      </c>
    </row>
    <row r="738" spans="1:13">
      <c r="A738" t="s">
        <v>31</v>
      </c>
      <c r="B738" t="s">
        <v>30</v>
      </c>
      <c r="C738">
        <v>11</v>
      </c>
      <c r="D738" s="6">
        <v>620</v>
      </c>
      <c r="E738" s="6">
        <v>1</v>
      </c>
      <c r="F738" s="6"/>
      <c r="G738" s="6"/>
      <c r="H738" s="6"/>
      <c r="I738" s="6">
        <v>2937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>
        <v>1447</v>
      </c>
      <c r="E739">
        <v>4</v>
      </c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1494</v>
      </c>
      <c r="E740">
        <v>1</v>
      </c>
      <c r="I740">
        <v>1824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1163</v>
      </c>
      <c r="E741">
        <v>1</v>
      </c>
      <c r="I741">
        <v>2937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1028</v>
      </c>
      <c r="E742">
        <v>0</v>
      </c>
      <c r="I742">
        <v>1824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60</v>
      </c>
      <c r="B743" t="s">
        <v>30</v>
      </c>
      <c r="C743">
        <v>11</v>
      </c>
      <c r="D743">
        <v>1925</v>
      </c>
      <c r="E743">
        <v>1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2937</v>
      </c>
      <c r="E744">
        <v>0</v>
      </c>
      <c r="F744" t="s">
        <v>58</v>
      </c>
      <c r="G744">
        <v>1</v>
      </c>
      <c r="H744" t="s">
        <v>12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4" s="43">
        <f>IFERROR(SUMIFS(Tabela10[Fod Worth],Tabela10[Drop],DropAnalityka[[#This Row],[Drop]],Tabela10[Grade],DropAnalityka[[#This Row],[Grade]])*DropAnalityka[[#This Row],[Quality/Quantity]],0)</f>
        <v>11500</v>
      </c>
      <c r="L744" s="43">
        <f>IFERROR(SUMIFS(Tabela10[Exp Gain only 2*+],Tabela10[Drop],DropAnalityka[[#This Row],[Drop]],Tabela10[Grade],DropAnalityka[[#This Row],[Grade]])*DropAnalityka[[#This Row],[Quality/Quantity]],0)</f>
        <v>35822</v>
      </c>
    </row>
    <row r="745" spans="1:13">
      <c r="A745" t="s">
        <v>60</v>
      </c>
      <c r="B745" t="s">
        <v>30</v>
      </c>
      <c r="C745">
        <v>11</v>
      </c>
      <c r="D745">
        <v>1819</v>
      </c>
      <c r="E745">
        <v>0</v>
      </c>
      <c r="F745" t="s">
        <v>57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60</v>
      </c>
      <c r="B746" t="s">
        <v>30</v>
      </c>
      <c r="C746">
        <v>11</v>
      </c>
      <c r="D746">
        <v>1020</v>
      </c>
      <c r="E746">
        <v>0</v>
      </c>
      <c r="I746">
        <v>2937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6" s="43">
        <f>IFERROR(SUMIFS(Tabela10[Fod Worth],Tabela10[Drop],DropAnalityka[[#This Row],[Drop]],Tabela10[Grade],DropAnalityka[[#This Row],[Grade]])*DropAnalityka[[#This Row],[Quality/Quantity]],0)</f>
        <v>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968</v>
      </c>
      <c r="E747">
        <v>1</v>
      </c>
      <c r="I747">
        <v>2280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2391</v>
      </c>
      <c r="E748">
        <v>1</v>
      </c>
      <c r="I748">
        <v>2937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1248</v>
      </c>
      <c r="E749">
        <v>1</v>
      </c>
      <c r="I749">
        <v>1824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616</v>
      </c>
      <c r="E750">
        <v>0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 s="6">
        <v>864</v>
      </c>
      <c r="E751" s="6">
        <v>0</v>
      </c>
      <c r="F751" s="6"/>
      <c r="G751" s="6"/>
      <c r="H751" s="6"/>
      <c r="I751" s="6">
        <v>2937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1" s="69">
        <f>IFERROR(SUMIFS(Tabela10[Fod Worth],Tabela10[Drop],DropAnalityka[[#This Row],[Drop]],Tabela10[Grade],DropAnalityka[[#This Row],[Grade]])*DropAnalityka[[#This Row],[Quality/Quantity]],0)</f>
        <v>0</v>
      </c>
      <c r="L751" s="69">
        <f>IFERROR(SUMIFS(Tabela10[Exp Gain only 2*+],Tabela10[Drop],DropAnalityka[[#This Row],[Drop]],Tabela10[Grade],DropAnalityka[[#This Row],[Grade]])*DropAnalityka[[#This Row],[Quality/Quantity]],0)</f>
        <v>0</v>
      </c>
      <c r="M751" s="6"/>
    </row>
    <row r="752" spans="1:13">
      <c r="A752" t="s">
        <v>31</v>
      </c>
      <c r="B752" t="s">
        <v>30</v>
      </c>
      <c r="C752">
        <v>11</v>
      </c>
      <c r="D752">
        <v>1402</v>
      </c>
      <c r="E752">
        <v>1</v>
      </c>
      <c r="I752">
        <v>1824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2" s="43">
        <f>IFERROR(SUMIFS(Tabela10[Fod Worth],Tabela10[Drop],DropAnalityka[[#This Row],[Drop]],Tabela10[Grade],DropAnalityka[[#This Row],[Grade]])*DropAnalityka[[#This Row],[Quality/Quantity]],0)</f>
        <v>0</v>
      </c>
      <c r="L752" s="43">
        <f>IFERROR(SUMIFS(Tabela10[Exp Gain only 2*+],Tabela10[Drop],DropAnalityka[[#This Row],[Drop]],Tabela10[Grade],DropAnalityka[[#This Row],[Grade]])*DropAnalityka[[#This Row],[Quality/Quantity]],0)</f>
        <v>0</v>
      </c>
    </row>
    <row r="753" spans="1:13">
      <c r="A753" t="s">
        <v>31</v>
      </c>
      <c r="B753" t="s">
        <v>30</v>
      </c>
      <c r="C753">
        <v>11</v>
      </c>
      <c r="D753">
        <v>1500</v>
      </c>
      <c r="E753">
        <v>0</v>
      </c>
      <c r="I753">
        <v>2937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172</v>
      </c>
      <c r="B754" t="s">
        <v>9</v>
      </c>
      <c r="C754">
        <v>8</v>
      </c>
      <c r="D754">
        <v>3665</v>
      </c>
      <c r="E754">
        <v>1</v>
      </c>
      <c r="F754" t="s">
        <v>258</v>
      </c>
      <c r="G754">
        <v>1</v>
      </c>
      <c r="H754" t="s">
        <v>27</v>
      </c>
      <c r="I754">
        <v>3307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36</v>
      </c>
      <c r="B755" t="s">
        <v>9</v>
      </c>
      <c r="C755">
        <v>9</v>
      </c>
      <c r="D755">
        <v>2824</v>
      </c>
      <c r="E755">
        <v>1</v>
      </c>
      <c r="F755" t="s">
        <v>252</v>
      </c>
      <c r="G755">
        <v>1</v>
      </c>
      <c r="H755" t="s">
        <v>292</v>
      </c>
      <c r="I755">
        <v>0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2951</v>
      </c>
      <c r="E756">
        <v>3</v>
      </c>
      <c r="F756" t="s">
        <v>252</v>
      </c>
      <c r="G756">
        <v>2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2543</v>
      </c>
      <c r="E757">
        <v>1</v>
      </c>
      <c r="F757" t="s">
        <v>252</v>
      </c>
      <c r="G757">
        <v>4</v>
      </c>
      <c r="H757" t="s">
        <v>270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2872</v>
      </c>
      <c r="E758">
        <v>1</v>
      </c>
      <c r="F758" t="s">
        <v>252</v>
      </c>
      <c r="G758">
        <v>1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2837</v>
      </c>
      <c r="E759">
        <v>1</v>
      </c>
      <c r="F759" t="s">
        <v>34</v>
      </c>
      <c r="G759">
        <v>4</v>
      </c>
      <c r="H759" t="s">
        <v>17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3200</v>
      </c>
    </row>
    <row r="760" spans="1:13">
      <c r="A760" t="s">
        <v>262</v>
      </c>
      <c r="B760" t="s">
        <v>9</v>
      </c>
      <c r="C760">
        <v>9</v>
      </c>
      <c r="D760">
        <v>2891</v>
      </c>
      <c r="E760">
        <v>0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2801</v>
      </c>
      <c r="E761">
        <v>0</v>
      </c>
      <c r="F761" t="s">
        <v>18</v>
      </c>
      <c r="G761">
        <v>4</v>
      </c>
      <c r="H761" t="s">
        <v>270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262</v>
      </c>
      <c r="B762" t="s">
        <v>9</v>
      </c>
      <c r="C762">
        <v>9</v>
      </c>
      <c r="D762">
        <v>2407</v>
      </c>
      <c r="E762">
        <v>0</v>
      </c>
      <c r="F762" t="s">
        <v>18</v>
      </c>
      <c r="G762">
        <v>1</v>
      </c>
      <c r="H762" t="s">
        <v>292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2748</v>
      </c>
      <c r="E763">
        <v>0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2679</v>
      </c>
      <c r="E764">
        <v>1</v>
      </c>
      <c r="F764" t="s">
        <v>58</v>
      </c>
      <c r="G764">
        <v>1</v>
      </c>
      <c r="H764" t="s">
        <v>12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11500</v>
      </c>
      <c r="L764" s="43">
        <f>IFERROR(SUMIFS(Tabela10[Exp Gain only 2*+],Tabela10[Drop],DropAnalityka[[#This Row],[Drop]],Tabela10[Grade],DropAnalityka[[#This Row],[Grade]])*DropAnalityka[[#This Row],[Quality/Quantity]],0)</f>
        <v>35822</v>
      </c>
    </row>
    <row r="765" spans="1:13">
      <c r="A765" t="s">
        <v>262</v>
      </c>
      <c r="B765" t="s">
        <v>9</v>
      </c>
      <c r="C765">
        <v>10</v>
      </c>
      <c r="D765">
        <v>2720</v>
      </c>
      <c r="E765">
        <v>0</v>
      </c>
      <c r="F765" t="s">
        <v>18</v>
      </c>
      <c r="G765">
        <v>1</v>
      </c>
      <c r="H765" t="s">
        <v>292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262</v>
      </c>
      <c r="B766" t="s">
        <v>9</v>
      </c>
      <c r="C766">
        <v>10</v>
      </c>
      <c r="D766">
        <v>0</v>
      </c>
      <c r="E766">
        <v>0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  <c r="M766" t="s">
        <v>204</v>
      </c>
    </row>
    <row r="767" spans="1:13">
      <c r="A767" t="s">
        <v>262</v>
      </c>
      <c r="B767" t="s">
        <v>9</v>
      </c>
      <c r="C767">
        <v>9</v>
      </c>
      <c r="D767">
        <v>2875</v>
      </c>
      <c r="E767">
        <v>0</v>
      </c>
      <c r="F767" t="s">
        <v>206</v>
      </c>
      <c r="G767">
        <v>1</v>
      </c>
      <c r="H767" t="s">
        <v>17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</row>
    <row r="768" spans="1:13">
      <c r="A768" t="s">
        <v>262</v>
      </c>
      <c r="B768" t="s">
        <v>9</v>
      </c>
      <c r="C768">
        <v>9</v>
      </c>
      <c r="D768">
        <v>2734</v>
      </c>
      <c r="E768">
        <v>0</v>
      </c>
      <c r="F768" t="s">
        <v>18</v>
      </c>
      <c r="G768">
        <v>3</v>
      </c>
      <c r="H768" t="s">
        <v>271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3">
      <c r="A769" t="s">
        <v>262</v>
      </c>
      <c r="B769" t="s">
        <v>9</v>
      </c>
      <c r="C769">
        <v>9</v>
      </c>
      <c r="D769">
        <v>3073</v>
      </c>
      <c r="E769">
        <v>0</v>
      </c>
      <c r="F769" t="s">
        <v>18</v>
      </c>
      <c r="G769">
        <v>2</v>
      </c>
      <c r="H769" t="s">
        <v>292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3">
      <c r="A770" t="s">
        <v>262</v>
      </c>
      <c r="B770" t="s">
        <v>9</v>
      </c>
      <c r="C770">
        <v>9</v>
      </c>
      <c r="D770">
        <v>2813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3">
      <c r="A771" t="s">
        <v>262</v>
      </c>
      <c r="B771" t="s">
        <v>9</v>
      </c>
      <c r="C771">
        <v>9</v>
      </c>
      <c r="D771">
        <v>2758</v>
      </c>
      <c r="E771">
        <v>0</v>
      </c>
      <c r="F771" t="s">
        <v>264</v>
      </c>
      <c r="G771">
        <v>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3">
      <c r="A772" t="s">
        <v>262</v>
      </c>
      <c r="B772" t="s">
        <v>9</v>
      </c>
      <c r="C772">
        <v>9</v>
      </c>
      <c r="D772">
        <v>2313</v>
      </c>
      <c r="E772">
        <v>1</v>
      </c>
      <c r="F772" t="s">
        <v>18</v>
      </c>
      <c r="G772">
        <v>3</v>
      </c>
      <c r="H772" t="s">
        <v>292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3">
      <c r="A773" t="s">
        <v>262</v>
      </c>
      <c r="B773" t="s">
        <v>9</v>
      </c>
      <c r="C773">
        <v>9</v>
      </c>
      <c r="D773">
        <v>2625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3">
      <c r="A774" t="s">
        <v>262</v>
      </c>
      <c r="B774" t="s">
        <v>9</v>
      </c>
      <c r="C774">
        <v>9</v>
      </c>
      <c r="D774">
        <v>2515</v>
      </c>
      <c r="E774">
        <v>0</v>
      </c>
      <c r="F774" t="s">
        <v>18</v>
      </c>
      <c r="G774">
        <v>1</v>
      </c>
      <c r="H774" t="s">
        <v>271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3">
      <c r="A775" t="s">
        <v>262</v>
      </c>
      <c r="B775" t="s">
        <v>9</v>
      </c>
      <c r="C775">
        <v>9</v>
      </c>
      <c r="D775">
        <v>2516</v>
      </c>
      <c r="E775">
        <v>1</v>
      </c>
      <c r="F775" t="s">
        <v>264</v>
      </c>
      <c r="G775">
        <v>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3">
      <c r="A776" t="s">
        <v>262</v>
      </c>
      <c r="B776" t="s">
        <v>9</v>
      </c>
      <c r="C776">
        <v>9</v>
      </c>
      <c r="D776">
        <v>2850</v>
      </c>
      <c r="E776">
        <v>2</v>
      </c>
      <c r="F776" t="s">
        <v>263</v>
      </c>
      <c r="G776">
        <v>3</v>
      </c>
      <c r="H776" t="s">
        <v>270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3">
      <c r="A777" t="s">
        <v>36</v>
      </c>
      <c r="B777" t="s">
        <v>9</v>
      </c>
      <c r="C777">
        <v>9</v>
      </c>
      <c r="D777">
        <v>2559</v>
      </c>
      <c r="E777">
        <v>3</v>
      </c>
      <c r="F777" t="s">
        <v>252</v>
      </c>
      <c r="G777">
        <v>3</v>
      </c>
      <c r="H777" t="s">
        <v>292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3">
      <c r="A778" t="s">
        <v>172</v>
      </c>
      <c r="B778" t="s">
        <v>9</v>
      </c>
      <c r="C778">
        <v>8</v>
      </c>
      <c r="D778">
        <v>3425</v>
      </c>
      <c r="E778">
        <v>0</v>
      </c>
      <c r="F778" t="s">
        <v>265</v>
      </c>
      <c r="G778">
        <v>1</v>
      </c>
      <c r="H778" t="s">
        <v>27</v>
      </c>
      <c r="I778">
        <v>3445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3">
      <c r="A779" t="s">
        <v>262</v>
      </c>
      <c r="B779" t="s">
        <v>9</v>
      </c>
      <c r="C779">
        <v>9</v>
      </c>
      <c r="D779">
        <v>2517</v>
      </c>
      <c r="E779">
        <v>0</v>
      </c>
      <c r="F779" t="s">
        <v>264</v>
      </c>
      <c r="G779">
        <v>2</v>
      </c>
      <c r="I779">
        <v>0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3">
      <c r="A780" t="s">
        <v>262</v>
      </c>
      <c r="B780" t="s">
        <v>9</v>
      </c>
      <c r="C780">
        <v>9</v>
      </c>
      <c r="D780">
        <v>2615</v>
      </c>
      <c r="E780">
        <v>2</v>
      </c>
      <c r="F780" t="s">
        <v>18</v>
      </c>
      <c r="G780">
        <v>2</v>
      </c>
      <c r="H780" t="s">
        <v>271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3">
      <c r="A781" t="s">
        <v>262</v>
      </c>
      <c r="B781" t="s">
        <v>9</v>
      </c>
      <c r="C781">
        <v>9</v>
      </c>
      <c r="D781">
        <v>2798</v>
      </c>
      <c r="E781">
        <v>2</v>
      </c>
      <c r="F781" t="s">
        <v>58</v>
      </c>
      <c r="G781">
        <v>1</v>
      </c>
      <c r="H781" t="s">
        <v>12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11500</v>
      </c>
      <c r="L781" s="43">
        <f>IFERROR(SUMIFS(Tabela10[Exp Gain only 2*+],Tabela10[Drop],DropAnalityka[[#This Row],[Drop]],Tabela10[Grade],DropAnalityka[[#This Row],[Grade]])*DropAnalityka[[#This Row],[Quality/Quantity]],0)</f>
        <v>35822</v>
      </c>
    </row>
    <row r="782" spans="1:13">
      <c r="A782" t="s">
        <v>262</v>
      </c>
      <c r="B782" t="s">
        <v>9</v>
      </c>
      <c r="C782">
        <v>9</v>
      </c>
      <c r="D782">
        <v>2602</v>
      </c>
      <c r="E782">
        <v>0</v>
      </c>
      <c r="F782" t="s">
        <v>18</v>
      </c>
      <c r="G782">
        <v>3</v>
      </c>
      <c r="H782" t="s">
        <v>292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3">
      <c r="A783" t="s">
        <v>262</v>
      </c>
      <c r="B783" t="s">
        <v>9</v>
      </c>
      <c r="C783">
        <v>9</v>
      </c>
      <c r="D783">
        <v>2901</v>
      </c>
      <c r="E783">
        <v>1</v>
      </c>
      <c r="F783" t="s">
        <v>18</v>
      </c>
      <c r="G783">
        <v>1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3">
      <c r="A784" t="s">
        <v>262</v>
      </c>
      <c r="B784" t="s">
        <v>9</v>
      </c>
      <c r="C784">
        <v>9</v>
      </c>
      <c r="D784">
        <v>540</v>
      </c>
      <c r="E784">
        <v>0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  <c r="M784" t="s">
        <v>204</v>
      </c>
    </row>
    <row r="785" spans="1:12">
      <c r="A785" t="s">
        <v>262</v>
      </c>
      <c r="B785" t="s">
        <v>9</v>
      </c>
      <c r="C785">
        <v>9</v>
      </c>
      <c r="D785">
        <v>3199</v>
      </c>
      <c r="E785">
        <v>0</v>
      </c>
      <c r="F785" t="s">
        <v>18</v>
      </c>
      <c r="G785">
        <v>1</v>
      </c>
      <c r="H785" t="s">
        <v>292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</row>
    <row r="786" spans="1:12">
      <c r="A786" t="s">
        <v>262</v>
      </c>
      <c r="B786" t="s">
        <v>9</v>
      </c>
      <c r="C786">
        <v>9</v>
      </c>
      <c r="D786">
        <v>2926</v>
      </c>
      <c r="E786">
        <v>1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2">
      <c r="A787" t="s">
        <v>262</v>
      </c>
      <c r="B787" t="s">
        <v>9</v>
      </c>
      <c r="C787">
        <v>9</v>
      </c>
      <c r="D787">
        <v>2560</v>
      </c>
      <c r="E787">
        <v>1</v>
      </c>
      <c r="F787" t="s">
        <v>18</v>
      </c>
      <c r="G787">
        <v>4</v>
      </c>
      <c r="H787" t="s">
        <v>270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2">
      <c r="A788" t="s">
        <v>262</v>
      </c>
      <c r="B788" t="s">
        <v>9</v>
      </c>
      <c r="C788">
        <v>9</v>
      </c>
      <c r="D788">
        <v>2313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2">
      <c r="A789" t="s">
        <v>262</v>
      </c>
      <c r="B789" t="s">
        <v>9</v>
      </c>
      <c r="C789">
        <v>9</v>
      </c>
      <c r="D789">
        <v>3329</v>
      </c>
      <c r="E789">
        <v>2</v>
      </c>
      <c r="F789" t="s">
        <v>18</v>
      </c>
      <c r="G789">
        <v>3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2">
      <c r="A790" t="s">
        <v>31</v>
      </c>
      <c r="B790" t="s">
        <v>30</v>
      </c>
      <c r="C790">
        <v>11</v>
      </c>
      <c r="D790">
        <v>1441</v>
      </c>
      <c r="E790">
        <v>1</v>
      </c>
      <c r="I790">
        <v>1824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2">
      <c r="A791" t="s">
        <v>31</v>
      </c>
      <c r="B791" t="s">
        <v>30</v>
      </c>
      <c r="C791">
        <v>11</v>
      </c>
      <c r="D791">
        <v>1339</v>
      </c>
      <c r="E791">
        <v>0</v>
      </c>
      <c r="I791">
        <v>2937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2">
      <c r="A792" t="s">
        <v>31</v>
      </c>
      <c r="B792" t="s">
        <v>30</v>
      </c>
      <c r="C792">
        <v>11</v>
      </c>
      <c r="D792">
        <v>1126</v>
      </c>
      <c r="E792">
        <v>0</v>
      </c>
      <c r="F792" t="s">
        <v>34</v>
      </c>
      <c r="G792">
        <v>2</v>
      </c>
      <c r="H792" t="s">
        <v>17</v>
      </c>
      <c r="I792">
        <v>0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1600</v>
      </c>
    </row>
    <row r="793" spans="1:12">
      <c r="A793" t="s">
        <v>31</v>
      </c>
      <c r="B793" t="s">
        <v>30</v>
      </c>
      <c r="C793">
        <v>11</v>
      </c>
      <c r="D793">
        <v>1647</v>
      </c>
      <c r="E793">
        <v>1</v>
      </c>
      <c r="I793">
        <v>2128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0</v>
      </c>
    </row>
    <row r="794" spans="1:12">
      <c r="A794" t="s">
        <v>31</v>
      </c>
      <c r="B794" t="s">
        <v>30</v>
      </c>
      <c r="C794">
        <v>11</v>
      </c>
      <c r="D794">
        <v>1802</v>
      </c>
      <c r="E794">
        <v>2</v>
      </c>
      <c r="I794">
        <v>1824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2">
      <c r="A795" t="s">
        <v>31</v>
      </c>
      <c r="B795" t="s">
        <v>30</v>
      </c>
      <c r="C795">
        <v>11</v>
      </c>
      <c r="D795">
        <v>1433</v>
      </c>
      <c r="E795">
        <v>1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2">
      <c r="A796" t="s">
        <v>31</v>
      </c>
      <c r="B796" t="s">
        <v>30</v>
      </c>
      <c r="C796">
        <v>11</v>
      </c>
      <c r="D796">
        <v>977</v>
      </c>
      <c r="E796">
        <v>1</v>
      </c>
      <c r="I796">
        <v>0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2">
      <c r="A797" t="s">
        <v>31</v>
      </c>
      <c r="B797" t="s">
        <v>30</v>
      </c>
      <c r="C797">
        <v>11</v>
      </c>
      <c r="D797">
        <v>1909</v>
      </c>
      <c r="E797">
        <v>2</v>
      </c>
      <c r="F797" t="s">
        <v>264</v>
      </c>
      <c r="G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2">
      <c r="A798" t="s">
        <v>31</v>
      </c>
      <c r="B798" t="s">
        <v>30</v>
      </c>
      <c r="C798">
        <v>11</v>
      </c>
      <c r="D798">
        <v>1110</v>
      </c>
      <c r="E798">
        <v>2</v>
      </c>
      <c r="F798" t="s">
        <v>34</v>
      </c>
      <c r="G798">
        <v>2</v>
      </c>
      <c r="H798" t="s">
        <v>17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1600</v>
      </c>
    </row>
    <row r="799" spans="1:12">
      <c r="A799" t="s">
        <v>31</v>
      </c>
      <c r="B799" t="s">
        <v>30</v>
      </c>
      <c r="C799">
        <v>11</v>
      </c>
      <c r="D799">
        <v>2608</v>
      </c>
      <c r="E799">
        <v>1</v>
      </c>
      <c r="I799">
        <v>1824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0</v>
      </c>
    </row>
    <row r="800" spans="1:12">
      <c r="A800" t="s">
        <v>31</v>
      </c>
      <c r="B800" t="s">
        <v>30</v>
      </c>
      <c r="C800">
        <v>11</v>
      </c>
      <c r="D800">
        <v>1725</v>
      </c>
      <c r="E800">
        <v>3</v>
      </c>
      <c r="F800" t="s">
        <v>34</v>
      </c>
      <c r="G800">
        <v>2</v>
      </c>
      <c r="H800" t="s">
        <v>17</v>
      </c>
      <c r="I800">
        <v>0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1600</v>
      </c>
    </row>
    <row r="801" spans="1:13">
      <c r="A801" t="s">
        <v>31</v>
      </c>
      <c r="B801" t="s">
        <v>30</v>
      </c>
      <c r="C801">
        <v>11</v>
      </c>
      <c r="D801" s="6">
        <v>2220</v>
      </c>
      <c r="E801" s="6">
        <v>2</v>
      </c>
      <c r="F801" s="6"/>
      <c r="G801" s="6"/>
      <c r="H801" s="6"/>
      <c r="I801" s="6">
        <v>3427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1" s="69">
        <f>IFERROR(SUMIFS(Tabela10[Fod Worth],Tabela10[Drop],DropAnalityka[[#This Row],[Drop]],Tabela10[Grade],DropAnalityka[[#This Row],[Grade]])*DropAnalityka[[#This Row],[Quality/Quantity]],0)</f>
        <v>0</v>
      </c>
      <c r="L801" s="69">
        <f>IFERROR(SUMIFS(Tabela10[Exp Gain only 2*+],Tabela10[Drop],DropAnalityka[[#This Row],[Drop]],Tabela10[Grade],DropAnalityka[[#This Row],[Grade]])*DropAnalityka[[#This Row],[Quality/Quantity]],0)</f>
        <v>0</v>
      </c>
      <c r="M801" s="6"/>
    </row>
    <row r="802" spans="1:13">
      <c r="A802" t="s">
        <v>60</v>
      </c>
      <c r="B802" t="s">
        <v>30</v>
      </c>
      <c r="C802">
        <v>11</v>
      </c>
      <c r="D802">
        <v>1644</v>
      </c>
      <c r="E802">
        <v>0</v>
      </c>
      <c r="I802">
        <v>2128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2" s="43">
        <f>IFERROR(SUMIFS(Tabela10[Fod Worth],Tabela10[Drop],DropAnalityka[[#This Row],[Drop]],Tabela10[Grade],DropAnalityka[[#This Row],[Grade]])*DropAnalityka[[#This Row],[Quality/Quantity]],0)</f>
        <v>0</v>
      </c>
      <c r="L802" s="43">
        <f>IFERROR(SUMIFS(Tabela10[Exp Gain only 2*+],Tabela10[Drop],DropAnalityka[[#This Row],[Drop]],Tabela10[Grade],DropAnalityka[[#This Row],[Grade]])*DropAnalityka[[#This Row],[Quality/Quantity]],0)</f>
        <v>0</v>
      </c>
    </row>
    <row r="803" spans="1:13">
      <c r="A803" t="s">
        <v>60</v>
      </c>
      <c r="B803" t="s">
        <v>30</v>
      </c>
      <c r="C803">
        <v>11</v>
      </c>
      <c r="D803">
        <v>1132</v>
      </c>
      <c r="E803">
        <v>0</v>
      </c>
      <c r="I803">
        <v>2937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1791</v>
      </c>
      <c r="E804">
        <v>1</v>
      </c>
      <c r="I804">
        <v>2128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1710</v>
      </c>
      <c r="E805">
        <v>3</v>
      </c>
      <c r="I805">
        <v>2937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2253</v>
      </c>
      <c r="E806">
        <v>1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1001</v>
      </c>
      <c r="E807">
        <v>0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1203</v>
      </c>
      <c r="E808">
        <v>1</v>
      </c>
      <c r="F808" t="s">
        <v>34</v>
      </c>
      <c r="G808">
        <v>2</v>
      </c>
      <c r="H808" t="s">
        <v>17</v>
      </c>
      <c r="I808">
        <v>0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1600</v>
      </c>
    </row>
    <row r="809" spans="1:13">
      <c r="A809" t="s">
        <v>60</v>
      </c>
      <c r="B809" t="s">
        <v>30</v>
      </c>
      <c r="C809">
        <v>11</v>
      </c>
      <c r="D809">
        <v>1620</v>
      </c>
      <c r="E809">
        <v>2</v>
      </c>
      <c r="I809">
        <v>1824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60</v>
      </c>
      <c r="B810" t="s">
        <v>30</v>
      </c>
      <c r="C810">
        <v>11</v>
      </c>
      <c r="D810">
        <v>1772</v>
      </c>
      <c r="E810">
        <v>1</v>
      </c>
      <c r="F810" t="s">
        <v>34</v>
      </c>
      <c r="G810">
        <v>2</v>
      </c>
      <c r="H810" t="s">
        <v>17</v>
      </c>
      <c r="I810">
        <v>0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1600</v>
      </c>
    </row>
    <row r="811" spans="1:13">
      <c r="A811" t="s">
        <v>262</v>
      </c>
      <c r="B811" t="s">
        <v>9</v>
      </c>
      <c r="C811">
        <v>9</v>
      </c>
      <c r="D811">
        <v>2634</v>
      </c>
      <c r="E811">
        <v>1</v>
      </c>
      <c r="F811" t="s">
        <v>18</v>
      </c>
      <c r="G811">
        <v>1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172</v>
      </c>
      <c r="B812" t="s">
        <v>9</v>
      </c>
      <c r="C812">
        <v>8</v>
      </c>
      <c r="D812">
        <v>3118</v>
      </c>
      <c r="E812">
        <v>0</v>
      </c>
      <c r="F812" t="s">
        <v>258</v>
      </c>
      <c r="G812">
        <v>1</v>
      </c>
      <c r="H812" t="s">
        <v>28</v>
      </c>
      <c r="I812">
        <v>8500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3166</v>
      </c>
      <c r="E813">
        <v>3</v>
      </c>
      <c r="F813" t="s">
        <v>34</v>
      </c>
      <c r="G813">
        <v>5</v>
      </c>
      <c r="H813" t="s">
        <v>17</v>
      </c>
      <c r="I813">
        <v>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4000</v>
      </c>
    </row>
    <row r="814" spans="1:13">
      <c r="A814" t="s">
        <v>172</v>
      </c>
      <c r="B814" t="s">
        <v>9</v>
      </c>
      <c r="C814">
        <v>8</v>
      </c>
      <c r="D814">
        <v>3825</v>
      </c>
      <c r="E814">
        <v>1</v>
      </c>
      <c r="F814" t="s">
        <v>264</v>
      </c>
      <c r="G814">
        <v>1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172</v>
      </c>
      <c r="B815" t="s">
        <v>9</v>
      </c>
      <c r="C815">
        <v>8</v>
      </c>
      <c r="D815">
        <v>3553</v>
      </c>
      <c r="E815">
        <v>0</v>
      </c>
      <c r="F815" t="s">
        <v>258</v>
      </c>
      <c r="G815">
        <v>1</v>
      </c>
      <c r="H815" t="s">
        <v>28</v>
      </c>
      <c r="I815">
        <v>8500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3574</v>
      </c>
      <c r="E816">
        <v>1</v>
      </c>
      <c r="F816" t="s">
        <v>266</v>
      </c>
      <c r="G816">
        <v>1</v>
      </c>
      <c r="H816" t="s">
        <v>27</v>
      </c>
      <c r="I816">
        <v>4134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3456</v>
      </c>
      <c r="E817">
        <v>3</v>
      </c>
      <c r="F817" t="s">
        <v>258</v>
      </c>
      <c r="G817">
        <v>1</v>
      </c>
      <c r="H817" t="s">
        <v>27</v>
      </c>
      <c r="I817">
        <v>2411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3185</v>
      </c>
      <c r="E818">
        <v>0</v>
      </c>
      <c r="F818" t="s">
        <v>258</v>
      </c>
      <c r="G818">
        <v>1</v>
      </c>
      <c r="H818" t="s">
        <v>28</v>
      </c>
      <c r="I818">
        <v>6502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3742</v>
      </c>
      <c r="E819">
        <v>4</v>
      </c>
      <c r="F819" t="s">
        <v>258</v>
      </c>
      <c r="G819">
        <v>1</v>
      </c>
      <c r="H819" t="s">
        <v>27</v>
      </c>
      <c r="I819">
        <v>4593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207</v>
      </c>
      <c r="B820" t="s">
        <v>9</v>
      </c>
      <c r="C820">
        <v>9</v>
      </c>
      <c r="D820">
        <v>2924</v>
      </c>
      <c r="E820">
        <v>1</v>
      </c>
      <c r="F820" t="s">
        <v>249</v>
      </c>
      <c r="G820">
        <v>1</v>
      </c>
      <c r="H820" t="s">
        <v>292</v>
      </c>
      <c r="I820">
        <v>0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3192</v>
      </c>
      <c r="E821">
        <v>2</v>
      </c>
      <c r="F821" t="s">
        <v>249</v>
      </c>
      <c r="G821">
        <v>2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2967</v>
      </c>
      <c r="E822">
        <v>1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2926</v>
      </c>
      <c r="E823">
        <v>0</v>
      </c>
      <c r="F823" t="s">
        <v>249</v>
      </c>
      <c r="G823">
        <v>3</v>
      </c>
      <c r="H823" t="s">
        <v>270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2801</v>
      </c>
      <c r="E824">
        <v>1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2800</v>
      </c>
      <c r="E825">
        <v>0</v>
      </c>
      <c r="F825" t="s">
        <v>223</v>
      </c>
      <c r="G825" t="s">
        <v>267</v>
      </c>
      <c r="H825" t="s">
        <v>12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2913</v>
      </c>
      <c r="E826">
        <v>0</v>
      </c>
      <c r="F826" t="s">
        <v>249</v>
      </c>
      <c r="G826">
        <v>1</v>
      </c>
      <c r="H826" t="s">
        <v>271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2812</v>
      </c>
      <c r="E827">
        <v>1</v>
      </c>
      <c r="F827" t="s">
        <v>249</v>
      </c>
      <c r="G827">
        <v>1</v>
      </c>
      <c r="H827" t="s">
        <v>292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2449</v>
      </c>
      <c r="E828">
        <v>0</v>
      </c>
      <c r="F828" t="s">
        <v>58</v>
      </c>
      <c r="G828">
        <v>1</v>
      </c>
      <c r="H828" t="s">
        <v>12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11500</v>
      </c>
      <c r="L828" s="43">
        <f>IFERROR(SUMIFS(Tabela10[Exp Gain only 2*+],Tabela10[Drop],DropAnalityka[[#This Row],[Drop]],Tabela10[Grade],DropAnalityka[[#This Row],[Grade]])*DropAnalityka[[#This Row],[Quality/Quantity]],0)</f>
        <v>35822</v>
      </c>
    </row>
    <row r="829" spans="1:12">
      <c r="A829" t="s">
        <v>207</v>
      </c>
      <c r="B829" t="s">
        <v>9</v>
      </c>
      <c r="C829">
        <v>9</v>
      </c>
      <c r="D829">
        <v>2754</v>
      </c>
      <c r="E829">
        <v>1</v>
      </c>
      <c r="F829" t="s">
        <v>288</v>
      </c>
      <c r="G829">
        <v>1</v>
      </c>
      <c r="H829" t="s">
        <v>17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29" s="43">
        <f>IFERROR(SUMIFS(Tabela10[Fod Worth],Tabela10[Drop],DropAnalityka[[#This Row],[Drop]],Tabela10[Grade],DropAnalityka[[#This Row],[Grade]])*DropAnalityka[[#This Row],[Quality/Quantity]],0)</f>
        <v>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207</v>
      </c>
      <c r="B830" t="s">
        <v>9</v>
      </c>
      <c r="C830">
        <v>9</v>
      </c>
      <c r="D830">
        <v>2824</v>
      </c>
      <c r="E830">
        <v>1</v>
      </c>
      <c r="F830" t="s">
        <v>223</v>
      </c>
      <c r="G830" t="s">
        <v>268</v>
      </c>
      <c r="H830" t="s">
        <v>12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2980</v>
      </c>
      <c r="E831">
        <v>0</v>
      </c>
      <c r="F831" t="s">
        <v>249</v>
      </c>
      <c r="G831">
        <v>1</v>
      </c>
      <c r="H831" t="s">
        <v>292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2957</v>
      </c>
      <c r="E832">
        <v>0</v>
      </c>
      <c r="F832" t="s">
        <v>206</v>
      </c>
      <c r="G832">
        <v>1</v>
      </c>
      <c r="H832" t="s">
        <v>17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2417</v>
      </c>
      <c r="E833">
        <v>0</v>
      </c>
      <c r="F833" t="s">
        <v>34</v>
      </c>
      <c r="G833">
        <v>4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3200</v>
      </c>
    </row>
    <row r="834" spans="1:12">
      <c r="A834" t="s">
        <v>207</v>
      </c>
      <c r="B834" t="s">
        <v>9</v>
      </c>
      <c r="C834">
        <v>9</v>
      </c>
      <c r="D834">
        <v>2671</v>
      </c>
      <c r="E834">
        <v>0</v>
      </c>
      <c r="F834" t="s">
        <v>249</v>
      </c>
      <c r="G834">
        <v>5</v>
      </c>
      <c r="H834" t="s">
        <v>270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207</v>
      </c>
      <c r="B835" t="s">
        <v>9</v>
      </c>
      <c r="C835">
        <v>9</v>
      </c>
      <c r="D835">
        <v>2947</v>
      </c>
      <c r="E835">
        <v>1</v>
      </c>
      <c r="F835" t="s">
        <v>249</v>
      </c>
      <c r="G835">
        <v>1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3358</v>
      </c>
      <c r="E836">
        <v>1</v>
      </c>
      <c r="F836" t="s">
        <v>34</v>
      </c>
      <c r="G836">
        <v>4</v>
      </c>
      <c r="H836" t="s">
        <v>17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3200</v>
      </c>
    </row>
    <row r="837" spans="1:12">
      <c r="A837" t="s">
        <v>207</v>
      </c>
      <c r="B837" t="s">
        <v>9</v>
      </c>
      <c r="C837">
        <v>9</v>
      </c>
      <c r="D837">
        <v>2184</v>
      </c>
      <c r="E837">
        <v>0</v>
      </c>
      <c r="F837" t="s">
        <v>249</v>
      </c>
      <c r="G837">
        <v>4</v>
      </c>
      <c r="H837" t="s">
        <v>270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207</v>
      </c>
      <c r="B838" t="s">
        <v>9</v>
      </c>
      <c r="C838">
        <v>9</v>
      </c>
      <c r="D838">
        <v>2654</v>
      </c>
      <c r="E838">
        <v>3</v>
      </c>
      <c r="F838" t="s">
        <v>249</v>
      </c>
      <c r="G838">
        <v>1</v>
      </c>
      <c r="H838" t="s">
        <v>292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2592</v>
      </c>
      <c r="E839">
        <v>1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2625</v>
      </c>
      <c r="E840">
        <v>0</v>
      </c>
      <c r="F840" t="s">
        <v>249</v>
      </c>
      <c r="G840">
        <v>1</v>
      </c>
      <c r="H840" t="s">
        <v>271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3029</v>
      </c>
      <c r="E841">
        <v>0</v>
      </c>
      <c r="F841" t="s">
        <v>249</v>
      </c>
      <c r="G841">
        <v>1</v>
      </c>
      <c r="H841" t="s">
        <v>292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2865</v>
      </c>
      <c r="E842">
        <v>1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3075</v>
      </c>
      <c r="E843">
        <v>3</v>
      </c>
      <c r="F843" t="s">
        <v>249</v>
      </c>
      <c r="G843">
        <v>5</v>
      </c>
      <c r="H843" t="s">
        <v>270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3767</v>
      </c>
      <c r="E844">
        <v>2</v>
      </c>
      <c r="F844" t="s">
        <v>249</v>
      </c>
      <c r="G844">
        <v>4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3007</v>
      </c>
      <c r="E845">
        <v>2</v>
      </c>
      <c r="F845" t="s">
        <v>249</v>
      </c>
      <c r="G845">
        <v>3</v>
      </c>
      <c r="H845" t="s">
        <v>292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2942</v>
      </c>
      <c r="E846">
        <v>0</v>
      </c>
      <c r="F846" t="s">
        <v>249</v>
      </c>
      <c r="G846">
        <v>1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2701</v>
      </c>
      <c r="E847">
        <v>0</v>
      </c>
      <c r="F847" t="s">
        <v>249</v>
      </c>
      <c r="G847">
        <v>5</v>
      </c>
      <c r="H847" t="s">
        <v>270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3320</v>
      </c>
      <c r="E848">
        <v>0</v>
      </c>
      <c r="F848" t="s">
        <v>249</v>
      </c>
      <c r="G848">
        <v>3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2890</v>
      </c>
      <c r="E849">
        <v>2</v>
      </c>
      <c r="F849" t="s">
        <v>249</v>
      </c>
      <c r="G849">
        <v>3</v>
      </c>
      <c r="H849" t="s">
        <v>270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3274</v>
      </c>
      <c r="E850">
        <v>1</v>
      </c>
      <c r="F850" t="s">
        <v>249</v>
      </c>
      <c r="G850">
        <v>2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2847</v>
      </c>
      <c r="E851">
        <v>1</v>
      </c>
      <c r="F851" t="s">
        <v>249</v>
      </c>
      <c r="G851">
        <v>1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2602</v>
      </c>
      <c r="E852">
        <v>0</v>
      </c>
      <c r="F852" t="s">
        <v>249</v>
      </c>
      <c r="G852">
        <v>4</v>
      </c>
      <c r="H852" t="s">
        <v>270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2901</v>
      </c>
      <c r="E853">
        <v>1</v>
      </c>
      <c r="F853" t="s">
        <v>223</v>
      </c>
      <c r="G853" t="s">
        <v>283</v>
      </c>
      <c r="H853" t="s">
        <v>26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2768</v>
      </c>
      <c r="E854">
        <v>0</v>
      </c>
      <c r="F854" t="s">
        <v>249</v>
      </c>
      <c r="G854">
        <v>5</v>
      </c>
      <c r="H854" t="s">
        <v>270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2401</v>
      </c>
      <c r="E855">
        <v>1</v>
      </c>
      <c r="F855" t="s">
        <v>249</v>
      </c>
      <c r="G855">
        <v>1</v>
      </c>
      <c r="H855" t="s">
        <v>292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2915</v>
      </c>
      <c r="E856">
        <v>0</v>
      </c>
      <c r="F856" t="s">
        <v>205</v>
      </c>
      <c r="G856">
        <v>3</v>
      </c>
      <c r="H856" t="s">
        <v>26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2587.5</v>
      </c>
      <c r="L85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7" spans="1:12">
      <c r="A857" t="s">
        <v>207</v>
      </c>
      <c r="B857" t="s">
        <v>9</v>
      </c>
      <c r="C857">
        <v>9</v>
      </c>
      <c r="D857">
        <v>2978</v>
      </c>
      <c r="E857">
        <v>0</v>
      </c>
      <c r="F857" t="s">
        <v>249</v>
      </c>
      <c r="G857">
        <v>4</v>
      </c>
      <c r="H857" t="s">
        <v>270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0</v>
      </c>
      <c r="L857" s="43">
        <f>IFERROR(SUMIFS(Tabela10[Exp Gain only 2*+],Tabela10[Drop],DropAnalityka[[#This Row],[Drop]],Tabela10[Grade],DropAnalityka[[#This Row],[Grade]])*DropAnalityka[[#This Row],[Quality/Quantity]],0)</f>
        <v>0</v>
      </c>
    </row>
    <row r="858" spans="1:12">
      <c r="A858" t="s">
        <v>207</v>
      </c>
      <c r="B858" t="s">
        <v>9</v>
      </c>
      <c r="C858">
        <v>9</v>
      </c>
      <c r="D858">
        <v>2956</v>
      </c>
      <c r="E858">
        <v>0</v>
      </c>
      <c r="F858" t="s">
        <v>249</v>
      </c>
      <c r="G858">
        <v>5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2657</v>
      </c>
      <c r="E859">
        <v>1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2789</v>
      </c>
      <c r="E860">
        <v>0</v>
      </c>
      <c r="F860" t="s">
        <v>206</v>
      </c>
      <c r="G860">
        <v>1</v>
      </c>
      <c r="H860" t="s">
        <v>17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2793</v>
      </c>
      <c r="E861">
        <v>1</v>
      </c>
      <c r="F861" t="s">
        <v>249</v>
      </c>
      <c r="G861">
        <v>5</v>
      </c>
      <c r="H861" t="s">
        <v>270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2869</v>
      </c>
      <c r="E862">
        <v>2</v>
      </c>
      <c r="F862" t="s">
        <v>249</v>
      </c>
      <c r="G862">
        <v>4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2638</v>
      </c>
      <c r="E863">
        <v>1</v>
      </c>
      <c r="F863" t="s">
        <v>206</v>
      </c>
      <c r="G863">
        <v>1</v>
      </c>
      <c r="H863" t="s">
        <v>17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2929</v>
      </c>
      <c r="E864">
        <v>1</v>
      </c>
      <c r="F864" t="s">
        <v>249</v>
      </c>
      <c r="G864">
        <v>1</v>
      </c>
      <c r="H864" t="s">
        <v>292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2423</v>
      </c>
      <c r="E865">
        <v>1</v>
      </c>
      <c r="F865" t="s">
        <v>249</v>
      </c>
      <c r="G865">
        <v>3</v>
      </c>
      <c r="H865" t="s">
        <v>270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2881</v>
      </c>
      <c r="E866">
        <v>0</v>
      </c>
      <c r="F866" t="s">
        <v>249</v>
      </c>
      <c r="G866">
        <v>5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3128</v>
      </c>
      <c r="E867">
        <v>1</v>
      </c>
      <c r="F867" t="s">
        <v>249</v>
      </c>
      <c r="G867">
        <v>4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3042</v>
      </c>
      <c r="E868">
        <v>0</v>
      </c>
      <c r="F868" t="s">
        <v>249</v>
      </c>
      <c r="G868">
        <v>3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2846</v>
      </c>
      <c r="E869">
        <v>1</v>
      </c>
      <c r="F869" t="s">
        <v>249</v>
      </c>
      <c r="G869">
        <v>1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3112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2928</v>
      </c>
      <c r="E871">
        <v>1</v>
      </c>
      <c r="F871" t="s">
        <v>249</v>
      </c>
      <c r="G871">
        <v>4</v>
      </c>
      <c r="H871" t="s">
        <v>270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2702</v>
      </c>
      <c r="E872">
        <v>1</v>
      </c>
      <c r="F872" t="s">
        <v>249</v>
      </c>
      <c r="G872">
        <v>2</v>
      </c>
      <c r="H872" t="s">
        <v>292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223</v>
      </c>
      <c r="B873" t="s">
        <v>9</v>
      </c>
      <c r="C873" t="s">
        <v>26</v>
      </c>
      <c r="D873">
        <v>6071</v>
      </c>
      <c r="E873">
        <v>0</v>
      </c>
      <c r="F873" t="s">
        <v>205</v>
      </c>
      <c r="G873">
        <v>4</v>
      </c>
      <c r="H873" t="s">
        <v>26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3450</v>
      </c>
      <c r="L873" s="43">
        <f>IFERROR(SUMIFS(Tabela10[Exp Gain only 2*+],Tabela10[Drop],DropAnalityka[[#This Row],[Drop]],Tabela10[Grade],DropAnalityka[[#This Row],[Grade]])*DropAnalityka[[#This Row],[Quality/Quantity]],0)</f>
        <v>3582.2</v>
      </c>
    </row>
    <row r="874" spans="1:12">
      <c r="A874" t="s">
        <v>223</v>
      </c>
      <c r="B874" t="s">
        <v>9</v>
      </c>
      <c r="C874" t="s">
        <v>26</v>
      </c>
      <c r="D874">
        <v>5719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5444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5741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6031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5574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6065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5631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207</v>
      </c>
      <c r="B881" t="s">
        <v>9</v>
      </c>
      <c r="C881">
        <v>9</v>
      </c>
      <c r="D881">
        <v>2671</v>
      </c>
      <c r="E881">
        <v>0</v>
      </c>
      <c r="F881" t="s">
        <v>249</v>
      </c>
      <c r="G881">
        <v>1</v>
      </c>
      <c r="H881" t="s">
        <v>292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0</v>
      </c>
      <c r="L881" s="43">
        <f>IFERROR(SUMIFS(Tabela10[Exp Gain only 2*+],Tabela10[Drop],DropAnalityka[[#This Row],[Drop]],Tabela10[Grade],DropAnalityka[[#This Row],[Grade]])*DropAnalityka[[#This Row],[Quality/Quantity]],0)</f>
        <v>0</v>
      </c>
    </row>
    <row r="882" spans="1:12">
      <c r="A882" t="s">
        <v>207</v>
      </c>
      <c r="B882" t="s">
        <v>9</v>
      </c>
      <c r="C882">
        <v>9</v>
      </c>
      <c r="D882">
        <v>2940</v>
      </c>
      <c r="E882">
        <v>0</v>
      </c>
      <c r="F882" t="s">
        <v>249</v>
      </c>
      <c r="G882">
        <v>1</v>
      </c>
      <c r="H882" t="s">
        <v>271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2643</v>
      </c>
      <c r="E883">
        <v>2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2968</v>
      </c>
      <c r="E884">
        <v>0</v>
      </c>
      <c r="F884" t="s">
        <v>249</v>
      </c>
      <c r="G884">
        <v>3</v>
      </c>
      <c r="H884" t="s">
        <v>292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2502</v>
      </c>
      <c r="E885">
        <v>2</v>
      </c>
      <c r="F885" t="s">
        <v>249</v>
      </c>
      <c r="G885">
        <v>2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2719</v>
      </c>
      <c r="E886">
        <v>3</v>
      </c>
      <c r="F886" t="s">
        <v>223</v>
      </c>
      <c r="G886" t="s">
        <v>284</v>
      </c>
      <c r="H886" t="s">
        <v>26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2733</v>
      </c>
      <c r="E887">
        <v>1</v>
      </c>
      <c r="F887" t="s">
        <v>249</v>
      </c>
      <c r="G887">
        <v>1</v>
      </c>
      <c r="H887" t="s">
        <v>292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2917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2662</v>
      </c>
      <c r="E889">
        <v>0</v>
      </c>
      <c r="F889" t="s">
        <v>249</v>
      </c>
      <c r="G889">
        <v>3</v>
      </c>
      <c r="H889" t="s">
        <v>271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2980</v>
      </c>
      <c r="E890">
        <v>1</v>
      </c>
      <c r="F890" t="s">
        <v>249</v>
      </c>
      <c r="G890">
        <v>2</v>
      </c>
      <c r="H890" t="s">
        <v>292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2778</v>
      </c>
      <c r="E891">
        <v>0</v>
      </c>
      <c r="F891" t="s">
        <v>58</v>
      </c>
      <c r="G891">
        <v>1</v>
      </c>
      <c r="H891" t="s">
        <v>26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34500</v>
      </c>
      <c r="L891" s="43">
        <f>IFERROR(SUMIFS(Tabela10[Exp Gain only 2*+],Tabela10[Drop],DropAnalityka[[#This Row],[Drop]],Tabela10[Grade],DropAnalityka[[#This Row],[Grade]])*DropAnalityka[[#This Row],[Quality/Quantity]],0)</f>
        <v>118004</v>
      </c>
    </row>
    <row r="892" spans="1:12">
      <c r="A892" t="s">
        <v>207</v>
      </c>
      <c r="B892" t="s">
        <v>9</v>
      </c>
      <c r="C892">
        <v>9</v>
      </c>
      <c r="D892">
        <v>2383</v>
      </c>
      <c r="E892">
        <v>0</v>
      </c>
      <c r="F892" t="s">
        <v>34</v>
      </c>
      <c r="G892">
        <v>5</v>
      </c>
      <c r="H892" t="s">
        <v>17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2" s="43">
        <f>IFERROR(SUMIFS(Tabela10[Fod Worth],Tabela10[Drop],DropAnalityka[[#This Row],[Drop]],Tabela10[Grade],DropAnalityka[[#This Row],[Grade]])*DropAnalityka[[#This Row],[Quality/Quantity]],0)</f>
        <v>0</v>
      </c>
      <c r="L892" s="43">
        <f>IFERROR(SUMIFS(Tabela10[Exp Gain only 2*+],Tabela10[Drop],DropAnalityka[[#This Row],[Drop]],Tabela10[Grade],DropAnalityka[[#This Row],[Grade]])*DropAnalityka[[#This Row],[Quality/Quantity]],0)</f>
        <v>4000</v>
      </c>
    </row>
    <row r="893" spans="1:12">
      <c r="A893" t="s">
        <v>207</v>
      </c>
      <c r="B893" t="s">
        <v>9</v>
      </c>
      <c r="C893">
        <v>9</v>
      </c>
      <c r="D893">
        <v>2705</v>
      </c>
      <c r="E893">
        <v>1</v>
      </c>
      <c r="F893" t="s">
        <v>249</v>
      </c>
      <c r="G893">
        <v>1</v>
      </c>
      <c r="H893" t="s">
        <v>271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207</v>
      </c>
      <c r="B894" t="s">
        <v>9</v>
      </c>
      <c r="C894">
        <v>9</v>
      </c>
      <c r="D894">
        <v>2769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36</v>
      </c>
      <c r="B895" t="s">
        <v>9</v>
      </c>
      <c r="C895">
        <v>9</v>
      </c>
      <c r="D895">
        <v>2432</v>
      </c>
      <c r="E895">
        <v>1</v>
      </c>
      <c r="F895" t="s">
        <v>252</v>
      </c>
      <c r="G895">
        <v>5</v>
      </c>
      <c r="H895" t="s">
        <v>270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285</v>
      </c>
      <c r="B896" t="s">
        <v>9</v>
      </c>
      <c r="C896">
        <v>9</v>
      </c>
      <c r="D896">
        <v>2838</v>
      </c>
      <c r="E896">
        <v>0</v>
      </c>
      <c r="F896" t="s">
        <v>250</v>
      </c>
      <c r="G896">
        <v>4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2427</v>
      </c>
      <c r="E897">
        <v>1</v>
      </c>
      <c r="F897" t="s">
        <v>264</v>
      </c>
      <c r="G897">
        <v>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3047</v>
      </c>
      <c r="E898">
        <v>2</v>
      </c>
      <c r="F898" t="s">
        <v>250</v>
      </c>
      <c r="G898">
        <v>1</v>
      </c>
      <c r="H898" t="s">
        <v>292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2866</v>
      </c>
      <c r="E899">
        <v>1</v>
      </c>
      <c r="F899" t="s">
        <v>206</v>
      </c>
      <c r="G899">
        <v>1</v>
      </c>
      <c r="H899" t="s">
        <v>17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2763</v>
      </c>
      <c r="E900">
        <v>0</v>
      </c>
      <c r="F900" t="s">
        <v>264</v>
      </c>
      <c r="G900">
        <v>2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3056</v>
      </c>
      <c r="E901">
        <v>1</v>
      </c>
      <c r="F901" t="s">
        <v>264</v>
      </c>
      <c r="G901">
        <v>1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2719</v>
      </c>
      <c r="E902">
        <v>0</v>
      </c>
      <c r="F902" t="s">
        <v>250</v>
      </c>
      <c r="G902">
        <v>5</v>
      </c>
      <c r="H902" t="s">
        <v>270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2911</v>
      </c>
      <c r="E903">
        <v>1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2858</v>
      </c>
      <c r="E904">
        <v>0</v>
      </c>
      <c r="F904" t="s">
        <v>250</v>
      </c>
      <c r="G904">
        <v>1</v>
      </c>
      <c r="H904" t="s">
        <v>292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2965</v>
      </c>
      <c r="E905">
        <v>1</v>
      </c>
      <c r="F905" t="s">
        <v>250</v>
      </c>
      <c r="G905">
        <v>3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3486</v>
      </c>
      <c r="E906">
        <v>1</v>
      </c>
      <c r="F906" t="s">
        <v>206</v>
      </c>
      <c r="G906">
        <v>1</v>
      </c>
      <c r="H906" t="s">
        <v>17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2992</v>
      </c>
      <c r="E907">
        <v>0</v>
      </c>
      <c r="F907" t="s">
        <v>58</v>
      </c>
      <c r="G907">
        <v>1</v>
      </c>
      <c r="H907" t="s">
        <v>26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34500</v>
      </c>
      <c r="L907" s="43">
        <f>IFERROR(SUMIFS(Tabela10[Exp Gain only 2*+],Tabela10[Drop],DropAnalityka[[#This Row],[Drop]],Tabela10[Grade],DropAnalityka[[#This Row],[Grade]])*DropAnalityka[[#This Row],[Quality/Quantity]],0)</f>
        <v>118004</v>
      </c>
    </row>
    <row r="908" spans="1:12">
      <c r="A908" t="s">
        <v>285</v>
      </c>
      <c r="B908" t="s">
        <v>9</v>
      </c>
      <c r="C908">
        <v>9</v>
      </c>
      <c r="D908">
        <v>2961</v>
      </c>
      <c r="E908">
        <v>1</v>
      </c>
      <c r="F908" t="s">
        <v>34</v>
      </c>
      <c r="G908">
        <v>5</v>
      </c>
      <c r="H908" t="s">
        <v>17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8" s="43">
        <f>IFERROR(SUMIFS(Tabela10[Fod Worth],Tabela10[Drop],DropAnalityka[[#This Row],[Drop]],Tabela10[Grade],DropAnalityka[[#This Row],[Grade]])*DropAnalityka[[#This Row],[Quality/Quantity]],0)</f>
        <v>0</v>
      </c>
      <c r="L908" s="43">
        <f>IFERROR(SUMIFS(Tabela10[Exp Gain only 2*+],Tabela10[Drop],DropAnalityka[[#This Row],[Drop]],Tabela10[Grade],DropAnalityka[[#This Row],[Grade]])*DropAnalityka[[#This Row],[Quality/Quantity]],0)</f>
        <v>4000</v>
      </c>
    </row>
    <row r="909" spans="1:12">
      <c r="A909" t="s">
        <v>285</v>
      </c>
      <c r="B909" t="s">
        <v>9</v>
      </c>
      <c r="C909">
        <v>9</v>
      </c>
      <c r="D909">
        <v>2744</v>
      </c>
      <c r="E909">
        <v>1</v>
      </c>
      <c r="F909" t="s">
        <v>250</v>
      </c>
      <c r="G909">
        <v>1</v>
      </c>
      <c r="H909" t="s">
        <v>271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285</v>
      </c>
      <c r="B910" t="s">
        <v>9</v>
      </c>
      <c r="C910">
        <v>9</v>
      </c>
      <c r="D910">
        <v>2564</v>
      </c>
      <c r="E910">
        <v>0</v>
      </c>
      <c r="F910" t="s">
        <v>250</v>
      </c>
      <c r="G910">
        <v>5</v>
      </c>
      <c r="H910" t="s">
        <v>270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2876</v>
      </c>
      <c r="E911">
        <v>2</v>
      </c>
      <c r="F911" t="s">
        <v>58</v>
      </c>
      <c r="G911">
        <v>1</v>
      </c>
      <c r="H911" t="s">
        <v>26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34500</v>
      </c>
      <c r="L911" s="43">
        <f>IFERROR(SUMIFS(Tabela10[Exp Gain only 2*+],Tabela10[Drop],DropAnalityka[[#This Row],[Drop]],Tabela10[Grade],DropAnalityka[[#This Row],[Grade]])*DropAnalityka[[#This Row],[Quality/Quantity]],0)</f>
        <v>118004</v>
      </c>
    </row>
    <row r="912" spans="1:12">
      <c r="A912" t="s">
        <v>285</v>
      </c>
      <c r="B912" t="s">
        <v>9</v>
      </c>
      <c r="C912">
        <v>9</v>
      </c>
      <c r="D912">
        <v>2779</v>
      </c>
      <c r="E912">
        <v>0</v>
      </c>
      <c r="F912" t="s">
        <v>264</v>
      </c>
      <c r="G912">
        <v>2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0</v>
      </c>
      <c r="L912" s="43">
        <f>IFERROR(SUMIFS(Tabela10[Exp Gain only 2*+],Tabela10[Drop],DropAnalityka[[#This Row],[Drop]],Tabela10[Grade],DropAnalityka[[#This Row],[Grade]])*DropAnalityka[[#This Row],[Quality/Quantity]],0)</f>
        <v>0</v>
      </c>
    </row>
    <row r="913" spans="1:12">
      <c r="A913" t="s">
        <v>36</v>
      </c>
      <c r="B913" t="s">
        <v>9</v>
      </c>
      <c r="C913">
        <v>9</v>
      </c>
      <c r="D913">
        <v>3024</v>
      </c>
      <c r="E913">
        <v>1</v>
      </c>
      <c r="F913" t="s">
        <v>252</v>
      </c>
      <c r="G913">
        <v>3</v>
      </c>
      <c r="H913" t="s">
        <v>292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285</v>
      </c>
      <c r="B914" t="s">
        <v>9</v>
      </c>
      <c r="C914">
        <v>9</v>
      </c>
      <c r="D914">
        <v>3032</v>
      </c>
      <c r="E914">
        <v>0</v>
      </c>
      <c r="F914" t="s">
        <v>250</v>
      </c>
      <c r="G914">
        <v>5</v>
      </c>
      <c r="H914" t="s">
        <v>270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2865</v>
      </c>
      <c r="E915">
        <v>1</v>
      </c>
      <c r="F915" t="s">
        <v>58</v>
      </c>
      <c r="G915">
        <v>1</v>
      </c>
      <c r="H915" t="s">
        <v>26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34500</v>
      </c>
      <c r="L915" s="43">
        <f>IFERROR(SUMIFS(Tabela10[Exp Gain only 2*+],Tabela10[Drop],DropAnalityka[[#This Row],[Drop]],Tabela10[Grade],DropAnalityka[[#This Row],[Grade]])*DropAnalityka[[#This Row],[Quality/Quantity]],0)</f>
        <v>118004</v>
      </c>
    </row>
    <row r="916" spans="1:12">
      <c r="A916" t="s">
        <v>285</v>
      </c>
      <c r="B916" t="s">
        <v>9</v>
      </c>
      <c r="C916">
        <v>9</v>
      </c>
      <c r="D916">
        <v>2891</v>
      </c>
      <c r="E916">
        <v>2</v>
      </c>
      <c r="F916" t="s">
        <v>250</v>
      </c>
      <c r="G916">
        <v>1</v>
      </c>
      <c r="H916" t="s">
        <v>292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0</v>
      </c>
      <c r="L916" s="43">
        <f>IFERROR(SUMIFS(Tabela10[Exp Gain only 2*+],Tabela10[Drop],DropAnalityka[[#This Row],[Drop]],Tabela10[Grade],DropAnalityka[[#This Row],[Grade]])*DropAnalityka[[#This Row],[Quality/Quantity]],0)</f>
        <v>0</v>
      </c>
    </row>
    <row r="917" spans="1:12">
      <c r="A917" t="s">
        <v>285</v>
      </c>
      <c r="B917" t="s">
        <v>9</v>
      </c>
      <c r="C917">
        <v>9</v>
      </c>
      <c r="D917">
        <v>2799</v>
      </c>
      <c r="E917">
        <v>0</v>
      </c>
      <c r="F917" t="s">
        <v>250</v>
      </c>
      <c r="G917">
        <v>2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3197</v>
      </c>
      <c r="E918">
        <v>1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3013</v>
      </c>
      <c r="E919">
        <v>0</v>
      </c>
      <c r="F919" t="s">
        <v>250</v>
      </c>
      <c r="G919">
        <v>4</v>
      </c>
      <c r="H919" t="s">
        <v>270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3393</v>
      </c>
      <c r="E920">
        <v>1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3290</v>
      </c>
      <c r="E921">
        <v>0</v>
      </c>
      <c r="F921" t="s">
        <v>288</v>
      </c>
      <c r="G921">
        <v>1</v>
      </c>
      <c r="H921" t="s">
        <v>17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32</v>
      </c>
      <c r="C922">
        <v>5</v>
      </c>
      <c r="D922">
        <v>1311</v>
      </c>
      <c r="E922">
        <v>0</v>
      </c>
      <c r="I922">
        <v>1236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285</v>
      </c>
      <c r="B923" t="s">
        <v>9</v>
      </c>
      <c r="C923">
        <v>9</v>
      </c>
      <c r="D923">
        <v>2551</v>
      </c>
      <c r="E923">
        <v>1</v>
      </c>
      <c r="F923" t="s">
        <v>223</v>
      </c>
      <c r="G923" t="s">
        <v>287</v>
      </c>
      <c r="H923" t="s">
        <v>12</v>
      </c>
      <c r="I923">
        <v>0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2856</v>
      </c>
      <c r="E924">
        <v>0</v>
      </c>
      <c r="F924" t="s">
        <v>250</v>
      </c>
      <c r="G924">
        <v>1</v>
      </c>
      <c r="H924" t="s">
        <v>271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2488</v>
      </c>
      <c r="E925">
        <v>1</v>
      </c>
      <c r="F925" t="s">
        <v>250</v>
      </c>
      <c r="G925">
        <v>3</v>
      </c>
      <c r="H925" t="s">
        <v>292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2583</v>
      </c>
      <c r="E926">
        <v>0</v>
      </c>
      <c r="F926" t="s">
        <v>250</v>
      </c>
      <c r="G926">
        <v>5</v>
      </c>
      <c r="H926" t="s">
        <v>270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2394</v>
      </c>
      <c r="E927">
        <v>0</v>
      </c>
      <c r="F927" t="s">
        <v>250</v>
      </c>
      <c r="G927">
        <v>4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2703</v>
      </c>
      <c r="E928">
        <v>0</v>
      </c>
      <c r="F928" t="s">
        <v>250</v>
      </c>
      <c r="G928">
        <v>1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2880</v>
      </c>
      <c r="E929">
        <v>1</v>
      </c>
      <c r="F929" t="s">
        <v>250</v>
      </c>
      <c r="G929">
        <v>4</v>
      </c>
      <c r="H929" t="s">
        <v>270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2802</v>
      </c>
      <c r="E930">
        <v>0</v>
      </c>
      <c r="F930" t="s">
        <v>250</v>
      </c>
      <c r="G930">
        <v>3</v>
      </c>
      <c r="H930" t="s">
        <v>292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2784</v>
      </c>
      <c r="E931">
        <v>2</v>
      </c>
      <c r="F931" t="s">
        <v>264</v>
      </c>
      <c r="G931">
        <v>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2856</v>
      </c>
      <c r="E932">
        <v>0</v>
      </c>
      <c r="F932" t="s">
        <v>250</v>
      </c>
      <c r="G932">
        <v>3</v>
      </c>
      <c r="H932" t="s">
        <v>292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3481</v>
      </c>
      <c r="E933">
        <v>0</v>
      </c>
      <c r="F933" t="s">
        <v>250</v>
      </c>
      <c r="G933">
        <v>4</v>
      </c>
      <c r="H933" t="s">
        <v>270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2701</v>
      </c>
      <c r="E934">
        <v>0</v>
      </c>
      <c r="F934" t="s">
        <v>58</v>
      </c>
      <c r="G934" t="s">
        <v>12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2809</v>
      </c>
      <c r="E935">
        <v>1</v>
      </c>
      <c r="F935" t="s">
        <v>206</v>
      </c>
      <c r="G935" t="s">
        <v>17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2999</v>
      </c>
      <c r="E936">
        <v>0</v>
      </c>
      <c r="F936" t="s">
        <v>250</v>
      </c>
      <c r="G936">
        <v>5</v>
      </c>
      <c r="H936" t="s">
        <v>270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2639</v>
      </c>
      <c r="E937">
        <v>1</v>
      </c>
      <c r="F937" t="s">
        <v>250</v>
      </c>
      <c r="G937">
        <v>2</v>
      </c>
      <c r="H937" t="s">
        <v>292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2853</v>
      </c>
      <c r="E938">
        <v>0</v>
      </c>
      <c r="F938" t="s">
        <v>250</v>
      </c>
      <c r="G938">
        <v>2</v>
      </c>
      <c r="H938" t="s">
        <v>271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3206</v>
      </c>
      <c r="E939">
        <v>1</v>
      </c>
      <c r="F939" t="s">
        <v>250</v>
      </c>
      <c r="G939">
        <v>4</v>
      </c>
      <c r="H939" t="s">
        <v>270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3218</v>
      </c>
      <c r="E940">
        <v>0</v>
      </c>
      <c r="F940" t="s">
        <v>250</v>
      </c>
      <c r="G940">
        <v>3</v>
      </c>
      <c r="H940" t="s">
        <v>292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2853</v>
      </c>
      <c r="E941">
        <v>2</v>
      </c>
      <c r="F941" t="s">
        <v>250</v>
      </c>
      <c r="G941">
        <v>3</v>
      </c>
      <c r="H941" t="s">
        <v>271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2921</v>
      </c>
      <c r="E942">
        <v>0</v>
      </c>
      <c r="F942" t="s">
        <v>250</v>
      </c>
      <c r="G942">
        <v>1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2840</v>
      </c>
      <c r="E943">
        <v>0</v>
      </c>
      <c r="F943" t="s">
        <v>206</v>
      </c>
      <c r="G943" t="s">
        <v>17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3444</v>
      </c>
      <c r="E944">
        <v>0</v>
      </c>
      <c r="F944" t="s">
        <v>264</v>
      </c>
      <c r="G944">
        <v>1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2844</v>
      </c>
      <c r="E945">
        <v>0</v>
      </c>
      <c r="F945" t="s">
        <v>250</v>
      </c>
      <c r="G945">
        <v>2</v>
      </c>
      <c r="H945" t="s">
        <v>292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2720</v>
      </c>
      <c r="E946">
        <v>0</v>
      </c>
      <c r="F946" t="s">
        <v>250</v>
      </c>
      <c r="G946">
        <v>4</v>
      </c>
      <c r="H946" t="s">
        <v>270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2990</v>
      </c>
      <c r="E947">
        <v>1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2846</v>
      </c>
      <c r="E948">
        <v>4</v>
      </c>
      <c r="F948" t="s">
        <v>250</v>
      </c>
      <c r="G948">
        <v>1</v>
      </c>
      <c r="H948" t="s">
        <v>292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2740</v>
      </c>
      <c r="E949">
        <v>1</v>
      </c>
      <c r="F949" t="s">
        <v>264</v>
      </c>
      <c r="G949">
        <v>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2619</v>
      </c>
      <c r="E950">
        <v>2</v>
      </c>
      <c r="F950" t="s">
        <v>250</v>
      </c>
      <c r="G950">
        <v>1</v>
      </c>
      <c r="H950" t="s">
        <v>292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3000</v>
      </c>
      <c r="E951">
        <v>1</v>
      </c>
      <c r="F951" t="s">
        <v>250</v>
      </c>
      <c r="G951">
        <v>2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2846</v>
      </c>
      <c r="E952">
        <v>3</v>
      </c>
      <c r="F952" t="s">
        <v>250</v>
      </c>
      <c r="G952">
        <v>4</v>
      </c>
      <c r="H952" t="s">
        <v>270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2824</v>
      </c>
      <c r="E953">
        <v>2</v>
      </c>
      <c r="F953" t="s">
        <v>264</v>
      </c>
      <c r="G953">
        <v>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3201</v>
      </c>
      <c r="E954">
        <v>0</v>
      </c>
      <c r="F954" t="s">
        <v>250</v>
      </c>
      <c r="G954">
        <v>5</v>
      </c>
      <c r="H954" t="s">
        <v>270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2638</v>
      </c>
      <c r="E955">
        <v>0</v>
      </c>
      <c r="F955" t="s">
        <v>250</v>
      </c>
      <c r="G955">
        <v>3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2887</v>
      </c>
      <c r="E956">
        <v>1</v>
      </c>
      <c r="F956" t="s">
        <v>34</v>
      </c>
      <c r="G956">
        <v>4</v>
      </c>
      <c r="H956" t="s">
        <v>17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3200</v>
      </c>
    </row>
    <row r="957" spans="1:12">
      <c r="A957" t="s">
        <v>285</v>
      </c>
      <c r="B957" t="s">
        <v>9</v>
      </c>
      <c r="C957">
        <v>9</v>
      </c>
      <c r="D957">
        <v>2399</v>
      </c>
      <c r="E957">
        <v>0</v>
      </c>
      <c r="F957" t="s">
        <v>250</v>
      </c>
      <c r="G957">
        <v>3</v>
      </c>
      <c r="H957" t="s">
        <v>271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0</v>
      </c>
    </row>
    <row r="958" spans="1:12">
      <c r="A958" t="s">
        <v>285</v>
      </c>
      <c r="B958" t="s">
        <v>9</v>
      </c>
      <c r="C958">
        <v>9</v>
      </c>
      <c r="D958">
        <v>3055</v>
      </c>
      <c r="E958">
        <v>1</v>
      </c>
      <c r="F958" t="s">
        <v>250</v>
      </c>
      <c r="G958">
        <v>1</v>
      </c>
      <c r="H958" t="s">
        <v>292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2841</v>
      </c>
      <c r="E959">
        <v>0</v>
      </c>
      <c r="F959" t="s">
        <v>250</v>
      </c>
      <c r="G959">
        <v>5</v>
      </c>
      <c r="H959" t="s">
        <v>270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2937</v>
      </c>
      <c r="E960">
        <v>0</v>
      </c>
      <c r="F960" t="s">
        <v>223</v>
      </c>
      <c r="G960" t="s">
        <v>12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2426</v>
      </c>
      <c r="E961">
        <v>0</v>
      </c>
      <c r="F961" t="s">
        <v>250</v>
      </c>
      <c r="G961">
        <v>1</v>
      </c>
      <c r="H961" t="s">
        <v>271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2552</v>
      </c>
      <c r="E962">
        <v>1</v>
      </c>
      <c r="F962" t="s">
        <v>250</v>
      </c>
      <c r="G962">
        <v>3</v>
      </c>
      <c r="H962" t="s">
        <v>292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2771</v>
      </c>
      <c r="E963">
        <v>2</v>
      </c>
      <c r="F963" t="s">
        <v>250</v>
      </c>
      <c r="G963">
        <v>1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2652</v>
      </c>
      <c r="E964">
        <v>2</v>
      </c>
      <c r="F964" t="s">
        <v>250</v>
      </c>
      <c r="G964">
        <v>4</v>
      </c>
      <c r="H964" t="s">
        <v>270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2708</v>
      </c>
      <c r="E965">
        <v>0</v>
      </c>
      <c r="F965" t="s">
        <v>250</v>
      </c>
      <c r="G965">
        <v>1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2684</v>
      </c>
      <c r="E966">
        <v>1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3108</v>
      </c>
      <c r="E967">
        <v>3</v>
      </c>
      <c r="F967" t="s">
        <v>250</v>
      </c>
      <c r="G967">
        <v>4</v>
      </c>
      <c r="H967" t="s">
        <v>270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2839</v>
      </c>
      <c r="E968">
        <v>1</v>
      </c>
      <c r="F968" t="s">
        <v>250</v>
      </c>
      <c r="G968">
        <v>1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60</v>
      </c>
      <c r="B969" t="s">
        <v>30</v>
      </c>
      <c r="C969">
        <v>11</v>
      </c>
      <c r="D969">
        <v>1670</v>
      </c>
      <c r="E969">
        <v>1</v>
      </c>
      <c r="I969">
        <v>1976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2097</v>
      </c>
      <c r="E970">
        <v>1</v>
      </c>
      <c r="I970">
        <v>1824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2652</v>
      </c>
      <c r="E971">
        <v>0</v>
      </c>
      <c r="I971">
        <v>1976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1719</v>
      </c>
      <c r="E972">
        <v>2</v>
      </c>
      <c r="I972">
        <v>1824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1304</v>
      </c>
      <c r="E973">
        <v>1</v>
      </c>
      <c r="F973" t="s">
        <v>34</v>
      </c>
      <c r="G973">
        <v>2</v>
      </c>
      <c r="H973" t="s">
        <v>17</v>
      </c>
      <c r="I973">
        <v>0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1600</v>
      </c>
    </row>
    <row r="974" spans="1:12">
      <c r="A974" t="s">
        <v>60</v>
      </c>
      <c r="B974" t="s">
        <v>30</v>
      </c>
      <c r="C974">
        <v>11</v>
      </c>
      <c r="D974">
        <v>1662</v>
      </c>
      <c r="E974">
        <v>2</v>
      </c>
      <c r="I974">
        <v>1976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0</v>
      </c>
    </row>
    <row r="975" spans="1:12">
      <c r="A975" t="s">
        <v>60</v>
      </c>
      <c r="B975" t="s">
        <v>30</v>
      </c>
      <c r="C975">
        <v>11</v>
      </c>
      <c r="D975">
        <v>1385</v>
      </c>
      <c r="E975">
        <v>0</v>
      </c>
      <c r="I975">
        <v>2937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1707</v>
      </c>
      <c r="E976">
        <v>1</v>
      </c>
      <c r="I976">
        <v>1824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1589</v>
      </c>
      <c r="E977">
        <v>1</v>
      </c>
      <c r="F977" t="s">
        <v>34</v>
      </c>
      <c r="G977">
        <v>2</v>
      </c>
      <c r="H977" t="s">
        <v>17</v>
      </c>
      <c r="I977">
        <v>0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1600</v>
      </c>
    </row>
    <row r="978" spans="1:12">
      <c r="A978" t="s">
        <v>60</v>
      </c>
      <c r="B978" t="s">
        <v>30</v>
      </c>
      <c r="C978">
        <v>11</v>
      </c>
      <c r="D978">
        <v>1796</v>
      </c>
      <c r="E978">
        <v>2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31</v>
      </c>
      <c r="B979" t="s">
        <v>30</v>
      </c>
      <c r="C979">
        <v>11</v>
      </c>
      <c r="D979">
        <v>2028</v>
      </c>
      <c r="E979">
        <v>0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1671</v>
      </c>
      <c r="E980">
        <v>0</v>
      </c>
      <c r="I980">
        <v>1824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0</v>
      </c>
    </row>
    <row r="981" spans="1:12">
      <c r="A981" t="s">
        <v>31</v>
      </c>
      <c r="B981" t="s">
        <v>30</v>
      </c>
      <c r="C981">
        <v>11</v>
      </c>
      <c r="D981">
        <v>777</v>
      </c>
      <c r="E981">
        <v>3</v>
      </c>
      <c r="I981">
        <v>2128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2328</v>
      </c>
      <c r="E982">
        <v>1</v>
      </c>
      <c r="F982" t="s">
        <v>34</v>
      </c>
      <c r="G982">
        <v>2</v>
      </c>
      <c r="H982" t="s">
        <v>17</v>
      </c>
      <c r="I982">
        <v>0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1600</v>
      </c>
    </row>
    <row r="983" spans="1:12">
      <c r="A983" t="s">
        <v>31</v>
      </c>
      <c r="B983" t="s">
        <v>30</v>
      </c>
      <c r="C983">
        <v>11</v>
      </c>
      <c r="D983">
        <v>1762</v>
      </c>
      <c r="E983">
        <v>2</v>
      </c>
      <c r="I983">
        <v>1976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0</v>
      </c>
    </row>
    <row r="984" spans="1:12">
      <c r="A984" t="s">
        <v>31</v>
      </c>
      <c r="B984" t="s">
        <v>30</v>
      </c>
      <c r="C984">
        <v>11</v>
      </c>
      <c r="D984">
        <v>1553</v>
      </c>
      <c r="E984">
        <v>1</v>
      </c>
      <c r="I984">
        <v>2937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1066</v>
      </c>
      <c r="E985">
        <v>1</v>
      </c>
      <c r="F985" t="s">
        <v>34</v>
      </c>
      <c r="G985">
        <v>2</v>
      </c>
      <c r="H985" t="s">
        <v>17</v>
      </c>
      <c r="I985">
        <v>0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1600</v>
      </c>
    </row>
    <row r="986" spans="1:12">
      <c r="A986" t="s">
        <v>31</v>
      </c>
      <c r="B986" t="s">
        <v>30</v>
      </c>
      <c r="C986">
        <v>11</v>
      </c>
      <c r="D986">
        <v>1654</v>
      </c>
      <c r="E986">
        <v>0</v>
      </c>
      <c r="I986">
        <v>2937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0</v>
      </c>
    </row>
    <row r="987" spans="1:12">
      <c r="A987" t="s">
        <v>60</v>
      </c>
      <c r="B987" t="s">
        <v>30</v>
      </c>
      <c r="C987">
        <v>11</v>
      </c>
      <c r="D987">
        <v>2758</v>
      </c>
      <c r="E987">
        <v>0</v>
      </c>
      <c r="F987" t="s">
        <v>34</v>
      </c>
      <c r="G987">
        <v>2</v>
      </c>
      <c r="H987" t="s">
        <v>17</v>
      </c>
      <c r="I987">
        <v>0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1600</v>
      </c>
    </row>
    <row r="988" spans="1:12">
      <c r="A988" t="s">
        <v>36</v>
      </c>
      <c r="B988" t="s">
        <v>9</v>
      </c>
      <c r="C988">
        <v>9</v>
      </c>
      <c r="D988">
        <v>3008</v>
      </c>
      <c r="E988">
        <v>1</v>
      </c>
      <c r="F988" t="s">
        <v>252</v>
      </c>
      <c r="G988">
        <v>5</v>
      </c>
      <c r="H988" t="s">
        <v>270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0</v>
      </c>
    </row>
    <row r="989" spans="1:12">
      <c r="A989" t="s">
        <v>172</v>
      </c>
      <c r="B989" t="s">
        <v>9</v>
      </c>
      <c r="C989">
        <v>7</v>
      </c>
      <c r="D989">
        <v>2997</v>
      </c>
      <c r="E989">
        <v>0</v>
      </c>
      <c r="F989" t="s">
        <v>34</v>
      </c>
      <c r="G989">
        <v>4</v>
      </c>
      <c r="H989" t="s">
        <v>17</v>
      </c>
      <c r="I989">
        <v>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3200</v>
      </c>
    </row>
    <row r="990" spans="1:12">
      <c r="A990" t="s">
        <v>172</v>
      </c>
      <c r="B990" t="s">
        <v>9</v>
      </c>
      <c r="C990">
        <v>7</v>
      </c>
      <c r="D990">
        <v>3403</v>
      </c>
      <c r="E990">
        <v>3</v>
      </c>
      <c r="F990" t="s">
        <v>258</v>
      </c>
      <c r="G990">
        <v>1</v>
      </c>
      <c r="H990" t="s">
        <v>27</v>
      </c>
      <c r="I990">
        <v>3307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0</v>
      </c>
    </row>
    <row r="991" spans="1:12">
      <c r="A991" t="s">
        <v>172</v>
      </c>
      <c r="B991" t="s">
        <v>9</v>
      </c>
      <c r="C991">
        <v>7</v>
      </c>
      <c r="D991">
        <v>3941</v>
      </c>
      <c r="E991">
        <v>1</v>
      </c>
      <c r="F991" t="s">
        <v>34</v>
      </c>
      <c r="G991">
        <v>3</v>
      </c>
      <c r="H991" t="s">
        <v>17</v>
      </c>
      <c r="I991">
        <v>0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2400</v>
      </c>
    </row>
    <row r="992" spans="1:12">
      <c r="A992" t="s">
        <v>172</v>
      </c>
      <c r="B992" t="s">
        <v>9</v>
      </c>
      <c r="C992">
        <v>7</v>
      </c>
      <c r="D992">
        <v>2787</v>
      </c>
      <c r="E992">
        <v>1</v>
      </c>
      <c r="F992" t="s">
        <v>258</v>
      </c>
      <c r="G992">
        <v>1</v>
      </c>
      <c r="H992" t="s">
        <v>27</v>
      </c>
      <c r="I992">
        <v>5512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0</v>
      </c>
    </row>
    <row r="993" spans="1:12">
      <c r="A993" t="s">
        <v>172</v>
      </c>
      <c r="B993" t="s">
        <v>9</v>
      </c>
      <c r="C993">
        <v>7</v>
      </c>
      <c r="D993">
        <v>3709</v>
      </c>
      <c r="E993">
        <v>1</v>
      </c>
      <c r="F993" t="s">
        <v>34</v>
      </c>
      <c r="G993">
        <v>3</v>
      </c>
      <c r="H993" t="s">
        <v>17</v>
      </c>
      <c r="I993">
        <v>0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2400</v>
      </c>
    </row>
    <row r="994" spans="1:12">
      <c r="A994" t="s">
        <v>172</v>
      </c>
      <c r="B994" t="s">
        <v>9</v>
      </c>
      <c r="C994">
        <v>7</v>
      </c>
      <c r="D994">
        <v>3276</v>
      </c>
      <c r="E994">
        <v>4</v>
      </c>
      <c r="F994" t="s">
        <v>258</v>
      </c>
      <c r="G994">
        <v>1</v>
      </c>
      <c r="H994" t="s">
        <v>27</v>
      </c>
      <c r="I994">
        <v>2411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0</v>
      </c>
    </row>
    <row r="995" spans="1:12">
      <c r="A995" t="s">
        <v>172</v>
      </c>
      <c r="B995" t="s">
        <v>9</v>
      </c>
      <c r="C995">
        <v>7</v>
      </c>
      <c r="D995">
        <v>2942</v>
      </c>
      <c r="E995">
        <v>1</v>
      </c>
      <c r="F995" t="s">
        <v>34</v>
      </c>
      <c r="G995">
        <v>4</v>
      </c>
      <c r="H995" t="s">
        <v>17</v>
      </c>
      <c r="I995">
        <v>0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3200</v>
      </c>
    </row>
    <row r="996" spans="1:12">
      <c r="A996" t="s">
        <v>172</v>
      </c>
      <c r="B996" t="s">
        <v>9</v>
      </c>
      <c r="C996">
        <v>7</v>
      </c>
      <c r="D996">
        <v>3049</v>
      </c>
      <c r="E996">
        <v>1</v>
      </c>
      <c r="F996" t="s">
        <v>258</v>
      </c>
      <c r="G996">
        <v>1</v>
      </c>
      <c r="H996" t="s">
        <v>27</v>
      </c>
      <c r="I996">
        <v>3927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0</v>
      </c>
    </row>
    <row r="997" spans="1:12">
      <c r="A997" t="s">
        <v>172</v>
      </c>
      <c r="B997" t="s">
        <v>9</v>
      </c>
      <c r="C997">
        <v>7</v>
      </c>
      <c r="D997">
        <v>2793</v>
      </c>
      <c r="E997">
        <v>0</v>
      </c>
      <c r="F997" t="s">
        <v>291</v>
      </c>
      <c r="G997">
        <v>1</v>
      </c>
      <c r="H997" t="s">
        <v>26</v>
      </c>
      <c r="I997">
        <v>1971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3111</v>
      </c>
      <c r="E998">
        <v>1</v>
      </c>
      <c r="F998" t="s">
        <v>291</v>
      </c>
      <c r="G998">
        <v>1</v>
      </c>
      <c r="H998" t="s">
        <v>27</v>
      </c>
      <c r="I998">
        <v>3720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2990</v>
      </c>
      <c r="E999">
        <v>0</v>
      </c>
      <c r="F999" t="s">
        <v>258</v>
      </c>
      <c r="G999">
        <v>1</v>
      </c>
      <c r="H999" t="s">
        <v>27</v>
      </c>
      <c r="I999">
        <v>4134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3378</v>
      </c>
      <c r="E1000">
        <v>1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2940</v>
      </c>
      <c r="E1001">
        <v>3</v>
      </c>
      <c r="F1001" t="s">
        <v>291</v>
      </c>
      <c r="G1001">
        <v>1</v>
      </c>
      <c r="H1001" t="s">
        <v>27</v>
      </c>
      <c r="I1001">
        <v>4042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3698</v>
      </c>
      <c r="E1002">
        <v>3</v>
      </c>
      <c r="F1002" t="s">
        <v>258</v>
      </c>
      <c r="G1002">
        <v>1</v>
      </c>
      <c r="H1002" t="s">
        <v>28</v>
      </c>
      <c r="I1002">
        <v>8500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3224</v>
      </c>
      <c r="E1003">
        <v>0</v>
      </c>
      <c r="F1003" t="s">
        <v>34</v>
      </c>
      <c r="G1003">
        <v>3</v>
      </c>
      <c r="H1003" t="s">
        <v>17</v>
      </c>
      <c r="I1003">
        <v>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2400</v>
      </c>
    </row>
    <row r="1004" spans="1:12">
      <c r="A1004" t="s">
        <v>172</v>
      </c>
      <c r="B1004" t="s">
        <v>9</v>
      </c>
      <c r="C1004">
        <v>7</v>
      </c>
      <c r="D1004">
        <v>2991</v>
      </c>
      <c r="E1004">
        <v>3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3535</v>
      </c>
      <c r="E1005">
        <v>2</v>
      </c>
      <c r="F1005" t="s">
        <v>258</v>
      </c>
      <c r="G1005">
        <v>1</v>
      </c>
      <c r="H1005" t="s">
        <v>28</v>
      </c>
      <c r="I1005">
        <v>5057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0</v>
      </c>
    </row>
    <row r="1006" spans="1:12">
      <c r="A1006" t="s">
        <v>172</v>
      </c>
      <c r="B1006" t="s">
        <v>9</v>
      </c>
      <c r="C1006">
        <v>7</v>
      </c>
      <c r="D1006">
        <v>3010</v>
      </c>
      <c r="E1006">
        <v>1</v>
      </c>
      <c r="F1006" t="s">
        <v>258</v>
      </c>
      <c r="G1006">
        <v>1</v>
      </c>
      <c r="H1006" t="s">
        <v>28</v>
      </c>
      <c r="I1006">
        <v>6800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3005</v>
      </c>
      <c r="E1007">
        <v>2</v>
      </c>
      <c r="F1007" t="s">
        <v>258</v>
      </c>
      <c r="G1007">
        <v>1</v>
      </c>
      <c r="H1007" t="s">
        <v>27</v>
      </c>
      <c r="I1007">
        <v>7028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2684</v>
      </c>
      <c r="E1008">
        <v>1</v>
      </c>
      <c r="F1008" t="s">
        <v>34</v>
      </c>
      <c r="G1008">
        <v>4</v>
      </c>
      <c r="H1008" t="s">
        <v>17</v>
      </c>
      <c r="I1008">
        <v>0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3200</v>
      </c>
    </row>
    <row r="1009" spans="1:12">
      <c r="A1009" t="s">
        <v>172</v>
      </c>
      <c r="B1009" t="s">
        <v>9</v>
      </c>
      <c r="C1009">
        <v>7</v>
      </c>
      <c r="D1009">
        <v>3225</v>
      </c>
      <c r="E1009">
        <v>0</v>
      </c>
      <c r="F1009" t="s">
        <v>291</v>
      </c>
      <c r="G1009">
        <v>1</v>
      </c>
      <c r="H1009" t="s">
        <v>27</v>
      </c>
      <c r="I1009">
        <v>4295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0</v>
      </c>
    </row>
    <row r="1010" spans="1:12">
      <c r="A1010" t="s">
        <v>172</v>
      </c>
      <c r="B1010" t="s">
        <v>9</v>
      </c>
      <c r="C1010">
        <v>7</v>
      </c>
      <c r="D1010">
        <v>3020</v>
      </c>
      <c r="E1010">
        <v>1</v>
      </c>
      <c r="F1010" t="s">
        <v>258</v>
      </c>
      <c r="G1010">
        <v>1</v>
      </c>
      <c r="H1010" t="s">
        <v>27</v>
      </c>
      <c r="I1010">
        <v>4134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2530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3259</v>
      </c>
      <c r="E1012">
        <v>1</v>
      </c>
      <c r="F1012" t="s">
        <v>291</v>
      </c>
      <c r="G1012">
        <v>1</v>
      </c>
      <c r="H1012" t="s">
        <v>27</v>
      </c>
      <c r="I1012">
        <v>3675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2913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2901</v>
      </c>
      <c r="E1014">
        <v>0</v>
      </c>
      <c r="F1014" t="s">
        <v>291</v>
      </c>
      <c r="G1014">
        <v>1</v>
      </c>
      <c r="H1014" t="s">
        <v>26</v>
      </c>
      <c r="I1014">
        <v>2319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3437</v>
      </c>
      <c r="E1015">
        <v>2</v>
      </c>
      <c r="F1015" t="s">
        <v>258</v>
      </c>
      <c r="G1015">
        <v>1</v>
      </c>
      <c r="H1015" t="s">
        <v>27</v>
      </c>
      <c r="I1015">
        <v>2411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2966</v>
      </c>
      <c r="E1016">
        <v>2</v>
      </c>
      <c r="F1016" t="s">
        <v>205</v>
      </c>
      <c r="G1016">
        <v>2</v>
      </c>
      <c r="H1016" t="s">
        <v>26</v>
      </c>
      <c r="I1016">
        <v>0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3">
        <f>IFERROR(SUMIFS(Tabela10[Fod Worth],Tabela10[Drop],DropAnalityka[[#This Row],[Drop]],Tabela10[Grade],DropAnalityka[[#This Row],[Grade]])*DropAnalityka[[#This Row],[Quality/Quantity]],0)</f>
        <v>1725</v>
      </c>
      <c r="L1016" s="43">
        <f>IFERROR(SUMIFS(Tabela10[Exp Gain only 2*+],Tabela10[Drop],DropAnalityka[[#This Row],[Drop]],Tabela10[Grade],DropAnalityka[[#This Row],[Grade]])*DropAnalityka[[#This Row],[Quality/Quantity]],0)</f>
        <v>1791.1</v>
      </c>
    </row>
    <row r="1017" spans="1:12">
      <c r="A1017" t="s">
        <v>172</v>
      </c>
      <c r="B1017" t="s">
        <v>9</v>
      </c>
      <c r="C1017">
        <v>7</v>
      </c>
      <c r="D1017">
        <v>3352</v>
      </c>
      <c r="E1017">
        <v>1</v>
      </c>
      <c r="F1017" t="s">
        <v>291</v>
      </c>
      <c r="G1017">
        <v>1</v>
      </c>
      <c r="H1017" t="s">
        <v>27</v>
      </c>
      <c r="I1017">
        <v>6615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7" s="43">
        <f>IFERROR(SUMIFS(Tabela10[Fod Worth],Tabela10[Drop],DropAnalityka[[#This Row],[Drop]],Tabela10[Grade],DropAnalityka[[#This Row],[Grade]])*DropAnalityka[[#This Row],[Quality/Quantity]],0)</f>
        <v>0</v>
      </c>
      <c r="L1017" s="43">
        <f>IFERROR(SUMIFS(Tabela10[Exp Gain only 2*+],Tabela10[Drop],DropAnalityka[[#This Row],[Drop]],Tabela10[Grade],DropAnalityka[[#This Row],[Grade]])*DropAnalityka[[#This Row],[Quality/Quantity]],0)</f>
        <v>0</v>
      </c>
    </row>
    <row r="1018" spans="1:12">
      <c r="A1018" t="s">
        <v>172</v>
      </c>
      <c r="B1018" t="s">
        <v>9</v>
      </c>
      <c r="C1018">
        <v>7</v>
      </c>
      <c r="D1018">
        <v>2869</v>
      </c>
      <c r="E1018">
        <v>1</v>
      </c>
      <c r="F1018" t="s">
        <v>34</v>
      </c>
      <c r="G1018">
        <v>4</v>
      </c>
      <c r="H1018" t="s">
        <v>17</v>
      </c>
      <c r="I1018">
        <v>0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3200</v>
      </c>
    </row>
    <row r="1019" spans="1:12">
      <c r="A1019" t="s">
        <v>172</v>
      </c>
      <c r="B1019" t="s">
        <v>9</v>
      </c>
      <c r="C1019">
        <v>7</v>
      </c>
      <c r="D1019">
        <v>2535</v>
      </c>
      <c r="E1019">
        <v>1</v>
      </c>
      <c r="F1019" t="s">
        <v>258</v>
      </c>
      <c r="G1019">
        <v>1</v>
      </c>
      <c r="H1019" t="s">
        <v>27</v>
      </c>
      <c r="I1019">
        <v>3307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0</v>
      </c>
    </row>
    <row r="1020" spans="1:12">
      <c r="A1020" t="s">
        <v>172</v>
      </c>
      <c r="B1020" t="s">
        <v>9</v>
      </c>
      <c r="C1020">
        <v>7</v>
      </c>
      <c r="D1020">
        <v>3507</v>
      </c>
      <c r="E1020">
        <v>0</v>
      </c>
      <c r="F1020" t="s">
        <v>58</v>
      </c>
      <c r="G1020">
        <v>1</v>
      </c>
      <c r="H1020" t="s">
        <v>12</v>
      </c>
      <c r="I1020">
        <v>0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3">
        <f>IFERROR(SUMIFS(Tabela10[Fod Worth],Tabela10[Drop],DropAnalityka[[#This Row],[Drop]],Tabela10[Grade],DropAnalityka[[#This Row],[Grade]])*DropAnalityka[[#This Row],[Quality/Quantity]],0)</f>
        <v>11500</v>
      </c>
      <c r="L1020" s="43">
        <f>IFERROR(SUMIFS(Tabela10[Exp Gain only 2*+],Tabela10[Drop],DropAnalityka[[#This Row],[Drop]],Tabela10[Grade],DropAnalityka[[#This Row],[Grade]])*DropAnalityka[[#This Row],[Quality/Quantity]],0)</f>
        <v>35822</v>
      </c>
    </row>
    <row r="1021" spans="1:12">
      <c r="A1021" t="s">
        <v>172</v>
      </c>
      <c r="B1021" t="s">
        <v>9</v>
      </c>
      <c r="C1021">
        <v>7</v>
      </c>
      <c r="D1021">
        <v>2571</v>
      </c>
      <c r="E1021">
        <v>0</v>
      </c>
      <c r="F1021" t="s">
        <v>34</v>
      </c>
      <c r="G1021">
        <v>3</v>
      </c>
      <c r="H1021" t="s">
        <v>17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1" s="43">
        <f>IFERROR(SUMIFS(Tabela10[Fod Worth],Tabela10[Drop],DropAnalityka[[#This Row],[Drop]],Tabela10[Grade],DropAnalityka[[#This Row],[Grade]])*DropAnalityka[[#This Row],[Quality/Quantity]],0)</f>
        <v>0</v>
      </c>
      <c r="L1021" s="43">
        <f>IFERROR(SUMIFS(Tabela10[Exp Gain only 2*+],Tabela10[Drop],DropAnalityka[[#This Row],[Drop]],Tabela10[Grade],DropAnalityka[[#This Row],[Grade]])*DropAnalityka[[#This Row],[Quality/Quantity]],0)</f>
        <v>2400</v>
      </c>
    </row>
    <row r="1022" spans="1:12">
      <c r="A1022" t="s">
        <v>172</v>
      </c>
      <c r="B1022" t="s">
        <v>9</v>
      </c>
      <c r="C1022">
        <v>7</v>
      </c>
      <c r="D1022">
        <v>3364</v>
      </c>
      <c r="E1022">
        <v>1</v>
      </c>
      <c r="F1022" t="s">
        <v>258</v>
      </c>
      <c r="G1022">
        <v>1</v>
      </c>
      <c r="H1022" t="s">
        <v>27</v>
      </c>
      <c r="I1022">
        <v>2205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0</v>
      </c>
    </row>
    <row r="1023" spans="1:12">
      <c r="A1023" t="s">
        <v>172</v>
      </c>
      <c r="B1023" t="s">
        <v>9</v>
      </c>
      <c r="C1023">
        <v>7</v>
      </c>
      <c r="D1023">
        <v>3190</v>
      </c>
      <c r="E1023">
        <v>1</v>
      </c>
      <c r="F1023" t="s">
        <v>34</v>
      </c>
      <c r="G1023">
        <v>3</v>
      </c>
      <c r="H1023" t="s">
        <v>17</v>
      </c>
      <c r="I1023">
        <v>0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2400</v>
      </c>
    </row>
    <row r="1024" spans="1:12">
      <c r="A1024" t="s">
        <v>172</v>
      </c>
      <c r="B1024" t="s">
        <v>9</v>
      </c>
      <c r="C1024">
        <v>7</v>
      </c>
      <c r="D1024">
        <v>3129</v>
      </c>
      <c r="E1024">
        <v>0</v>
      </c>
      <c r="F1024" t="s">
        <v>34</v>
      </c>
      <c r="G1024">
        <v>4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3200</v>
      </c>
    </row>
    <row r="1025" spans="1:13">
      <c r="A1025" t="s">
        <v>172</v>
      </c>
      <c r="B1025" t="s">
        <v>9</v>
      </c>
      <c r="C1025">
        <v>7</v>
      </c>
      <c r="D1025">
        <v>3416</v>
      </c>
      <c r="E1025">
        <v>0</v>
      </c>
      <c r="F1025" t="s">
        <v>258</v>
      </c>
      <c r="G1025">
        <v>1</v>
      </c>
      <c r="H1025" t="s">
        <v>27</v>
      </c>
      <c r="I1025">
        <v>2894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0</v>
      </c>
    </row>
    <row r="1026" spans="1:13">
      <c r="A1026" t="s">
        <v>172</v>
      </c>
      <c r="B1026" t="s">
        <v>9</v>
      </c>
      <c r="C1026">
        <v>7</v>
      </c>
      <c r="D1026">
        <v>2949</v>
      </c>
      <c r="E1026">
        <v>2</v>
      </c>
      <c r="F1026" t="s">
        <v>258</v>
      </c>
      <c r="G1026">
        <v>1</v>
      </c>
      <c r="H1026" t="s">
        <v>28</v>
      </c>
      <c r="I1026">
        <v>5355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2714</v>
      </c>
      <c r="E1027">
        <v>2</v>
      </c>
      <c r="F1027" t="s">
        <v>34</v>
      </c>
      <c r="G1027">
        <v>3</v>
      </c>
      <c r="H1027" t="s">
        <v>17</v>
      </c>
      <c r="I1027">
        <v>0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2400</v>
      </c>
    </row>
    <row r="1028" spans="1:13">
      <c r="A1028" t="s">
        <v>172</v>
      </c>
      <c r="B1028" t="s">
        <v>9</v>
      </c>
      <c r="C1028">
        <v>7</v>
      </c>
      <c r="D1028">
        <v>2949</v>
      </c>
      <c r="E1028">
        <v>1</v>
      </c>
      <c r="F1028" t="s">
        <v>34</v>
      </c>
      <c r="G1028">
        <v>4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3200</v>
      </c>
    </row>
    <row r="1029" spans="1:13">
      <c r="A1029" t="s">
        <v>172</v>
      </c>
      <c r="B1029" t="s">
        <v>9</v>
      </c>
      <c r="C1029">
        <v>7</v>
      </c>
      <c r="D1029">
        <v>3175</v>
      </c>
      <c r="E1029">
        <v>0</v>
      </c>
      <c r="F1029" t="s">
        <v>34</v>
      </c>
      <c r="G1029">
        <v>3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2400</v>
      </c>
    </row>
    <row r="1030" spans="1:13">
      <c r="A1030" t="s">
        <v>172</v>
      </c>
      <c r="B1030" t="s">
        <v>9</v>
      </c>
      <c r="C1030">
        <v>7</v>
      </c>
      <c r="D1030">
        <v>3045</v>
      </c>
      <c r="E1030">
        <v>0</v>
      </c>
      <c r="F1030" t="s">
        <v>258</v>
      </c>
      <c r="G1030">
        <v>1</v>
      </c>
      <c r="H1030" t="s">
        <v>27</v>
      </c>
      <c r="I1030">
        <v>3514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0</v>
      </c>
    </row>
    <row r="1031" spans="1:13">
      <c r="A1031" t="s">
        <v>172</v>
      </c>
      <c r="B1031" t="s">
        <v>9</v>
      </c>
      <c r="C1031">
        <v>7</v>
      </c>
      <c r="D1031">
        <v>3609</v>
      </c>
      <c r="E1031">
        <v>1</v>
      </c>
      <c r="F1031" t="s">
        <v>34</v>
      </c>
      <c r="G1031">
        <v>3</v>
      </c>
      <c r="H1031" t="s">
        <v>17</v>
      </c>
      <c r="I1031">
        <v>0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2400</v>
      </c>
    </row>
    <row r="1032" spans="1:13">
      <c r="A1032" t="s">
        <v>172</v>
      </c>
      <c r="B1032" t="s">
        <v>9</v>
      </c>
      <c r="C1032">
        <v>7</v>
      </c>
      <c r="D1032">
        <v>2795</v>
      </c>
      <c r="E1032">
        <v>1</v>
      </c>
      <c r="F1032" t="s">
        <v>258</v>
      </c>
      <c r="G1032">
        <v>1</v>
      </c>
      <c r="H1032" t="s">
        <v>27</v>
      </c>
      <c r="I1032">
        <v>3675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0</v>
      </c>
    </row>
    <row r="1033" spans="1:13">
      <c r="A1033" t="s">
        <v>172</v>
      </c>
      <c r="B1033" t="s">
        <v>9</v>
      </c>
      <c r="C1033">
        <v>7</v>
      </c>
      <c r="D1033">
        <v>3324</v>
      </c>
      <c r="E1033">
        <v>0</v>
      </c>
      <c r="F1033" t="s">
        <v>258</v>
      </c>
      <c r="G1033">
        <v>1</v>
      </c>
      <c r="H1033" t="s">
        <v>27</v>
      </c>
      <c r="I1033">
        <v>2205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2600</v>
      </c>
      <c r="E1034">
        <v>0</v>
      </c>
      <c r="F1034" t="s">
        <v>34</v>
      </c>
      <c r="G1034">
        <v>3</v>
      </c>
      <c r="H1034" t="s">
        <v>17</v>
      </c>
      <c r="I1034">
        <v>0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2400</v>
      </c>
    </row>
    <row r="1035" spans="1:13">
      <c r="A1035" t="s">
        <v>172</v>
      </c>
      <c r="B1035" t="s">
        <v>9</v>
      </c>
      <c r="C1035">
        <v>7</v>
      </c>
      <c r="D1035">
        <v>2789</v>
      </c>
      <c r="E1035">
        <v>1</v>
      </c>
      <c r="F1035" t="s">
        <v>291</v>
      </c>
      <c r="G1035">
        <v>1</v>
      </c>
      <c r="H1035" t="s">
        <v>27</v>
      </c>
      <c r="I1035">
        <v>3675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0</v>
      </c>
    </row>
    <row r="1036" spans="1:13">
      <c r="A1036" t="s">
        <v>172</v>
      </c>
      <c r="B1036" t="s">
        <v>9</v>
      </c>
      <c r="C1036">
        <v>7</v>
      </c>
      <c r="D1036">
        <v>3263</v>
      </c>
      <c r="E1036">
        <v>1</v>
      </c>
      <c r="F1036" t="s">
        <v>291</v>
      </c>
      <c r="G1036">
        <v>1</v>
      </c>
      <c r="H1036" t="s">
        <v>28</v>
      </c>
      <c r="I1036">
        <v>13005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3037</v>
      </c>
      <c r="E1037">
        <v>2</v>
      </c>
      <c r="F1037" t="s">
        <v>34</v>
      </c>
      <c r="G1037">
        <v>3</v>
      </c>
      <c r="H1037" t="s">
        <v>17</v>
      </c>
      <c r="I1037">
        <v>0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2400</v>
      </c>
    </row>
    <row r="1038" spans="1:13">
      <c r="A1038" t="s">
        <v>172</v>
      </c>
      <c r="B1038" t="s">
        <v>9</v>
      </c>
      <c r="C1038">
        <v>7</v>
      </c>
      <c r="D1038">
        <v>1028</v>
      </c>
      <c r="E1038">
        <v>2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0</v>
      </c>
      <c r="M1038" t="s">
        <v>204</v>
      </c>
    </row>
    <row r="1039" spans="1:13">
      <c r="A1039" t="s">
        <v>172</v>
      </c>
      <c r="B1039" t="s">
        <v>9</v>
      </c>
      <c r="C1039">
        <v>8</v>
      </c>
      <c r="D1039">
        <v>3555</v>
      </c>
      <c r="E1039">
        <v>0</v>
      </c>
      <c r="F1039" t="s">
        <v>34</v>
      </c>
      <c r="G1039">
        <v>5</v>
      </c>
      <c r="H1039" t="s">
        <v>17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4000</v>
      </c>
    </row>
    <row r="1040" spans="1:13">
      <c r="A1040" t="s">
        <v>172</v>
      </c>
      <c r="B1040" t="s">
        <v>9</v>
      </c>
      <c r="C1040">
        <v>8</v>
      </c>
      <c r="D1040">
        <v>3633</v>
      </c>
      <c r="E1040">
        <v>0</v>
      </c>
      <c r="F1040" t="s">
        <v>34</v>
      </c>
      <c r="G1040">
        <v>4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3200</v>
      </c>
    </row>
    <row r="1041" spans="1:12">
      <c r="A1041" t="s">
        <v>172</v>
      </c>
      <c r="B1041" t="s">
        <v>9</v>
      </c>
      <c r="C1041">
        <v>8</v>
      </c>
      <c r="D1041">
        <v>3251</v>
      </c>
      <c r="E1041">
        <v>1</v>
      </c>
      <c r="F1041" t="s">
        <v>291</v>
      </c>
      <c r="G1041">
        <v>1</v>
      </c>
      <c r="H1041" t="s">
        <v>27</v>
      </c>
      <c r="I1041">
        <v>4134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0</v>
      </c>
    </row>
    <row r="1042" spans="1:12">
      <c r="A1042" t="s">
        <v>172</v>
      </c>
      <c r="B1042" t="s">
        <v>9</v>
      </c>
      <c r="C1042">
        <v>8</v>
      </c>
      <c r="D1042">
        <v>3614</v>
      </c>
      <c r="E1042">
        <v>1</v>
      </c>
      <c r="F1042" t="s">
        <v>291</v>
      </c>
      <c r="G1042">
        <v>1</v>
      </c>
      <c r="H1042" t="s">
        <v>28</v>
      </c>
      <c r="I1042">
        <v>7947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3238</v>
      </c>
      <c r="E1043">
        <v>1</v>
      </c>
      <c r="F1043" t="s">
        <v>258</v>
      </c>
      <c r="G1043">
        <v>1</v>
      </c>
      <c r="H1043" t="s">
        <v>27</v>
      </c>
      <c r="I1043">
        <v>4134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3097</v>
      </c>
      <c r="E1044">
        <v>0</v>
      </c>
      <c r="F1044" t="s">
        <v>258</v>
      </c>
      <c r="G1044">
        <v>1</v>
      </c>
      <c r="H1044" t="s">
        <v>27</v>
      </c>
      <c r="I1044">
        <v>3054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2801</v>
      </c>
      <c r="E1045">
        <v>0</v>
      </c>
      <c r="F1045" t="s">
        <v>258</v>
      </c>
      <c r="G1045">
        <v>1</v>
      </c>
      <c r="H1045" t="s">
        <v>27</v>
      </c>
      <c r="I1045">
        <v>2618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3150</v>
      </c>
      <c r="E1046">
        <v>0</v>
      </c>
      <c r="F1046" t="s">
        <v>258</v>
      </c>
      <c r="G1046">
        <v>1</v>
      </c>
      <c r="H1046" t="s">
        <v>28</v>
      </c>
      <c r="I1046">
        <v>5440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3588</v>
      </c>
      <c r="E1047">
        <v>1</v>
      </c>
      <c r="F1047" t="s">
        <v>258</v>
      </c>
      <c r="G1047">
        <v>1</v>
      </c>
      <c r="H1047" t="s">
        <v>28</v>
      </c>
      <c r="I1047">
        <v>6800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3318</v>
      </c>
      <c r="E1048">
        <v>1</v>
      </c>
      <c r="F1048" t="s">
        <v>34</v>
      </c>
      <c r="G1048">
        <v>1</v>
      </c>
      <c r="H1048" t="s">
        <v>27</v>
      </c>
      <c r="I1048">
        <v>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3137</v>
      </c>
      <c r="E1049">
        <v>0</v>
      </c>
      <c r="F1049" t="s">
        <v>291</v>
      </c>
      <c r="G1049">
        <v>1</v>
      </c>
      <c r="H1049" t="s">
        <v>27</v>
      </c>
      <c r="I1049">
        <v>3491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3409</v>
      </c>
      <c r="E1050">
        <v>0</v>
      </c>
      <c r="F1050" t="s">
        <v>34</v>
      </c>
      <c r="G1050">
        <v>5</v>
      </c>
      <c r="H1050" t="s">
        <v>17</v>
      </c>
      <c r="I1050">
        <v>0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4000</v>
      </c>
    </row>
    <row r="1051" spans="1:12">
      <c r="A1051" t="s">
        <v>172</v>
      </c>
      <c r="B1051" t="s">
        <v>9</v>
      </c>
      <c r="C1051">
        <v>8</v>
      </c>
      <c r="D1051">
        <v>3479</v>
      </c>
      <c r="E1051">
        <v>1</v>
      </c>
      <c r="F1051" t="s">
        <v>258</v>
      </c>
      <c r="G1051">
        <v>1</v>
      </c>
      <c r="H1051" t="s">
        <v>27</v>
      </c>
      <c r="I1051">
        <v>2411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0</v>
      </c>
    </row>
    <row r="1052" spans="1:12">
      <c r="A1052" t="s">
        <v>172</v>
      </c>
      <c r="B1052" t="s">
        <v>9</v>
      </c>
      <c r="C1052">
        <v>8</v>
      </c>
      <c r="D1052">
        <v>3505</v>
      </c>
      <c r="E1052">
        <v>2</v>
      </c>
      <c r="F1052" t="s">
        <v>291</v>
      </c>
      <c r="G1052">
        <v>1</v>
      </c>
      <c r="H1052" t="s">
        <v>28</v>
      </c>
      <c r="I1052">
        <v>7650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3378</v>
      </c>
      <c r="E1053">
        <v>1</v>
      </c>
      <c r="F1053" t="s">
        <v>258</v>
      </c>
      <c r="G1053">
        <v>1</v>
      </c>
      <c r="H1053" t="s">
        <v>27</v>
      </c>
      <c r="I1053">
        <v>3675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3978</v>
      </c>
      <c r="E1054">
        <v>2</v>
      </c>
      <c r="F1054" t="s">
        <v>34</v>
      </c>
      <c r="G1054">
        <v>5</v>
      </c>
      <c r="H1054" t="s">
        <v>17</v>
      </c>
      <c r="I1054">
        <v>0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4000</v>
      </c>
    </row>
    <row r="1055" spans="1:12">
      <c r="A1055" t="s">
        <v>172</v>
      </c>
      <c r="B1055" t="s">
        <v>9</v>
      </c>
      <c r="C1055">
        <v>8</v>
      </c>
      <c r="D1055">
        <v>4035</v>
      </c>
      <c r="E1055">
        <v>0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3616</v>
      </c>
      <c r="E1056">
        <v>1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3217</v>
      </c>
      <c r="E1057">
        <v>0</v>
      </c>
      <c r="F1057" t="s">
        <v>258</v>
      </c>
      <c r="G1057">
        <v>1</v>
      </c>
      <c r="H1057" t="s">
        <v>28</v>
      </c>
      <c r="I1057">
        <v>5440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0</v>
      </c>
    </row>
    <row r="1058" spans="1:12">
      <c r="A1058" t="s">
        <v>172</v>
      </c>
      <c r="B1058" t="s">
        <v>9</v>
      </c>
      <c r="C1058">
        <v>8</v>
      </c>
      <c r="D1058">
        <v>3453</v>
      </c>
      <c r="E1058">
        <v>0</v>
      </c>
      <c r="F1058" t="s">
        <v>258</v>
      </c>
      <c r="G1058">
        <v>1</v>
      </c>
      <c r="H1058" t="s">
        <v>28</v>
      </c>
      <c r="I1058">
        <v>4080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3773</v>
      </c>
      <c r="E1059">
        <v>1</v>
      </c>
      <c r="F1059" t="s">
        <v>291</v>
      </c>
      <c r="G1059">
        <v>1</v>
      </c>
      <c r="H1059" t="s">
        <v>27</v>
      </c>
      <c r="I1059">
        <v>4547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3152</v>
      </c>
      <c r="E1060">
        <v>2</v>
      </c>
      <c r="F1060" t="s">
        <v>258</v>
      </c>
      <c r="G1060">
        <v>1</v>
      </c>
      <c r="H1060" t="s">
        <v>27</v>
      </c>
      <c r="I1060">
        <v>3100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3199</v>
      </c>
      <c r="E1061">
        <v>2</v>
      </c>
      <c r="F1061" t="s">
        <v>34</v>
      </c>
      <c r="G1061">
        <v>4</v>
      </c>
      <c r="H1061" t="s">
        <v>17</v>
      </c>
      <c r="I1061">
        <v>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3200</v>
      </c>
    </row>
    <row r="1062" spans="1:12">
      <c r="A1062" t="s">
        <v>172</v>
      </c>
      <c r="B1062" t="s">
        <v>9</v>
      </c>
      <c r="C1062">
        <v>8</v>
      </c>
      <c r="D1062">
        <v>3391</v>
      </c>
      <c r="E1062">
        <v>1</v>
      </c>
      <c r="F1062" t="s">
        <v>318</v>
      </c>
      <c r="G1062">
        <v>1</v>
      </c>
      <c r="H1062" t="s">
        <v>27</v>
      </c>
      <c r="I1062">
        <v>5512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0</v>
      </c>
    </row>
    <row r="1063" spans="1:12">
      <c r="A1063" t="s">
        <v>172</v>
      </c>
      <c r="B1063" t="s">
        <v>9</v>
      </c>
      <c r="C1063">
        <v>8</v>
      </c>
      <c r="D1063">
        <v>3826</v>
      </c>
      <c r="E1063">
        <v>0</v>
      </c>
      <c r="F1063" t="s">
        <v>258</v>
      </c>
      <c r="G1063">
        <v>1</v>
      </c>
      <c r="H1063" t="s">
        <v>28</v>
      </c>
      <c r="I1063">
        <v>6885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286</v>
      </c>
      <c r="B1064" t="s">
        <v>32</v>
      </c>
      <c r="C1064">
        <v>5</v>
      </c>
      <c r="D1064">
        <v>2208</v>
      </c>
      <c r="E1064">
        <v>2</v>
      </c>
      <c r="I1064">
        <v>1236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2585</v>
      </c>
      <c r="E1065">
        <v>2</v>
      </c>
      <c r="I1065">
        <v>2205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2501</v>
      </c>
      <c r="E1066">
        <v>0</v>
      </c>
      <c r="I1066">
        <v>1236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1564</v>
      </c>
      <c r="E1067">
        <v>1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1352</v>
      </c>
      <c r="E1068">
        <v>0</v>
      </c>
      <c r="I1068">
        <v>2205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828</v>
      </c>
      <c r="E1069">
        <v>0</v>
      </c>
      <c r="I1069">
        <v>1236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1020</v>
      </c>
      <c r="E1070">
        <v>1</v>
      </c>
      <c r="F1070" t="s">
        <v>264</v>
      </c>
      <c r="G1070">
        <v>2</v>
      </c>
      <c r="I1070">
        <v>0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1937</v>
      </c>
      <c r="E1071">
        <v>1</v>
      </c>
      <c r="F1071" t="s">
        <v>264</v>
      </c>
      <c r="G1071">
        <v>3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2126</v>
      </c>
      <c r="E1072">
        <v>1</v>
      </c>
      <c r="I1072">
        <v>1443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1860</v>
      </c>
      <c r="E1073">
        <v>1</v>
      </c>
      <c r="I1073">
        <v>1236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1824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1625</v>
      </c>
      <c r="E1075">
        <v>2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31</v>
      </c>
      <c r="B1076" t="s">
        <v>30</v>
      </c>
      <c r="C1076">
        <v>11</v>
      </c>
      <c r="D1076">
        <v>1233</v>
      </c>
      <c r="E1076">
        <v>2</v>
      </c>
      <c r="I1076">
        <v>1824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910</v>
      </c>
      <c r="E1077">
        <v>1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2073</v>
      </c>
      <c r="E1078">
        <v>0</v>
      </c>
      <c r="I1078">
        <v>1976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1466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1067</v>
      </c>
      <c r="E1080">
        <v>3</v>
      </c>
      <c r="F1080" t="s">
        <v>57</v>
      </c>
      <c r="G1080">
        <v>1</v>
      </c>
      <c r="H1080" t="s">
        <v>12</v>
      </c>
      <c r="I1080">
        <v>0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3">
        <f>IFERROR(SUMIFS(Tabela10[Fod Worth],Tabela10[Drop],DropAnalityka[[#This Row],[Drop]],Tabela10[Grade],DropAnalityka[[#This Row],[Grade]])*DropAnalityka[[#This Row],[Quality/Quantity]],0)</f>
        <v>11500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1973</v>
      </c>
      <c r="E1081">
        <v>1</v>
      </c>
      <c r="I1081">
        <v>2937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1" s="43">
        <f>IFERROR(SUMIFS(Tabela10[Fod Worth],Tabela10[Drop],DropAnalityka[[#This Row],[Drop]],Tabela10[Grade],DropAnalityka[[#This Row],[Grade]])*DropAnalityka[[#This Row],[Quality/Quantity]],0)</f>
        <v>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319</v>
      </c>
      <c r="B1082" t="s">
        <v>30</v>
      </c>
      <c r="C1082">
        <v>1</v>
      </c>
      <c r="D1082">
        <v>1544</v>
      </c>
      <c r="E1082">
        <v>0</v>
      </c>
      <c r="I1082">
        <v>1824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1180</v>
      </c>
      <c r="E1083">
        <v>0</v>
      </c>
      <c r="I1083">
        <v>1976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1734</v>
      </c>
      <c r="E1084">
        <v>4</v>
      </c>
      <c r="I1084">
        <v>1824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1594</v>
      </c>
      <c r="E1085">
        <v>0</v>
      </c>
      <c r="I1085">
        <v>2128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1672</v>
      </c>
      <c r="E1086">
        <v>0</v>
      </c>
      <c r="I1086">
        <v>1824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1879</v>
      </c>
      <c r="E1087">
        <v>1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1455</v>
      </c>
      <c r="E1088">
        <v>1</v>
      </c>
      <c r="I1088">
        <v>2280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1898</v>
      </c>
      <c r="E1089">
        <v>1</v>
      </c>
      <c r="I1089">
        <v>1824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286</v>
      </c>
      <c r="B1090" t="s">
        <v>32</v>
      </c>
      <c r="C1090">
        <v>5</v>
      </c>
      <c r="D1090">
        <v>1959</v>
      </c>
      <c r="E1090">
        <v>1</v>
      </c>
      <c r="I1090">
        <v>2205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1626</v>
      </c>
      <c r="E1091">
        <v>0</v>
      </c>
      <c r="I1091">
        <v>1236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2155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1844</v>
      </c>
      <c r="E1093">
        <v>1</v>
      </c>
      <c r="I1093">
        <v>2205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645</v>
      </c>
      <c r="E1094">
        <v>2</v>
      </c>
      <c r="F1094" t="s">
        <v>34</v>
      </c>
      <c r="G1094">
        <v>3</v>
      </c>
      <c r="I1094">
        <v>0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623</v>
      </c>
      <c r="E1095">
        <v>1</v>
      </c>
      <c r="I1095">
        <v>2205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1484</v>
      </c>
      <c r="E1096">
        <v>2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1281</v>
      </c>
      <c r="E1097">
        <v>0</v>
      </c>
      <c r="I1097">
        <v>2572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839</v>
      </c>
      <c r="E1098">
        <v>1</v>
      </c>
      <c r="I1098">
        <v>2940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1785</v>
      </c>
      <c r="E1099">
        <v>2</v>
      </c>
      <c r="I1099">
        <v>1824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1214</v>
      </c>
      <c r="E1100">
        <v>0</v>
      </c>
      <c r="I1100">
        <v>1236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1200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1357</v>
      </c>
      <c r="E1102">
        <v>2</v>
      </c>
      <c r="F1102" t="s">
        <v>57</v>
      </c>
      <c r="G1102">
        <v>1</v>
      </c>
      <c r="H1102" t="s">
        <v>17</v>
      </c>
      <c r="I1102">
        <v>0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2917</v>
      </c>
      <c r="E1103">
        <v>0</v>
      </c>
      <c r="I1103">
        <v>1236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60</v>
      </c>
      <c r="B1104" t="s">
        <v>30</v>
      </c>
      <c r="C1104">
        <v>11</v>
      </c>
      <c r="D1104">
        <v>1467</v>
      </c>
      <c r="E1104">
        <v>0</v>
      </c>
      <c r="F1104" t="s">
        <v>34</v>
      </c>
      <c r="G1104">
        <v>2</v>
      </c>
      <c r="H1104" t="s">
        <v>17</v>
      </c>
      <c r="I1104">
        <v>0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1600</v>
      </c>
    </row>
    <row r="1105" spans="1:12">
      <c r="A1105" t="s">
        <v>60</v>
      </c>
      <c r="B1105" t="s">
        <v>30</v>
      </c>
      <c r="C1105">
        <v>11</v>
      </c>
      <c r="D1105">
        <v>1868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1204</v>
      </c>
      <c r="E1106">
        <v>1</v>
      </c>
      <c r="I1106">
        <v>1824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:12">
      <c r="A1107" t="s">
        <v>172</v>
      </c>
      <c r="B1107" t="s">
        <v>9</v>
      </c>
      <c r="C1107">
        <v>10</v>
      </c>
      <c r="D1107">
        <v>3766</v>
      </c>
      <c r="E1107">
        <v>0</v>
      </c>
      <c r="F1107" t="s">
        <v>258</v>
      </c>
      <c r="G1107">
        <v>1</v>
      </c>
      <c r="H1107" t="s">
        <v>28</v>
      </c>
      <c r="I1107">
        <v>10144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4343</v>
      </c>
      <c r="E1108">
        <v>0</v>
      </c>
      <c r="F1108" t="s">
        <v>291</v>
      </c>
      <c r="G1108">
        <v>1</v>
      </c>
      <c r="H1108" t="s">
        <v>27</v>
      </c>
      <c r="I1108">
        <v>3904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3715</v>
      </c>
      <c r="E1109">
        <v>1</v>
      </c>
      <c r="F1109" t="s">
        <v>34</v>
      </c>
      <c r="G1109">
        <v>4</v>
      </c>
      <c r="H1109" t="s">
        <v>17</v>
      </c>
      <c r="I1109">
        <v>0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3200</v>
      </c>
    </row>
    <row r="1110" spans="1:12">
      <c r="A1110" t="s">
        <v>172</v>
      </c>
      <c r="B1110" t="s">
        <v>9</v>
      </c>
      <c r="C1110">
        <v>10</v>
      </c>
      <c r="D1110">
        <v>3985</v>
      </c>
      <c r="E1110">
        <v>1</v>
      </c>
      <c r="F1110" t="s">
        <v>258</v>
      </c>
      <c r="G1110">
        <v>1</v>
      </c>
      <c r="H1110" t="s">
        <v>29</v>
      </c>
      <c r="I1110">
        <v>25677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:12">
      <c r="A1111" t="s">
        <v>172</v>
      </c>
      <c r="B1111" t="s">
        <v>9</v>
      </c>
      <c r="C1111">
        <v>10</v>
      </c>
      <c r="D1111">
        <v>4284</v>
      </c>
      <c r="E1111">
        <v>0</v>
      </c>
      <c r="F1111" t="s">
        <v>34</v>
      </c>
      <c r="G1111">
        <v>5</v>
      </c>
      <c r="H1111" t="s">
        <v>17</v>
      </c>
      <c r="I1111">
        <v>0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4000</v>
      </c>
    </row>
    <row r="1112" spans="1:12">
      <c r="A1112" t="s">
        <v>172</v>
      </c>
      <c r="B1112" t="s">
        <v>9</v>
      </c>
      <c r="C1112">
        <v>10</v>
      </c>
      <c r="D1112">
        <v>4613</v>
      </c>
      <c r="E1112">
        <v>0</v>
      </c>
      <c r="F1112" t="s">
        <v>258</v>
      </c>
      <c r="G1112">
        <v>1</v>
      </c>
      <c r="H1112" t="s">
        <v>28</v>
      </c>
      <c r="I1112">
        <v>5440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:12">
      <c r="A1113" t="s">
        <v>172</v>
      </c>
      <c r="B1113" t="s">
        <v>9</v>
      </c>
      <c r="C1113">
        <v>10</v>
      </c>
      <c r="D1113">
        <v>4512</v>
      </c>
      <c r="E1113">
        <v>0</v>
      </c>
      <c r="F1113" t="s">
        <v>258</v>
      </c>
      <c r="G1113">
        <v>1</v>
      </c>
      <c r="H1113" t="s">
        <v>28</v>
      </c>
      <c r="I1113">
        <v>6800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4000</v>
      </c>
      <c r="E1114">
        <v>1</v>
      </c>
      <c r="F1114" t="s">
        <v>58</v>
      </c>
      <c r="G1114">
        <v>1</v>
      </c>
      <c r="H1114" t="s">
        <v>26</v>
      </c>
      <c r="I1114">
        <v>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34500</v>
      </c>
      <c r="L1114" s="43">
        <f>IFERROR(SUMIFS(Tabela10[Exp Gain only 2*+],Tabela10[Drop],DropAnalityka[[#This Row],[Drop]],Tabela10[Grade],DropAnalityka[[#This Row],[Grade]])*DropAnalityka[[#This Row],[Quality/Quantity]],0)</f>
        <v>118004</v>
      </c>
    </row>
    <row r="1115" spans="1:12">
      <c r="A1115" t="s">
        <v>172</v>
      </c>
      <c r="B1115" t="s">
        <v>9</v>
      </c>
      <c r="C1115">
        <v>10</v>
      </c>
      <c r="D1115">
        <v>4361</v>
      </c>
      <c r="E1115">
        <v>0</v>
      </c>
      <c r="F1115" t="s">
        <v>34</v>
      </c>
      <c r="G1115">
        <v>5</v>
      </c>
      <c r="H1115" t="s">
        <v>17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4000</v>
      </c>
    </row>
    <row r="1116" spans="1:12">
      <c r="A1116" t="s">
        <v>172</v>
      </c>
      <c r="B1116" t="s">
        <v>9</v>
      </c>
      <c r="C1116">
        <v>10</v>
      </c>
      <c r="D1116">
        <v>4527</v>
      </c>
      <c r="E1116">
        <v>0</v>
      </c>
      <c r="F1116" t="s">
        <v>258</v>
      </c>
      <c r="G1116">
        <v>1</v>
      </c>
      <c r="H1116" t="s">
        <v>28</v>
      </c>
      <c r="I1116">
        <v>5440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:12">
      <c r="A1117" t="s">
        <v>172</v>
      </c>
      <c r="B1117" t="s">
        <v>9</v>
      </c>
      <c r="C1117">
        <v>10</v>
      </c>
      <c r="D1117">
        <v>3817</v>
      </c>
      <c r="E1117">
        <v>1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3935</v>
      </c>
      <c r="E1118">
        <v>2</v>
      </c>
      <c r="F1118" t="s">
        <v>291</v>
      </c>
      <c r="G1118">
        <v>1</v>
      </c>
      <c r="H1118" t="s">
        <v>28</v>
      </c>
      <c r="I1118">
        <v>6800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4040</v>
      </c>
      <c r="E1119">
        <v>1</v>
      </c>
      <c r="F1119" t="s">
        <v>258</v>
      </c>
      <c r="G1119">
        <v>1</v>
      </c>
      <c r="H1119" t="s">
        <v>28</v>
      </c>
      <c r="I1119">
        <v>5440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3601</v>
      </c>
      <c r="E1120">
        <v>1</v>
      </c>
      <c r="F1120" t="s">
        <v>34</v>
      </c>
      <c r="G1120">
        <v>4</v>
      </c>
      <c r="H1120" t="s">
        <v>17</v>
      </c>
      <c r="I1120">
        <v>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3200</v>
      </c>
    </row>
    <row r="1121" spans="1:12">
      <c r="A1121" t="s">
        <v>172</v>
      </c>
      <c r="B1121" t="s">
        <v>9</v>
      </c>
      <c r="C1121">
        <v>10</v>
      </c>
      <c r="D1121">
        <v>3976</v>
      </c>
      <c r="E1121">
        <v>0</v>
      </c>
      <c r="F1121" t="s">
        <v>291</v>
      </c>
      <c r="G1121">
        <v>1</v>
      </c>
      <c r="H1121" t="s">
        <v>28</v>
      </c>
      <c r="I1121">
        <v>5440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:12">
      <c r="A1122" t="s">
        <v>172</v>
      </c>
      <c r="B1122" t="s">
        <v>9</v>
      </c>
      <c r="C1122">
        <v>10</v>
      </c>
      <c r="D1122">
        <v>3824</v>
      </c>
      <c r="E1122">
        <v>0</v>
      </c>
      <c r="F1122" t="s">
        <v>258</v>
      </c>
      <c r="G1122">
        <v>1</v>
      </c>
      <c r="H1122" t="s">
        <v>27</v>
      </c>
      <c r="I1122">
        <v>3491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3303</v>
      </c>
      <c r="E1123">
        <v>0</v>
      </c>
      <c r="F1123" t="s">
        <v>258</v>
      </c>
      <c r="G1123">
        <v>1</v>
      </c>
      <c r="H1123" t="s">
        <v>27</v>
      </c>
      <c r="I1123">
        <v>3445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4601</v>
      </c>
      <c r="E1124">
        <v>1</v>
      </c>
      <c r="F1124" t="s">
        <v>34</v>
      </c>
      <c r="G1124">
        <v>4</v>
      </c>
      <c r="H1124" t="s">
        <v>17</v>
      </c>
      <c r="I1124">
        <v>0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3200</v>
      </c>
    </row>
    <row r="1125" spans="1:12">
      <c r="A1125" t="s">
        <v>172</v>
      </c>
      <c r="B1125" t="s">
        <v>9</v>
      </c>
      <c r="C1125">
        <v>10</v>
      </c>
      <c r="D1125">
        <v>4076</v>
      </c>
      <c r="E1125">
        <v>1</v>
      </c>
      <c r="F1125" t="s">
        <v>258</v>
      </c>
      <c r="G1125">
        <v>1</v>
      </c>
      <c r="H1125" t="s">
        <v>27</v>
      </c>
      <c r="I1125">
        <v>5057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:12">
      <c r="A1126" t="s">
        <v>172</v>
      </c>
      <c r="B1126" t="s">
        <v>9</v>
      </c>
      <c r="C1126">
        <v>10</v>
      </c>
      <c r="D1126">
        <v>3735</v>
      </c>
      <c r="E1126">
        <v>1</v>
      </c>
      <c r="F1126" t="s">
        <v>258</v>
      </c>
      <c r="G1126">
        <v>1</v>
      </c>
      <c r="H1126" t="s">
        <v>28</v>
      </c>
      <c r="I1126">
        <v>6502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3968</v>
      </c>
      <c r="E1127">
        <v>1</v>
      </c>
      <c r="F1127" t="s">
        <v>258</v>
      </c>
      <c r="G1127">
        <v>1</v>
      </c>
      <c r="H1127" t="s">
        <v>28</v>
      </c>
      <c r="I1127">
        <v>3825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4409</v>
      </c>
      <c r="E1128">
        <v>0</v>
      </c>
      <c r="F1128" t="s">
        <v>258</v>
      </c>
      <c r="G1128">
        <v>1</v>
      </c>
      <c r="H1128" t="s">
        <v>28</v>
      </c>
      <c r="I1128">
        <v>7650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4316</v>
      </c>
      <c r="E1129">
        <v>0</v>
      </c>
      <c r="F1129" t="s">
        <v>258</v>
      </c>
      <c r="G1129">
        <v>1</v>
      </c>
      <c r="H1129" t="s">
        <v>28</v>
      </c>
      <c r="I1129">
        <v>5780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4350</v>
      </c>
      <c r="E1130">
        <v>3</v>
      </c>
      <c r="F1130" t="s">
        <v>258</v>
      </c>
      <c r="G1130">
        <v>1</v>
      </c>
      <c r="H1130" t="s">
        <v>28</v>
      </c>
      <c r="I1130">
        <v>5950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4027</v>
      </c>
      <c r="E1131">
        <v>1</v>
      </c>
      <c r="F1131" t="s">
        <v>258</v>
      </c>
      <c r="G1131">
        <v>1</v>
      </c>
      <c r="H1131" t="s">
        <v>28</v>
      </c>
      <c r="I1131">
        <v>5100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4582</v>
      </c>
      <c r="E1132">
        <v>1</v>
      </c>
      <c r="F1132" t="s">
        <v>318</v>
      </c>
      <c r="G1132">
        <v>1</v>
      </c>
      <c r="H1132" t="s">
        <v>28</v>
      </c>
      <c r="I1132">
        <v>10444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4490</v>
      </c>
      <c r="E1133">
        <v>0</v>
      </c>
      <c r="F1133" t="s">
        <v>258</v>
      </c>
      <c r="G1133">
        <v>1</v>
      </c>
      <c r="H1133" t="s">
        <v>27</v>
      </c>
      <c r="I1133">
        <v>4364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4382</v>
      </c>
      <c r="E1134">
        <v>0</v>
      </c>
      <c r="F1134" t="s">
        <v>258</v>
      </c>
      <c r="G1134">
        <v>1</v>
      </c>
      <c r="H1134" t="s">
        <v>27</v>
      </c>
      <c r="I1134">
        <v>2940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3808</v>
      </c>
      <c r="E1135">
        <v>0</v>
      </c>
      <c r="F1135" t="s">
        <v>34</v>
      </c>
      <c r="G1135">
        <v>5</v>
      </c>
      <c r="H1135" t="s">
        <v>17</v>
      </c>
      <c r="I1135">
        <v>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4000</v>
      </c>
    </row>
    <row r="1136" spans="1:12">
      <c r="A1136" t="s">
        <v>172</v>
      </c>
      <c r="B1136" t="s">
        <v>9</v>
      </c>
      <c r="C1136">
        <v>10</v>
      </c>
      <c r="D1136">
        <v>3873</v>
      </c>
      <c r="E1136">
        <v>2</v>
      </c>
      <c r="F1136" t="s">
        <v>258</v>
      </c>
      <c r="G1136">
        <v>1</v>
      </c>
      <c r="H1136" t="s">
        <v>27</v>
      </c>
      <c r="I1136">
        <v>3307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:12">
      <c r="A1137" t="s">
        <v>172</v>
      </c>
      <c r="B1137" t="s">
        <v>9</v>
      </c>
      <c r="C1137">
        <v>10</v>
      </c>
      <c r="D1137">
        <v>4165</v>
      </c>
      <c r="E1137">
        <v>1</v>
      </c>
      <c r="F1137" t="s">
        <v>291</v>
      </c>
      <c r="G1137">
        <v>1</v>
      </c>
      <c r="H1137" t="s">
        <v>27</v>
      </c>
      <c r="I1137">
        <v>3927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3918</v>
      </c>
      <c r="E1138">
        <v>1</v>
      </c>
      <c r="F1138" t="s">
        <v>291</v>
      </c>
      <c r="G1138">
        <v>1</v>
      </c>
      <c r="H1138" t="s">
        <v>28</v>
      </c>
      <c r="I1138">
        <v>5440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3837</v>
      </c>
      <c r="E1139">
        <v>4</v>
      </c>
      <c r="F1139" t="s">
        <v>258</v>
      </c>
      <c r="G1139">
        <v>1</v>
      </c>
      <c r="H1139" t="s">
        <v>27</v>
      </c>
      <c r="I1139">
        <v>3100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3909</v>
      </c>
      <c r="E1140">
        <v>0</v>
      </c>
      <c r="F1140" t="s">
        <v>258</v>
      </c>
      <c r="G1140">
        <v>1</v>
      </c>
      <c r="H1140" t="s">
        <v>28</v>
      </c>
      <c r="I1140">
        <v>6460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4302</v>
      </c>
      <c r="E1141">
        <v>2</v>
      </c>
      <c r="F1141" t="s">
        <v>291</v>
      </c>
      <c r="G1141">
        <v>1</v>
      </c>
      <c r="H1141" t="s">
        <v>28</v>
      </c>
      <c r="I1141">
        <v>8075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4644</v>
      </c>
      <c r="E1142">
        <v>1</v>
      </c>
      <c r="F1142" t="s">
        <v>288</v>
      </c>
      <c r="G1142">
        <v>1</v>
      </c>
      <c r="H1142" t="s">
        <v>17</v>
      </c>
      <c r="I1142">
        <v>0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3772</v>
      </c>
      <c r="E1143">
        <v>0</v>
      </c>
      <c r="F1143" t="s">
        <v>258</v>
      </c>
      <c r="G1143">
        <v>1</v>
      </c>
      <c r="H1143" t="s">
        <v>28</v>
      </c>
      <c r="I1143">
        <v>5780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3838</v>
      </c>
      <c r="E1144">
        <v>1</v>
      </c>
      <c r="F1144" t="s">
        <v>258</v>
      </c>
      <c r="G1144">
        <v>1</v>
      </c>
      <c r="H1144" t="s">
        <v>28</v>
      </c>
      <c r="I1144">
        <v>6460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3618</v>
      </c>
      <c r="E1145">
        <v>1</v>
      </c>
      <c r="F1145" t="s">
        <v>318</v>
      </c>
      <c r="G1145">
        <v>1</v>
      </c>
      <c r="H1145" t="s">
        <v>28</v>
      </c>
      <c r="I1145">
        <v>11560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3622</v>
      </c>
      <c r="E1146">
        <v>2</v>
      </c>
      <c r="F1146" t="s">
        <v>318</v>
      </c>
      <c r="G1146">
        <v>1</v>
      </c>
      <c r="H1146" t="s">
        <v>28</v>
      </c>
      <c r="I1146">
        <v>16320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4131</v>
      </c>
      <c r="E1147">
        <v>2</v>
      </c>
      <c r="F1147" t="s">
        <v>34</v>
      </c>
      <c r="G1147">
        <v>5</v>
      </c>
      <c r="H1147" t="s">
        <v>17</v>
      </c>
      <c r="I1147">
        <v>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4000</v>
      </c>
    </row>
    <row r="1148" spans="1:12">
      <c r="A1148" t="s">
        <v>172</v>
      </c>
      <c r="B1148" t="s">
        <v>9</v>
      </c>
      <c r="C1148">
        <v>10</v>
      </c>
      <c r="D1148">
        <v>3935</v>
      </c>
      <c r="E1148">
        <v>0</v>
      </c>
      <c r="F1148" t="s">
        <v>58</v>
      </c>
      <c r="G1148">
        <v>1</v>
      </c>
      <c r="H1148" t="s">
        <v>12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11500</v>
      </c>
      <c r="L1148" s="43">
        <f>IFERROR(SUMIFS(Tabela10[Exp Gain only 2*+],Tabela10[Drop],DropAnalityka[[#This Row],[Drop]],Tabela10[Grade],DropAnalityka[[#This Row],[Grade]])*DropAnalityka[[#This Row],[Quality/Quantity]],0)</f>
        <v>35822</v>
      </c>
    </row>
    <row r="1149" spans="1:12">
      <c r="A1149" t="s">
        <v>172</v>
      </c>
      <c r="B1149" t="s">
        <v>9</v>
      </c>
      <c r="C1149">
        <v>10</v>
      </c>
      <c r="D1149">
        <v>3786</v>
      </c>
      <c r="E1149">
        <v>1</v>
      </c>
      <c r="F1149" t="s">
        <v>291</v>
      </c>
      <c r="G1149">
        <v>1</v>
      </c>
      <c r="H1149" t="s">
        <v>27</v>
      </c>
      <c r="I1149">
        <v>3904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:12">
      <c r="A1150" t="s">
        <v>172</v>
      </c>
      <c r="B1150" t="s">
        <v>9</v>
      </c>
      <c r="C1150">
        <v>10</v>
      </c>
      <c r="D1150">
        <v>3725</v>
      </c>
      <c r="E1150">
        <v>0</v>
      </c>
      <c r="F1150" t="s">
        <v>34</v>
      </c>
      <c r="G1150">
        <v>4</v>
      </c>
      <c r="H1150" t="s">
        <v>17</v>
      </c>
      <c r="I1150">
        <v>0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3200</v>
      </c>
    </row>
    <row r="1151" spans="1:12">
      <c r="A1151" t="s">
        <v>172</v>
      </c>
      <c r="B1151" t="s">
        <v>9</v>
      </c>
      <c r="C1151">
        <v>10</v>
      </c>
      <c r="D1151">
        <v>3617</v>
      </c>
      <c r="E1151">
        <v>1</v>
      </c>
      <c r="F1151" t="s">
        <v>258</v>
      </c>
      <c r="G1151">
        <v>1</v>
      </c>
      <c r="H1151" t="s">
        <v>28</v>
      </c>
      <c r="I1151">
        <v>6800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:12">
      <c r="A1152" t="s">
        <v>172</v>
      </c>
      <c r="B1152" t="s">
        <v>9</v>
      </c>
      <c r="C1152">
        <v>10</v>
      </c>
      <c r="D1152">
        <v>3937</v>
      </c>
      <c r="E1152">
        <v>1</v>
      </c>
      <c r="F1152" t="s">
        <v>291</v>
      </c>
      <c r="G1152">
        <v>1</v>
      </c>
      <c r="H1152" t="s">
        <v>29</v>
      </c>
      <c r="I1152">
        <v>13472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3918</v>
      </c>
      <c r="E1153">
        <v>1</v>
      </c>
      <c r="F1153" t="s">
        <v>258</v>
      </c>
      <c r="G1153">
        <v>1</v>
      </c>
      <c r="H1153" t="s">
        <v>29</v>
      </c>
      <c r="I1153">
        <v>9510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4078</v>
      </c>
      <c r="E1154">
        <v>3</v>
      </c>
      <c r="F1154" t="s">
        <v>58</v>
      </c>
      <c r="G1154">
        <v>1</v>
      </c>
      <c r="H1154" t="s">
        <v>12</v>
      </c>
      <c r="I1154">
        <v>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11500</v>
      </c>
      <c r="L1154" s="43">
        <f>IFERROR(SUMIFS(Tabela10[Exp Gain only 2*+],Tabela10[Drop],DropAnalityka[[#This Row],[Drop]],Tabela10[Grade],DropAnalityka[[#This Row],[Grade]])*DropAnalityka[[#This Row],[Quality/Quantity]],0)</f>
        <v>35822</v>
      </c>
    </row>
    <row r="1155" spans="1:12">
      <c r="A1155" t="s">
        <v>172</v>
      </c>
      <c r="B1155" t="s">
        <v>9</v>
      </c>
      <c r="C1155">
        <v>10</v>
      </c>
      <c r="D1155">
        <v>4022</v>
      </c>
      <c r="E1155">
        <v>2</v>
      </c>
      <c r="F1155" t="s">
        <v>258</v>
      </c>
      <c r="G1155">
        <v>1</v>
      </c>
      <c r="H1155" t="s">
        <v>28</v>
      </c>
      <c r="I1155">
        <v>13005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:12">
      <c r="A1156" t="s">
        <v>172</v>
      </c>
      <c r="B1156" t="s">
        <v>9</v>
      </c>
      <c r="C1156">
        <v>10</v>
      </c>
      <c r="D1156">
        <v>3677</v>
      </c>
      <c r="E1156">
        <v>0</v>
      </c>
      <c r="F1156" t="s">
        <v>34</v>
      </c>
      <c r="G1156">
        <v>5</v>
      </c>
      <c r="H1156" t="s">
        <v>17</v>
      </c>
      <c r="I1156">
        <v>0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4000</v>
      </c>
    </row>
    <row r="1157" spans="1:12">
      <c r="A1157" t="s">
        <v>172</v>
      </c>
      <c r="B1157" t="s">
        <v>9</v>
      </c>
      <c r="C1157">
        <v>10</v>
      </c>
      <c r="D1157">
        <v>4011</v>
      </c>
      <c r="E1157">
        <v>0</v>
      </c>
      <c r="F1157" t="s">
        <v>318</v>
      </c>
      <c r="G1157">
        <v>1</v>
      </c>
      <c r="H1157" t="s">
        <v>27</v>
      </c>
      <c r="I1157">
        <v>7350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:12">
      <c r="A1158" t="s">
        <v>172</v>
      </c>
      <c r="B1158" t="s">
        <v>9</v>
      </c>
      <c r="C1158">
        <v>10</v>
      </c>
      <c r="D1158">
        <v>4195</v>
      </c>
      <c r="E1158">
        <v>1</v>
      </c>
      <c r="F1158" t="s">
        <v>258</v>
      </c>
      <c r="G1158">
        <v>1</v>
      </c>
      <c r="H1158" t="s">
        <v>27</v>
      </c>
      <c r="I1158">
        <v>3491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4001</v>
      </c>
      <c r="E1159">
        <v>0</v>
      </c>
      <c r="F1159" t="s">
        <v>258</v>
      </c>
      <c r="G1159">
        <v>1</v>
      </c>
      <c r="H1159" t="s">
        <v>28</v>
      </c>
      <c r="I1159">
        <v>4590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3836</v>
      </c>
      <c r="E1160">
        <v>0</v>
      </c>
      <c r="F1160" t="s">
        <v>258</v>
      </c>
      <c r="G1160">
        <v>1</v>
      </c>
      <c r="H1160" t="s">
        <v>28</v>
      </c>
      <c r="I1160">
        <v>5780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3830</v>
      </c>
      <c r="E1161">
        <v>0</v>
      </c>
      <c r="F1161" t="s">
        <v>258</v>
      </c>
      <c r="G1161">
        <v>1</v>
      </c>
      <c r="H1161" t="s">
        <v>28</v>
      </c>
      <c r="I1161">
        <v>5100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4098</v>
      </c>
      <c r="E1162">
        <v>0</v>
      </c>
      <c r="F1162" t="s">
        <v>291</v>
      </c>
      <c r="G1162">
        <v>1</v>
      </c>
      <c r="H1162" t="s">
        <v>27</v>
      </c>
      <c r="I1162">
        <v>4800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4211</v>
      </c>
      <c r="E1163">
        <v>0</v>
      </c>
      <c r="F1163" t="s">
        <v>58</v>
      </c>
      <c r="G1163">
        <v>1</v>
      </c>
      <c r="H1163" t="s">
        <v>12</v>
      </c>
      <c r="I1163">
        <v>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11500</v>
      </c>
      <c r="L1163" s="43">
        <f>IFERROR(SUMIFS(Tabela10[Exp Gain only 2*+],Tabela10[Drop],DropAnalityka[[#This Row],[Drop]],Tabela10[Grade],DropAnalityka[[#This Row],[Grade]])*DropAnalityka[[#This Row],[Quality/Quantity]],0)</f>
        <v>35822</v>
      </c>
    </row>
    <row r="1164" spans="1:12">
      <c r="A1164" t="s">
        <v>172</v>
      </c>
      <c r="B1164" t="s">
        <v>9</v>
      </c>
      <c r="C1164">
        <v>10</v>
      </c>
      <c r="D1164">
        <v>4024</v>
      </c>
      <c r="E1164">
        <v>1</v>
      </c>
      <c r="F1164" t="s">
        <v>258</v>
      </c>
      <c r="G1164">
        <v>1</v>
      </c>
      <c r="H1164" t="s">
        <v>27</v>
      </c>
      <c r="I1164">
        <v>2572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:12">
      <c r="A1165" t="s">
        <v>172</v>
      </c>
      <c r="B1165" t="s">
        <v>9</v>
      </c>
      <c r="C1165">
        <v>10</v>
      </c>
      <c r="D1165">
        <v>4051</v>
      </c>
      <c r="E1165">
        <v>0</v>
      </c>
      <c r="F1165" t="s">
        <v>291</v>
      </c>
      <c r="G1165">
        <v>1</v>
      </c>
      <c r="H1165" t="s">
        <v>28</v>
      </c>
      <c r="I1165">
        <v>8075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3981</v>
      </c>
      <c r="E1166">
        <v>2</v>
      </c>
      <c r="F1166" t="s">
        <v>58</v>
      </c>
      <c r="G1166">
        <v>1</v>
      </c>
      <c r="H1166" t="s">
        <v>12</v>
      </c>
      <c r="I1166">
        <v>0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11500</v>
      </c>
      <c r="L1166" s="43">
        <f>IFERROR(SUMIFS(Tabela10[Exp Gain only 2*+],Tabela10[Drop],DropAnalityka[[#This Row],[Drop]],Tabela10[Grade],DropAnalityka[[#This Row],[Grade]])*DropAnalityka[[#This Row],[Quality/Quantity]],0)</f>
        <v>35822</v>
      </c>
    </row>
    <row r="1167" spans="1:12">
      <c r="A1167" t="s">
        <v>172</v>
      </c>
      <c r="B1167" t="s">
        <v>9</v>
      </c>
      <c r="C1167">
        <v>10</v>
      </c>
      <c r="D1167">
        <v>3667</v>
      </c>
      <c r="E1167">
        <v>3</v>
      </c>
      <c r="F1167" t="s">
        <v>258</v>
      </c>
      <c r="G1167">
        <v>1</v>
      </c>
      <c r="H1167" t="s">
        <v>28</v>
      </c>
      <c r="I1167">
        <v>5440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:12">
      <c r="A1168" t="s">
        <v>172</v>
      </c>
      <c r="B1168" t="s">
        <v>9</v>
      </c>
      <c r="C1168">
        <v>10</v>
      </c>
      <c r="D1168">
        <v>4500</v>
      </c>
      <c r="E1168">
        <v>2</v>
      </c>
      <c r="F1168" t="s">
        <v>291</v>
      </c>
      <c r="G1168">
        <v>1</v>
      </c>
      <c r="H1168" t="s">
        <v>28</v>
      </c>
      <c r="I1168">
        <v>9350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4090</v>
      </c>
      <c r="E1169">
        <v>1</v>
      </c>
      <c r="F1169" t="s">
        <v>258</v>
      </c>
      <c r="G1169">
        <v>1</v>
      </c>
      <c r="H1169" t="s">
        <v>28</v>
      </c>
      <c r="I1169">
        <v>5780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3757</v>
      </c>
      <c r="E1170">
        <v>0</v>
      </c>
      <c r="F1170" t="s">
        <v>58</v>
      </c>
      <c r="G1170">
        <v>1</v>
      </c>
      <c r="H1170" t="s">
        <v>12</v>
      </c>
      <c r="I1170">
        <v>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11500</v>
      </c>
      <c r="L1170" s="43">
        <f>IFERROR(SUMIFS(Tabela10[Exp Gain only 2*+],Tabela10[Drop],DropAnalityka[[#This Row],[Drop]],Tabela10[Grade],DropAnalityka[[#This Row],[Grade]])*DropAnalityka[[#This Row],[Quality/Quantity]],0)</f>
        <v>35822</v>
      </c>
    </row>
    <row r="1171" spans="1:12">
      <c r="A1171" t="s">
        <v>172</v>
      </c>
      <c r="B1171" t="s">
        <v>9</v>
      </c>
      <c r="C1171">
        <v>10</v>
      </c>
      <c r="D1171">
        <v>3889</v>
      </c>
      <c r="E1171">
        <v>0</v>
      </c>
      <c r="F1171" t="s">
        <v>291</v>
      </c>
      <c r="G1171">
        <v>1</v>
      </c>
      <c r="H1171" t="s">
        <v>28</v>
      </c>
      <c r="I1171">
        <v>10200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:12">
      <c r="A1172" t="s">
        <v>172</v>
      </c>
      <c r="B1172" t="s">
        <v>9</v>
      </c>
      <c r="C1172">
        <v>10</v>
      </c>
      <c r="D1172">
        <v>3813</v>
      </c>
      <c r="E1172">
        <v>1</v>
      </c>
      <c r="F1172" t="s">
        <v>258</v>
      </c>
      <c r="G1172">
        <v>1</v>
      </c>
      <c r="H1172" t="s">
        <v>28</v>
      </c>
      <c r="I1172">
        <v>5355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3859</v>
      </c>
      <c r="E1173">
        <v>1</v>
      </c>
      <c r="F1173" t="s">
        <v>34</v>
      </c>
      <c r="G1173">
        <v>5</v>
      </c>
      <c r="H1173" t="s">
        <v>17</v>
      </c>
      <c r="I1173">
        <v>0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4000</v>
      </c>
    </row>
    <row r="1174" spans="1:12">
      <c r="A1174" t="s">
        <v>172</v>
      </c>
      <c r="B1174" t="s">
        <v>9</v>
      </c>
      <c r="C1174">
        <v>10</v>
      </c>
      <c r="D1174">
        <v>3967</v>
      </c>
      <c r="E1174">
        <v>2</v>
      </c>
      <c r="F1174" t="s">
        <v>258</v>
      </c>
      <c r="G1174">
        <v>1</v>
      </c>
      <c r="H1174" t="s">
        <v>29</v>
      </c>
      <c r="I1174">
        <v>12046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:12">
      <c r="A1175" t="s">
        <v>172</v>
      </c>
      <c r="B1175" t="s">
        <v>9</v>
      </c>
      <c r="C1175">
        <v>10</v>
      </c>
      <c r="D1175">
        <v>4276</v>
      </c>
      <c r="E1175">
        <v>0</v>
      </c>
      <c r="F1175" t="s">
        <v>34</v>
      </c>
      <c r="G1175">
        <v>5</v>
      </c>
      <c r="H1175" t="s">
        <v>17</v>
      </c>
      <c r="I1175">
        <v>0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4000</v>
      </c>
    </row>
    <row r="1176" spans="1:12">
      <c r="A1176" t="s">
        <v>172</v>
      </c>
      <c r="B1176" t="s">
        <v>9</v>
      </c>
      <c r="C1176">
        <v>10</v>
      </c>
      <c r="D1176">
        <v>3898</v>
      </c>
      <c r="E1176">
        <v>0</v>
      </c>
      <c r="F1176" t="s">
        <v>291</v>
      </c>
      <c r="G1176">
        <v>1</v>
      </c>
      <c r="H1176" t="s">
        <v>28</v>
      </c>
      <c r="I1176">
        <v>6502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:12">
      <c r="A1177" t="s">
        <v>172</v>
      </c>
      <c r="B1177" t="s">
        <v>9</v>
      </c>
      <c r="C1177">
        <v>10</v>
      </c>
      <c r="D1177">
        <v>3992</v>
      </c>
      <c r="E1177">
        <v>3</v>
      </c>
      <c r="F1177" t="s">
        <v>291</v>
      </c>
      <c r="G1177">
        <v>1</v>
      </c>
      <c r="H1177" t="s">
        <v>28</v>
      </c>
      <c r="I1177">
        <v>7225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3871</v>
      </c>
      <c r="E1178">
        <v>1</v>
      </c>
      <c r="F1178" t="s">
        <v>258</v>
      </c>
      <c r="G1178">
        <v>1</v>
      </c>
      <c r="H1178" t="s">
        <v>28</v>
      </c>
      <c r="I1178">
        <v>5737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3832</v>
      </c>
      <c r="E1179">
        <v>0</v>
      </c>
      <c r="F1179" t="s">
        <v>291</v>
      </c>
      <c r="G1179">
        <v>1</v>
      </c>
      <c r="H1179" t="s">
        <v>28</v>
      </c>
      <c r="I1179">
        <v>8670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3887</v>
      </c>
      <c r="E1180">
        <v>0</v>
      </c>
      <c r="F1180" t="s">
        <v>258</v>
      </c>
      <c r="G1180">
        <v>1</v>
      </c>
      <c r="H1180" t="s">
        <v>28</v>
      </c>
      <c r="I1180">
        <v>13770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4114</v>
      </c>
      <c r="E1181">
        <v>3</v>
      </c>
      <c r="F1181" t="s">
        <v>258</v>
      </c>
      <c r="G1181">
        <v>1</v>
      </c>
      <c r="H1181" t="s">
        <v>28</v>
      </c>
      <c r="I1181">
        <v>6460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4755</v>
      </c>
      <c r="E1182">
        <v>0</v>
      </c>
      <c r="F1182" t="s">
        <v>258</v>
      </c>
      <c r="G1182">
        <v>1</v>
      </c>
      <c r="H1182" t="s">
        <v>29</v>
      </c>
      <c r="I1182">
        <v>27103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4329</v>
      </c>
      <c r="E1183">
        <v>2</v>
      </c>
      <c r="F1183" t="s">
        <v>258</v>
      </c>
      <c r="G1183">
        <v>1</v>
      </c>
      <c r="H1183" t="s">
        <v>28</v>
      </c>
      <c r="I1183">
        <v>6800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4139</v>
      </c>
      <c r="E1184">
        <v>0</v>
      </c>
      <c r="F1184" t="s">
        <v>258</v>
      </c>
      <c r="G1184">
        <v>1</v>
      </c>
      <c r="H1184" t="s">
        <v>27</v>
      </c>
      <c r="I1184">
        <v>2067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2">
      <c r="A1185" t="s">
        <v>172</v>
      </c>
      <c r="B1185" t="s">
        <v>9</v>
      </c>
      <c r="C1185">
        <v>10</v>
      </c>
      <c r="D1185">
        <v>3838</v>
      </c>
      <c r="E1185">
        <v>0</v>
      </c>
      <c r="F1185" t="s">
        <v>258</v>
      </c>
      <c r="G1185">
        <v>1</v>
      </c>
      <c r="H1185" t="s">
        <v>28</v>
      </c>
      <c r="I1185">
        <v>5737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2">
      <c r="A1186" t="s">
        <v>172</v>
      </c>
      <c r="B1186" t="s">
        <v>9</v>
      </c>
      <c r="C1186">
        <v>10</v>
      </c>
      <c r="D1186">
        <v>4090</v>
      </c>
      <c r="E1186">
        <v>2</v>
      </c>
      <c r="F1186" t="s">
        <v>34</v>
      </c>
      <c r="G1186">
        <v>4</v>
      </c>
      <c r="H1186" t="s">
        <v>17</v>
      </c>
      <c r="I1186">
        <v>0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3200</v>
      </c>
    </row>
    <row r="1187" spans="1:12">
      <c r="A1187" t="s">
        <v>172</v>
      </c>
      <c r="B1187" t="s">
        <v>9</v>
      </c>
      <c r="C1187">
        <v>10</v>
      </c>
      <c r="D1187">
        <v>4048</v>
      </c>
      <c r="E1187">
        <v>0</v>
      </c>
      <c r="F1187" t="s">
        <v>291</v>
      </c>
      <c r="G1187">
        <v>1</v>
      </c>
      <c r="H1187" t="s">
        <v>28</v>
      </c>
      <c r="I1187">
        <v>8075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:12">
      <c r="A1188" t="s">
        <v>172</v>
      </c>
      <c r="B1188" t="s">
        <v>9</v>
      </c>
      <c r="C1188">
        <v>10</v>
      </c>
      <c r="D1188">
        <v>4066</v>
      </c>
      <c r="E1188">
        <v>1</v>
      </c>
      <c r="F1188" t="s">
        <v>258</v>
      </c>
      <c r="G1188">
        <v>1</v>
      </c>
      <c r="H1188" t="s">
        <v>27</v>
      </c>
      <c r="I1188">
        <v>8268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2">
      <c r="A1189" t="s">
        <v>172</v>
      </c>
      <c r="B1189" t="s">
        <v>9</v>
      </c>
      <c r="C1189">
        <v>10</v>
      </c>
      <c r="D1189">
        <v>4202</v>
      </c>
      <c r="E1189">
        <v>2</v>
      </c>
      <c r="F1189" t="s">
        <v>258</v>
      </c>
      <c r="G1189">
        <v>1</v>
      </c>
      <c r="H1189" t="s">
        <v>28</v>
      </c>
      <c r="I1189">
        <v>4590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2">
      <c r="A1190" t="s">
        <v>172</v>
      </c>
      <c r="B1190" t="s">
        <v>9</v>
      </c>
      <c r="C1190">
        <v>10</v>
      </c>
      <c r="D1190">
        <v>4359</v>
      </c>
      <c r="E1190">
        <v>1</v>
      </c>
      <c r="F1190" t="s">
        <v>291</v>
      </c>
      <c r="G1190">
        <v>1</v>
      </c>
      <c r="H1190" t="s">
        <v>28</v>
      </c>
      <c r="I1190">
        <v>9180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2">
      <c r="A1191" t="s">
        <v>172</v>
      </c>
      <c r="B1191" t="s">
        <v>9</v>
      </c>
      <c r="C1191">
        <v>10</v>
      </c>
      <c r="D1191">
        <v>3858</v>
      </c>
      <c r="E1191">
        <v>0</v>
      </c>
      <c r="F1191" t="s">
        <v>258</v>
      </c>
      <c r="G1191">
        <v>1</v>
      </c>
      <c r="H1191" t="s">
        <v>28</v>
      </c>
      <c r="I1191">
        <v>5100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2">
      <c r="A1192" t="s">
        <v>172</v>
      </c>
      <c r="B1192" t="s">
        <v>9</v>
      </c>
      <c r="C1192">
        <v>10</v>
      </c>
      <c r="D1192">
        <v>3946</v>
      </c>
      <c r="E1192">
        <v>0</v>
      </c>
      <c r="F1192" t="s">
        <v>291</v>
      </c>
      <c r="G1192">
        <v>1</v>
      </c>
      <c r="H1192" t="s">
        <v>29</v>
      </c>
      <c r="I1192">
        <v>14265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2">
      <c r="A1193" t="s">
        <v>172</v>
      </c>
      <c r="B1193" t="s">
        <v>9</v>
      </c>
      <c r="C1193">
        <v>10</v>
      </c>
      <c r="D1193">
        <v>4023</v>
      </c>
      <c r="E1193">
        <v>0</v>
      </c>
      <c r="F1193" t="s">
        <v>291</v>
      </c>
      <c r="G1193">
        <v>1</v>
      </c>
      <c r="H1193" t="s">
        <v>28</v>
      </c>
      <c r="I1193">
        <v>15300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2">
      <c r="A1194" t="s">
        <v>172</v>
      </c>
      <c r="B1194" t="s">
        <v>9</v>
      </c>
      <c r="C1194">
        <v>10</v>
      </c>
      <c r="D1194">
        <v>4021</v>
      </c>
      <c r="E1194">
        <v>0</v>
      </c>
      <c r="F1194" t="s">
        <v>288</v>
      </c>
      <c r="G1194">
        <v>1</v>
      </c>
      <c r="H1194" t="s">
        <v>17</v>
      </c>
      <c r="I1194">
        <v>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2">
      <c r="A1195" t="s">
        <v>178</v>
      </c>
      <c r="B1195" t="s">
        <v>9</v>
      </c>
      <c r="C1195">
        <v>9</v>
      </c>
      <c r="D1195">
        <v>3980</v>
      </c>
      <c r="E1195">
        <v>0</v>
      </c>
      <c r="F1195" t="s">
        <v>291</v>
      </c>
      <c r="G1195">
        <v>1</v>
      </c>
      <c r="H1195" t="s">
        <v>28</v>
      </c>
      <c r="I1195">
        <v>8160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2">
      <c r="A1196" t="s">
        <v>178</v>
      </c>
      <c r="B1196" t="s">
        <v>9</v>
      </c>
      <c r="C1196">
        <v>9</v>
      </c>
      <c r="D1196">
        <v>4393</v>
      </c>
      <c r="E1196">
        <v>0</v>
      </c>
      <c r="F1196" t="s">
        <v>258</v>
      </c>
      <c r="G1196">
        <v>1</v>
      </c>
      <c r="H1196" t="s">
        <v>28</v>
      </c>
      <c r="I1196">
        <v>10200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:12">
      <c r="A1197" t="s">
        <v>178</v>
      </c>
      <c r="B1197" t="s">
        <v>9</v>
      </c>
      <c r="C1197">
        <v>9</v>
      </c>
      <c r="D1197">
        <v>4309</v>
      </c>
      <c r="E1197">
        <v>1</v>
      </c>
      <c r="F1197" t="s">
        <v>258</v>
      </c>
      <c r="G1197">
        <v>1</v>
      </c>
      <c r="H1197" t="s">
        <v>28</v>
      </c>
      <c r="I1197">
        <v>7650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2">
      <c r="A1198" t="s">
        <v>178</v>
      </c>
      <c r="B1198" t="s">
        <v>9</v>
      </c>
      <c r="C1198">
        <v>9</v>
      </c>
      <c r="D1198">
        <v>4290</v>
      </c>
      <c r="E1198">
        <v>1</v>
      </c>
      <c r="F1198" t="s">
        <v>34</v>
      </c>
      <c r="G1198">
        <v>5</v>
      </c>
      <c r="H1198" t="s">
        <v>17</v>
      </c>
      <c r="I1198">
        <v>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4000</v>
      </c>
    </row>
    <row r="1199" spans="1:12">
      <c r="A1199" t="s">
        <v>172</v>
      </c>
      <c r="B1199" t="s">
        <v>9</v>
      </c>
      <c r="C1199">
        <v>10</v>
      </c>
      <c r="D1199">
        <v>4144</v>
      </c>
      <c r="E1199">
        <v>1</v>
      </c>
      <c r="F1199" t="s">
        <v>258</v>
      </c>
      <c r="G1199">
        <v>1</v>
      </c>
      <c r="H1199" t="s">
        <v>28</v>
      </c>
      <c r="I1199">
        <v>5057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2">
      <c r="A1200" t="s">
        <v>172</v>
      </c>
      <c r="B1200" t="s">
        <v>9</v>
      </c>
      <c r="C1200">
        <v>10</v>
      </c>
      <c r="D1200">
        <v>4074</v>
      </c>
      <c r="E1200">
        <v>0</v>
      </c>
      <c r="F1200" t="s">
        <v>34</v>
      </c>
      <c r="G1200">
        <v>4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3200</v>
      </c>
    </row>
    <row r="1201" spans="1:12">
      <c r="A1201" t="s">
        <v>172</v>
      </c>
      <c r="B1201" t="s">
        <v>9</v>
      </c>
      <c r="C1201">
        <v>10</v>
      </c>
      <c r="D1201">
        <v>4032</v>
      </c>
      <c r="E1201">
        <v>0</v>
      </c>
      <c r="F1201" t="s">
        <v>34</v>
      </c>
      <c r="G1201">
        <v>4</v>
      </c>
      <c r="H1201" t="s">
        <v>17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3200</v>
      </c>
    </row>
    <row r="1202" spans="1:12">
      <c r="A1202" t="s">
        <v>172</v>
      </c>
      <c r="B1202" t="s">
        <v>9</v>
      </c>
      <c r="C1202">
        <v>10</v>
      </c>
      <c r="D1202">
        <v>4157</v>
      </c>
      <c r="E1202">
        <v>3</v>
      </c>
      <c r="F1202" t="s">
        <v>258</v>
      </c>
      <c r="G1202">
        <v>1</v>
      </c>
      <c r="H1202" t="s">
        <v>28</v>
      </c>
      <c r="I1202">
        <v>5652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2">
      <c r="A1203" t="s">
        <v>172</v>
      </c>
      <c r="B1203" t="s">
        <v>9</v>
      </c>
      <c r="C1203">
        <v>10</v>
      </c>
      <c r="D1203">
        <v>4353</v>
      </c>
      <c r="E1203">
        <v>1</v>
      </c>
      <c r="F1203" t="s">
        <v>58</v>
      </c>
      <c r="G1203">
        <v>1</v>
      </c>
      <c r="H1203" t="s">
        <v>12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11500</v>
      </c>
      <c r="L1203" s="43">
        <f>IFERROR(SUMIFS(Tabela10[Exp Gain only 2*+],Tabela10[Drop],DropAnalityka[[#This Row],[Drop]],Tabela10[Grade],DropAnalityka[[#This Row],[Grade]])*DropAnalityka[[#This Row],[Quality/Quantity]],0)</f>
        <v>35822</v>
      </c>
    </row>
    <row r="1204" spans="1:12">
      <c r="A1204" t="s">
        <v>172</v>
      </c>
      <c r="B1204" t="s">
        <v>9</v>
      </c>
      <c r="C1204">
        <v>10</v>
      </c>
      <c r="D1204">
        <v>4047</v>
      </c>
      <c r="E1204">
        <v>1</v>
      </c>
      <c r="F1204" t="s">
        <v>258</v>
      </c>
      <c r="G1204">
        <v>1</v>
      </c>
      <c r="H1204" t="s">
        <v>28</v>
      </c>
      <c r="I1204">
        <v>5100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:12">
      <c r="A1205" t="s">
        <v>172</v>
      </c>
      <c r="B1205" t="s">
        <v>9</v>
      </c>
      <c r="C1205">
        <v>10</v>
      </c>
      <c r="D1205">
        <v>3847</v>
      </c>
      <c r="E1205">
        <v>0</v>
      </c>
      <c r="F1205" t="s">
        <v>258</v>
      </c>
      <c r="G1205">
        <v>1</v>
      </c>
      <c r="H1205" t="s">
        <v>27</v>
      </c>
      <c r="I1205">
        <v>5880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2">
      <c r="A1206" t="s">
        <v>172</v>
      </c>
      <c r="B1206" t="s">
        <v>9</v>
      </c>
      <c r="C1206">
        <v>10</v>
      </c>
      <c r="D1206">
        <v>3857</v>
      </c>
      <c r="E1206">
        <v>2</v>
      </c>
      <c r="F1206" t="s">
        <v>258</v>
      </c>
      <c r="G1206">
        <v>1</v>
      </c>
      <c r="H1206" t="s">
        <v>28</v>
      </c>
      <c r="I1206">
        <v>5100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:12">
      <c r="A1207" t="s">
        <v>172</v>
      </c>
      <c r="B1207" t="s">
        <v>9</v>
      </c>
      <c r="C1207">
        <v>10</v>
      </c>
      <c r="D1207">
        <v>3902</v>
      </c>
      <c r="E1207">
        <v>0</v>
      </c>
      <c r="F1207" t="s">
        <v>258</v>
      </c>
      <c r="G1207">
        <v>1</v>
      </c>
      <c r="H1207" t="s">
        <v>27</v>
      </c>
      <c r="I1207">
        <v>2756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2">
      <c r="A1208" t="s">
        <v>172</v>
      </c>
      <c r="B1208" t="s">
        <v>9</v>
      </c>
      <c r="C1208">
        <v>10</v>
      </c>
      <c r="D1208">
        <v>3922</v>
      </c>
      <c r="E1208">
        <v>3</v>
      </c>
      <c r="F1208" t="s">
        <v>258</v>
      </c>
      <c r="G1208">
        <v>1</v>
      </c>
      <c r="H1208" t="s">
        <v>28</v>
      </c>
      <c r="I1208">
        <v>7267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2">
      <c r="A1209" t="s">
        <v>172</v>
      </c>
      <c r="B1209" t="s">
        <v>9</v>
      </c>
      <c r="C1209">
        <v>10</v>
      </c>
      <c r="D1209">
        <v>3822</v>
      </c>
      <c r="E1209">
        <v>0</v>
      </c>
      <c r="F1209" t="s">
        <v>258</v>
      </c>
      <c r="G1209">
        <v>1</v>
      </c>
      <c r="H1209" t="s">
        <v>28</v>
      </c>
      <c r="I1209">
        <v>5355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2">
      <c r="A1210" t="s">
        <v>172</v>
      </c>
      <c r="B1210" t="s">
        <v>9</v>
      </c>
      <c r="C1210">
        <v>10</v>
      </c>
      <c r="D1210">
        <v>4255</v>
      </c>
      <c r="E1210">
        <v>3</v>
      </c>
      <c r="F1210" t="s">
        <v>258</v>
      </c>
      <c r="G1210">
        <v>1</v>
      </c>
      <c r="H1210" t="s">
        <v>28</v>
      </c>
      <c r="I1210">
        <v>4760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2">
      <c r="A1211" t="s">
        <v>172</v>
      </c>
      <c r="B1211" t="s">
        <v>9</v>
      </c>
      <c r="C1211">
        <v>10</v>
      </c>
      <c r="D1211">
        <v>4271</v>
      </c>
      <c r="E1211">
        <v>0</v>
      </c>
      <c r="F1211" t="s">
        <v>258</v>
      </c>
      <c r="G1211">
        <v>1</v>
      </c>
      <c r="H1211" t="s">
        <v>27</v>
      </c>
      <c r="I1211">
        <v>2894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2">
      <c r="A1212" t="s">
        <v>172</v>
      </c>
      <c r="B1212" t="s">
        <v>9</v>
      </c>
      <c r="C1212">
        <v>10</v>
      </c>
      <c r="D1212">
        <v>4220</v>
      </c>
      <c r="E1212">
        <v>0</v>
      </c>
      <c r="F1212" t="s">
        <v>258</v>
      </c>
      <c r="G1212">
        <v>1</v>
      </c>
      <c r="H1212" t="s">
        <v>27</v>
      </c>
      <c r="I1212">
        <v>2756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2">
      <c r="A1213" t="s">
        <v>172</v>
      </c>
      <c r="B1213" t="s">
        <v>9</v>
      </c>
      <c r="C1213">
        <v>10</v>
      </c>
      <c r="D1213">
        <v>4125</v>
      </c>
      <c r="E1213">
        <v>3</v>
      </c>
      <c r="F1213" t="s">
        <v>258</v>
      </c>
      <c r="G1213">
        <v>1</v>
      </c>
      <c r="H1213" t="s">
        <v>27</v>
      </c>
      <c r="I1213">
        <v>2480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2">
      <c r="A1214" t="s">
        <v>172</v>
      </c>
      <c r="B1214" t="s">
        <v>9</v>
      </c>
      <c r="C1214">
        <v>10</v>
      </c>
      <c r="D1214">
        <v>3847</v>
      </c>
      <c r="E1214">
        <v>0</v>
      </c>
      <c r="F1214" t="s">
        <v>58</v>
      </c>
      <c r="G1214">
        <v>1</v>
      </c>
      <c r="H1214" t="s">
        <v>12</v>
      </c>
      <c r="I1214">
        <v>0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11500</v>
      </c>
      <c r="L1214" s="43">
        <f>IFERROR(SUMIFS(Tabela10[Exp Gain only 2*+],Tabela10[Drop],DropAnalityka[[#This Row],[Drop]],Tabela10[Grade],DropAnalityka[[#This Row],[Grade]])*DropAnalityka[[#This Row],[Quality/Quantity]],0)</f>
        <v>35822</v>
      </c>
    </row>
    <row r="1215" spans="1:12">
      <c r="A1215" t="s">
        <v>172</v>
      </c>
      <c r="B1215" t="s">
        <v>9</v>
      </c>
      <c r="C1215">
        <v>10</v>
      </c>
      <c r="D1215">
        <v>4181</v>
      </c>
      <c r="E1215">
        <v>1</v>
      </c>
      <c r="F1215" t="s">
        <v>258</v>
      </c>
      <c r="G1215">
        <v>1</v>
      </c>
      <c r="H1215" t="s">
        <v>28</v>
      </c>
      <c r="I1215">
        <v>5440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2">
      <c r="A1216" t="s">
        <v>172</v>
      </c>
      <c r="B1216" t="s">
        <v>9</v>
      </c>
      <c r="C1216">
        <v>10</v>
      </c>
      <c r="D1216">
        <v>3847</v>
      </c>
      <c r="E1216">
        <v>0</v>
      </c>
      <c r="F1216" t="s">
        <v>34</v>
      </c>
      <c r="G1216">
        <v>4</v>
      </c>
      <c r="H1216" t="s">
        <v>17</v>
      </c>
      <c r="I1216">
        <v>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3200</v>
      </c>
    </row>
    <row r="1217" spans="1:12">
      <c r="A1217" t="s">
        <v>172</v>
      </c>
      <c r="B1217" t="s">
        <v>9</v>
      </c>
      <c r="C1217">
        <v>10</v>
      </c>
      <c r="D1217">
        <v>4162</v>
      </c>
      <c r="E1217">
        <v>2</v>
      </c>
      <c r="F1217" t="s">
        <v>258</v>
      </c>
      <c r="G1217">
        <v>1</v>
      </c>
      <c r="H1217" t="s">
        <v>28</v>
      </c>
      <c r="I1217">
        <v>4335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:12">
      <c r="A1218" t="s">
        <v>172</v>
      </c>
      <c r="B1218" t="s">
        <v>9</v>
      </c>
      <c r="C1218">
        <v>10</v>
      </c>
      <c r="D1218">
        <v>3389</v>
      </c>
      <c r="E1218">
        <v>0</v>
      </c>
      <c r="F1218" t="s">
        <v>291</v>
      </c>
      <c r="G1218">
        <v>1</v>
      </c>
      <c r="H1218" t="s">
        <v>28</v>
      </c>
      <c r="I1218">
        <v>6075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3666</v>
      </c>
      <c r="E1219">
        <v>1</v>
      </c>
      <c r="F1219" t="s">
        <v>258</v>
      </c>
      <c r="G1219">
        <v>1</v>
      </c>
      <c r="H1219" t="s">
        <v>27</v>
      </c>
      <c r="I1219">
        <v>2756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:12">
      <c r="A1220" t="s">
        <v>172</v>
      </c>
      <c r="B1220" t="s">
        <v>9</v>
      </c>
      <c r="C1220">
        <v>10</v>
      </c>
      <c r="D1220">
        <v>3605</v>
      </c>
      <c r="E1220">
        <v>1</v>
      </c>
      <c r="F1220" t="s">
        <v>291</v>
      </c>
      <c r="G1220">
        <v>1</v>
      </c>
      <c r="H1220" t="s">
        <v>28</v>
      </c>
      <c r="I1220">
        <v>5737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3793</v>
      </c>
      <c r="E1221">
        <v>2</v>
      </c>
      <c r="F1221" t="s">
        <v>34</v>
      </c>
      <c r="G1221">
        <v>4</v>
      </c>
      <c r="H1221" t="s">
        <v>17</v>
      </c>
      <c r="I1221">
        <v>0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3200</v>
      </c>
    </row>
    <row r="1222" spans="1:12">
      <c r="A1222" t="s">
        <v>172</v>
      </c>
      <c r="B1222" t="s">
        <v>9</v>
      </c>
      <c r="C1222">
        <v>10</v>
      </c>
      <c r="D1222">
        <v>4423</v>
      </c>
      <c r="E1222">
        <v>0</v>
      </c>
      <c r="F1222" t="s">
        <v>258</v>
      </c>
      <c r="G1222">
        <v>1</v>
      </c>
      <c r="H1222" t="s">
        <v>28</v>
      </c>
      <c r="I1222">
        <v>8075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4020</v>
      </c>
      <c r="E1223">
        <v>1</v>
      </c>
      <c r="F1223" t="s">
        <v>205</v>
      </c>
      <c r="G1223">
        <v>3</v>
      </c>
      <c r="H1223" t="s">
        <v>26</v>
      </c>
      <c r="I1223">
        <v>0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2587.5</v>
      </c>
      <c r="L1223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4" spans="1:12">
      <c r="A1224" t="s">
        <v>172</v>
      </c>
      <c r="B1224" t="s">
        <v>9</v>
      </c>
      <c r="C1224">
        <v>10</v>
      </c>
      <c r="D1224">
        <v>3900</v>
      </c>
      <c r="E1224">
        <v>1</v>
      </c>
      <c r="F1224" t="s">
        <v>291</v>
      </c>
      <c r="G1224">
        <v>1</v>
      </c>
      <c r="H1224" t="s">
        <v>27</v>
      </c>
      <c r="I1224">
        <v>3307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:12">
      <c r="A1225" t="s">
        <v>172</v>
      </c>
      <c r="B1225" t="s">
        <v>9</v>
      </c>
      <c r="C1225">
        <v>10</v>
      </c>
      <c r="D1225">
        <v>4316</v>
      </c>
      <c r="E1225">
        <v>1</v>
      </c>
      <c r="F1225" t="s">
        <v>258</v>
      </c>
      <c r="G1225">
        <v>1</v>
      </c>
      <c r="H1225" t="s">
        <v>28</v>
      </c>
      <c r="I1225">
        <v>14535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3854</v>
      </c>
      <c r="E1226">
        <v>0</v>
      </c>
      <c r="F1226" t="s">
        <v>258</v>
      </c>
      <c r="G1226">
        <v>1</v>
      </c>
      <c r="H1226" t="s">
        <v>27</v>
      </c>
      <c r="I1226">
        <v>2940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:12">
      <c r="A1227" t="s">
        <v>172</v>
      </c>
      <c r="B1227" t="s">
        <v>9</v>
      </c>
      <c r="C1227">
        <v>10</v>
      </c>
      <c r="D1227">
        <v>4559</v>
      </c>
      <c r="E1227">
        <v>1</v>
      </c>
      <c r="F1227" t="s">
        <v>258</v>
      </c>
      <c r="G1227">
        <v>1</v>
      </c>
      <c r="H1227" t="s">
        <v>28</v>
      </c>
      <c r="I1227">
        <v>6120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4127</v>
      </c>
      <c r="E1228">
        <v>1</v>
      </c>
      <c r="F1228" t="s">
        <v>258</v>
      </c>
      <c r="G1228">
        <v>1</v>
      </c>
      <c r="H1228" t="s">
        <v>27</v>
      </c>
      <c r="I1228">
        <v>5512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4449</v>
      </c>
      <c r="E1229">
        <v>1</v>
      </c>
      <c r="F1229" t="s">
        <v>34</v>
      </c>
      <c r="G1229">
        <v>5</v>
      </c>
      <c r="H1229" t="s">
        <v>17</v>
      </c>
      <c r="I1229">
        <v>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4000</v>
      </c>
    </row>
    <row r="1230" spans="1:12">
      <c r="A1230" t="s">
        <v>172</v>
      </c>
      <c r="B1230" t="s">
        <v>9</v>
      </c>
      <c r="C1230">
        <v>10</v>
      </c>
      <c r="D1230">
        <v>4660</v>
      </c>
      <c r="E1230">
        <v>3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4104</v>
      </c>
      <c r="E1231">
        <v>1</v>
      </c>
      <c r="F1231" t="s">
        <v>58</v>
      </c>
      <c r="G1231">
        <v>1</v>
      </c>
      <c r="H1231" t="s">
        <v>26</v>
      </c>
      <c r="I1231">
        <v>0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34500</v>
      </c>
      <c r="L1231" s="43">
        <f>IFERROR(SUMIFS(Tabela10[Exp Gain only 2*+],Tabela10[Drop],DropAnalityka[[#This Row],[Drop]],Tabela10[Grade],DropAnalityka[[#This Row],[Grade]])*DropAnalityka[[#This Row],[Quality/Quantity]],0)</f>
        <v>118004</v>
      </c>
    </row>
    <row r="1232" spans="1:12">
      <c r="A1232" t="s">
        <v>172</v>
      </c>
      <c r="B1232" t="s">
        <v>9</v>
      </c>
      <c r="C1232">
        <v>10</v>
      </c>
      <c r="D1232">
        <v>4042</v>
      </c>
      <c r="E1232">
        <v>1</v>
      </c>
      <c r="F1232" t="s">
        <v>258</v>
      </c>
      <c r="G1232">
        <v>1</v>
      </c>
      <c r="H1232" t="s">
        <v>27</v>
      </c>
      <c r="I1232">
        <v>6615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:12">
      <c r="A1233" t="s">
        <v>172</v>
      </c>
      <c r="B1233" t="s">
        <v>9</v>
      </c>
      <c r="C1233">
        <v>10</v>
      </c>
      <c r="D1233">
        <v>3926</v>
      </c>
      <c r="E1233">
        <v>2</v>
      </c>
      <c r="F1233" t="s">
        <v>258</v>
      </c>
      <c r="G1233">
        <v>1</v>
      </c>
      <c r="H1233" t="s">
        <v>28</v>
      </c>
      <c r="I1233">
        <v>6502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3945</v>
      </c>
      <c r="E1234">
        <v>2</v>
      </c>
      <c r="F1234" t="s">
        <v>34</v>
      </c>
      <c r="G1234">
        <v>4</v>
      </c>
      <c r="H1234" t="s">
        <v>17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3200</v>
      </c>
    </row>
    <row r="1235" spans="1:12">
      <c r="A1235" t="s">
        <v>172</v>
      </c>
      <c r="B1235" t="s">
        <v>9</v>
      </c>
      <c r="C1235">
        <v>10</v>
      </c>
      <c r="D1235">
        <v>4195</v>
      </c>
      <c r="E1235">
        <v>3</v>
      </c>
      <c r="F1235" t="s">
        <v>205</v>
      </c>
      <c r="G1235">
        <v>3</v>
      </c>
      <c r="H1235" t="s">
        <v>26</v>
      </c>
      <c r="I1235">
        <v>0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2587.5</v>
      </c>
      <c r="L123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6" spans="1:12">
      <c r="A1236" t="s">
        <v>172</v>
      </c>
      <c r="B1236" t="s">
        <v>9</v>
      </c>
      <c r="C1236">
        <v>10</v>
      </c>
      <c r="D1236">
        <v>4313</v>
      </c>
      <c r="E1236">
        <v>3</v>
      </c>
      <c r="F1236" t="s">
        <v>291</v>
      </c>
      <c r="G1236">
        <v>1</v>
      </c>
      <c r="H1236" t="s">
        <v>27</v>
      </c>
      <c r="I1236">
        <v>4961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3617</v>
      </c>
      <c r="E1237">
        <v>1</v>
      </c>
      <c r="F1237" t="s">
        <v>258</v>
      </c>
      <c r="G1237">
        <v>1</v>
      </c>
      <c r="H1237" t="s">
        <v>28</v>
      </c>
      <c r="I1237">
        <v>13770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:12">
      <c r="A1238" t="s">
        <v>178</v>
      </c>
      <c r="B1238" t="s">
        <v>9</v>
      </c>
      <c r="C1238">
        <v>7</v>
      </c>
      <c r="D1238">
        <v>3713</v>
      </c>
      <c r="E1238">
        <v>1</v>
      </c>
      <c r="F1238" t="s">
        <v>258</v>
      </c>
      <c r="G1238">
        <v>1</v>
      </c>
      <c r="H1238" t="s">
        <v>27</v>
      </c>
      <c r="I1238">
        <v>7350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:12">
      <c r="A1239" t="s">
        <v>178</v>
      </c>
      <c r="B1239" t="s">
        <v>9</v>
      </c>
      <c r="C1239">
        <v>7</v>
      </c>
      <c r="D1239">
        <v>3997</v>
      </c>
      <c r="E1239">
        <v>1</v>
      </c>
      <c r="F1239" t="s">
        <v>258</v>
      </c>
      <c r="G1239">
        <v>1</v>
      </c>
      <c r="H1239" t="s">
        <v>27</v>
      </c>
      <c r="I1239">
        <v>3445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178</v>
      </c>
      <c r="B1240" t="s">
        <v>9</v>
      </c>
      <c r="C1240">
        <v>7</v>
      </c>
      <c r="D1240">
        <v>3898</v>
      </c>
      <c r="E1240">
        <v>0</v>
      </c>
      <c r="F1240" t="s">
        <v>258</v>
      </c>
      <c r="G1240">
        <v>1</v>
      </c>
      <c r="H1240" t="s">
        <v>27</v>
      </c>
      <c r="I1240">
        <v>3491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8</v>
      </c>
      <c r="D1241">
        <v>3967</v>
      </c>
      <c r="E1241">
        <v>1</v>
      </c>
      <c r="F1241" t="s">
        <v>34</v>
      </c>
      <c r="G1241">
        <v>4</v>
      </c>
      <c r="H1241" t="s">
        <v>17</v>
      </c>
      <c r="I1241">
        <v>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3200</v>
      </c>
    </row>
    <row r="1242" spans="1:12">
      <c r="A1242" t="s">
        <v>178</v>
      </c>
      <c r="B1242" t="s">
        <v>9</v>
      </c>
      <c r="C1242">
        <v>8</v>
      </c>
      <c r="D1242">
        <v>3757</v>
      </c>
      <c r="E1242">
        <v>0</v>
      </c>
      <c r="F1242" t="s">
        <v>258</v>
      </c>
      <c r="G1242">
        <v>1</v>
      </c>
      <c r="H1242" t="s">
        <v>27</v>
      </c>
      <c r="I1242">
        <v>2940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8</v>
      </c>
      <c r="D1243">
        <v>3610</v>
      </c>
      <c r="E1243">
        <v>2</v>
      </c>
      <c r="F1243" t="s">
        <v>34</v>
      </c>
      <c r="G1243">
        <v>5</v>
      </c>
      <c r="H1243" t="s">
        <v>17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4000</v>
      </c>
    </row>
    <row r="1244" spans="1:12">
      <c r="A1244" t="s">
        <v>178</v>
      </c>
      <c r="B1244" t="s">
        <v>9</v>
      </c>
      <c r="C1244">
        <v>8</v>
      </c>
      <c r="D1244">
        <v>4254</v>
      </c>
      <c r="E1244">
        <v>0</v>
      </c>
      <c r="F1244" t="s">
        <v>58</v>
      </c>
      <c r="G1244">
        <v>1</v>
      </c>
      <c r="H1244" t="s">
        <v>12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11500</v>
      </c>
      <c r="L1244" s="43">
        <f>IFERROR(SUMIFS(Tabela10[Exp Gain only 2*+],Tabela10[Drop],DropAnalityka[[#This Row],[Drop]],Tabela10[Grade],DropAnalityka[[#This Row],[Grade]])*DropAnalityka[[#This Row],[Quality/Quantity]],0)</f>
        <v>35822</v>
      </c>
    </row>
    <row r="1245" spans="1:12">
      <c r="A1245" t="s">
        <v>178</v>
      </c>
      <c r="B1245" t="s">
        <v>9</v>
      </c>
      <c r="C1245">
        <v>8</v>
      </c>
      <c r="D1245">
        <v>3927</v>
      </c>
      <c r="E1245">
        <v>1</v>
      </c>
      <c r="F1245" t="s">
        <v>318</v>
      </c>
      <c r="G1245">
        <v>1</v>
      </c>
      <c r="H1245" t="s">
        <v>28</v>
      </c>
      <c r="I1245">
        <v>16150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3878</v>
      </c>
      <c r="E1246">
        <v>0</v>
      </c>
      <c r="F1246" t="s">
        <v>258</v>
      </c>
      <c r="G1246">
        <v>1</v>
      </c>
      <c r="H1246" t="s">
        <v>28</v>
      </c>
      <c r="I1246">
        <v>7225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:12">
      <c r="A1247" t="s">
        <v>178</v>
      </c>
      <c r="B1247" t="s">
        <v>9</v>
      </c>
      <c r="C1247">
        <v>8</v>
      </c>
      <c r="D1247">
        <v>3941</v>
      </c>
      <c r="E1247">
        <v>0</v>
      </c>
      <c r="F1247" t="s">
        <v>34</v>
      </c>
      <c r="G1247">
        <v>5</v>
      </c>
      <c r="H1247" t="s">
        <v>17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4000</v>
      </c>
    </row>
    <row r="1248" spans="1:12">
      <c r="A1248" t="s">
        <v>178</v>
      </c>
      <c r="B1248" t="s">
        <v>9</v>
      </c>
      <c r="C1248">
        <v>8</v>
      </c>
      <c r="D1248">
        <v>4409</v>
      </c>
      <c r="E1248">
        <v>0</v>
      </c>
      <c r="F1248" t="s">
        <v>258</v>
      </c>
      <c r="G1248">
        <v>1</v>
      </c>
      <c r="H1248" t="s">
        <v>27</v>
      </c>
      <c r="I1248">
        <v>4364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4062</v>
      </c>
      <c r="E1249">
        <v>4</v>
      </c>
      <c r="F1249" t="s">
        <v>34</v>
      </c>
      <c r="G1249">
        <v>5</v>
      </c>
      <c r="H1249" t="s">
        <v>17</v>
      </c>
      <c r="I1249">
        <v>0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4000</v>
      </c>
    </row>
    <row r="1250" spans="1:12">
      <c r="A1250" t="s">
        <v>178</v>
      </c>
      <c r="B1250" t="s">
        <v>9</v>
      </c>
      <c r="C1250">
        <v>8</v>
      </c>
      <c r="D1250">
        <v>3764</v>
      </c>
      <c r="E1250">
        <v>0</v>
      </c>
      <c r="F1250" t="s">
        <v>258</v>
      </c>
      <c r="G1250">
        <v>1</v>
      </c>
      <c r="H1250" t="s">
        <v>28</v>
      </c>
      <c r="I1250">
        <v>12920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:12">
      <c r="A1251" t="s">
        <v>178</v>
      </c>
      <c r="B1251" t="s">
        <v>9</v>
      </c>
      <c r="C1251">
        <v>8</v>
      </c>
      <c r="D1251">
        <v>3972</v>
      </c>
      <c r="E1251">
        <v>3</v>
      </c>
      <c r="F1251" t="s">
        <v>258</v>
      </c>
      <c r="G1251">
        <v>1</v>
      </c>
      <c r="H1251" t="s">
        <v>28</v>
      </c>
      <c r="I1251">
        <v>12920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3793</v>
      </c>
      <c r="E1252">
        <v>1</v>
      </c>
      <c r="F1252" t="s">
        <v>258</v>
      </c>
      <c r="G1252">
        <v>1</v>
      </c>
      <c r="H1252" t="s">
        <v>27</v>
      </c>
      <c r="I1252">
        <v>6615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:12">
      <c r="A1253" t="s">
        <v>178</v>
      </c>
      <c r="B1253" t="s">
        <v>9</v>
      </c>
      <c r="C1253">
        <v>8</v>
      </c>
      <c r="D1253">
        <v>3869</v>
      </c>
      <c r="E1253">
        <v>0</v>
      </c>
      <c r="F1253" t="s">
        <v>34</v>
      </c>
      <c r="G1253">
        <v>4</v>
      </c>
      <c r="H1253" t="s">
        <v>17</v>
      </c>
      <c r="I1253">
        <v>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3200</v>
      </c>
    </row>
    <row r="1254" spans="1:12">
      <c r="A1254" t="s">
        <v>178</v>
      </c>
      <c r="B1254" t="s">
        <v>9</v>
      </c>
      <c r="C1254">
        <v>8</v>
      </c>
      <c r="D1254">
        <v>3629</v>
      </c>
      <c r="E1254">
        <v>0</v>
      </c>
      <c r="F1254" t="s">
        <v>291</v>
      </c>
      <c r="G1254">
        <v>1</v>
      </c>
      <c r="H1254" t="s">
        <v>27</v>
      </c>
      <c r="I1254">
        <v>4134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172</v>
      </c>
      <c r="B1255" t="s">
        <v>9</v>
      </c>
      <c r="C1255">
        <v>10</v>
      </c>
      <c r="D1255">
        <v>4330</v>
      </c>
      <c r="E1255">
        <v>2</v>
      </c>
      <c r="F1255" t="s">
        <v>258</v>
      </c>
      <c r="G1255">
        <v>1</v>
      </c>
      <c r="H1255" t="s">
        <v>28</v>
      </c>
      <c r="I1255">
        <v>8500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172</v>
      </c>
      <c r="B1256" t="s">
        <v>9</v>
      </c>
      <c r="C1256">
        <v>10</v>
      </c>
      <c r="D1256">
        <v>3405</v>
      </c>
      <c r="E1256">
        <v>2</v>
      </c>
      <c r="F1256" t="s">
        <v>258</v>
      </c>
      <c r="G1256">
        <v>1</v>
      </c>
      <c r="H1256" t="s">
        <v>27</v>
      </c>
      <c r="I1256">
        <v>4134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:12">
      <c r="A1257" t="s">
        <v>172</v>
      </c>
      <c r="B1257" t="s">
        <v>9</v>
      </c>
      <c r="C1257">
        <v>10</v>
      </c>
      <c r="D1257">
        <v>4212</v>
      </c>
      <c r="E1257">
        <v>0</v>
      </c>
      <c r="F1257" t="s">
        <v>318</v>
      </c>
      <c r="G1257">
        <v>1</v>
      </c>
      <c r="H1257" t="s">
        <v>27</v>
      </c>
      <c r="I1257">
        <v>12154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3954</v>
      </c>
      <c r="E1258">
        <v>1</v>
      </c>
      <c r="F1258" t="s">
        <v>258</v>
      </c>
      <c r="G1258">
        <v>1</v>
      </c>
      <c r="H1258" t="s">
        <v>28</v>
      </c>
      <c r="I1258">
        <v>8524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4287</v>
      </c>
      <c r="E1259">
        <v>0</v>
      </c>
      <c r="F1259" t="s">
        <v>291</v>
      </c>
      <c r="G1259">
        <v>1</v>
      </c>
      <c r="H1259" t="s">
        <v>27</v>
      </c>
      <c r="I1259">
        <v>5512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4017</v>
      </c>
      <c r="E1260">
        <v>0</v>
      </c>
      <c r="F1260" t="s">
        <v>291</v>
      </c>
      <c r="G1260">
        <v>1</v>
      </c>
      <c r="H1260" t="s">
        <v>28</v>
      </c>
      <c r="I1260">
        <v>8160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178</v>
      </c>
      <c r="B1261" t="s">
        <v>9</v>
      </c>
      <c r="C1261">
        <v>8</v>
      </c>
      <c r="D1261">
        <v>3963</v>
      </c>
      <c r="E1261">
        <v>4</v>
      </c>
      <c r="F1261" t="s">
        <v>258</v>
      </c>
      <c r="G1261">
        <v>1</v>
      </c>
      <c r="H1261" t="s">
        <v>28</v>
      </c>
      <c r="I1261">
        <v>6375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178</v>
      </c>
      <c r="B1262" t="s">
        <v>9</v>
      </c>
      <c r="C1262">
        <v>8</v>
      </c>
      <c r="D1262">
        <v>3833</v>
      </c>
      <c r="E1262">
        <v>0</v>
      </c>
      <c r="F1262" t="s">
        <v>34</v>
      </c>
      <c r="G1262">
        <v>4</v>
      </c>
      <c r="H1262" t="s">
        <v>17</v>
      </c>
      <c r="I1262">
        <v>0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3200</v>
      </c>
    </row>
    <row r="1263" spans="1:12">
      <c r="A1263" t="s">
        <v>178</v>
      </c>
      <c r="B1263" t="s">
        <v>9</v>
      </c>
      <c r="C1263">
        <v>8</v>
      </c>
      <c r="D1263">
        <v>3798</v>
      </c>
      <c r="E1263">
        <v>0</v>
      </c>
      <c r="F1263" t="s">
        <v>258</v>
      </c>
      <c r="G1263">
        <v>1</v>
      </c>
      <c r="H1263" t="s">
        <v>27</v>
      </c>
      <c r="I1263">
        <v>4134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3703</v>
      </c>
      <c r="E1264">
        <v>0</v>
      </c>
      <c r="F1264" t="s">
        <v>258</v>
      </c>
      <c r="G1264">
        <v>1</v>
      </c>
      <c r="H1264" t="s">
        <v>27</v>
      </c>
      <c r="I1264">
        <v>3123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172</v>
      </c>
      <c r="B1265" t="s">
        <v>9</v>
      </c>
      <c r="C1265">
        <v>10</v>
      </c>
      <c r="D1265">
        <v>4015</v>
      </c>
      <c r="E1265">
        <v>3</v>
      </c>
      <c r="F1265" t="s">
        <v>34</v>
      </c>
      <c r="G1265">
        <v>5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4000</v>
      </c>
    </row>
    <row r="1266" spans="1:12">
      <c r="A1266" t="s">
        <v>172</v>
      </c>
      <c r="B1266" t="s">
        <v>9</v>
      </c>
      <c r="C1266">
        <v>10</v>
      </c>
      <c r="D1266">
        <v>3736</v>
      </c>
      <c r="E1266">
        <v>0</v>
      </c>
      <c r="F1266" t="s">
        <v>258</v>
      </c>
      <c r="G1266">
        <v>1</v>
      </c>
      <c r="H1266" t="s">
        <v>28</v>
      </c>
      <c r="I1266">
        <v>5100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172</v>
      </c>
      <c r="B1267" t="s">
        <v>9</v>
      </c>
      <c r="C1267">
        <v>10</v>
      </c>
      <c r="D1267">
        <v>3629</v>
      </c>
      <c r="E1267">
        <v>0</v>
      </c>
      <c r="F1267" t="s">
        <v>291</v>
      </c>
      <c r="G1267">
        <v>1</v>
      </c>
      <c r="H1267" t="s">
        <v>28</v>
      </c>
      <c r="I1267">
        <v>8160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4069</v>
      </c>
      <c r="E1268">
        <v>0</v>
      </c>
      <c r="F1268" t="s">
        <v>258</v>
      </c>
      <c r="G1268">
        <v>1</v>
      </c>
      <c r="H1268" t="s">
        <v>28</v>
      </c>
      <c r="I1268">
        <v>8500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:12">
      <c r="A1269" t="s">
        <v>172</v>
      </c>
      <c r="B1269" t="s">
        <v>9</v>
      </c>
      <c r="C1269">
        <v>10</v>
      </c>
      <c r="D1269">
        <v>3900</v>
      </c>
      <c r="E1269">
        <v>1</v>
      </c>
      <c r="F1269" t="s">
        <v>258</v>
      </c>
      <c r="G1269">
        <v>1</v>
      </c>
      <c r="H1269" t="s">
        <v>27</v>
      </c>
      <c r="I1269">
        <v>2411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3744</v>
      </c>
      <c r="E1270">
        <v>0</v>
      </c>
      <c r="F1270" t="s">
        <v>258</v>
      </c>
      <c r="G1270">
        <v>1</v>
      </c>
      <c r="H1270" t="s">
        <v>27</v>
      </c>
      <c r="I1270">
        <v>3215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4648</v>
      </c>
      <c r="E1271">
        <v>1</v>
      </c>
      <c r="F1271" t="s">
        <v>58</v>
      </c>
      <c r="G1271">
        <v>1</v>
      </c>
      <c r="H1271" t="s">
        <v>12</v>
      </c>
      <c r="I1271">
        <v>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11500</v>
      </c>
      <c r="L1271" s="43">
        <f>IFERROR(SUMIFS(Tabela10[Exp Gain only 2*+],Tabela10[Drop],DropAnalityka[[#This Row],[Drop]],Tabela10[Grade],DropAnalityka[[#This Row],[Grade]])*DropAnalityka[[#This Row],[Quality/Quantity]],0)</f>
        <v>35822</v>
      </c>
    </row>
    <row r="1272" spans="1:12">
      <c r="A1272" t="s">
        <v>172</v>
      </c>
      <c r="B1272" t="s">
        <v>9</v>
      </c>
      <c r="C1272">
        <v>10</v>
      </c>
      <c r="D1272">
        <v>4164</v>
      </c>
      <c r="E1272">
        <v>0</v>
      </c>
      <c r="F1272" t="s">
        <v>34</v>
      </c>
      <c r="G1272">
        <v>5</v>
      </c>
      <c r="H1272" t="s">
        <v>17</v>
      </c>
      <c r="I1272">
        <v>0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4000</v>
      </c>
    </row>
    <row r="1273" spans="1:12">
      <c r="A1273" t="s">
        <v>172</v>
      </c>
      <c r="B1273" t="s">
        <v>9</v>
      </c>
      <c r="C1273">
        <v>10</v>
      </c>
      <c r="D1273">
        <v>3725</v>
      </c>
      <c r="E1273">
        <v>0</v>
      </c>
      <c r="F1273" t="s">
        <v>258</v>
      </c>
      <c r="G1273">
        <v>1</v>
      </c>
      <c r="H1273" t="s">
        <v>29</v>
      </c>
      <c r="I1273">
        <v>8876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4116</v>
      </c>
      <c r="E1274">
        <v>1</v>
      </c>
      <c r="F1274" t="s">
        <v>258</v>
      </c>
      <c r="G1274">
        <v>1</v>
      </c>
      <c r="H1274" t="s">
        <v>27</v>
      </c>
      <c r="I1274">
        <v>2940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:12">
      <c r="A1275" t="s">
        <v>172</v>
      </c>
      <c r="B1275" t="s">
        <v>9</v>
      </c>
      <c r="C1275">
        <v>10</v>
      </c>
      <c r="D1275">
        <v>3438</v>
      </c>
      <c r="E1275">
        <v>0</v>
      </c>
      <c r="F1275" t="s">
        <v>258</v>
      </c>
      <c r="G1275">
        <v>1</v>
      </c>
      <c r="H1275" t="s">
        <v>28</v>
      </c>
      <c r="I1275">
        <v>3825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:12">
      <c r="A1276" t="s">
        <v>172</v>
      </c>
      <c r="B1276" t="s">
        <v>9</v>
      </c>
      <c r="C1276">
        <v>10</v>
      </c>
      <c r="D1276">
        <v>4013</v>
      </c>
      <c r="E1276">
        <v>0</v>
      </c>
      <c r="F1276" t="s">
        <v>258</v>
      </c>
      <c r="G1276">
        <v>1</v>
      </c>
      <c r="H1276" t="s">
        <v>29</v>
      </c>
      <c r="I1276">
        <v>8321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4287</v>
      </c>
      <c r="E1277">
        <v>1</v>
      </c>
      <c r="F1277" t="s">
        <v>318</v>
      </c>
      <c r="G1277">
        <v>1</v>
      </c>
      <c r="H1277" t="s">
        <v>27</v>
      </c>
      <c r="I1277">
        <v>5971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3423</v>
      </c>
      <c r="E1278">
        <v>0</v>
      </c>
      <c r="F1278" t="s">
        <v>258</v>
      </c>
      <c r="G1278">
        <v>1</v>
      </c>
      <c r="H1278" t="s">
        <v>28</v>
      </c>
      <c r="I1278">
        <v>6502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3869</v>
      </c>
      <c r="E1279">
        <v>0</v>
      </c>
      <c r="F1279" t="s">
        <v>258</v>
      </c>
      <c r="G1279">
        <v>1</v>
      </c>
      <c r="H1279" t="s">
        <v>28</v>
      </c>
      <c r="I1279">
        <v>10880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4067</v>
      </c>
      <c r="E1280">
        <v>1</v>
      </c>
      <c r="F1280" t="s">
        <v>291</v>
      </c>
      <c r="G1280">
        <v>1</v>
      </c>
      <c r="H1280" t="s">
        <v>28</v>
      </c>
      <c r="I1280">
        <v>7267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4317</v>
      </c>
      <c r="E1281">
        <v>1</v>
      </c>
      <c r="F1281" t="s">
        <v>258</v>
      </c>
      <c r="G1281">
        <v>1</v>
      </c>
      <c r="H1281" t="s">
        <v>27</v>
      </c>
      <c r="I1281">
        <v>2067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3502</v>
      </c>
      <c r="E1282">
        <v>1</v>
      </c>
      <c r="F1282" t="s">
        <v>258</v>
      </c>
      <c r="G1282">
        <v>1</v>
      </c>
      <c r="H1282" t="s">
        <v>27</v>
      </c>
      <c r="I1282">
        <v>2411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4182</v>
      </c>
      <c r="E1283">
        <v>0</v>
      </c>
      <c r="F1283" t="s">
        <v>34</v>
      </c>
      <c r="G1283">
        <v>4</v>
      </c>
      <c r="H1283" t="s">
        <v>17</v>
      </c>
      <c r="I1283">
        <v>0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3200</v>
      </c>
    </row>
    <row r="1284" spans="1:13">
      <c r="A1284" t="s">
        <v>172</v>
      </c>
      <c r="B1284" t="s">
        <v>9</v>
      </c>
      <c r="C1284">
        <v>10</v>
      </c>
      <c r="D1284">
        <v>3429</v>
      </c>
      <c r="E1284">
        <v>0</v>
      </c>
      <c r="F1284" t="s">
        <v>258</v>
      </c>
      <c r="G1284">
        <v>1</v>
      </c>
      <c r="H1284" t="s">
        <v>28</v>
      </c>
      <c r="I1284">
        <v>10880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4311</v>
      </c>
      <c r="E1285">
        <v>1</v>
      </c>
      <c r="F1285" t="s">
        <v>258</v>
      </c>
      <c r="G1285">
        <v>1</v>
      </c>
      <c r="H1285" t="s">
        <v>28</v>
      </c>
      <c r="I1285">
        <v>8075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3883</v>
      </c>
      <c r="E1286">
        <v>0</v>
      </c>
      <c r="F1286" t="s">
        <v>291</v>
      </c>
      <c r="G1286">
        <v>1</v>
      </c>
      <c r="H1286" t="s">
        <v>28</v>
      </c>
      <c r="I1286">
        <v>6885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:13">
      <c r="A1287" t="s">
        <v>172</v>
      </c>
      <c r="B1287" t="s">
        <v>9</v>
      </c>
      <c r="C1287">
        <v>10</v>
      </c>
      <c r="D1287">
        <v>961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  <c r="M1287" t="s">
        <v>204</v>
      </c>
    </row>
    <row r="1288" spans="1:13">
      <c r="A1288" t="s">
        <v>172</v>
      </c>
      <c r="B1288" t="s">
        <v>9</v>
      </c>
      <c r="C1288">
        <v>10</v>
      </c>
      <c r="D1288">
        <v>4397</v>
      </c>
      <c r="E1288">
        <v>3</v>
      </c>
      <c r="F1288" t="s">
        <v>258</v>
      </c>
      <c r="G1288">
        <v>1</v>
      </c>
      <c r="H1288" t="s">
        <v>27</v>
      </c>
      <c r="I1288">
        <v>3514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3818</v>
      </c>
      <c r="E1289">
        <v>2</v>
      </c>
      <c r="F1289" t="s">
        <v>258</v>
      </c>
      <c r="G1289">
        <v>1</v>
      </c>
      <c r="H1289" t="s">
        <v>27</v>
      </c>
      <c r="I1289">
        <v>3675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4006</v>
      </c>
      <c r="E1290">
        <v>2</v>
      </c>
      <c r="F1290" t="s">
        <v>258</v>
      </c>
      <c r="G1290">
        <v>1</v>
      </c>
      <c r="H1290" t="s">
        <v>29</v>
      </c>
      <c r="I1290">
        <v>12680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:13">
      <c r="A1291" t="s">
        <v>172</v>
      </c>
      <c r="B1291" t="s">
        <v>9</v>
      </c>
      <c r="C1291">
        <v>10</v>
      </c>
      <c r="D1291">
        <v>4249</v>
      </c>
      <c r="E1291">
        <v>2</v>
      </c>
      <c r="F1291" t="s">
        <v>258</v>
      </c>
      <c r="G1291">
        <v>1</v>
      </c>
      <c r="H1291" t="s">
        <v>28</v>
      </c>
      <c r="I1291">
        <v>6120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3495</v>
      </c>
      <c r="E1292">
        <v>1</v>
      </c>
      <c r="F1292" t="s">
        <v>258</v>
      </c>
      <c r="G1292">
        <v>1</v>
      </c>
      <c r="H1292" t="s">
        <v>28</v>
      </c>
      <c r="I1292">
        <v>3825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4286</v>
      </c>
      <c r="E1293">
        <v>1</v>
      </c>
      <c r="F1293" t="s">
        <v>258</v>
      </c>
      <c r="G1293">
        <v>1</v>
      </c>
      <c r="H1293" t="s">
        <v>28</v>
      </c>
      <c r="I1293">
        <v>4335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4231</v>
      </c>
      <c r="E1294">
        <v>0</v>
      </c>
      <c r="F1294" t="s">
        <v>258</v>
      </c>
      <c r="G1294">
        <v>1</v>
      </c>
      <c r="H1294" t="s">
        <v>27</v>
      </c>
      <c r="I1294">
        <v>6892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4019</v>
      </c>
      <c r="E1295">
        <v>0</v>
      </c>
      <c r="F1295" t="s">
        <v>258</v>
      </c>
      <c r="G1295">
        <v>1</v>
      </c>
      <c r="H1295" t="s">
        <v>27</v>
      </c>
      <c r="I1295">
        <v>2756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4094</v>
      </c>
      <c r="E1296">
        <v>3</v>
      </c>
      <c r="F1296" t="s">
        <v>34</v>
      </c>
      <c r="G1296">
        <v>5</v>
      </c>
      <c r="H1296" t="s">
        <v>17</v>
      </c>
      <c r="I1296">
        <v>0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4000</v>
      </c>
    </row>
    <row r="1297" spans="1:12">
      <c r="A1297" t="s">
        <v>172</v>
      </c>
      <c r="B1297" t="s">
        <v>9</v>
      </c>
      <c r="C1297">
        <v>10</v>
      </c>
      <c r="D1297">
        <v>4074</v>
      </c>
      <c r="E1297">
        <v>1</v>
      </c>
      <c r="F1297" t="s">
        <v>291</v>
      </c>
      <c r="G1297">
        <v>1</v>
      </c>
      <c r="H1297" t="s">
        <v>27</v>
      </c>
      <c r="I1297">
        <v>2940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4218</v>
      </c>
      <c r="E1298">
        <v>2</v>
      </c>
      <c r="F1298" t="s">
        <v>258</v>
      </c>
      <c r="G1298">
        <v>1</v>
      </c>
      <c r="H1298" t="s">
        <v>29</v>
      </c>
      <c r="I1298">
        <v>22824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3925</v>
      </c>
      <c r="E1299">
        <v>1</v>
      </c>
      <c r="F1299" t="s">
        <v>291</v>
      </c>
      <c r="G1299">
        <v>1</v>
      </c>
      <c r="H1299" t="s">
        <v>28</v>
      </c>
      <c r="I1299">
        <v>15300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:12">
      <c r="A1300" t="s">
        <v>172</v>
      </c>
      <c r="B1300" t="s">
        <v>9</v>
      </c>
      <c r="C1300">
        <v>10</v>
      </c>
      <c r="D1300">
        <v>4086</v>
      </c>
      <c r="E1300">
        <v>4</v>
      </c>
      <c r="F1300" t="s">
        <v>258</v>
      </c>
      <c r="G1300">
        <v>1</v>
      </c>
      <c r="H1300" t="s">
        <v>28</v>
      </c>
      <c r="I1300">
        <v>5652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4019</v>
      </c>
      <c r="E1301">
        <v>1</v>
      </c>
      <c r="F1301" t="s">
        <v>258</v>
      </c>
      <c r="G1301">
        <v>1</v>
      </c>
      <c r="H1301" t="s">
        <v>29</v>
      </c>
      <c r="I1301">
        <v>8510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4281</v>
      </c>
      <c r="E1302">
        <v>2</v>
      </c>
      <c r="F1302" t="s">
        <v>34</v>
      </c>
      <c r="G1302">
        <v>5</v>
      </c>
      <c r="H1302" t="s">
        <v>17</v>
      </c>
      <c r="I1302">
        <v>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4000</v>
      </c>
    </row>
    <row r="1303" spans="1:12">
      <c r="A1303" t="s">
        <v>172</v>
      </c>
      <c r="B1303" t="s">
        <v>9</v>
      </c>
      <c r="C1303">
        <v>10</v>
      </c>
      <c r="D1303">
        <v>3978</v>
      </c>
      <c r="E1303">
        <v>1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4032</v>
      </c>
      <c r="E1304">
        <v>2</v>
      </c>
      <c r="F1304" t="s">
        <v>258</v>
      </c>
      <c r="G1304">
        <v>1</v>
      </c>
      <c r="H1304" t="s">
        <v>28</v>
      </c>
      <c r="I1304">
        <v>6120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3957</v>
      </c>
      <c r="E1305">
        <v>0</v>
      </c>
      <c r="F1305" t="s">
        <v>291</v>
      </c>
      <c r="G1305">
        <v>1</v>
      </c>
      <c r="H1305" t="s">
        <v>28</v>
      </c>
      <c r="I1305">
        <v>6120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:12">
      <c r="A1306" t="s">
        <v>172</v>
      </c>
      <c r="B1306" t="s">
        <v>9</v>
      </c>
      <c r="C1306">
        <v>10</v>
      </c>
      <c r="D1306">
        <v>3863</v>
      </c>
      <c r="E1306">
        <v>1</v>
      </c>
      <c r="F1306" t="s">
        <v>318</v>
      </c>
      <c r="G1306">
        <v>1</v>
      </c>
      <c r="H1306" t="s">
        <v>28</v>
      </c>
      <c r="I1306">
        <v>10200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3842</v>
      </c>
      <c r="E1307">
        <v>0</v>
      </c>
      <c r="F1307" t="s">
        <v>258</v>
      </c>
      <c r="G1307">
        <v>1</v>
      </c>
      <c r="H1307" t="s">
        <v>28</v>
      </c>
      <c r="I1307">
        <v>5737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4207</v>
      </c>
      <c r="E1308">
        <v>3</v>
      </c>
      <c r="F1308" t="s">
        <v>291</v>
      </c>
      <c r="G1308">
        <v>1</v>
      </c>
      <c r="H1308" t="s">
        <v>29</v>
      </c>
      <c r="I1308">
        <v>27103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3865</v>
      </c>
      <c r="E1309">
        <v>0</v>
      </c>
      <c r="F1309" t="s">
        <v>291</v>
      </c>
      <c r="G1309">
        <v>1</v>
      </c>
      <c r="H1309" t="s">
        <v>27</v>
      </c>
      <c r="I1309">
        <v>4295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4382</v>
      </c>
      <c r="E1310">
        <v>2</v>
      </c>
      <c r="F1310" t="s">
        <v>258</v>
      </c>
      <c r="G1310">
        <v>1</v>
      </c>
      <c r="H1310" t="s">
        <v>28</v>
      </c>
      <c r="I1310">
        <v>3825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4218</v>
      </c>
      <c r="E1311">
        <v>2</v>
      </c>
      <c r="F1311" t="s">
        <v>291</v>
      </c>
      <c r="G1311">
        <v>1</v>
      </c>
      <c r="H1311" t="s">
        <v>28</v>
      </c>
      <c r="I1311">
        <v>3507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3737</v>
      </c>
      <c r="E1312">
        <v>1</v>
      </c>
      <c r="F1312" t="s">
        <v>34</v>
      </c>
      <c r="G1312">
        <v>5</v>
      </c>
      <c r="H1312" t="s">
        <v>17</v>
      </c>
      <c r="I1312">
        <v>0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4000</v>
      </c>
    </row>
    <row r="1313" spans="1:12">
      <c r="A1313" t="s">
        <v>172</v>
      </c>
      <c r="B1313" t="s">
        <v>9</v>
      </c>
      <c r="C1313">
        <v>10</v>
      </c>
      <c r="D1313">
        <v>3979</v>
      </c>
      <c r="E1313">
        <v>2</v>
      </c>
      <c r="F1313" t="s">
        <v>291</v>
      </c>
      <c r="G1313">
        <v>1</v>
      </c>
      <c r="H1313" t="s">
        <v>27</v>
      </c>
      <c r="I1313">
        <v>4547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3965</v>
      </c>
      <c r="E1314">
        <v>0</v>
      </c>
      <c r="F1314" t="s">
        <v>258</v>
      </c>
      <c r="G1314">
        <v>1</v>
      </c>
      <c r="H1314" t="s">
        <v>27</v>
      </c>
      <c r="I1314">
        <v>2573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3790</v>
      </c>
      <c r="E1315">
        <v>1</v>
      </c>
      <c r="F1315" t="s">
        <v>34</v>
      </c>
      <c r="G1315">
        <v>4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3200</v>
      </c>
    </row>
    <row r="1316" spans="1:12">
      <c r="A1316" t="s">
        <v>172</v>
      </c>
      <c r="B1316" t="s">
        <v>9</v>
      </c>
      <c r="C1316">
        <v>10</v>
      </c>
      <c r="D1316">
        <v>4142</v>
      </c>
      <c r="E1316">
        <v>1</v>
      </c>
      <c r="F1316" t="s">
        <v>258</v>
      </c>
      <c r="G1316">
        <v>1</v>
      </c>
      <c r="H1316" t="s">
        <v>27</v>
      </c>
      <c r="I1316">
        <v>2411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3754</v>
      </c>
      <c r="E1317">
        <v>0</v>
      </c>
      <c r="F1317" t="s">
        <v>58</v>
      </c>
      <c r="G1317">
        <v>1</v>
      </c>
      <c r="H1317" t="s">
        <v>12</v>
      </c>
      <c r="I1317">
        <v>0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11500</v>
      </c>
      <c r="L1317" s="43">
        <f>IFERROR(SUMIFS(Tabela10[Exp Gain only 2*+],Tabela10[Drop],DropAnalityka[[#This Row],[Drop]],Tabela10[Grade],DropAnalityka[[#This Row],[Grade]])*DropAnalityka[[#This Row],[Quality/Quantity]],0)</f>
        <v>35822</v>
      </c>
    </row>
    <row r="1318" spans="1:12">
      <c r="A1318" t="s">
        <v>172</v>
      </c>
      <c r="B1318" t="s">
        <v>9</v>
      </c>
      <c r="C1318">
        <v>10</v>
      </c>
      <c r="D1318">
        <v>4313</v>
      </c>
      <c r="E1318">
        <v>1</v>
      </c>
      <c r="F1318" t="s">
        <v>258</v>
      </c>
      <c r="G1318">
        <v>1</v>
      </c>
      <c r="H1318" t="s">
        <v>28</v>
      </c>
      <c r="I1318">
        <v>11560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:12">
      <c r="A1319" t="s">
        <v>178</v>
      </c>
      <c r="B1319" t="s">
        <v>9</v>
      </c>
      <c r="C1319">
        <v>10</v>
      </c>
      <c r="D1319">
        <v>4211</v>
      </c>
      <c r="E1319">
        <v>0</v>
      </c>
      <c r="F1319" t="s">
        <v>318</v>
      </c>
      <c r="G1319">
        <v>1</v>
      </c>
      <c r="H1319" t="s">
        <v>28</v>
      </c>
      <c r="I1319">
        <v>10880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178</v>
      </c>
      <c r="B1320" t="s">
        <v>9</v>
      </c>
      <c r="C1320">
        <v>10</v>
      </c>
      <c r="D1320">
        <v>4311</v>
      </c>
      <c r="E1320">
        <v>0</v>
      </c>
      <c r="F1320" t="s">
        <v>34</v>
      </c>
      <c r="G1320">
        <v>5</v>
      </c>
      <c r="H1320" t="s">
        <v>17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4000</v>
      </c>
    </row>
    <row r="1321" spans="1:12">
      <c r="A1321" t="s">
        <v>178</v>
      </c>
      <c r="B1321" t="s">
        <v>9</v>
      </c>
      <c r="C1321">
        <v>10</v>
      </c>
      <c r="D1321">
        <v>4245</v>
      </c>
      <c r="E1321">
        <v>0</v>
      </c>
      <c r="F1321" t="s">
        <v>34</v>
      </c>
      <c r="G1321">
        <v>4</v>
      </c>
      <c r="H1321" t="s">
        <v>17</v>
      </c>
      <c r="I1321">
        <v>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3200</v>
      </c>
    </row>
    <row r="1322" spans="1:12">
      <c r="A1322" t="s">
        <v>178</v>
      </c>
      <c r="B1322" t="s">
        <v>9</v>
      </c>
      <c r="C1322">
        <v>10</v>
      </c>
      <c r="D1322">
        <v>4436</v>
      </c>
      <c r="E1322">
        <v>1</v>
      </c>
      <c r="F1322" t="s">
        <v>258</v>
      </c>
      <c r="G1322">
        <v>1</v>
      </c>
      <c r="H1322" t="s">
        <v>28</v>
      </c>
      <c r="I1322">
        <v>8925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178</v>
      </c>
      <c r="B1323" t="s">
        <v>9</v>
      </c>
      <c r="C1323">
        <v>10</v>
      </c>
      <c r="D1323">
        <v>4301</v>
      </c>
      <c r="E1323">
        <v>0</v>
      </c>
      <c r="F1323" t="s">
        <v>34</v>
      </c>
      <c r="G1323">
        <v>5</v>
      </c>
      <c r="H1323" t="s">
        <v>17</v>
      </c>
      <c r="I1323">
        <v>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4000</v>
      </c>
    </row>
    <row r="1324" spans="1:12">
      <c r="A1324" t="s">
        <v>178</v>
      </c>
      <c r="B1324" t="s">
        <v>9</v>
      </c>
      <c r="C1324">
        <v>10</v>
      </c>
      <c r="D1324">
        <v>4084</v>
      </c>
      <c r="E1324">
        <v>0</v>
      </c>
      <c r="F1324" t="s">
        <v>34</v>
      </c>
      <c r="G1324">
        <v>4</v>
      </c>
      <c r="H1324" t="s">
        <v>17</v>
      </c>
      <c r="I1324">
        <v>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3200</v>
      </c>
    </row>
    <row r="1325" spans="1:12">
      <c r="A1325" t="s">
        <v>178</v>
      </c>
      <c r="B1325" t="s">
        <v>9</v>
      </c>
      <c r="C1325">
        <v>10</v>
      </c>
      <c r="D1325">
        <v>4184</v>
      </c>
      <c r="E1325">
        <v>1</v>
      </c>
      <c r="F1325" t="s">
        <v>291</v>
      </c>
      <c r="G1325">
        <v>1</v>
      </c>
      <c r="H1325" t="s">
        <v>28</v>
      </c>
      <c r="I1325">
        <v>13580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13580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178</v>
      </c>
      <c r="B1326" t="s">
        <v>9</v>
      </c>
      <c r="C1326">
        <v>10</v>
      </c>
      <c r="D1326">
        <v>4874</v>
      </c>
      <c r="E1326">
        <v>1</v>
      </c>
      <c r="F1326" t="s">
        <v>58</v>
      </c>
      <c r="G1326">
        <v>1</v>
      </c>
      <c r="H1326" t="s">
        <v>12</v>
      </c>
      <c r="I1326">
        <v>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11500</v>
      </c>
      <c r="L1326" s="43">
        <f>IFERROR(SUMIFS(Tabela10[Exp Gain only 2*+],Tabela10[Drop],DropAnalityka[[#This Row],[Drop]],Tabela10[Grade],DropAnalityka[[#This Row],[Grade]])*DropAnalityka[[#This Row],[Quality/Quantity]],0)</f>
        <v>35822</v>
      </c>
    </row>
    <row r="1327" spans="1:12">
      <c r="A1327" t="s">
        <v>178</v>
      </c>
      <c r="B1327" t="s">
        <v>9</v>
      </c>
      <c r="C1327">
        <v>10</v>
      </c>
      <c r="D1327">
        <v>4504</v>
      </c>
      <c r="E1327">
        <v>3</v>
      </c>
      <c r="F1327" t="s">
        <v>205</v>
      </c>
      <c r="G1327">
        <v>3</v>
      </c>
      <c r="H1327" t="s">
        <v>26</v>
      </c>
      <c r="I1327">
        <v>0</v>
      </c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2587.5</v>
      </c>
      <c r="L132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28" spans="1:12">
      <c r="A1328" t="s">
        <v>178</v>
      </c>
      <c r="B1328" t="s">
        <v>9</v>
      </c>
      <c r="C1328">
        <v>10</v>
      </c>
      <c r="D1328">
        <v>4678</v>
      </c>
      <c r="E1328">
        <v>0</v>
      </c>
      <c r="F1328" t="s">
        <v>258</v>
      </c>
      <c r="G1328">
        <v>1</v>
      </c>
      <c r="H1328" t="s">
        <v>27</v>
      </c>
      <c r="I1328">
        <v>2940</v>
      </c>
      <c r="J132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:12">
      <c r="A1329" t="s">
        <v>178</v>
      </c>
      <c r="B1329" t="s">
        <v>9</v>
      </c>
      <c r="C1329">
        <v>10</v>
      </c>
      <c r="D1329">
        <v>4384</v>
      </c>
      <c r="E1329">
        <v>3</v>
      </c>
      <c r="F1329" t="s">
        <v>258</v>
      </c>
      <c r="G1329">
        <v>1</v>
      </c>
      <c r="H1329" t="s">
        <v>28</v>
      </c>
      <c r="I1329">
        <v>6120</v>
      </c>
      <c r="J132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:12">
      <c r="A1330" t="s">
        <v>178</v>
      </c>
      <c r="B1330" t="s">
        <v>9</v>
      </c>
      <c r="C1330">
        <v>10</v>
      </c>
      <c r="D1330">
        <v>4926</v>
      </c>
      <c r="E1330">
        <v>2</v>
      </c>
      <c r="F1330" t="s">
        <v>258</v>
      </c>
      <c r="G1330">
        <v>1</v>
      </c>
      <c r="H1330" t="s">
        <v>29</v>
      </c>
      <c r="I1330">
        <v>22190</v>
      </c>
      <c r="J1330">
        <f>DropAnalityka[[#This Row],[Sell Drop]]+IFERROR(SUMIFS(Tabela10[Drop Worth],Tabela10[Drop],DropAnalityka[[#This Row],[Drop]],Tabela10[Grade],DropAnalityka[[#This Row],[Grade]])*DropAnalityka[[#This Row],[Quality/Quantity]],0)</f>
        <v>22190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:12">
      <c r="A1331" t="s">
        <v>178</v>
      </c>
      <c r="B1331" t="s">
        <v>9</v>
      </c>
      <c r="C1331">
        <v>10</v>
      </c>
      <c r="D1331">
        <v>4473</v>
      </c>
      <c r="E1331">
        <v>4</v>
      </c>
      <c r="F1331" t="s">
        <v>34</v>
      </c>
      <c r="G1331">
        <v>4</v>
      </c>
      <c r="H1331" t="s">
        <v>17</v>
      </c>
      <c r="I1331">
        <v>0</v>
      </c>
      <c r="J13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3200</v>
      </c>
    </row>
    <row r="1332" spans="1:12">
      <c r="A1332" t="s">
        <v>178</v>
      </c>
      <c r="B1332" t="s">
        <v>9</v>
      </c>
      <c r="C1332">
        <v>10</v>
      </c>
      <c r="D1332">
        <v>4685</v>
      </c>
      <c r="E1332">
        <v>0</v>
      </c>
      <c r="F1332" t="s">
        <v>258</v>
      </c>
      <c r="G1332">
        <v>1</v>
      </c>
      <c r="H1332" t="s">
        <v>27</v>
      </c>
      <c r="I1332">
        <v>3904</v>
      </c>
      <c r="J133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:12">
      <c r="A1333" t="s">
        <v>178</v>
      </c>
      <c r="B1333" t="s">
        <v>9</v>
      </c>
      <c r="C1333">
        <v>10</v>
      </c>
      <c r="D1333">
        <v>5046</v>
      </c>
      <c r="E1333">
        <v>1</v>
      </c>
      <c r="F1333" t="s">
        <v>258</v>
      </c>
      <c r="G1333">
        <v>1</v>
      </c>
      <c r="H1333" t="s">
        <v>28</v>
      </c>
      <c r="I1333">
        <v>10710</v>
      </c>
      <c r="J1333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:12">
      <c r="A1334" t="s">
        <v>178</v>
      </c>
      <c r="B1334" t="s">
        <v>9</v>
      </c>
      <c r="C1334">
        <v>9</v>
      </c>
      <c r="D1334">
        <v>3976</v>
      </c>
      <c r="E1334">
        <v>1</v>
      </c>
      <c r="F1334" t="s">
        <v>34</v>
      </c>
      <c r="G1334">
        <v>4</v>
      </c>
      <c r="H1334" t="s">
        <v>17</v>
      </c>
      <c r="I1334">
        <v>0</v>
      </c>
      <c r="J13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3200</v>
      </c>
    </row>
    <row r="1335" spans="1:12">
      <c r="A1335" t="s">
        <v>178</v>
      </c>
      <c r="B1335" t="s">
        <v>9</v>
      </c>
      <c r="C1335">
        <v>9</v>
      </c>
      <c r="D1335">
        <v>3952</v>
      </c>
      <c r="E1335">
        <v>1</v>
      </c>
      <c r="F1335" t="s">
        <v>34</v>
      </c>
      <c r="G1335">
        <v>4</v>
      </c>
      <c r="H1335" t="s">
        <v>17</v>
      </c>
      <c r="I1335">
        <v>0</v>
      </c>
      <c r="J133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3200</v>
      </c>
    </row>
    <row r="1336" spans="1:12">
      <c r="A1336" t="s">
        <v>178</v>
      </c>
      <c r="B1336" t="s">
        <v>9</v>
      </c>
      <c r="C1336">
        <v>9</v>
      </c>
      <c r="D1336">
        <v>4003</v>
      </c>
      <c r="E1336">
        <v>1</v>
      </c>
      <c r="F1336" t="s">
        <v>258</v>
      </c>
      <c r="G1336">
        <v>1</v>
      </c>
      <c r="H1336" t="s">
        <v>27</v>
      </c>
      <c r="I1336">
        <v>6615</v>
      </c>
      <c r="J1336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:12">
      <c r="A1337" t="s">
        <v>178</v>
      </c>
      <c r="B1337" t="s">
        <v>9</v>
      </c>
      <c r="C1337">
        <v>9</v>
      </c>
      <c r="D1337">
        <v>4086</v>
      </c>
      <c r="E1337">
        <v>0</v>
      </c>
      <c r="F1337" t="s">
        <v>318</v>
      </c>
      <c r="G1337">
        <v>1</v>
      </c>
      <c r="H1337" t="s">
        <v>28</v>
      </c>
      <c r="I1337">
        <v>15300</v>
      </c>
      <c r="J1337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:12">
      <c r="A1338" t="s">
        <v>178</v>
      </c>
      <c r="B1338" t="s">
        <v>9</v>
      </c>
      <c r="C1338">
        <v>9</v>
      </c>
      <c r="D1338">
        <v>4099</v>
      </c>
      <c r="E1338">
        <v>0</v>
      </c>
      <c r="F1338" t="s">
        <v>258</v>
      </c>
      <c r="G1338">
        <v>1</v>
      </c>
      <c r="H1338" t="s">
        <v>27</v>
      </c>
      <c r="I1338">
        <v>6982</v>
      </c>
      <c r="J1338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:12">
      <c r="A1339" t="s">
        <v>178</v>
      </c>
      <c r="B1339" t="s">
        <v>9</v>
      </c>
      <c r="C1339">
        <v>9</v>
      </c>
      <c r="D1339">
        <v>3929</v>
      </c>
      <c r="E1339">
        <v>3</v>
      </c>
      <c r="F1339" t="s">
        <v>258</v>
      </c>
      <c r="G1339">
        <v>1</v>
      </c>
      <c r="H1339" t="s">
        <v>27</v>
      </c>
      <c r="I1339">
        <v>7028</v>
      </c>
      <c r="J1339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:12">
      <c r="A1340" t="s">
        <v>178</v>
      </c>
      <c r="B1340" t="s">
        <v>9</v>
      </c>
      <c r="C1340">
        <v>9</v>
      </c>
      <c r="D1340">
        <v>4239</v>
      </c>
      <c r="E1340">
        <v>1</v>
      </c>
      <c r="F1340" t="s">
        <v>258</v>
      </c>
      <c r="G1340">
        <v>1</v>
      </c>
      <c r="H1340" t="s">
        <v>27</v>
      </c>
      <c r="I1340">
        <v>7855</v>
      </c>
      <c r="J1340">
        <f>DropAnalityka[[#This Row],[Sell Drop]]+IFERROR(SUMIFS(Tabela10[Drop Worth],Tabela10[Drop],DropAnalityka[[#This Row],[Drop]],Tabela10[Grade],DropAnalityka[[#This Row],[Grade]])*DropAnalityka[[#This Row],[Quality/Quantity]],0)</f>
        <v>7855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:12">
      <c r="A1341" t="s">
        <v>178</v>
      </c>
      <c r="B1341" t="s">
        <v>9</v>
      </c>
      <c r="C1341">
        <v>9</v>
      </c>
      <c r="D1341">
        <v>3909</v>
      </c>
      <c r="E1341">
        <v>0</v>
      </c>
      <c r="F1341" t="s">
        <v>34</v>
      </c>
      <c r="G1341">
        <v>5</v>
      </c>
      <c r="H1341" t="s">
        <v>17</v>
      </c>
      <c r="I1341">
        <v>0</v>
      </c>
      <c r="J13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4000</v>
      </c>
    </row>
    <row r="1342" spans="1:12">
      <c r="A1342" t="s">
        <v>178</v>
      </c>
      <c r="B1342" t="s">
        <v>9</v>
      </c>
      <c r="C1342">
        <v>9</v>
      </c>
      <c r="D1342">
        <v>4064</v>
      </c>
      <c r="E1342">
        <v>1</v>
      </c>
      <c r="F1342" t="s">
        <v>34</v>
      </c>
      <c r="G1342">
        <v>5</v>
      </c>
      <c r="H1342" t="s">
        <v>17</v>
      </c>
      <c r="I1342">
        <v>0</v>
      </c>
      <c r="J134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4000</v>
      </c>
    </row>
    <row r="1343" spans="1:12">
      <c r="A1343" t="s">
        <v>178</v>
      </c>
      <c r="B1343" t="s">
        <v>9</v>
      </c>
      <c r="C1343">
        <v>9</v>
      </c>
      <c r="D1343">
        <v>4083</v>
      </c>
      <c r="E1343">
        <v>0</v>
      </c>
      <c r="F1343" t="s">
        <v>258</v>
      </c>
      <c r="G1343">
        <v>1</v>
      </c>
      <c r="H1343" t="s">
        <v>27</v>
      </c>
      <c r="I1343">
        <v>6615</v>
      </c>
      <c r="J1343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:12">
      <c r="A1344" t="s">
        <v>178</v>
      </c>
      <c r="B1344" t="s">
        <v>9</v>
      </c>
      <c r="C1344">
        <v>9</v>
      </c>
      <c r="D1344">
        <v>3906</v>
      </c>
      <c r="E1344">
        <v>1</v>
      </c>
      <c r="F1344" t="s">
        <v>258</v>
      </c>
      <c r="G1344">
        <v>1</v>
      </c>
      <c r="H1344" t="s">
        <v>28</v>
      </c>
      <c r="I1344">
        <v>13005</v>
      </c>
      <c r="J1344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:12">
      <c r="A1345" t="s">
        <v>178</v>
      </c>
      <c r="B1345" t="s">
        <v>9</v>
      </c>
      <c r="C1345">
        <v>9</v>
      </c>
      <c r="D1345">
        <v>4056</v>
      </c>
      <c r="E1345">
        <v>0</v>
      </c>
      <c r="F1345" t="s">
        <v>258</v>
      </c>
      <c r="G1345">
        <v>1</v>
      </c>
      <c r="H1345" t="s">
        <v>27</v>
      </c>
      <c r="I1345">
        <v>6615</v>
      </c>
      <c r="J134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:12">
      <c r="A1346" t="s">
        <v>178</v>
      </c>
      <c r="B1346" t="s">
        <v>9</v>
      </c>
      <c r="C1346">
        <v>9</v>
      </c>
      <c r="D1346">
        <v>4209</v>
      </c>
      <c r="E1346">
        <v>1</v>
      </c>
      <c r="F1346" t="s">
        <v>205</v>
      </c>
      <c r="G1346">
        <v>3</v>
      </c>
      <c r="H1346" t="s">
        <v>26</v>
      </c>
      <c r="I1346">
        <v>0</v>
      </c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2587.5</v>
      </c>
      <c r="L134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47" spans="1:12">
      <c r="A1347" t="s">
        <v>178</v>
      </c>
      <c r="B1347" t="s">
        <v>9</v>
      </c>
      <c r="C1347">
        <v>9</v>
      </c>
      <c r="D1347">
        <v>3820</v>
      </c>
      <c r="E1347">
        <v>1</v>
      </c>
      <c r="F1347" t="s">
        <v>258</v>
      </c>
      <c r="G1347">
        <v>1</v>
      </c>
      <c r="H1347" t="s">
        <v>27</v>
      </c>
      <c r="I1347">
        <v>3445</v>
      </c>
      <c r="J1347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:12">
      <c r="A1348" t="s">
        <v>178</v>
      </c>
      <c r="B1348" t="s">
        <v>9</v>
      </c>
      <c r="C1348">
        <v>9</v>
      </c>
      <c r="D1348">
        <v>3866</v>
      </c>
      <c r="E1348">
        <v>1</v>
      </c>
      <c r="F1348" t="s">
        <v>258</v>
      </c>
      <c r="G1348">
        <v>1</v>
      </c>
      <c r="H1348" t="s">
        <v>28</v>
      </c>
      <c r="I1348">
        <v>12340</v>
      </c>
      <c r="J1348">
        <f>DropAnalityka[[#This Row],[Sell Drop]]+IFERROR(SUMIFS(Tabela10[Drop Worth],Tabela10[Drop],DropAnalityka[[#This Row],[Drop]],Tabela10[Grade],DropAnalityka[[#This Row],[Grade]])*DropAnalityka[[#This Row],[Quality/Quantity]],0)</f>
        <v>12340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:12">
      <c r="A1349" t="s">
        <v>178</v>
      </c>
      <c r="B1349" t="s">
        <v>9</v>
      </c>
      <c r="C1349">
        <v>9</v>
      </c>
      <c r="D1349">
        <v>3662</v>
      </c>
      <c r="E1349">
        <v>2</v>
      </c>
      <c r="F1349" t="s">
        <v>34</v>
      </c>
      <c r="G1349">
        <v>4</v>
      </c>
      <c r="H1349" t="s">
        <v>17</v>
      </c>
      <c r="I1349">
        <v>0</v>
      </c>
      <c r="J134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3200</v>
      </c>
    </row>
    <row r="1350" spans="1:12">
      <c r="A1350" t="s">
        <v>178</v>
      </c>
      <c r="B1350" t="s">
        <v>9</v>
      </c>
      <c r="C1350">
        <v>9</v>
      </c>
      <c r="D1350">
        <v>4037</v>
      </c>
      <c r="E1350">
        <v>2</v>
      </c>
      <c r="F1350" t="s">
        <v>258</v>
      </c>
      <c r="G1350">
        <v>1</v>
      </c>
      <c r="H1350" t="s">
        <v>28</v>
      </c>
      <c r="I1350">
        <v>5440</v>
      </c>
      <c r="J135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:12">
      <c r="A1351" t="s">
        <v>178</v>
      </c>
      <c r="B1351" t="s">
        <v>9</v>
      </c>
      <c r="C1351">
        <v>9</v>
      </c>
      <c r="D1351">
        <v>4030</v>
      </c>
      <c r="E1351">
        <v>0</v>
      </c>
      <c r="F1351" t="s">
        <v>258</v>
      </c>
      <c r="G1351">
        <v>1</v>
      </c>
      <c r="H1351" t="s">
        <v>27</v>
      </c>
      <c r="I1351">
        <v>5788</v>
      </c>
      <c r="J1351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:12">
      <c r="A1352" t="s">
        <v>178</v>
      </c>
      <c r="B1352" t="s">
        <v>9</v>
      </c>
      <c r="C1352">
        <v>9</v>
      </c>
      <c r="D1352">
        <v>4230</v>
      </c>
      <c r="E1352">
        <v>0</v>
      </c>
      <c r="F1352" t="s">
        <v>34</v>
      </c>
      <c r="G1352">
        <v>5</v>
      </c>
      <c r="H1352" t="s">
        <v>17</v>
      </c>
      <c r="I1352">
        <v>0</v>
      </c>
      <c r="J13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4000</v>
      </c>
    </row>
    <row r="1353" spans="1:12">
      <c r="A1353" t="s">
        <v>178</v>
      </c>
      <c r="B1353" t="s">
        <v>9</v>
      </c>
      <c r="C1353">
        <v>9</v>
      </c>
      <c r="D1353">
        <v>4242</v>
      </c>
      <c r="E1353">
        <v>1</v>
      </c>
      <c r="F1353" t="s">
        <v>58</v>
      </c>
      <c r="G1353">
        <v>1</v>
      </c>
      <c r="H1353" t="s">
        <v>12</v>
      </c>
      <c r="I1353">
        <v>0</v>
      </c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11500</v>
      </c>
      <c r="L1353" s="43">
        <f>IFERROR(SUMIFS(Tabela10[Exp Gain only 2*+],Tabela10[Drop],DropAnalityka[[#This Row],[Drop]],Tabela10[Grade],DropAnalityka[[#This Row],[Grade]])*DropAnalityka[[#This Row],[Quality/Quantity]],0)</f>
        <v>35822</v>
      </c>
    </row>
    <row r="1354" spans="1:12">
      <c r="A1354" t="s">
        <v>178</v>
      </c>
      <c r="B1354" t="s">
        <v>9</v>
      </c>
      <c r="C1354">
        <v>9</v>
      </c>
      <c r="D1354">
        <v>3742</v>
      </c>
      <c r="E1354">
        <v>1</v>
      </c>
      <c r="F1354" t="s">
        <v>258</v>
      </c>
      <c r="G1354">
        <v>1</v>
      </c>
      <c r="H1354" t="s">
        <v>29</v>
      </c>
      <c r="I1354">
        <v>20288</v>
      </c>
      <c r="J1354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:12">
      <c r="A1355" t="s">
        <v>178</v>
      </c>
      <c r="B1355" t="s">
        <v>9</v>
      </c>
      <c r="C1355">
        <v>9</v>
      </c>
      <c r="D1355">
        <v>4004</v>
      </c>
      <c r="E1355">
        <v>1</v>
      </c>
      <c r="F1355" t="s">
        <v>258</v>
      </c>
      <c r="G1355">
        <v>1</v>
      </c>
      <c r="H1355" t="s">
        <v>27</v>
      </c>
      <c r="I1355">
        <v>3123</v>
      </c>
      <c r="J1355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:12">
      <c r="A1356" t="s">
        <v>178</v>
      </c>
      <c r="B1356" t="s">
        <v>9</v>
      </c>
      <c r="C1356">
        <v>9</v>
      </c>
      <c r="D1356">
        <v>3972</v>
      </c>
      <c r="E1356">
        <v>1</v>
      </c>
      <c r="F1356" t="s">
        <v>291</v>
      </c>
      <c r="G1356">
        <v>1</v>
      </c>
      <c r="H1356" t="s">
        <v>27</v>
      </c>
      <c r="I1356">
        <v>7809</v>
      </c>
      <c r="J1356">
        <f>DropAnalityka[[#This Row],[Sell Drop]]+IFERROR(SUMIFS(Tabela10[Drop Worth],Tabela10[Drop],DropAnalityka[[#This Row],[Drop]],Tabela10[Grade],DropAnalityka[[#This Row],[Grade]])*DropAnalityka[[#This Row],[Quality/Quantity]],0)</f>
        <v>7809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:12">
      <c r="A1357" t="s">
        <v>178</v>
      </c>
      <c r="B1357" t="s">
        <v>9</v>
      </c>
      <c r="C1357">
        <v>9</v>
      </c>
      <c r="D1357">
        <v>3789</v>
      </c>
      <c r="E1357">
        <v>3</v>
      </c>
      <c r="F1357" t="s">
        <v>258</v>
      </c>
      <c r="G1357">
        <v>1</v>
      </c>
      <c r="H1357" t="s">
        <v>28</v>
      </c>
      <c r="I1357">
        <v>12240</v>
      </c>
      <c r="J1357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:12">
      <c r="A1358" t="s">
        <v>178</v>
      </c>
      <c r="B1358" t="s">
        <v>9</v>
      </c>
      <c r="C1358">
        <v>9</v>
      </c>
      <c r="D1358">
        <v>3881</v>
      </c>
      <c r="E1358">
        <v>1</v>
      </c>
      <c r="F1358" t="s">
        <v>291</v>
      </c>
      <c r="G1358">
        <v>1</v>
      </c>
      <c r="H1358" t="s">
        <v>28</v>
      </c>
      <c r="I1358">
        <v>8160</v>
      </c>
      <c r="J1358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:12">
      <c r="A1359" t="s">
        <v>178</v>
      </c>
      <c r="B1359" t="s">
        <v>9</v>
      </c>
      <c r="C1359">
        <v>9</v>
      </c>
      <c r="D1359">
        <v>4062</v>
      </c>
      <c r="E1359">
        <v>1</v>
      </c>
      <c r="F1359" t="s">
        <v>291</v>
      </c>
      <c r="G1359">
        <v>1</v>
      </c>
      <c r="H1359" t="s">
        <v>27</v>
      </c>
      <c r="I1359">
        <v>4410</v>
      </c>
      <c r="J1359">
        <f>DropAnalityka[[#This Row],[Sell Drop]]+IFERROR(SUMIFS(Tabela10[Drop Worth],Tabela10[Drop],DropAnalityka[[#This Row],[Drop]],Tabela10[Grade],DropAnalityka[[#This Row],[Grade]])*DropAnalityka[[#This Row],[Quality/Quantity]],0)</f>
        <v>4410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:12">
      <c r="A1360" t="s">
        <v>178</v>
      </c>
      <c r="B1360" t="s">
        <v>9</v>
      </c>
      <c r="C1360">
        <v>9</v>
      </c>
      <c r="D1360">
        <v>3897</v>
      </c>
      <c r="E1360">
        <v>1</v>
      </c>
      <c r="F1360" t="s">
        <v>258</v>
      </c>
      <c r="G1360">
        <v>1</v>
      </c>
      <c r="H1360" t="s">
        <v>28</v>
      </c>
      <c r="I1360">
        <v>5100</v>
      </c>
      <c r="J136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:12">
      <c r="A1361" t="s">
        <v>178</v>
      </c>
      <c r="B1361" t="s">
        <v>9</v>
      </c>
      <c r="C1361">
        <v>9</v>
      </c>
      <c r="D1361">
        <v>4552</v>
      </c>
      <c r="E1361">
        <v>1</v>
      </c>
      <c r="F1361" t="s">
        <v>258</v>
      </c>
      <c r="G1361">
        <v>1</v>
      </c>
      <c r="H1361" t="s">
        <v>27</v>
      </c>
      <c r="I1361">
        <v>3491</v>
      </c>
      <c r="J1361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:12">
      <c r="A1362" t="s">
        <v>178</v>
      </c>
      <c r="B1362" t="s">
        <v>9</v>
      </c>
      <c r="C1362">
        <v>9</v>
      </c>
      <c r="D1362">
        <v>3972</v>
      </c>
      <c r="E1362">
        <v>0</v>
      </c>
      <c r="F1362" t="s">
        <v>34</v>
      </c>
      <c r="G1362">
        <v>5</v>
      </c>
      <c r="H1362" t="s">
        <v>17</v>
      </c>
      <c r="I1362">
        <v>0</v>
      </c>
      <c r="J136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4000</v>
      </c>
    </row>
    <row r="1363" spans="1:12">
      <c r="A1363" t="s">
        <v>178</v>
      </c>
      <c r="B1363" t="s">
        <v>9</v>
      </c>
      <c r="C1363">
        <v>9</v>
      </c>
      <c r="D1363">
        <v>3822</v>
      </c>
      <c r="E1363">
        <v>0</v>
      </c>
      <c r="F1363" t="s">
        <v>258</v>
      </c>
      <c r="G1363">
        <v>1</v>
      </c>
      <c r="H1363" t="s">
        <v>28</v>
      </c>
      <c r="I1363">
        <v>12240</v>
      </c>
      <c r="J1363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:12">
      <c r="A1364" t="s">
        <v>178</v>
      </c>
      <c r="B1364" t="s">
        <v>9</v>
      </c>
      <c r="C1364">
        <v>9</v>
      </c>
      <c r="D1364">
        <v>4179</v>
      </c>
      <c r="E1364">
        <v>2</v>
      </c>
      <c r="F1364" t="s">
        <v>258</v>
      </c>
      <c r="G1364">
        <v>1</v>
      </c>
      <c r="H1364" t="s">
        <v>29</v>
      </c>
      <c r="I1364">
        <v>14265</v>
      </c>
      <c r="J1364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:12">
      <c r="A1365" t="s">
        <v>178</v>
      </c>
      <c r="B1365" t="s">
        <v>9</v>
      </c>
      <c r="C1365">
        <v>9</v>
      </c>
      <c r="D1365">
        <v>4975</v>
      </c>
      <c r="E1365">
        <v>1</v>
      </c>
      <c r="F1365" t="s">
        <v>258</v>
      </c>
      <c r="G1365">
        <v>1</v>
      </c>
      <c r="H1365" t="s">
        <v>28</v>
      </c>
      <c r="I1365">
        <v>7650</v>
      </c>
      <c r="J1365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:12">
      <c r="A1366" t="s">
        <v>178</v>
      </c>
      <c r="B1366" t="s">
        <v>9</v>
      </c>
      <c r="C1366">
        <v>9</v>
      </c>
      <c r="D1366">
        <v>4786</v>
      </c>
      <c r="E1366">
        <v>0</v>
      </c>
      <c r="F1366" t="s">
        <v>318</v>
      </c>
      <c r="G1366">
        <v>1</v>
      </c>
      <c r="H1366" t="s">
        <v>28</v>
      </c>
      <c r="I1366">
        <v>12920</v>
      </c>
      <c r="J1366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:12">
      <c r="A1367" t="s">
        <v>178</v>
      </c>
      <c r="B1367" t="s">
        <v>9</v>
      </c>
      <c r="C1367">
        <v>9</v>
      </c>
      <c r="D1367">
        <v>3843</v>
      </c>
      <c r="E1367">
        <v>1</v>
      </c>
      <c r="F1367" t="s">
        <v>58</v>
      </c>
      <c r="G1367">
        <v>1</v>
      </c>
      <c r="H1367" t="s">
        <v>12</v>
      </c>
      <c r="I1367">
        <v>0</v>
      </c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11500</v>
      </c>
      <c r="L1367" s="43">
        <f>IFERROR(SUMIFS(Tabela10[Exp Gain only 2*+],Tabela10[Drop],DropAnalityka[[#This Row],[Drop]],Tabela10[Grade],DropAnalityka[[#This Row],[Grade]])*DropAnalityka[[#This Row],[Quality/Quantity]],0)</f>
        <v>35822</v>
      </c>
    </row>
    <row r="1368" spans="1:12">
      <c r="A1368" t="s">
        <v>178</v>
      </c>
      <c r="B1368" t="s">
        <v>9</v>
      </c>
      <c r="C1368">
        <v>9</v>
      </c>
      <c r="D1368">
        <v>4162</v>
      </c>
      <c r="E1368">
        <v>1</v>
      </c>
      <c r="F1368" t="s">
        <v>258</v>
      </c>
      <c r="G1368">
        <v>1</v>
      </c>
      <c r="H1368" t="s">
        <v>28</v>
      </c>
      <c r="I1368">
        <v>5780</v>
      </c>
      <c r="J136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:12">
      <c r="A1369" t="s">
        <v>178</v>
      </c>
      <c r="B1369" t="s">
        <v>9</v>
      </c>
      <c r="C1369">
        <v>9</v>
      </c>
      <c r="D1369">
        <v>3879</v>
      </c>
      <c r="E1369">
        <v>1</v>
      </c>
      <c r="F1369" t="s">
        <v>258</v>
      </c>
      <c r="G1369">
        <v>1</v>
      </c>
      <c r="H1369" t="s">
        <v>27</v>
      </c>
      <c r="I1369">
        <v>7350</v>
      </c>
      <c r="J1369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:12">
      <c r="A1370" t="s">
        <v>178</v>
      </c>
      <c r="B1370" t="s">
        <v>9</v>
      </c>
      <c r="C1370">
        <v>9</v>
      </c>
      <c r="D1370">
        <v>3611</v>
      </c>
      <c r="E1370">
        <v>0</v>
      </c>
      <c r="F1370" t="s">
        <v>205</v>
      </c>
      <c r="G1370">
        <v>3</v>
      </c>
      <c r="H1370" t="s">
        <v>26</v>
      </c>
      <c r="I1370">
        <v>0</v>
      </c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2587.5</v>
      </c>
      <c r="L1370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71" spans="1:12">
      <c r="A1371" t="s">
        <v>178</v>
      </c>
      <c r="B1371" t="s">
        <v>9</v>
      </c>
      <c r="C1371">
        <v>9</v>
      </c>
      <c r="D1371">
        <v>4220</v>
      </c>
      <c r="E1371">
        <v>1</v>
      </c>
      <c r="F1371" t="s">
        <v>258</v>
      </c>
      <c r="G1371">
        <v>1</v>
      </c>
      <c r="H1371" t="s">
        <v>28</v>
      </c>
      <c r="I1371">
        <v>11560</v>
      </c>
      <c r="J137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:12">
      <c r="A1372" t="s">
        <v>178</v>
      </c>
      <c r="B1372" t="s">
        <v>9</v>
      </c>
      <c r="C1372">
        <v>9</v>
      </c>
      <c r="D1372">
        <v>3765</v>
      </c>
      <c r="E1372">
        <v>0</v>
      </c>
      <c r="F1372" t="s">
        <v>258</v>
      </c>
      <c r="G1372">
        <v>1</v>
      </c>
      <c r="H1372" t="s">
        <v>27</v>
      </c>
      <c r="I1372">
        <v>3904</v>
      </c>
      <c r="J137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:12">
      <c r="A1373" t="s">
        <v>178</v>
      </c>
      <c r="B1373" t="s">
        <v>9</v>
      </c>
      <c r="C1373">
        <v>9</v>
      </c>
      <c r="D1373">
        <v>4073</v>
      </c>
      <c r="E1373">
        <v>3</v>
      </c>
      <c r="F1373" t="s">
        <v>34</v>
      </c>
      <c r="G1373">
        <v>4</v>
      </c>
      <c r="H1373" t="s">
        <v>17</v>
      </c>
      <c r="I1373">
        <v>0</v>
      </c>
      <c r="J137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3200</v>
      </c>
    </row>
    <row r="1374" spans="1:12">
      <c r="A1374" t="s">
        <v>178</v>
      </c>
      <c r="B1374" t="s">
        <v>9</v>
      </c>
      <c r="C1374">
        <v>9</v>
      </c>
      <c r="D1374">
        <v>3957</v>
      </c>
      <c r="E1374">
        <v>0</v>
      </c>
      <c r="F1374" t="s">
        <v>291</v>
      </c>
      <c r="G1374">
        <v>1</v>
      </c>
      <c r="H1374" t="s">
        <v>28</v>
      </c>
      <c r="I1374">
        <v>6375</v>
      </c>
      <c r="J137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:12">
      <c r="A1375" t="s">
        <v>178</v>
      </c>
      <c r="B1375" t="s">
        <v>9</v>
      </c>
      <c r="C1375">
        <v>9</v>
      </c>
      <c r="D1375">
        <v>3704</v>
      </c>
      <c r="E1375">
        <v>2</v>
      </c>
      <c r="F1375" t="s">
        <v>258</v>
      </c>
      <c r="G1375">
        <v>1</v>
      </c>
      <c r="H1375" t="s">
        <v>28</v>
      </c>
      <c r="I1375">
        <v>11560</v>
      </c>
      <c r="J137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:12">
      <c r="A1376" t="s">
        <v>178</v>
      </c>
      <c r="B1376" t="s">
        <v>9</v>
      </c>
      <c r="C1376">
        <v>9</v>
      </c>
      <c r="D1376">
        <v>4168</v>
      </c>
      <c r="E1376">
        <v>1</v>
      </c>
      <c r="F1376" t="s">
        <v>58</v>
      </c>
      <c r="G1376">
        <v>1</v>
      </c>
      <c r="H1376" t="s">
        <v>12</v>
      </c>
      <c r="I1376">
        <v>0</v>
      </c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11500</v>
      </c>
      <c r="L1376" s="43">
        <f>IFERROR(SUMIFS(Tabela10[Exp Gain only 2*+],Tabela10[Drop],DropAnalityka[[#This Row],[Drop]],Tabela10[Grade],DropAnalityka[[#This Row],[Grade]])*DropAnalityka[[#This Row],[Quality/Quantity]],0)</f>
        <v>35822</v>
      </c>
    </row>
    <row r="1377" spans="1:12">
      <c r="A1377" t="s">
        <v>178</v>
      </c>
      <c r="B1377" t="s">
        <v>9</v>
      </c>
      <c r="C1377">
        <v>9</v>
      </c>
      <c r="D1377">
        <v>4443</v>
      </c>
      <c r="E1377">
        <v>2</v>
      </c>
      <c r="F1377" t="s">
        <v>258</v>
      </c>
      <c r="G1377">
        <v>1</v>
      </c>
      <c r="H1377" t="s">
        <v>28</v>
      </c>
      <c r="I1377">
        <v>11560</v>
      </c>
      <c r="J1377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:12">
      <c r="A1378" t="s">
        <v>178</v>
      </c>
      <c r="B1378" t="s">
        <v>9</v>
      </c>
      <c r="C1378">
        <v>9</v>
      </c>
      <c r="D1378">
        <v>4007</v>
      </c>
      <c r="E1378">
        <v>0</v>
      </c>
      <c r="F1378" t="s">
        <v>258</v>
      </c>
      <c r="G1378">
        <v>1</v>
      </c>
      <c r="H1378" t="s">
        <v>28</v>
      </c>
      <c r="I1378">
        <v>12240</v>
      </c>
      <c r="J1378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:12">
      <c r="A1379" t="s">
        <v>178</v>
      </c>
      <c r="B1379" t="s">
        <v>9</v>
      </c>
      <c r="C1379">
        <v>9</v>
      </c>
      <c r="D1379">
        <v>4304</v>
      </c>
      <c r="E1379">
        <v>2</v>
      </c>
      <c r="F1379" t="s">
        <v>258</v>
      </c>
      <c r="G1379">
        <v>1</v>
      </c>
      <c r="H1379" t="s">
        <v>29</v>
      </c>
      <c r="I1379">
        <v>20288</v>
      </c>
      <c r="J1379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:12">
      <c r="A1380" t="s">
        <v>178</v>
      </c>
      <c r="B1380" t="s">
        <v>9</v>
      </c>
      <c r="C1380">
        <v>9</v>
      </c>
      <c r="D1380">
        <v>3825</v>
      </c>
      <c r="E1380">
        <v>1</v>
      </c>
      <c r="F1380" t="s">
        <v>291</v>
      </c>
      <c r="G1380">
        <v>1</v>
      </c>
      <c r="H1380" t="s">
        <v>29</v>
      </c>
      <c r="I1380">
        <v>17118</v>
      </c>
      <c r="J1380">
        <f>DropAnalityka[[#This Row],[Sell Drop]]+IFERROR(SUMIFS(Tabela10[Drop Worth],Tabela10[Drop],DropAnalityka[[#This Row],[Drop]],Tabela10[Grade],DropAnalityka[[#This Row],[Grade]])*DropAnalityka[[#This Row],[Quality/Quantity]],0)</f>
        <v>17118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:12">
      <c r="A1381" t="s">
        <v>178</v>
      </c>
      <c r="B1381" t="s">
        <v>9</v>
      </c>
      <c r="C1381">
        <v>9</v>
      </c>
      <c r="D1381">
        <v>3952</v>
      </c>
      <c r="E1381">
        <v>0</v>
      </c>
      <c r="F1381" t="s">
        <v>258</v>
      </c>
      <c r="G1381">
        <v>1</v>
      </c>
      <c r="H1381" t="s">
        <v>27</v>
      </c>
      <c r="I1381">
        <v>3445</v>
      </c>
      <c r="J1381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:12">
      <c r="A1382" t="s">
        <v>178</v>
      </c>
      <c r="B1382" t="s">
        <v>9</v>
      </c>
      <c r="C1382">
        <v>9</v>
      </c>
      <c r="D1382">
        <v>3837</v>
      </c>
      <c r="E1382">
        <v>0</v>
      </c>
      <c r="F1382" t="s">
        <v>258</v>
      </c>
      <c r="G1382">
        <v>1</v>
      </c>
      <c r="H1382" t="s">
        <v>29</v>
      </c>
      <c r="I1382">
        <v>18861</v>
      </c>
      <c r="J1382">
        <f>DropAnalityka[[#This Row],[Sell Drop]]+IFERROR(SUMIFS(Tabela10[Drop Worth],Tabela10[Drop],DropAnalityka[[#This Row],[Drop]],Tabela10[Grade],DropAnalityka[[#This Row],[Grade]])*DropAnalityka[[#This Row],[Quality/Quantity]],0)</f>
        <v>18861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:12">
      <c r="A1383" t="s">
        <v>178</v>
      </c>
      <c r="B1383" t="s">
        <v>9</v>
      </c>
      <c r="C1383">
        <v>9</v>
      </c>
      <c r="D1383">
        <v>3964</v>
      </c>
      <c r="E1383">
        <v>2</v>
      </c>
      <c r="F1383" t="s">
        <v>258</v>
      </c>
      <c r="G1383">
        <v>1</v>
      </c>
      <c r="H1383" t="s">
        <v>28</v>
      </c>
      <c r="I1383">
        <v>8075</v>
      </c>
      <c r="J1383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:12">
      <c r="A1384" t="s">
        <v>178</v>
      </c>
      <c r="B1384" t="s">
        <v>9</v>
      </c>
      <c r="C1384">
        <v>9</v>
      </c>
      <c r="D1384">
        <v>3954</v>
      </c>
      <c r="E1384">
        <v>1</v>
      </c>
      <c r="F1384" t="s">
        <v>258</v>
      </c>
      <c r="G1384">
        <v>1</v>
      </c>
      <c r="H1384" t="s">
        <v>28</v>
      </c>
      <c r="I1384">
        <v>5440</v>
      </c>
      <c r="J1384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:12">
      <c r="A1385" t="s">
        <v>178</v>
      </c>
      <c r="B1385" t="s">
        <v>9</v>
      </c>
      <c r="C1385">
        <v>9</v>
      </c>
      <c r="D1385">
        <v>3909</v>
      </c>
      <c r="E1385">
        <v>0</v>
      </c>
      <c r="F1385" t="s">
        <v>34</v>
      </c>
      <c r="G1385">
        <v>5</v>
      </c>
      <c r="H1385" t="s">
        <v>17</v>
      </c>
      <c r="I1385">
        <v>0</v>
      </c>
      <c r="J138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4000</v>
      </c>
    </row>
    <row r="1386" spans="1:12">
      <c r="A1386" t="s">
        <v>178</v>
      </c>
      <c r="B1386" t="s">
        <v>9</v>
      </c>
      <c r="C1386">
        <v>9</v>
      </c>
      <c r="D1386">
        <v>3708</v>
      </c>
      <c r="E1386">
        <v>2</v>
      </c>
      <c r="F1386" t="s">
        <v>34</v>
      </c>
      <c r="G1386">
        <v>5</v>
      </c>
      <c r="H1386" t="s">
        <v>17</v>
      </c>
      <c r="I1386">
        <v>0</v>
      </c>
      <c r="J138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4000</v>
      </c>
    </row>
    <row r="1387" spans="1:12">
      <c r="A1387" t="s">
        <v>178</v>
      </c>
      <c r="B1387" t="s">
        <v>9</v>
      </c>
      <c r="C1387">
        <v>9</v>
      </c>
      <c r="D1387">
        <v>3596</v>
      </c>
      <c r="E1387">
        <v>3</v>
      </c>
      <c r="F1387" t="s">
        <v>258</v>
      </c>
      <c r="G1387">
        <v>1</v>
      </c>
      <c r="H1387" t="s">
        <v>29</v>
      </c>
      <c r="I1387">
        <v>10144</v>
      </c>
      <c r="J138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:12">
      <c r="A1388" t="s">
        <v>178</v>
      </c>
      <c r="B1388" t="s">
        <v>9</v>
      </c>
      <c r="C1388">
        <v>9</v>
      </c>
      <c r="D1388">
        <v>3997</v>
      </c>
      <c r="E1388">
        <v>2</v>
      </c>
      <c r="F1388" t="s">
        <v>58</v>
      </c>
      <c r="G1388">
        <v>1</v>
      </c>
      <c r="H1388" t="s">
        <v>12</v>
      </c>
      <c r="I1388">
        <v>0</v>
      </c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11500</v>
      </c>
      <c r="L1388" s="43">
        <f>IFERROR(SUMIFS(Tabela10[Exp Gain only 2*+],Tabela10[Drop],DropAnalityka[[#This Row],[Drop]],Tabela10[Grade],DropAnalityka[[#This Row],[Grade]])*DropAnalityka[[#This Row],[Quality/Quantity]],0)</f>
        <v>35822</v>
      </c>
    </row>
    <row r="1389" spans="1:12">
      <c r="A1389" t="s">
        <v>178</v>
      </c>
      <c r="B1389" t="s">
        <v>9</v>
      </c>
      <c r="C1389">
        <v>9</v>
      </c>
      <c r="D1389">
        <v>4264</v>
      </c>
      <c r="E1389">
        <v>0</v>
      </c>
      <c r="F1389" t="s">
        <v>34</v>
      </c>
      <c r="G1389">
        <v>4</v>
      </c>
      <c r="H1389" t="s">
        <v>17</v>
      </c>
      <c r="I1389">
        <v>0</v>
      </c>
      <c r="J13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3200</v>
      </c>
    </row>
    <row r="1390" spans="1:12">
      <c r="A1390" t="s">
        <v>178</v>
      </c>
      <c r="B1390" t="s">
        <v>9</v>
      </c>
      <c r="C1390">
        <v>9</v>
      </c>
      <c r="D1390">
        <v>4199</v>
      </c>
      <c r="E1390">
        <v>3</v>
      </c>
      <c r="F1390" t="s">
        <v>258</v>
      </c>
      <c r="G1390">
        <v>1</v>
      </c>
      <c r="H1390" t="s">
        <v>28</v>
      </c>
      <c r="I1390">
        <v>5440</v>
      </c>
      <c r="J139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:12">
      <c r="A1391" t="s">
        <v>178</v>
      </c>
      <c r="B1391" t="s">
        <v>9</v>
      </c>
      <c r="C1391">
        <v>9</v>
      </c>
      <c r="D1391">
        <v>4060</v>
      </c>
      <c r="E1391">
        <v>2</v>
      </c>
      <c r="F1391" t="s">
        <v>34</v>
      </c>
      <c r="G1391">
        <v>4</v>
      </c>
      <c r="H1391" t="s">
        <v>17</v>
      </c>
      <c r="I1391">
        <v>0</v>
      </c>
      <c r="J139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3200</v>
      </c>
    </row>
    <row r="1392" spans="1:12">
      <c r="A1392" t="s">
        <v>178</v>
      </c>
      <c r="B1392" t="s">
        <v>9</v>
      </c>
      <c r="C1392">
        <v>9</v>
      </c>
      <c r="D1392">
        <v>3943</v>
      </c>
      <c r="E1392">
        <v>3</v>
      </c>
      <c r="F1392" t="s">
        <v>34</v>
      </c>
      <c r="G1392">
        <v>4</v>
      </c>
      <c r="H1392" t="s">
        <v>17</v>
      </c>
      <c r="I1392">
        <v>0</v>
      </c>
      <c r="J139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3200</v>
      </c>
    </row>
    <row r="1393" spans="1:12">
      <c r="A1393" t="s">
        <v>178</v>
      </c>
      <c r="B1393" t="s">
        <v>9</v>
      </c>
      <c r="C1393">
        <v>9</v>
      </c>
      <c r="D1393">
        <v>4141</v>
      </c>
      <c r="E1393">
        <v>1</v>
      </c>
      <c r="F1393" t="s">
        <v>34</v>
      </c>
      <c r="G1393">
        <v>4</v>
      </c>
      <c r="H1393" t="s">
        <v>17</v>
      </c>
      <c r="I1393">
        <v>0</v>
      </c>
      <c r="J139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3200</v>
      </c>
    </row>
    <row r="1394" spans="1:12">
      <c r="A1394" t="s">
        <v>178</v>
      </c>
      <c r="B1394" t="s">
        <v>9</v>
      </c>
      <c r="C1394">
        <v>9</v>
      </c>
      <c r="D1394">
        <v>4075</v>
      </c>
      <c r="E1394">
        <v>0</v>
      </c>
      <c r="F1394" t="s">
        <v>34</v>
      </c>
      <c r="G1394">
        <v>4</v>
      </c>
      <c r="H1394" t="s">
        <v>17</v>
      </c>
      <c r="I1394">
        <v>0</v>
      </c>
      <c r="J13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3200</v>
      </c>
    </row>
    <row r="1395" spans="1:12">
      <c r="A1395" t="s">
        <v>178</v>
      </c>
      <c r="B1395" t="s">
        <v>9</v>
      </c>
      <c r="C1395">
        <v>9</v>
      </c>
      <c r="D1395">
        <v>4269</v>
      </c>
      <c r="E1395">
        <v>1</v>
      </c>
      <c r="F1395" t="s">
        <v>258</v>
      </c>
      <c r="G1395">
        <v>1</v>
      </c>
      <c r="H1395" t="s">
        <v>27</v>
      </c>
      <c r="I1395">
        <v>6431</v>
      </c>
      <c r="J1395">
        <f>DropAnalityka[[#This Row],[Sell Drop]]+IFERROR(SUMIFS(Tabela10[Drop Worth],Tabela10[Drop],DropAnalityka[[#This Row],[Drop]],Tabela10[Grade],DropAnalityka[[#This Row],[Grade]])*DropAnalityka[[#This Row],[Quality/Quantity]],0)</f>
        <v>6431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:12">
      <c r="A1396" t="s">
        <v>178</v>
      </c>
      <c r="B1396" t="s">
        <v>9</v>
      </c>
      <c r="C1396">
        <v>9</v>
      </c>
      <c r="D1396">
        <v>3888</v>
      </c>
      <c r="E1396">
        <v>2</v>
      </c>
      <c r="F1396" t="s">
        <v>34</v>
      </c>
      <c r="G1396">
        <v>5</v>
      </c>
      <c r="H1396" t="s">
        <v>17</v>
      </c>
      <c r="I1396">
        <v>0</v>
      </c>
      <c r="J13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4000</v>
      </c>
    </row>
    <row r="1397" spans="1:12">
      <c r="A1397" t="s">
        <v>178</v>
      </c>
      <c r="B1397" t="s">
        <v>9</v>
      </c>
      <c r="C1397">
        <v>9</v>
      </c>
      <c r="D1397">
        <v>3672</v>
      </c>
      <c r="E1397">
        <v>1</v>
      </c>
      <c r="F1397" t="s">
        <v>258</v>
      </c>
      <c r="G1397">
        <v>1</v>
      </c>
      <c r="H1397" t="s">
        <v>27</v>
      </c>
      <c r="I1397">
        <v>6120</v>
      </c>
      <c r="J139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:12">
      <c r="A1398" t="s">
        <v>178</v>
      </c>
      <c r="B1398" t="s">
        <v>9</v>
      </c>
      <c r="C1398">
        <v>9</v>
      </c>
      <c r="D1398">
        <v>3924</v>
      </c>
      <c r="E1398">
        <v>1</v>
      </c>
      <c r="F1398" t="s">
        <v>258</v>
      </c>
      <c r="G1398">
        <v>1</v>
      </c>
      <c r="H1398" t="s">
        <v>28</v>
      </c>
      <c r="I1398">
        <v>12920</v>
      </c>
      <c r="J1398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:12">
      <c r="A1399" t="s">
        <v>178</v>
      </c>
      <c r="B1399" t="s">
        <v>9</v>
      </c>
      <c r="C1399">
        <v>9</v>
      </c>
      <c r="D1399">
        <v>4086</v>
      </c>
      <c r="E1399">
        <v>1</v>
      </c>
      <c r="F1399" t="s">
        <v>258</v>
      </c>
      <c r="G1399">
        <v>1</v>
      </c>
      <c r="H1399" t="s">
        <v>27</v>
      </c>
      <c r="I1399">
        <v>6120</v>
      </c>
      <c r="J139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:12">
      <c r="A1400" t="s">
        <v>178</v>
      </c>
      <c r="B1400" t="s">
        <v>9</v>
      </c>
      <c r="C1400">
        <v>9</v>
      </c>
      <c r="D1400">
        <v>3956</v>
      </c>
      <c r="E1400">
        <v>1</v>
      </c>
      <c r="F1400" t="s">
        <v>34</v>
      </c>
      <c r="G1400">
        <v>4</v>
      </c>
      <c r="H1400" t="s">
        <v>17</v>
      </c>
      <c r="I1400">
        <v>0</v>
      </c>
      <c r="J14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3200</v>
      </c>
    </row>
    <row r="1401" spans="1:12">
      <c r="A1401" t="s">
        <v>178</v>
      </c>
      <c r="B1401" t="s">
        <v>9</v>
      </c>
      <c r="C1401">
        <v>9</v>
      </c>
      <c r="D1401">
        <v>4121</v>
      </c>
      <c r="E1401">
        <v>2</v>
      </c>
      <c r="F1401" t="s">
        <v>291</v>
      </c>
      <c r="G1401">
        <v>1</v>
      </c>
      <c r="H1401" t="s">
        <v>29</v>
      </c>
      <c r="I1401">
        <v>27103</v>
      </c>
      <c r="J140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:12">
      <c r="A1402" t="s">
        <v>178</v>
      </c>
      <c r="B1402" t="s">
        <v>9</v>
      </c>
      <c r="C1402">
        <v>9</v>
      </c>
      <c r="D1402">
        <v>3864</v>
      </c>
      <c r="E1402">
        <v>1</v>
      </c>
      <c r="F1402" t="s">
        <v>34</v>
      </c>
      <c r="G1402">
        <v>4</v>
      </c>
      <c r="H1402" t="s">
        <v>17</v>
      </c>
      <c r="I1402">
        <v>0</v>
      </c>
      <c r="J140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3200</v>
      </c>
    </row>
    <row r="1403" spans="1:12">
      <c r="A1403" t="s">
        <v>178</v>
      </c>
      <c r="B1403" t="s">
        <v>9</v>
      </c>
      <c r="C1403">
        <v>9</v>
      </c>
      <c r="D1403">
        <v>4144</v>
      </c>
      <c r="E1403">
        <v>2</v>
      </c>
      <c r="F1403" t="s">
        <v>258</v>
      </c>
      <c r="G1403">
        <v>1</v>
      </c>
      <c r="H1403" t="s">
        <v>27</v>
      </c>
      <c r="I1403">
        <v>3445</v>
      </c>
      <c r="J140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:12">
      <c r="A1404" t="s">
        <v>178</v>
      </c>
      <c r="B1404" t="s">
        <v>9</v>
      </c>
      <c r="C1404">
        <v>9</v>
      </c>
      <c r="D1404">
        <v>3884</v>
      </c>
      <c r="E1404">
        <v>1</v>
      </c>
      <c r="F1404" t="s">
        <v>258</v>
      </c>
      <c r="G1404">
        <v>1</v>
      </c>
      <c r="H1404" t="s">
        <v>27</v>
      </c>
      <c r="I1404">
        <v>3675</v>
      </c>
      <c r="J140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:12">
      <c r="A1405" t="s">
        <v>178</v>
      </c>
      <c r="B1405" t="s">
        <v>9</v>
      </c>
      <c r="C1405">
        <v>9</v>
      </c>
      <c r="D1405">
        <v>4186</v>
      </c>
      <c r="E1405">
        <v>0</v>
      </c>
      <c r="F1405" t="s">
        <v>291</v>
      </c>
      <c r="G1405">
        <v>1</v>
      </c>
      <c r="H1405" t="s">
        <v>28</v>
      </c>
      <c r="I1405">
        <v>17000</v>
      </c>
      <c r="J1405">
        <f>DropAnalityka[[#This Row],[Sell Drop]]+IFERROR(SUMIFS(Tabela10[Drop Worth],Tabela10[Drop],DropAnalityka[[#This Row],[Drop]],Tabela10[Grade],DropAnalityka[[#This Row],[Grade]])*DropAnalityka[[#This Row],[Quality/Quantity]],0)</f>
        <v>17000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:12">
      <c r="A1406" t="s">
        <v>178</v>
      </c>
      <c r="B1406" t="s">
        <v>9</v>
      </c>
      <c r="C1406">
        <v>9</v>
      </c>
      <c r="D1406">
        <v>3886</v>
      </c>
      <c r="E1406">
        <v>0</v>
      </c>
      <c r="F1406" t="s">
        <v>34</v>
      </c>
      <c r="G1406">
        <v>5</v>
      </c>
      <c r="H1406" t="s">
        <v>17</v>
      </c>
      <c r="I1406">
        <v>0</v>
      </c>
      <c r="J140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4000</v>
      </c>
    </row>
    <row r="1407" spans="1:12">
      <c r="A1407" t="s">
        <v>178</v>
      </c>
      <c r="B1407" t="s">
        <v>9</v>
      </c>
      <c r="C1407">
        <v>9</v>
      </c>
      <c r="D1407">
        <v>4242</v>
      </c>
      <c r="E1407">
        <v>2</v>
      </c>
      <c r="F1407" t="s">
        <v>258</v>
      </c>
      <c r="G1407">
        <v>1</v>
      </c>
      <c r="H1407" t="s">
        <v>27</v>
      </c>
      <c r="I1407">
        <v>4364</v>
      </c>
      <c r="J1407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:12">
      <c r="A1408" t="s">
        <v>178</v>
      </c>
      <c r="B1408" t="s">
        <v>9</v>
      </c>
      <c r="C1408">
        <v>9</v>
      </c>
      <c r="D1408">
        <v>4062</v>
      </c>
      <c r="E1408">
        <v>1</v>
      </c>
      <c r="F1408" t="s">
        <v>258</v>
      </c>
      <c r="G1408">
        <v>1</v>
      </c>
      <c r="H1408" t="s">
        <v>27</v>
      </c>
      <c r="I1408">
        <v>2940</v>
      </c>
      <c r="J140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:12">
      <c r="A1409" t="s">
        <v>178</v>
      </c>
      <c r="B1409" t="s">
        <v>9</v>
      </c>
      <c r="C1409">
        <v>9</v>
      </c>
      <c r="D1409">
        <v>4025</v>
      </c>
      <c r="E1409">
        <v>1</v>
      </c>
      <c r="F1409" t="s">
        <v>258</v>
      </c>
      <c r="G1409">
        <v>1</v>
      </c>
      <c r="H1409" t="s">
        <v>28</v>
      </c>
      <c r="I1409">
        <v>6800</v>
      </c>
      <c r="J140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:12">
      <c r="A1410" t="s">
        <v>178</v>
      </c>
      <c r="B1410" t="s">
        <v>9</v>
      </c>
      <c r="C1410">
        <v>9</v>
      </c>
      <c r="D1410">
        <v>4416</v>
      </c>
      <c r="E1410">
        <v>3</v>
      </c>
      <c r="F1410" t="s">
        <v>258</v>
      </c>
      <c r="G1410">
        <v>1</v>
      </c>
      <c r="H1410" t="s">
        <v>27</v>
      </c>
      <c r="I1410">
        <v>6615</v>
      </c>
      <c r="J1410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:12">
      <c r="A1411" t="s">
        <v>178</v>
      </c>
      <c r="B1411" t="s">
        <v>9</v>
      </c>
      <c r="C1411">
        <v>9</v>
      </c>
      <c r="D1411">
        <v>3856</v>
      </c>
      <c r="E1411">
        <v>2</v>
      </c>
      <c r="F1411" t="s">
        <v>291</v>
      </c>
      <c r="G1411">
        <v>1</v>
      </c>
      <c r="H1411" t="s">
        <v>27</v>
      </c>
      <c r="I1411">
        <v>6615</v>
      </c>
      <c r="J1411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:12">
      <c r="A1412" t="s">
        <v>178</v>
      </c>
      <c r="B1412" t="s">
        <v>9</v>
      </c>
      <c r="C1412">
        <v>9</v>
      </c>
      <c r="D1412">
        <v>4170</v>
      </c>
      <c r="E1412">
        <v>2</v>
      </c>
      <c r="F1412" t="s">
        <v>34</v>
      </c>
      <c r="G1412">
        <v>4</v>
      </c>
      <c r="H1412" t="s">
        <v>17</v>
      </c>
      <c r="I1412">
        <v>0</v>
      </c>
      <c r="J141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3200</v>
      </c>
    </row>
    <row r="1413" spans="1:12">
      <c r="A1413" t="s">
        <v>178</v>
      </c>
      <c r="B1413" t="s">
        <v>9</v>
      </c>
      <c r="C1413">
        <v>9</v>
      </c>
      <c r="D1413">
        <v>4152</v>
      </c>
      <c r="E1413">
        <v>1</v>
      </c>
      <c r="F1413" t="s">
        <v>258</v>
      </c>
      <c r="G1413">
        <v>1</v>
      </c>
      <c r="H1413" t="s">
        <v>27</v>
      </c>
      <c r="I1413">
        <v>6247</v>
      </c>
      <c r="J1413">
        <f>DropAnalityka[[#This Row],[Sell Drop]]+IFERROR(SUMIFS(Tabela10[Drop Worth],Tabela10[Drop],DropAnalityka[[#This Row],[Drop]],Tabela10[Grade],DropAnalityka[[#This Row],[Grade]])*DropAnalityka[[#This Row],[Quality/Quantity]],0)</f>
        <v>6247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:12">
      <c r="A1414" t="s">
        <v>178</v>
      </c>
      <c r="B1414" t="s">
        <v>9</v>
      </c>
      <c r="C1414">
        <v>9</v>
      </c>
      <c r="D1414">
        <v>3678</v>
      </c>
      <c r="E1414">
        <v>0</v>
      </c>
      <c r="F1414" t="s">
        <v>291</v>
      </c>
      <c r="G1414">
        <v>1</v>
      </c>
      <c r="H1414" t="s">
        <v>28</v>
      </c>
      <c r="I1414">
        <v>10200</v>
      </c>
      <c r="J1414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:12">
      <c r="A1415" t="s">
        <v>178</v>
      </c>
      <c r="B1415" t="s">
        <v>9</v>
      </c>
      <c r="C1415">
        <v>9</v>
      </c>
      <c r="D1415">
        <v>4310</v>
      </c>
      <c r="E1415">
        <v>2</v>
      </c>
      <c r="F1415" t="s">
        <v>258</v>
      </c>
      <c r="G1415">
        <v>1</v>
      </c>
      <c r="H1415" t="s">
        <v>27</v>
      </c>
      <c r="I1415">
        <v>5100</v>
      </c>
      <c r="J1415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:12">
      <c r="A1416" t="s">
        <v>178</v>
      </c>
      <c r="B1416" t="s">
        <v>9</v>
      </c>
      <c r="C1416">
        <v>9</v>
      </c>
      <c r="D1416">
        <v>3697</v>
      </c>
      <c r="E1416">
        <v>0</v>
      </c>
      <c r="F1416" t="s">
        <v>258</v>
      </c>
      <c r="G1416">
        <v>1</v>
      </c>
      <c r="H1416" t="s">
        <v>27</v>
      </c>
      <c r="I1416">
        <v>2940</v>
      </c>
      <c r="J141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:12">
      <c r="A1417" t="s">
        <v>178</v>
      </c>
      <c r="B1417" t="s">
        <v>9</v>
      </c>
      <c r="C1417">
        <v>9</v>
      </c>
      <c r="D1417">
        <v>4208</v>
      </c>
      <c r="E1417">
        <v>1</v>
      </c>
      <c r="F1417" t="s">
        <v>258</v>
      </c>
      <c r="G1417">
        <v>1</v>
      </c>
      <c r="H1417" t="s">
        <v>27</v>
      </c>
      <c r="I1417">
        <v>5788</v>
      </c>
      <c r="J1417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:12">
      <c r="A1418" t="s">
        <v>178</v>
      </c>
      <c r="B1418" t="s">
        <v>9</v>
      </c>
      <c r="C1418">
        <v>9</v>
      </c>
      <c r="D1418">
        <v>4465</v>
      </c>
      <c r="E1418">
        <v>2</v>
      </c>
      <c r="F1418" t="s">
        <v>258</v>
      </c>
      <c r="G1418">
        <v>1</v>
      </c>
      <c r="H1418" t="s">
        <v>27</v>
      </c>
      <c r="I1418">
        <v>4134</v>
      </c>
      <c r="J1418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:12">
      <c r="A1419" t="s">
        <v>178</v>
      </c>
      <c r="B1419" t="s">
        <v>9</v>
      </c>
      <c r="C1419">
        <v>9</v>
      </c>
      <c r="D1419">
        <v>3829</v>
      </c>
      <c r="E1419">
        <v>2</v>
      </c>
      <c r="F1419" t="s">
        <v>258</v>
      </c>
      <c r="G1419">
        <v>1</v>
      </c>
      <c r="H1419" t="s">
        <v>27</v>
      </c>
      <c r="I1419">
        <v>6982</v>
      </c>
      <c r="J1419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:12">
      <c r="A1420" t="s">
        <v>178</v>
      </c>
      <c r="B1420" t="s">
        <v>9</v>
      </c>
      <c r="C1420">
        <v>9</v>
      </c>
      <c r="D1420">
        <v>4194</v>
      </c>
      <c r="E1420">
        <v>0</v>
      </c>
      <c r="F1420" t="s">
        <v>258</v>
      </c>
      <c r="G1420">
        <v>1</v>
      </c>
      <c r="H1420" t="s">
        <v>27</v>
      </c>
      <c r="I1420">
        <v>3307</v>
      </c>
      <c r="J14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:12">
      <c r="A1421" t="s">
        <v>178</v>
      </c>
      <c r="B1421" t="s">
        <v>9</v>
      </c>
      <c r="C1421">
        <v>9</v>
      </c>
      <c r="D1421">
        <v>3953</v>
      </c>
      <c r="E1421">
        <v>0</v>
      </c>
      <c r="F1421" t="s">
        <v>258</v>
      </c>
      <c r="G1421">
        <v>1</v>
      </c>
      <c r="H1421" t="s">
        <v>28</v>
      </c>
      <c r="I1421">
        <v>6800</v>
      </c>
      <c r="J142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:12">
      <c r="A1422" t="s">
        <v>178</v>
      </c>
      <c r="B1422" t="s">
        <v>9</v>
      </c>
      <c r="C1422">
        <v>9</v>
      </c>
      <c r="D1422">
        <v>3831</v>
      </c>
      <c r="E1422">
        <v>0</v>
      </c>
      <c r="F1422" t="s">
        <v>258</v>
      </c>
      <c r="G1422">
        <v>1</v>
      </c>
      <c r="H1422" t="s">
        <v>28</v>
      </c>
      <c r="I1422">
        <v>5780</v>
      </c>
      <c r="J1422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:12">
      <c r="A1423" t="s">
        <v>178</v>
      </c>
      <c r="B1423" t="s">
        <v>9</v>
      </c>
      <c r="C1423">
        <v>9</v>
      </c>
      <c r="D1423">
        <v>3852</v>
      </c>
      <c r="E1423">
        <v>0</v>
      </c>
      <c r="F1423" t="s">
        <v>258</v>
      </c>
      <c r="G1423">
        <v>1</v>
      </c>
      <c r="H1423" t="s">
        <v>29</v>
      </c>
      <c r="I1423">
        <v>17752</v>
      </c>
      <c r="J1423">
        <f>DropAnalityka[[#This Row],[Sell Drop]]+IFERROR(SUMIFS(Tabela10[Drop Worth],Tabela10[Drop],DropAnalityka[[#This Row],[Drop]],Tabela10[Grade],DropAnalityka[[#This Row],[Grade]])*DropAnalityka[[#This Row],[Quality/Quantity]],0)</f>
        <v>17752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:12">
      <c r="A1424" t="s">
        <v>178</v>
      </c>
      <c r="B1424" t="s">
        <v>9</v>
      </c>
      <c r="C1424">
        <v>9</v>
      </c>
      <c r="D1424">
        <v>4081</v>
      </c>
      <c r="E1424">
        <v>2</v>
      </c>
      <c r="F1424" t="s">
        <v>34</v>
      </c>
      <c r="G1424">
        <v>4</v>
      </c>
      <c r="H1424" t="s">
        <v>17</v>
      </c>
      <c r="I1424">
        <v>0</v>
      </c>
      <c r="J14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3200</v>
      </c>
    </row>
    <row r="1425" spans="1:12">
      <c r="A1425" t="s">
        <v>178</v>
      </c>
      <c r="B1425" t="s">
        <v>9</v>
      </c>
      <c r="C1425">
        <v>9</v>
      </c>
      <c r="D1425">
        <v>4016</v>
      </c>
      <c r="E1425">
        <v>1</v>
      </c>
      <c r="F1425" t="s">
        <v>258</v>
      </c>
      <c r="G1425">
        <v>1</v>
      </c>
      <c r="H1425" t="s">
        <v>27</v>
      </c>
      <c r="I1425">
        <v>6100</v>
      </c>
      <c r="J1425">
        <f>DropAnalityka[[#This Row],[Sell Drop]]+IFERROR(SUMIFS(Tabela10[Drop Worth],Tabela10[Drop],DropAnalityka[[#This Row],[Drop]],Tabela10[Grade],DropAnalityka[[#This Row],[Grade]])*DropAnalityka[[#This Row],[Quality/Quantity]],0)</f>
        <v>6100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:12">
      <c r="A1426" t="s">
        <v>178</v>
      </c>
      <c r="B1426" t="s">
        <v>9</v>
      </c>
      <c r="C1426">
        <v>9</v>
      </c>
      <c r="D1426">
        <v>4213</v>
      </c>
      <c r="E1426">
        <v>0</v>
      </c>
      <c r="F1426" t="s">
        <v>258</v>
      </c>
      <c r="G1426">
        <v>1</v>
      </c>
      <c r="H1426" t="s">
        <v>28</v>
      </c>
      <c r="I1426">
        <v>8075</v>
      </c>
      <c r="J142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:12">
      <c r="A1427" t="s">
        <v>178</v>
      </c>
      <c r="B1427" t="s">
        <v>9</v>
      </c>
      <c r="C1427">
        <v>9</v>
      </c>
      <c r="D1427">
        <v>3708</v>
      </c>
      <c r="E1427">
        <v>1</v>
      </c>
      <c r="F1427" t="s">
        <v>291</v>
      </c>
      <c r="G1427">
        <v>1</v>
      </c>
      <c r="H1427" t="s">
        <v>27</v>
      </c>
      <c r="I1427">
        <v>4961</v>
      </c>
      <c r="J1427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:12">
      <c r="A1428" t="s">
        <v>178</v>
      </c>
      <c r="B1428" t="s">
        <v>9</v>
      </c>
      <c r="C1428">
        <v>10</v>
      </c>
      <c r="D1428">
        <v>4889</v>
      </c>
      <c r="E1428">
        <v>2</v>
      </c>
      <c r="F1428" t="s">
        <v>258</v>
      </c>
      <c r="G1428">
        <v>1</v>
      </c>
      <c r="H1428" t="s">
        <v>28</v>
      </c>
      <c r="I1428">
        <v>15300</v>
      </c>
      <c r="J1428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:12">
      <c r="A1429" t="s">
        <v>178</v>
      </c>
      <c r="B1429" t="s">
        <v>9</v>
      </c>
      <c r="C1429">
        <v>9</v>
      </c>
      <c r="D1429">
        <v>4352</v>
      </c>
      <c r="E1429">
        <v>1</v>
      </c>
      <c r="F1429" t="s">
        <v>258</v>
      </c>
      <c r="G1429">
        <v>1</v>
      </c>
      <c r="H1429" t="s">
        <v>29</v>
      </c>
      <c r="I1429">
        <v>15850</v>
      </c>
      <c r="J1429">
        <f>DropAnalityka[[#This Row],[Sell Drop]]+IFERROR(SUMIFS(Tabela10[Drop Worth],Tabela10[Drop],DropAnalityka[[#This Row],[Drop]],Tabela10[Grade],DropAnalityka[[#This Row],[Grade]])*DropAnalityka[[#This Row],[Quality/Quantity]],0)</f>
        <v>15850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:12">
      <c r="A1430" t="s">
        <v>178</v>
      </c>
      <c r="B1430" t="s">
        <v>9</v>
      </c>
      <c r="C1430">
        <v>9</v>
      </c>
      <c r="D1430">
        <v>4128</v>
      </c>
      <c r="E1430">
        <v>0</v>
      </c>
      <c r="F1430" t="s">
        <v>258</v>
      </c>
      <c r="G1430">
        <v>1</v>
      </c>
      <c r="H1430" t="s">
        <v>28</v>
      </c>
      <c r="I1430">
        <v>10710</v>
      </c>
      <c r="J1430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:12">
      <c r="A1431" t="s">
        <v>178</v>
      </c>
      <c r="B1431" t="s">
        <v>9</v>
      </c>
      <c r="C1431">
        <v>9</v>
      </c>
      <c r="D1431">
        <v>4086</v>
      </c>
      <c r="E1431">
        <v>1</v>
      </c>
      <c r="F1431" t="s">
        <v>258</v>
      </c>
      <c r="G1431">
        <v>1</v>
      </c>
      <c r="H1431" t="s">
        <v>27</v>
      </c>
      <c r="I1431">
        <v>1593</v>
      </c>
      <c r="J1431">
        <f>DropAnalityka[[#This Row],[Sell Drop]]+IFERROR(SUMIFS(Tabela10[Drop Worth],Tabela10[Drop],DropAnalityka[[#This Row],[Drop]],Tabela10[Grade],DropAnalityka[[#This Row],[Grade]])*DropAnalityka[[#This Row],[Quality/Quantity]],0)</f>
        <v>1593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:12">
      <c r="A1432" t="s">
        <v>178</v>
      </c>
      <c r="B1432" t="s">
        <v>9</v>
      </c>
      <c r="C1432">
        <v>9</v>
      </c>
      <c r="D1432">
        <v>3994</v>
      </c>
      <c r="E1432">
        <v>1</v>
      </c>
      <c r="F1432" t="s">
        <v>34</v>
      </c>
      <c r="G1432">
        <v>5</v>
      </c>
      <c r="H1432" t="s">
        <v>17</v>
      </c>
      <c r="I1432">
        <v>0</v>
      </c>
      <c r="J14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4000</v>
      </c>
    </row>
    <row r="1433" spans="1:12">
      <c r="A1433" t="s">
        <v>178</v>
      </c>
      <c r="B1433" t="s">
        <v>9</v>
      </c>
      <c r="C1433">
        <v>9</v>
      </c>
      <c r="D1433">
        <v>3963</v>
      </c>
      <c r="E1433">
        <v>1</v>
      </c>
      <c r="F1433" t="s">
        <v>258</v>
      </c>
      <c r="G1433">
        <v>1</v>
      </c>
      <c r="H1433" t="s">
        <v>28</v>
      </c>
      <c r="I1433">
        <v>5440</v>
      </c>
      <c r="J143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:12">
      <c r="A1434" t="s">
        <v>178</v>
      </c>
      <c r="B1434" t="s">
        <v>9</v>
      </c>
      <c r="C1434">
        <v>9</v>
      </c>
      <c r="D1434">
        <v>4372</v>
      </c>
      <c r="E1434">
        <v>1</v>
      </c>
      <c r="F1434" t="s">
        <v>258</v>
      </c>
      <c r="G1434">
        <v>1</v>
      </c>
      <c r="H1434" t="s">
        <v>27</v>
      </c>
      <c r="I1434">
        <v>2756</v>
      </c>
      <c r="J1434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:12">
      <c r="A1435" t="s">
        <v>178</v>
      </c>
      <c r="B1435" t="s">
        <v>9</v>
      </c>
      <c r="C1435">
        <v>9</v>
      </c>
      <c r="D1435">
        <v>4374</v>
      </c>
      <c r="E1435">
        <v>1</v>
      </c>
      <c r="F1435" t="s">
        <v>34</v>
      </c>
      <c r="G1435">
        <v>5</v>
      </c>
      <c r="H1435" t="s">
        <v>17</v>
      </c>
      <c r="I1435">
        <v>0</v>
      </c>
      <c r="J14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4000</v>
      </c>
    </row>
    <row r="1436" spans="1:12">
      <c r="A1436" t="s">
        <v>178</v>
      </c>
      <c r="B1436" t="s">
        <v>9</v>
      </c>
      <c r="C1436">
        <v>9</v>
      </c>
      <c r="D1436">
        <v>3694</v>
      </c>
      <c r="E1436">
        <v>1</v>
      </c>
      <c r="F1436" t="s">
        <v>258</v>
      </c>
      <c r="G1436">
        <v>1</v>
      </c>
      <c r="H1436" t="s">
        <v>28</v>
      </c>
      <c r="I1436">
        <v>10115</v>
      </c>
      <c r="J1436">
        <f>DropAnalityka[[#This Row],[Sell Drop]]+IFERROR(SUMIFS(Tabela10[Drop Worth],Tabela10[Drop],DropAnalityka[[#This Row],[Drop]],Tabela10[Grade],DropAnalityka[[#This Row],[Grade]])*DropAnalityka[[#This Row],[Quality/Quantity]],0)</f>
        <v>10115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:12">
      <c r="A1437" t="s">
        <v>178</v>
      </c>
      <c r="B1437" t="s">
        <v>9</v>
      </c>
      <c r="C1437">
        <v>9</v>
      </c>
      <c r="D1437">
        <v>4084</v>
      </c>
      <c r="E1437">
        <v>0</v>
      </c>
      <c r="F1437" t="s">
        <v>291</v>
      </c>
      <c r="G1437">
        <v>1</v>
      </c>
      <c r="H1437" t="s">
        <v>27</v>
      </c>
      <c r="I1437">
        <v>7350</v>
      </c>
      <c r="J143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:12">
      <c r="A1438" t="s">
        <v>178</v>
      </c>
      <c r="B1438" t="s">
        <v>9</v>
      </c>
      <c r="C1438">
        <v>9</v>
      </c>
      <c r="D1438">
        <v>3768</v>
      </c>
      <c r="E1438">
        <v>1</v>
      </c>
      <c r="F1438" t="s">
        <v>258</v>
      </c>
      <c r="G1438">
        <v>1</v>
      </c>
      <c r="H1438" t="s">
        <v>27</v>
      </c>
      <c r="I1438">
        <v>5512</v>
      </c>
      <c r="J143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:12">
      <c r="A1439" t="s">
        <v>178</v>
      </c>
      <c r="B1439" t="s">
        <v>9</v>
      </c>
      <c r="C1439">
        <v>9</v>
      </c>
      <c r="D1439">
        <v>4434</v>
      </c>
      <c r="E1439">
        <v>0</v>
      </c>
      <c r="F1439" t="s">
        <v>34</v>
      </c>
      <c r="G1439">
        <v>4</v>
      </c>
      <c r="H1439" t="s">
        <v>17</v>
      </c>
      <c r="I1439">
        <v>0</v>
      </c>
      <c r="J143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3200</v>
      </c>
    </row>
    <row r="1440" spans="1:12">
      <c r="A1440" t="s">
        <v>178</v>
      </c>
      <c r="B1440" t="s">
        <v>9</v>
      </c>
      <c r="C1440">
        <v>9</v>
      </c>
      <c r="D1440">
        <v>4089</v>
      </c>
      <c r="E1440">
        <v>0</v>
      </c>
      <c r="F1440" t="s">
        <v>258</v>
      </c>
      <c r="G1440">
        <v>1</v>
      </c>
      <c r="H1440" t="s">
        <v>28</v>
      </c>
      <c r="I1440">
        <v>5100</v>
      </c>
      <c r="J144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:12">
      <c r="A1441" t="s">
        <v>178</v>
      </c>
      <c r="B1441" t="s">
        <v>9</v>
      </c>
      <c r="C1441">
        <v>10</v>
      </c>
      <c r="D1441">
        <v>4511</v>
      </c>
      <c r="E1441">
        <v>2</v>
      </c>
      <c r="F1441" t="s">
        <v>34</v>
      </c>
      <c r="G1441">
        <v>5</v>
      </c>
      <c r="H1441" t="s">
        <v>17</v>
      </c>
      <c r="I1441">
        <v>0</v>
      </c>
      <c r="J14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4000</v>
      </c>
    </row>
    <row r="1442" spans="1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A1997" s="6"/>
      <c r="B1997" s="6"/>
      <c r="C1997" s="6"/>
      <c r="D1997" s="6"/>
      <c r="E1997" s="6"/>
      <c r="F1997" s="6"/>
      <c r="G1997" s="6"/>
      <c r="H1997" s="6"/>
      <c r="I1997" s="6"/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69">
        <f>IFERROR(SUMIFS(Tabela10[Fod Worth],Tabela10[Drop],DropAnalityka[[#This Row],[Drop]],Tabela10[Grade],DropAnalityka[[#This Row],[Grade]])*DropAnalityka[[#This Row],[Quality/Quantity]],0)</f>
        <v>0</v>
      </c>
      <c r="L1997" s="69">
        <f>IFERROR(SUMIFS(Tabela10[Exp Gain only 2*+],Tabela10[Drop],DropAnalityka[[#This Row],[Drop]],Tabela10[Grade],DropAnalityka[[#This Row],[Grade]])*DropAnalityka[[#This Row],[Quality/Quantity]],0)</f>
        <v>0</v>
      </c>
      <c r="M1997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4:U99"/>
  <sheetViews>
    <sheetView topLeftCell="A34" zoomScale="85" zoomScaleNormal="85" workbookViewId="0">
      <selection activeCell="S57" sqref="S57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5" t="s">
        <v>249</v>
      </c>
      <c r="G5" s="206"/>
      <c r="H5" s="207"/>
      <c r="I5" s="208" t="s">
        <v>250</v>
      </c>
      <c r="J5" s="209"/>
      <c r="K5" s="210"/>
      <c r="L5" s="211" t="s">
        <v>18</v>
      </c>
      <c r="M5" s="212"/>
      <c r="N5" s="213"/>
      <c r="O5" s="214" t="s">
        <v>252</v>
      </c>
      <c r="P5" s="215"/>
      <c r="Q5" s="216"/>
      <c r="R5" s="202" t="s">
        <v>251</v>
      </c>
      <c r="S5" s="203"/>
      <c r="T5" s="204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200" t="s">
        <v>281</v>
      </c>
      <c r="H27" s="200"/>
      <c r="I27" s="200"/>
      <c r="J27" s="200"/>
      <c r="K27" s="200"/>
      <c r="L27" s="200"/>
      <c r="M27" s="200"/>
      <c r="N27" s="200"/>
      <c r="O27" s="200"/>
      <c r="P27" s="200"/>
      <c r="Q27" s="200"/>
      <c r="R27" s="200"/>
      <c r="S27" s="200"/>
      <c r="T27" s="201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197" t="s">
        <v>280</v>
      </c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9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05" t="s">
        <v>249</v>
      </c>
      <c r="G37" s="206"/>
      <c r="H37" s="207"/>
      <c r="I37" s="208" t="s">
        <v>250</v>
      </c>
      <c r="J37" s="209"/>
      <c r="K37" s="210"/>
      <c r="L37" s="211" t="s">
        <v>18</v>
      </c>
      <c r="M37" s="212"/>
      <c r="N37" s="213"/>
      <c r="O37" s="214" t="s">
        <v>252</v>
      </c>
      <c r="P37" s="215"/>
      <c r="Q37" s="216"/>
      <c r="R37" s="202" t="s">
        <v>251</v>
      </c>
      <c r="S37" s="203"/>
      <c r="T37" s="204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189</v>
      </c>
      <c r="G57" s="77">
        <v>4</v>
      </c>
      <c r="H57" s="77">
        <v>8</v>
      </c>
      <c r="I57" s="85">
        <v>94</v>
      </c>
      <c r="J57" s="85">
        <v>17</v>
      </c>
      <c r="K57" s="85">
        <v>24</v>
      </c>
      <c r="L57" s="93">
        <v>76</v>
      </c>
      <c r="M57" s="93">
        <v>19</v>
      </c>
      <c r="N57" s="93">
        <v>30</v>
      </c>
      <c r="O57" s="111">
        <v>285</v>
      </c>
      <c r="P57" s="111">
        <v>3</v>
      </c>
      <c r="Q57" s="111">
        <v>48</v>
      </c>
      <c r="R57" s="101">
        <v>70</v>
      </c>
      <c r="S57" s="101">
        <v>45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3">MAXA(G56-G57,0)</f>
        <v>88</v>
      </c>
      <c r="H58" s="80">
        <f t="shared" si="3"/>
        <v>22</v>
      </c>
      <c r="I58" s="88">
        <f t="shared" si="3"/>
        <v>0</v>
      </c>
      <c r="J58" s="88">
        <f t="shared" si="3"/>
        <v>48</v>
      </c>
      <c r="K58" s="88">
        <f t="shared" si="3"/>
        <v>0</v>
      </c>
      <c r="L58" s="96">
        <f t="shared" si="3"/>
        <v>0</v>
      </c>
      <c r="M58" s="96">
        <f t="shared" si="3"/>
        <v>52</v>
      </c>
      <c r="N58" s="96">
        <f t="shared" si="3"/>
        <v>0</v>
      </c>
      <c r="O58" s="114">
        <f t="shared" si="3"/>
        <v>0</v>
      </c>
      <c r="P58" s="114">
        <f t="shared" si="3"/>
        <v>152</v>
      </c>
      <c r="Q58" s="114">
        <f t="shared" si="3"/>
        <v>0</v>
      </c>
      <c r="R58" s="104">
        <f t="shared" si="3"/>
        <v>0</v>
      </c>
      <c r="S58" s="104">
        <f t="shared" si="3"/>
        <v>0</v>
      </c>
      <c r="T58" s="106">
        <f t="shared" si="3"/>
        <v>0</v>
      </c>
    </row>
    <row r="59" spans="1:21">
      <c r="E59" s="61"/>
      <c r="F59" s="51"/>
      <c r="G59" s="200" t="s">
        <v>281</v>
      </c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01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157.61194029850745</v>
      </c>
      <c r="H60" s="126">
        <f>H$58/VLOOKUP(H$38,Tabela11[#All],6,FALSE)</f>
        <v>82.5</v>
      </c>
      <c r="I60" s="126">
        <f>I$58/VLOOKUP(I$38,Tabela11[#All],6,FALSE)</f>
        <v>0</v>
      </c>
      <c r="J60" s="126">
        <f>J$58/VLOOKUP(J$38,Tabela11[#All],6,FALSE)</f>
        <v>85.970149253731336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93.134328358208947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272.23880597014926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402.28571428571428</v>
      </c>
      <c r="H61" s="126">
        <f>H$58/VLOOKUP(H$38,Tabela11[#All],5,FALSE)</f>
        <v>100.57142857142857</v>
      </c>
      <c r="I61" s="126">
        <f>I$58/VLOOKUP(I$38,Tabela11[#All],5,FALSE)</f>
        <v>0</v>
      </c>
      <c r="J61" s="126">
        <f>J$58/VLOOKUP(J$38,Tabela11[#All],5,FALSE)</f>
        <v>219.42857142857142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237.71428571428572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694.85714285714289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159.35135135135133</v>
      </c>
      <c r="H62" s="128">
        <f>H$58/VLOOKUP(H$38,Tabela11[#All],4,FALSE)</f>
        <v>163.77777777777777</v>
      </c>
      <c r="I62" s="128">
        <f>I$58/VLOOKUP(I$38,Tabela11[#All],4,FALSE)</f>
        <v>0</v>
      </c>
      <c r="J62" s="128">
        <f>J$58/VLOOKUP(J$38,Tabela11[#All],4,FALSE)</f>
        <v>86.918918918918919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94.162162162162161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275.24324324324323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197" t="s">
        <v>280</v>
      </c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9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980.34626865671635</v>
      </c>
      <c r="H65" s="126">
        <f>H$58/VLOOKUP(H$38,Tabela11[#All],6,FALSE)*(7-12*0.065)</f>
        <v>513.15</v>
      </c>
      <c r="I65" s="126">
        <f>I$58/VLOOKUP(I$38,Tabela11[#All],6,FALSE)*(7-12*0.065)</f>
        <v>0</v>
      </c>
      <c r="J65" s="126">
        <f>J$58/VLOOKUP(J$38,Tabela11[#All],6,FALSE)*(7-12*0.065)</f>
        <v>534.73432835820893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579.29552238805968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1693.3253731343284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3787.7014925373132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2502.2171428571428</v>
      </c>
      <c r="H66" s="126">
        <f>H$58/VLOOKUP(H$38,Tabela11[#All],5,FALSE)*(7-12*0.065)</f>
        <v>625.5542857142857</v>
      </c>
      <c r="I66" s="126">
        <f>I$58/VLOOKUP(I$38,Tabela11[#All],5,FALSE)*(7-12*0.065)</f>
        <v>0</v>
      </c>
      <c r="J66" s="126">
        <f>J$58/VLOOKUP(J$38,Tabela11[#All],5,FALSE)*(7-12*0.065)</f>
        <v>1364.8457142857142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1478.5828571428572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4322.011428571429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9667.6571428571442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831.81405405405383</v>
      </c>
      <c r="H67" s="128">
        <f>H$58/VLOOKUP(H$38,Tabela11[#All],4,FALSE)*(6-12*0.065)</f>
        <v>854.92</v>
      </c>
      <c r="I67" s="128">
        <f>I$58/VLOOKUP(I$38,Tabela11[#All],4,FALSE)*(6-12*0.065)</f>
        <v>0</v>
      </c>
      <c r="J67" s="128">
        <f>J$58/VLOOKUP(J$38,Tabela11[#All],4,FALSE)*(6-12*0.065)</f>
        <v>453.71675675675675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491.52648648648648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1436.7697297297295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3236.9329729729725</v>
      </c>
    </row>
    <row r="68" spans="1:21" ht="15" thickBot="1"/>
    <row r="69" spans="1:21" ht="15" thickBot="1">
      <c r="F69" s="205" t="s">
        <v>249</v>
      </c>
      <c r="G69" s="206"/>
      <c r="H69" s="207"/>
      <c r="I69" s="208" t="s">
        <v>250</v>
      </c>
      <c r="J69" s="209"/>
      <c r="K69" s="210"/>
      <c r="L69" s="211" t="s">
        <v>18</v>
      </c>
      <c r="M69" s="212"/>
      <c r="N69" s="213"/>
      <c r="O69" s="214" t="s">
        <v>252</v>
      </c>
      <c r="P69" s="215"/>
      <c r="Q69" s="216"/>
      <c r="R69" s="202" t="s">
        <v>251</v>
      </c>
      <c r="S69" s="203"/>
      <c r="T69" s="204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255</v>
      </c>
      <c r="F88" s="79">
        <f>SUM(F71:F87)</f>
        <v>50</v>
      </c>
      <c r="G88" s="79">
        <f t="shared" ref="G88:T88" si="4">SUM(G71:G87)</f>
        <v>65</v>
      </c>
      <c r="H88" s="79">
        <f t="shared" si="4"/>
        <v>10</v>
      </c>
      <c r="I88" s="87">
        <f t="shared" si="4"/>
        <v>30</v>
      </c>
      <c r="J88" s="87">
        <f t="shared" si="4"/>
        <v>60</v>
      </c>
      <c r="K88" s="87">
        <f t="shared" si="4"/>
        <v>12</v>
      </c>
      <c r="L88" s="95">
        <f t="shared" si="4"/>
        <v>30</v>
      </c>
      <c r="M88" s="95">
        <f t="shared" si="4"/>
        <v>35</v>
      </c>
      <c r="N88" s="95">
        <f t="shared" si="4"/>
        <v>10</v>
      </c>
      <c r="O88" s="113">
        <f t="shared" si="4"/>
        <v>80</v>
      </c>
      <c r="P88" s="113">
        <f t="shared" si="4"/>
        <v>110</v>
      </c>
      <c r="Q88" s="113">
        <f t="shared" si="4"/>
        <v>35</v>
      </c>
      <c r="R88" s="103">
        <f t="shared" si="4"/>
        <v>0</v>
      </c>
      <c r="S88" s="103">
        <f t="shared" si="4"/>
        <v>0</v>
      </c>
      <c r="T88" s="105">
        <f t="shared" si="4"/>
        <v>0</v>
      </c>
    </row>
    <row r="89" spans="1:21">
      <c r="E89" s="59" t="s">
        <v>256</v>
      </c>
      <c r="F89" s="77">
        <v>207</v>
      </c>
      <c r="G89" s="77">
        <v>1</v>
      </c>
      <c r="H89" s="77">
        <v>19</v>
      </c>
      <c r="I89" s="85">
        <v>90</v>
      </c>
      <c r="J89" s="85">
        <v>14</v>
      </c>
      <c r="K89" s="85">
        <v>24</v>
      </c>
      <c r="L89" s="93">
        <v>64</v>
      </c>
      <c r="M89" s="93">
        <v>24</v>
      </c>
      <c r="N89" s="93">
        <v>23</v>
      </c>
      <c r="O89" s="111">
        <v>312</v>
      </c>
      <c r="P89" s="111">
        <v>31</v>
      </c>
      <c r="Q89" s="111">
        <v>66</v>
      </c>
      <c r="R89" s="101">
        <f t="shared" ref="R89" si="5">MAXA(R57-R56,0)</f>
        <v>70</v>
      </c>
      <c r="S89" s="101">
        <v>44</v>
      </c>
      <c r="T89" s="102">
        <v>0</v>
      </c>
    </row>
    <row r="90" spans="1:21" ht="15.75" thickBot="1">
      <c r="E90" s="68" t="s">
        <v>116</v>
      </c>
      <c r="F90" s="80">
        <f>MAXA(F88-F89,0)</f>
        <v>0</v>
      </c>
      <c r="G90" s="80">
        <f t="shared" ref="G90:T90" si="6">MAXA(G88-G89,0)</f>
        <v>64</v>
      </c>
      <c r="H90" s="80">
        <f t="shared" si="6"/>
        <v>0</v>
      </c>
      <c r="I90" s="88">
        <f t="shared" si="6"/>
        <v>0</v>
      </c>
      <c r="J90" s="88">
        <f t="shared" si="6"/>
        <v>46</v>
      </c>
      <c r="K90" s="88">
        <f t="shared" si="6"/>
        <v>0</v>
      </c>
      <c r="L90" s="96">
        <f t="shared" si="6"/>
        <v>0</v>
      </c>
      <c r="M90" s="96">
        <f t="shared" si="6"/>
        <v>11</v>
      </c>
      <c r="N90" s="96">
        <f t="shared" si="6"/>
        <v>0</v>
      </c>
      <c r="O90" s="114">
        <f t="shared" si="6"/>
        <v>0</v>
      </c>
      <c r="P90" s="114">
        <f t="shared" si="6"/>
        <v>79</v>
      </c>
      <c r="Q90" s="114">
        <f t="shared" si="6"/>
        <v>0</v>
      </c>
      <c r="R90" s="104">
        <f t="shared" si="6"/>
        <v>0</v>
      </c>
      <c r="S90" s="104">
        <f t="shared" si="6"/>
        <v>0</v>
      </c>
      <c r="T90" s="106">
        <f t="shared" si="6"/>
        <v>0</v>
      </c>
    </row>
    <row r="91" spans="1:21">
      <c r="E91" s="61"/>
      <c r="F91" s="51"/>
      <c r="G91" s="200" t="s">
        <v>281</v>
      </c>
      <c r="H91" s="200"/>
      <c r="I91" s="200"/>
      <c r="J91" s="200"/>
      <c r="K91" s="200"/>
      <c r="L91" s="200"/>
      <c r="M91" s="200"/>
      <c r="N91" s="200"/>
      <c r="O91" s="200"/>
      <c r="P91" s="200"/>
      <c r="Q91" s="200"/>
      <c r="R91" s="200"/>
      <c r="S91" s="200"/>
      <c r="T91" s="201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114.6268656716418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141.49253731343282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292.57142857142856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361.14285714285717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115.89189189189189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143.05405405405403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7" t="s">
        <v>280</v>
      </c>
      <c r="H96" s="198"/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9"/>
      <c r="U96" s="122" t="s">
        <v>282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712.97910447761194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880.08358208955212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2228.059701492537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1819.7942857142855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2246.3085714285717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5686.8571428571431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604.95567567567559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746.742162162162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1890.486486486486</v>
      </c>
    </row>
  </sheetData>
  <mergeCells count="21"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  <mergeCell ref="F37:H37"/>
    <mergeCell ref="I37:K37"/>
    <mergeCell ref="L37:N37"/>
    <mergeCell ref="O37:Q37"/>
    <mergeCell ref="R37:T37"/>
    <mergeCell ref="G32:T32"/>
    <mergeCell ref="G27:T27"/>
    <mergeCell ref="R5:T5"/>
    <mergeCell ref="F5:H5"/>
    <mergeCell ref="I5:K5"/>
    <mergeCell ref="L5:N5"/>
    <mergeCell ref="O5:Q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R7" sqref="R7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24</v>
      </c>
      <c r="Q1" s="67" t="s">
        <v>245</v>
      </c>
      <c r="R1" s="67" t="s">
        <v>257</v>
      </c>
      <c r="S1" s="67" t="s">
        <v>130</v>
      </c>
      <c r="T1" s="67" t="s">
        <v>129</v>
      </c>
      <c r="U1" t="s">
        <v>132</v>
      </c>
      <c r="V1" t="s">
        <v>133</v>
      </c>
    </row>
    <row r="2" spans="1:22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1771.3203883495146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60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0">
        <f>AVERAGEIFS(DropAnalityka[Exp Gain],DropAnalityka[Location],LocFeatures[[#This Row],[Location]],DropAnalityka[LVL],LocFeatures[[#This Row],[LVL]],DropAnalityka[Stage],LocFeatures[[#This Row],[Stage]])</f>
        <v>175</v>
      </c>
      <c r="N3" s="50">
        <f>LocFeatures[[#This Row],[Drop worth gain]]/(LocFeatures[[#This Row],[E. Cost]]-LocFeatures[[#This Row],[Energy gain]])</f>
        <v>1792.2906403940885</v>
      </c>
      <c r="O3" s="50">
        <f>LocFeatures[[#This Row],[XP Train Gain]]/(LocFeatures[[#This Row],[E. Cost]]-LocFeatures[[#This Row],[Energy gain]])</f>
        <v>1133.5566502463053</v>
      </c>
      <c r="P3" s="50">
        <f>(LocFeatures[[#This Row],[XP Train Gain]]+LocFeatures[[#This Row],[XP drop]])/(LocFeatures[[#This Row],[E. Cost]]-LocFeatures[[#This Row],[Energy gain]])</f>
        <v>1216.3152709359606</v>
      </c>
      <c r="Q3" s="47">
        <f>COUNTIFS(DropAnalityka[Location],LocFeatures[[#This Row],[Location]],DropAnalityka[LVL],LocFeatures[[#This Row],[LVL]],DropAnalityka[Stage],LocFeatures[[#This Row],[Stage]])</f>
        <v>96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60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0">
        <f>AVERAGEIFS(DropAnalityka[Exp Gain],DropAnalityka[Location],LocFeatures[[#This Row],[Location]],DropAnalityka[LVL],LocFeatures[[#This Row],[LVL]],DropAnalityka[Stage],LocFeatures[[#This Row],[Stage]])</f>
        <v>0</v>
      </c>
      <c r="N4" s="50">
        <f>LocFeatures[[#This Row],[Drop worth gain]]/(LocFeatures[[#This Row],[E. Cost]]-LocFeatures[[#This Row],[Energy gain]])</f>
        <v>1130.6666666666667</v>
      </c>
      <c r="O4" s="50">
        <f>LocFeatures[[#This Row],[XP Train Gain]]/(LocFeatures[[#This Row],[E. Cost]]-LocFeatures[[#This Row],[Energy gain]])</f>
        <v>804</v>
      </c>
      <c r="P4" s="50">
        <f>(LocFeatures[[#This Row],[XP Train Gain]]+LocFeatures[[#This Row],[XP drop]])/(LocFeatures[[#This Row],[E. Cost]]-LocFeatures[[#This Row],[Energy gain]])</f>
        <v>804</v>
      </c>
      <c r="Q4" s="47">
        <f>COUNTIFS(DropAnalityka[Location],LocFeatures[[#This Row],[Location]],DropAnalityka[LVL],LocFeatures[[#This Row],[LVL]],DropAnalityka[Stage],LocFeatures[[#This Row],[Stage]])</f>
        <v>1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4"/>
    </row>
    <row r="5" spans="1:22" s="10" customFormat="1">
      <c r="A5" s="10" t="s">
        <v>60</v>
      </c>
      <c r="B5" s="10" t="s">
        <v>9</v>
      </c>
      <c r="C5" s="10">
        <v>3</v>
      </c>
      <c r="D5" s="10">
        <v>3</v>
      </c>
      <c r="E5" s="10">
        <v>804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0">
        <f>AVERAGEIFS(DropAnalityka[Exp Gain],DropAnalityka[Location],LocFeatures[[#This Row],[Location]],DropAnalityka[LVL],LocFeatures[[#This Row],[LVL]],DropAnalityka[Stage],LocFeatures[[#This Row],[Stage]])</f>
        <v>0</v>
      </c>
      <c r="N5" s="50">
        <f>LocFeatures[[#This Row],[Drop worth gain]]/(LocFeatures[[#This Row],[E. Cost]]-LocFeatures[[#This Row],[Energy gain]])</f>
        <v>988</v>
      </c>
      <c r="O5" s="50">
        <f>LocFeatures[[#This Row],[XP Train Gain]]/(LocFeatures[[#This Row],[E. Cost]]-LocFeatures[[#This Row],[Energy gain]])</f>
        <v>804</v>
      </c>
      <c r="P5" s="50">
        <f>(LocFeatures[[#This Row],[XP Train Gain]]+LocFeatures[[#This Row],[XP drop]])/(LocFeatures[[#This Row],[E. Cost]]-LocFeatures[[#This Row],[Energy gain]])</f>
        <v>804</v>
      </c>
      <c r="Q5" s="47">
        <f>COUNTIFS(DropAnalityka[Location],LocFeatures[[#This Row],[Location]],DropAnalityka[LVL],LocFeatures[[#This Row],[LVL]],DropAnalityka[Stage],LocFeatures[[#This Row],[Stage]])</f>
        <v>2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5"/>
    </row>
    <row r="6" spans="1:22" s="10" customFormat="1">
      <c r="A6" t="s">
        <v>178</v>
      </c>
      <c r="B6" t="s">
        <v>9</v>
      </c>
      <c r="C6">
        <v>8</v>
      </c>
      <c r="D6">
        <v>8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6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6" s="10">
        <f>5*LocFeatures[[#This Row],[XP Gain per member]]</f>
        <v>0</v>
      </c>
      <c r="L6">
        <f>3*LocFeatures[[#This Row],[XP Gain per member]]</f>
        <v>0</v>
      </c>
      <c r="M6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6" s="50">
        <f>LocFeatures[[#This Row],[Drop worth gain]]/(LocFeatures[[#This Row],[E. Cost]]-LocFeatures[[#This Row],[Energy gain]])</f>
        <v>1691.6328125</v>
      </c>
      <c r="O6" s="50">
        <f>LocFeatures[[#This Row],[XP Train Gain]]/(LocFeatures[[#This Row],[E. Cost]]-LocFeatures[[#This Row],[Energy gain]])</f>
        <v>0</v>
      </c>
      <c r="P6" s="50">
        <f>(LocFeatures[[#This Row],[XP Train Gain]]+LocFeatures[[#This Row],[XP drop]])/(LocFeatures[[#This Row],[E. Cost]]-LocFeatures[[#This Row],[Energy gain]])</f>
        <v>448.60937500000006</v>
      </c>
      <c r="Q6" s="47">
        <f>COUNTIFS(DropAnalityka[Location],LocFeatures[[#This Row],[Location]],DropAnalityka[LVL],LocFeatures[[#This Row],[LVL]],DropAnalityka[Stage],LocFeatures[[#This Row],[Stage]])</f>
        <v>18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  <c r="S6"/>
      <c r="T6"/>
      <c r="U6"/>
      <c r="V6"/>
    </row>
    <row r="7" spans="1:22" s="10" customFormat="1">
      <c r="A7" t="s">
        <v>178</v>
      </c>
      <c r="B7" t="s">
        <v>9</v>
      </c>
      <c r="C7">
        <v>9</v>
      </c>
      <c r="D7">
        <v>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12550.254545454545</v>
      </c>
      <c r="J7" s="19">
        <f>AVERAGEIFS(DropAnalityka[Energy Drop],DropAnalityka[Location],LocFeatures[[#This Row],[Location]],DropAnalityka[LVL],LocFeatures[[#This Row],[LVL]],DropAnalityka[Stage],LocFeatures[[#This Row],[Stage]])</f>
        <v>1</v>
      </c>
      <c r="K7" s="10">
        <f>5*LocFeatures[[#This Row],[XP Gain per member]]</f>
        <v>0</v>
      </c>
      <c r="L7">
        <f>3*LocFeatures[[#This Row],[XP Gain per member]]</f>
        <v>0</v>
      </c>
      <c r="M7" s="50">
        <f>AVERAGEIFS(DropAnalityka[Exp Gain],DropAnalityka[Location],LocFeatures[[#This Row],[Location]],DropAnalityka[LVL],LocFeatures[[#This Row],[LVL]],DropAnalityka[Stage],LocFeatures[[#This Row],[Stage]])</f>
        <v>2158.7390909090909</v>
      </c>
      <c r="N7" s="50">
        <f>LocFeatures[[#This Row],[Drop worth gain]]/(LocFeatures[[#This Row],[E. Cost]]-LocFeatures[[#This Row],[Energy gain]])</f>
        <v>1792.8935064935065</v>
      </c>
      <c r="O7" s="50">
        <f>LocFeatures[[#This Row],[XP Train Gain]]/(LocFeatures[[#This Row],[E. Cost]]-LocFeatures[[#This Row],[Energy gain]])</f>
        <v>0</v>
      </c>
      <c r="P7" s="50">
        <f>(LocFeatures[[#This Row],[XP Train Gain]]+LocFeatures[[#This Row],[XP drop]])/(LocFeatures[[#This Row],[E. Cost]]-LocFeatures[[#This Row],[Energy gain]])</f>
        <v>308.39129870129869</v>
      </c>
      <c r="Q7" s="47">
        <f>COUNTIFS(DropAnalityka[Location],LocFeatures[[#This Row],[Location]],DropAnalityka[LVL],LocFeatures[[#This Row],[LVL]],DropAnalityka[Stage],LocFeatures[[#This Row],[Stage]])</f>
        <v>110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4889.6106493506495</v>
      </c>
      <c r="S7"/>
      <c r="T7"/>
      <c r="U7"/>
      <c r="V7"/>
    </row>
    <row r="8" spans="1:22" s="10" customFormat="1">
      <c r="A8" t="s">
        <v>178</v>
      </c>
      <c r="B8" t="s">
        <v>9</v>
      </c>
      <c r="C8">
        <v>10</v>
      </c>
      <c r="D8">
        <v>8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14081.088235294119</v>
      </c>
      <c r="J8" s="19">
        <f>AVERAGEIFS(DropAnalityka[Energy Drop],DropAnalityka[Location],LocFeatures[[#This Row],[Location]],DropAnalityka[LVL],LocFeatures[[#This Row],[LVL]],DropAnalityka[Stage],LocFeatures[[#This Row],[Stage]])</f>
        <v>1.1764705882352942</v>
      </c>
      <c r="K8" s="10">
        <f>5*LocFeatures[[#This Row],[XP Gain per member]]</f>
        <v>0</v>
      </c>
      <c r="L8">
        <f>3*LocFeatures[[#This Row],[XP Gain per member]]</f>
        <v>0</v>
      </c>
      <c r="M8" s="50">
        <f>AVERAGEIFS(DropAnalityka[Exp Gain],DropAnalityka[Location],LocFeatures[[#This Row],[Location]],DropAnalityka[LVL],LocFeatures[[#This Row],[LVL]],DropAnalityka[Stage],LocFeatures[[#This Row],[Stage]])</f>
        <v>3535.8029411764705</v>
      </c>
      <c r="N8" s="50">
        <f>LocFeatures[[#This Row],[Drop worth gain]]/(LocFeatures[[#This Row],[E. Cost]]-LocFeatures[[#This Row],[Energy gain]])</f>
        <v>2063.6077586206898</v>
      </c>
      <c r="O8" s="50">
        <f>LocFeatures[[#This Row],[XP Train Gain]]/(LocFeatures[[#This Row],[E. Cost]]-LocFeatures[[#This Row],[Energy gain]])</f>
        <v>0</v>
      </c>
      <c r="P8" s="50">
        <f>(LocFeatures[[#This Row],[XP Train Gain]]+LocFeatures[[#This Row],[XP drop]])/(LocFeatures[[#This Row],[E. Cost]]-LocFeatures[[#This Row],[Energy gain]])</f>
        <v>518.17801724137928</v>
      </c>
      <c r="Q8" s="47">
        <f>COUNTIFS(DropAnalityka[Location],LocFeatures[[#This Row],[Location]],DropAnalityka[LVL],LocFeatures[[#This Row],[LVL]],DropAnalityka[Stage],LocFeatures[[#This Row],[Stage]])</f>
        <v>17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5020.5982758620685</v>
      </c>
      <c r="S8"/>
      <c r="T8"/>
      <c r="U8"/>
      <c r="V8"/>
    </row>
    <row r="9" spans="1:22" s="10" customFormat="1">
      <c r="A9" s="10" t="s">
        <v>31</v>
      </c>
      <c r="B9" s="10" t="s">
        <v>30</v>
      </c>
      <c r="C9" s="10">
        <v>1</v>
      </c>
      <c r="D9" s="10">
        <v>4</v>
      </c>
      <c r="E9" s="10">
        <v>1276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9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9" s="10">
        <f>4*LocFeatures[[#This Row],[XP Gain per member]]</f>
        <v>5104</v>
      </c>
      <c r="L9">
        <f>3*LocFeatures[[#This Row],[XP Gain per member]]</f>
        <v>3828</v>
      </c>
      <c r="M9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9" s="50">
        <f>LocFeatures[[#This Row],[Drop worth gain]]/(LocFeatures[[#This Row],[E. Cost]]-LocFeatures[[#This Row],[Energy gain]])</f>
        <v>1768.050724637681</v>
      </c>
      <c r="O9" s="50">
        <f>LocFeatures[[#This Row],[XP Train Gain]]/(LocFeatures[[#This Row],[E. Cost]]-LocFeatures[[#This Row],[Energy gain]])</f>
        <v>1192.7826086956522</v>
      </c>
      <c r="P9" s="50">
        <f>(LocFeatures[[#This Row],[XP Train Gain]]+LocFeatures[[#This Row],[XP drop]])/(LocFeatures[[#This Row],[E. Cost]]-LocFeatures[[#This Row],[Energy gain]])</f>
        <v>1781.5072463768115</v>
      </c>
      <c r="Q9" s="47">
        <f>COUNTIFS(DropAnalityka[Location],LocFeatures[[#This Row],[Location]],DropAnalityka[LVL],LocFeatures[[#This Row],[LVL]],DropAnalityka[Stage],LocFeatures[[#This Row],[Stage]])</f>
        <v>43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9"/>
    </row>
    <row r="10" spans="1:22" s="10" customFormat="1">
      <c r="A10" s="10" t="s">
        <v>31</v>
      </c>
      <c r="B10" s="10" t="s">
        <v>30</v>
      </c>
      <c r="C10" s="10">
        <v>11</v>
      </c>
      <c r="D10" s="10">
        <v>4</v>
      </c>
      <c r="E10" s="10">
        <v>1276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10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10" s="10">
        <f>4*LocFeatures[[#This Row],[XP Gain per member]]</f>
        <v>5104</v>
      </c>
      <c r="L10">
        <f>3*LocFeatures[[#This Row],[XP Gain per member]]</f>
        <v>3828</v>
      </c>
      <c r="M10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10" s="50">
        <f>LocFeatures[[#This Row],[Drop worth gain]]/(LocFeatures[[#This Row],[E. Cost]]-LocFeatures[[#This Row],[Energy gain]])</f>
        <v>1623.8007518796992</v>
      </c>
      <c r="O10" s="50">
        <f>LocFeatures[[#This Row],[XP Train Gain]]/(LocFeatures[[#This Row],[E. Cost]]-LocFeatures[[#This Row],[Energy gain]])</f>
        <v>1252.015037593985</v>
      </c>
      <c r="P10" s="50">
        <f>(LocFeatures[[#This Row],[XP Train Gain]]+LocFeatures[[#This Row],[XP drop]])/(LocFeatures[[#This Row],[E. Cost]]-LocFeatures[[#This Row],[Energy gain]])</f>
        <v>1494.9548872180453</v>
      </c>
      <c r="Q10" s="43">
        <f>COUNTIFS(DropAnalityka[Location],LocFeatures[[#This Row],[Location]],DropAnalityka[LVL],LocFeatures[[#This Row],[LVL]],DropAnalityka[Stage],LocFeatures[[#This Row],[Stage]])</f>
        <v>87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10">
        <v>58</v>
      </c>
      <c r="T10" s="10" t="s">
        <v>246</v>
      </c>
      <c r="U10"/>
      <c r="V10"/>
    </row>
    <row r="11" spans="1:22" s="10" customFormat="1">
      <c r="A11" s="10" t="s">
        <v>31</v>
      </c>
      <c r="B11" s="10" t="s">
        <v>9</v>
      </c>
      <c r="C11" s="10">
        <v>1</v>
      </c>
      <c r="D11" s="10">
        <v>3</v>
      </c>
      <c r="E11" s="10">
        <v>756</v>
      </c>
      <c r="F11" s="10">
        <v>13</v>
      </c>
      <c r="G11" s="10" t="s">
        <v>18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11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11" s="10">
        <f>4*LocFeatures[[#This Row],[XP Gain per member]]</f>
        <v>3024</v>
      </c>
      <c r="L11">
        <f>3*LocFeatures[[#This Row],[XP Gain per member]]</f>
        <v>2268</v>
      </c>
      <c r="M11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11" s="50">
        <f>LocFeatures[[#This Row],[Drop worth gain]]/(LocFeatures[[#This Row],[E. Cost]]-LocFeatures[[#This Row],[Energy gain]])</f>
        <v>1518.4476744186045</v>
      </c>
      <c r="O11" s="50">
        <f>LocFeatures[[#This Row],[XP Train Gain]]/(LocFeatures[[#This Row],[E. Cost]]-LocFeatures[[#This Row],[Energy gain]])</f>
        <v>1068.0697674418604</v>
      </c>
      <c r="P11" s="50">
        <f>(LocFeatures[[#This Row],[XP Train Gain]]+LocFeatures[[#This Row],[XP drop]])/(LocFeatures[[#This Row],[E. Cost]]-LocFeatures[[#This Row],[Energy gain]])</f>
        <v>1175.0465116279067</v>
      </c>
      <c r="Q11" s="47">
        <f>COUNTIFS(DropAnalityka[Location],LocFeatures[[#This Row],[Location]],DropAnalityka[LVL],LocFeatures[[#This Row],[LVL]],DropAnalityka[Stage],LocFeatures[[#This Row],[Stage]])</f>
        <v>81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11"/>
    </row>
    <row r="12" spans="1:22">
      <c r="A12" s="10" t="s">
        <v>172</v>
      </c>
      <c r="B12" s="10" t="s">
        <v>9</v>
      </c>
      <c r="C12" s="10">
        <v>7</v>
      </c>
      <c r="D12" s="10">
        <v>6</v>
      </c>
      <c r="E12" s="10"/>
      <c r="F12" s="10"/>
      <c r="G12" s="10"/>
      <c r="H12" s="10"/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2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2" s="10">
        <f>5*LocFeatures[[#This Row],[XP Gain per member]]</f>
        <v>0</v>
      </c>
      <c r="L12">
        <f>3*LocFeatures[[#This Row],[XP Gain per member]]</f>
        <v>0</v>
      </c>
      <c r="M12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2" s="50">
        <f>LocFeatures[[#This Row],[Drop worth gain]]/(LocFeatures[[#This Row],[E. Cost]]-LocFeatures[[#This Row],[Energy gain]])</f>
        <v>1680.7551020408164</v>
      </c>
      <c r="O12" s="50">
        <f>LocFeatures[[#This Row],[XP Train Gain]]/(LocFeatures[[#This Row],[E. Cost]]-LocFeatures[[#This Row],[Energy gain]])</f>
        <v>0</v>
      </c>
      <c r="P12" s="50">
        <f>(LocFeatures[[#This Row],[XP Train Gain]]+LocFeatures[[#This Row],[XP drop]])/(LocFeatures[[#This Row],[E. Cost]]-LocFeatures[[#This Row],[Energy gain]])</f>
        <v>339.64530612244897</v>
      </c>
      <c r="Q12" s="47">
        <f>COUNTIFS(DropAnalityka[Location],LocFeatures[[#This Row],[Location]],DropAnalityka[LVL],LocFeatures[[#This Row],[LVL]],DropAnalityka[Stage],LocFeatures[[#This Row],[Stage]])</f>
        <v>50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3" spans="1:22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172</v>
      </c>
      <c r="B14" s="10" t="s">
        <v>9</v>
      </c>
      <c r="C14" s="10">
        <v>10</v>
      </c>
      <c r="D14" s="10">
        <v>8</v>
      </c>
      <c r="E14" s="10"/>
      <c r="F14" s="10"/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12889.106951871658</v>
      </c>
      <c r="J14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14" s="10">
        <f>5*LocFeatures[[#This Row],[XP Gain per member]]</f>
        <v>0</v>
      </c>
      <c r="L14">
        <f>3*LocFeatures[[#This Row],[XP Gain per member]]</f>
        <v>0</v>
      </c>
      <c r="M14" s="50">
        <f>AVERAGEIFS(DropAnalityka[Exp Gain],DropAnalityka[Location],LocFeatures[[#This Row],[Location]],DropAnalityka[LVL],LocFeatures[[#This Row],[LVL]],DropAnalityka[Stage],LocFeatures[[#This Row],[Stage]])</f>
        <v>3498.2850267379681</v>
      </c>
      <c r="N14" s="50">
        <f>LocFeatures[[#This Row],[Drop worth gain]]/(LocFeatures[[#This Row],[E. Cost]]-LocFeatures[[#This Row],[Energy gain]])</f>
        <v>1825.9568181818183</v>
      </c>
      <c r="O14" s="50">
        <f>LocFeatures[[#This Row],[XP Train Gain]]/(LocFeatures[[#This Row],[E. Cost]]-LocFeatures[[#This Row],[Energy gain]])</f>
        <v>0</v>
      </c>
      <c r="P14" s="50">
        <f>(LocFeatures[[#This Row],[XP Train Gain]]+LocFeatures[[#This Row],[XP drop]])/(LocFeatures[[#This Row],[E. Cost]]-LocFeatures[[#This Row],[Energy gain]])</f>
        <v>495.59037878787882</v>
      </c>
      <c r="Q14" s="47">
        <f>COUNTIFS(DropAnalityka[Location],LocFeatures[[#This Row],[Location]],DropAnalityka[LVL],LocFeatures[[#This Row],[LVL]],DropAnalityka[Stage],LocFeatures[[#This Row],[Stage]])</f>
        <v>187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15" spans="1:22">
      <c r="A15" s="10" t="s">
        <v>262</v>
      </c>
      <c r="B15" t="s">
        <v>9</v>
      </c>
      <c r="C15">
        <v>9</v>
      </c>
      <c r="D15">
        <v>7</v>
      </c>
      <c r="E15">
        <v>642</v>
      </c>
      <c r="F15">
        <v>12</v>
      </c>
      <c r="G15" t="s">
        <v>18</v>
      </c>
      <c r="H15" t="s">
        <v>21</v>
      </c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15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15">
        <f>5*LocFeatures[[#This Row],[XP Gain per member]]</f>
        <v>3210</v>
      </c>
      <c r="L15">
        <f>3*LocFeatures[[#This Row],[XP Gain per member]]</f>
        <v>1926</v>
      </c>
      <c r="M15" s="50">
        <f>AVERAGEIFS(DropAnalityka[Exp Gain],DropAnalityka[Location],LocFeatures[[#This Row],[Location]],DropAnalityka[LVL],LocFeatures[[#This Row],[LVL]],DropAnalityka[Stage],LocFeatures[[#This Row],[Stage]])</f>
        <v>2772</v>
      </c>
      <c r="N15" s="50">
        <f>LocFeatures[[#This Row],[Drop worth gain]]/(LocFeatures[[#This Row],[E. Cost]]-LocFeatures[[#This Row],[Energy gain]])</f>
        <v>596.11627906976742</v>
      </c>
      <c r="O15" s="50">
        <f>LocFeatures[[#This Row],[XP Train Gain]]/(LocFeatures[[#This Row],[E. Cost]]-LocFeatures[[#This Row],[Energy gain]])</f>
        <v>302.33720930232556</v>
      </c>
      <c r="P15" s="50">
        <f>(LocFeatures[[#This Row],[XP Train Gain]]+LocFeatures[[#This Row],[XP drop]])/(LocFeatures[[#This Row],[E. Cost]]-LocFeatures[[#This Row],[Energy gain]])</f>
        <v>737.47674418604652</v>
      </c>
      <c r="Q15" s="43">
        <f>COUNTIFS(DropAnalityka[Location],LocFeatures[[#This Row],[Location]],DropAnalityka[LVL],LocFeatures[[#This Row],[LVL]],DropAnalityka[Stage],LocFeatures[[#This Row],[Stage]])</f>
        <v>27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16" spans="1:22">
      <c r="A16" s="10" t="s">
        <v>36</v>
      </c>
      <c r="B16" s="10" t="s">
        <v>9</v>
      </c>
      <c r="C16" s="10">
        <v>4</v>
      </c>
      <c r="D16" s="10">
        <v>5</v>
      </c>
      <c r="E16" s="10">
        <v>439</v>
      </c>
      <c r="F16" s="10">
        <v>10</v>
      </c>
      <c r="G16" s="10"/>
      <c r="H16" s="10"/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6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6" s="10">
        <f>5*LocFeatures[[#This Row],[XP Gain per member]]</f>
        <v>2195</v>
      </c>
      <c r="L16">
        <f>3*LocFeatures[[#This Row],[XP Gain per member]]</f>
        <v>1317</v>
      </c>
      <c r="M16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16" s="50">
        <f>LocFeatures[[#This Row],[Drop worth gain]]/(LocFeatures[[#This Row],[E. Cost]]-LocFeatures[[#This Row],[Energy gain]])</f>
        <v>962.46666666666681</v>
      </c>
      <c r="O16" s="50">
        <f>LocFeatures[[#This Row],[XP Train Gain]]/(LocFeatures[[#This Row],[E. Cost]]-LocFeatures[[#This Row],[Energy gain]])</f>
        <v>307.3</v>
      </c>
      <c r="P16" s="50">
        <f>(LocFeatures[[#This Row],[XP Train Gain]]+LocFeatures[[#This Row],[XP drop]])/(LocFeatures[[#This Row],[E. Cost]]-LocFeatures[[#This Row],[Energy gain]])</f>
        <v>573.9666666666667</v>
      </c>
      <c r="Q16" s="47">
        <f>COUNTIFS(DropAnalityka[Location],LocFeatures[[#This Row],[Location]],DropAnalityka[LVL],LocFeatures[[#This Row],[LVL]],DropAnalityka[Stage],LocFeatures[[#This Row],[Stage]])</f>
        <v>7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16" s="10"/>
      <c r="U16" s="10"/>
      <c r="V16" s="10"/>
    </row>
    <row r="17" spans="1:22">
      <c r="A17" s="10" t="s">
        <v>36</v>
      </c>
      <c r="B17" s="10" t="s">
        <v>9</v>
      </c>
      <c r="C17" s="10">
        <v>5</v>
      </c>
      <c r="D17">
        <v>6</v>
      </c>
      <c r="E17">
        <v>642</v>
      </c>
      <c r="F17">
        <v>12</v>
      </c>
      <c r="G17" t="s">
        <v>18</v>
      </c>
      <c r="H17" t="s">
        <v>21</v>
      </c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17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17">
        <f>5*LocFeatures[[#This Row],[XP Gain per member]]</f>
        <v>3210</v>
      </c>
      <c r="L17">
        <f>3*LocFeatures[[#This Row],[XP Gain per member]]</f>
        <v>1926</v>
      </c>
      <c r="M17" s="50">
        <f>AVERAGEIFS(DropAnalityka[Exp Gain],DropAnalityka[Location],LocFeatures[[#This Row],[Location]],DropAnalityka[LVL],LocFeatures[[#This Row],[LVL]],DropAnalityka[Stage],LocFeatures[[#This Row],[Stage]])</f>
        <v>0</v>
      </c>
      <c r="N17" s="50">
        <f>LocFeatures[[#This Row],[Drop worth gain]]/(LocFeatures[[#This Row],[E. Cost]]-LocFeatures[[#This Row],[Energy gain]])</f>
        <v>263.25</v>
      </c>
      <c r="O17" s="50">
        <f>LocFeatures[[#This Row],[XP Train Gain]]/(LocFeatures[[#This Row],[E. Cost]]-LocFeatures[[#This Row],[Energy gain]])</f>
        <v>361.125</v>
      </c>
      <c r="P17" s="50">
        <f>(LocFeatures[[#This Row],[XP Train Gain]]+LocFeatures[[#This Row],[XP drop]])/(LocFeatures[[#This Row],[E. Cost]]-LocFeatures[[#This Row],[Energy gain]])</f>
        <v>361.125</v>
      </c>
      <c r="Q17" s="43">
        <f>COUNTIFS(DropAnalityka[Location],LocFeatures[[#This Row],[Location]],DropAnalityka[LVL],LocFeatures[[#This Row],[LVL]],DropAnalityka[Stage],LocFeatures[[#This Row],[Stage]])</f>
        <v>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18" spans="1:22">
      <c r="A18" s="10" t="s">
        <v>36</v>
      </c>
      <c r="B18" s="10" t="s">
        <v>9</v>
      </c>
      <c r="C18" s="10">
        <v>7</v>
      </c>
      <c r="D18" s="10">
        <v>6</v>
      </c>
      <c r="E18" s="10">
        <v>616</v>
      </c>
      <c r="F18" s="10"/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8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8" s="10">
        <f>5*LocFeatures[[#This Row],[XP Gain per member]]</f>
        <v>3080</v>
      </c>
      <c r="L18">
        <f>3*LocFeatures[[#This Row],[XP Gain per member]]</f>
        <v>1848</v>
      </c>
      <c r="M18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18" s="50">
        <f>LocFeatures[[#This Row],[Drop worth gain]]/(LocFeatures[[#This Row],[E. Cost]]-LocFeatures[[#This Row],[Energy gain]])</f>
        <v>605.169642857143</v>
      </c>
      <c r="O18" s="50">
        <f>LocFeatures[[#This Row],[XP Train Gain]]/(LocFeatures[[#This Row],[E. Cost]]-LocFeatures[[#This Row],[Energy gain]])</f>
        <v>341</v>
      </c>
      <c r="P18" s="50">
        <f>(LocFeatures[[#This Row],[XP Train Gain]]+LocFeatures[[#This Row],[XP drop]])/(LocFeatures[[#This Row],[E. Cost]]-LocFeatures[[#This Row],[Energy gain]])</f>
        <v>504.75595238095241</v>
      </c>
      <c r="Q18" s="47">
        <f>COUNTIFS(DropAnalityka[Location],LocFeatures[[#This Row],[Location]],DropAnalityka[LVL],LocFeatures[[#This Row],[LVL]],DropAnalityka[Stage],LocFeatures[[#This Row],[Stage]])</f>
        <v>62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9" spans="1:22">
      <c r="A19" t="s">
        <v>36</v>
      </c>
      <c r="B19" t="s">
        <v>9</v>
      </c>
      <c r="C19">
        <v>9</v>
      </c>
      <c r="D19">
        <v>7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19" s="19">
        <f>AVERAGEIFS(DropAnalityka[Energy Drop],DropAnalityka[Location],LocFeatures[[#This Row],[Location]],DropAnalityka[LVL],LocFeatures[[#This Row],[LVL]],DropAnalityka[Stage],LocFeatures[[#This Row],[Stage]])</f>
        <v>0.92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2993.76</v>
      </c>
      <c r="N19" s="50">
        <f>LocFeatures[[#This Row],[Drop worth gain]]/(LocFeatures[[#This Row],[E. Cost]]-LocFeatures[[#This Row],[Energy gain]])</f>
        <v>635.48026315789468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492.39473684210532</v>
      </c>
      <c r="Q19" s="43">
        <f>COUNTIFS(DropAnalityka[Location],LocFeatures[[#This Row],[Location]],DropAnalityka[LVL],LocFeatures[[#This Row],[LVL]],DropAnalityka[Stage],LocFeatures[[#This Row],[Stage]])</f>
        <v>25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0" spans="1:22">
      <c r="A20" s="10" t="s">
        <v>207</v>
      </c>
      <c r="B20" t="s">
        <v>9</v>
      </c>
      <c r="C20">
        <v>8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0" s="19">
        <f>AVERAGEIFS(DropAnalityka[Energy Drop],DropAnalityka[Location],LocFeatures[[#This Row],[Location]],DropAnalityka[LVL],LocFeatures[[#This Row],[LVL]],DropAnalityka[Stage],LocFeatures[[#This Row],[Stage]])</f>
        <v>1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0" s="50">
        <f>LocFeatures[[#This Row],[Drop worth gain]]/(LocFeatures[[#This Row],[E. Cost]]-LocFeatures[[#This Row],[Energy gain]])</f>
        <v>778.62068965517244</v>
      </c>
      <c r="O20" s="50">
        <f>LocFeatures[[#This Row],[XP Train Gain]]/(LocFeatures[[#This Row],[E. Cost]]-LocFeatures[[#This Row],[Energy gain]])</f>
        <v>321</v>
      </c>
      <c r="P20" s="50">
        <f>(LocFeatures[[#This Row],[XP Train Gain]]+LocFeatures[[#This Row],[XP drop]])/(LocFeatures[[#This Row],[E. Cost]]-LocFeatures[[#This Row],[Energy gain]])</f>
        <v>472.72413793103448</v>
      </c>
      <c r="Q20" s="43">
        <f>COUNTIFS(DropAnalityka[Location],LocFeatures[[#This Row],[Location]],DropAnalityka[LVL],LocFeatures[[#This Row],[LVL]],DropAnalityka[Stage],LocFeatures[[#This Row],[Stage]])</f>
        <v>29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1" spans="1:22">
      <c r="A21" s="10" t="s">
        <v>207</v>
      </c>
      <c r="B21" t="s">
        <v>9</v>
      </c>
      <c r="C21">
        <v>9</v>
      </c>
      <c r="D21">
        <v>7</v>
      </c>
      <c r="E21">
        <v>642</v>
      </c>
      <c r="F21">
        <v>12</v>
      </c>
      <c r="G21" t="s">
        <v>18</v>
      </c>
      <c r="H21" t="s">
        <v>21</v>
      </c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1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1">
        <f>5*LocFeatures[[#This Row],[XP Gain per member]]</f>
        <v>3210</v>
      </c>
      <c r="L21">
        <f>3*LocFeatures[[#This Row],[XP Gain per member]]</f>
        <v>1926</v>
      </c>
      <c r="M21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1" s="50">
        <f>LocFeatures[[#This Row],[Drop worth gain]]/(LocFeatures[[#This Row],[E. Cost]]-LocFeatures[[#This Row],[Energy gain]])</f>
        <v>922.49280575539558</v>
      </c>
      <c r="O21" s="50">
        <f>LocFeatures[[#This Row],[XP Train Gain]]/(LocFeatures[[#This Row],[E. Cost]]-LocFeatures[[#This Row],[Energy gain]])</f>
        <v>309.45323741007195</v>
      </c>
      <c r="P21" s="50">
        <f>(LocFeatures[[#This Row],[XP Train Gain]]+LocFeatures[[#This Row],[XP drop]])/(LocFeatures[[#This Row],[E. Cost]]-LocFeatures[[#This Row],[Energy gain]])</f>
        <v>709.72338129496404</v>
      </c>
      <c r="Q21" s="43">
        <f>COUNTIFS(DropAnalityka[Location],LocFeatures[[#This Row],[Location]],DropAnalityka[LVL],LocFeatures[[#This Row],[LVL]],DropAnalityka[Stage],LocFeatures[[#This Row],[Stage]])</f>
        <v>67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2" spans="1:22">
      <c r="A22" t="s">
        <v>285</v>
      </c>
      <c r="B22" t="s">
        <v>9</v>
      </c>
      <c r="C22">
        <v>9</v>
      </c>
      <c r="D22">
        <v>6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2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2" s="50">
        <f>LocFeatures[[#This Row],[Drop worth gain]]/(LocFeatures[[#This Row],[E. Cost]]-LocFeatures[[#This Row],[Energy gain]])</f>
        <v>1192.5469168900804</v>
      </c>
      <c r="O22" s="50">
        <f>LocFeatures[[#This Row],[XP Train Gain]]/(LocFeatures[[#This Row],[E. Cost]]-LocFeatures[[#This Row],[Energy gain]])</f>
        <v>366.61126005361933</v>
      </c>
      <c r="P22" s="50">
        <f>(LocFeatures[[#This Row],[XP Train Gain]]+LocFeatures[[#This Row],[XP drop]])/(LocFeatures[[#This Row],[E. Cost]]-LocFeatures[[#This Row],[Energy gain]])</f>
        <v>1335.0080428954425</v>
      </c>
      <c r="Q22" s="43">
        <f>COUNTIFS(DropAnalityka[Location],LocFeatures[[#This Row],[Location]],DropAnalityka[LVL],LocFeatures[[#This Row],[LVL]],DropAnalityka[Stage],LocFeatures[[#This Row],[Stage]])</f>
        <v>71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3" spans="1:22">
      <c r="A23" t="s">
        <v>286</v>
      </c>
      <c r="B23" t="s">
        <v>32</v>
      </c>
      <c r="C23">
        <v>5</v>
      </c>
      <c r="D23">
        <v>5</v>
      </c>
      <c r="E23">
        <v>1890</v>
      </c>
      <c r="F23">
        <v>12</v>
      </c>
      <c r="G23" t="s">
        <v>18</v>
      </c>
      <c r="H23" t="s">
        <v>21</v>
      </c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23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23">
        <f>4*LocFeatures[[#This Row],[XP Gain per member]]</f>
        <v>7560</v>
      </c>
      <c r="L23">
        <f>3*LocFeatures[[#This Row],[XP Gain per member]]</f>
        <v>5670</v>
      </c>
      <c r="M23" s="50">
        <f>AVERAGEIFS(DropAnalityka[Exp Gain],DropAnalityka[Location],LocFeatures[[#This Row],[Location]],DropAnalityka[LVL],LocFeatures[[#This Row],[LVL]],DropAnalityka[Stage],LocFeatures[[#This Row],[Stage]])</f>
        <v>0</v>
      </c>
      <c r="N23" s="50">
        <f>LocFeatures[[#This Row],[Drop worth gain]]/(LocFeatures[[#This Row],[E. Cost]]-LocFeatures[[#This Row],[Energy gain]])</f>
        <v>736.45945945945959</v>
      </c>
      <c r="O23" s="50">
        <f>LocFeatures[[#This Row],[XP Train Gain]]/(LocFeatures[[#This Row],[E. Cost]]-LocFeatures[[#This Row],[Energy gain]])</f>
        <v>1379.1891891891894</v>
      </c>
      <c r="P23" s="50">
        <f>(LocFeatures[[#This Row],[XP Train Gain]]+LocFeatures[[#This Row],[XP drop]])/(LocFeatures[[#This Row],[E. Cost]]-LocFeatures[[#This Row],[Energy gain]])</f>
        <v>1379.1891891891894</v>
      </c>
      <c r="Q23" s="43">
        <f>COUNTIFS(DropAnalityka[Location],LocFeatures[[#This Row],[Location]],DropAnalityka[LVL],LocFeatures[[#This Row],[LVL]],DropAnalityka[Stage],LocFeatures[[#This Row],[Stage]])</f>
        <v>27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24" spans="1:22">
      <c r="A24" s="10" t="s">
        <v>59</v>
      </c>
      <c r="B24" s="10" t="s">
        <v>32</v>
      </c>
      <c r="C24" s="10">
        <v>2</v>
      </c>
      <c r="D24" s="10">
        <v>5</v>
      </c>
      <c r="E24" s="10">
        <v>1500</v>
      </c>
      <c r="F24" s="10">
        <v>10</v>
      </c>
      <c r="G24" s="10"/>
      <c r="H24" s="10"/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4" s="19">
        <f>AVERAGEIFS(DropAnalityka[Energy Drop],DropAnalityka[Location],LocFeatures[[#This Row],[Location]],DropAnalityka[LVL],LocFeatures[[#This Row],[LVL]],DropAnalityka[Stage],LocFeatures[[#This Row],[Stage]])</f>
        <v>1</v>
      </c>
      <c r="K24" s="10">
        <f>4*LocFeatures[[#This Row],[XP Gain per member]]</f>
        <v>6000</v>
      </c>
      <c r="L24">
        <f>3*LocFeatures[[#This Row],[XP Gain per member]]</f>
        <v>4500</v>
      </c>
      <c r="M24" s="50">
        <f>AVERAGEIFS(DropAnalityka[Exp Gain],DropAnalityka[Location],LocFeatures[[#This Row],[Location]],DropAnalityka[LVL],LocFeatures[[#This Row],[LVL]],DropAnalityka[Stage],LocFeatures[[#This Row],[Stage]])</f>
        <v>35822</v>
      </c>
      <c r="N24" s="50">
        <f>LocFeatures[[#This Row],[Drop worth gain]]/(LocFeatures[[#This Row],[E. Cost]]-LocFeatures[[#This Row],[Energy gain]])</f>
        <v>3173</v>
      </c>
      <c r="O24" s="50">
        <f>LocFeatures[[#This Row],[XP Train Gain]]/(LocFeatures[[#This Row],[E. Cost]]-LocFeatures[[#This Row],[Energy gain]])</f>
        <v>1125</v>
      </c>
      <c r="P24" s="50">
        <f>(LocFeatures[[#This Row],[XP Train Gain]]+LocFeatures[[#This Row],[XP drop]])/(LocFeatures[[#This Row],[E. Cost]]-LocFeatures[[#This Row],[Energy gain]])</f>
        <v>10080.5</v>
      </c>
      <c r="Q24" s="47">
        <f>COUNTIFS(DropAnalityka[Location],LocFeatures[[#This Row],[Location]],DropAnalityka[LVL],LocFeatures[[#This Row],[LVL]],DropAnalityka[Stage],LocFeatures[[#This Row],[Stage]])</f>
        <v>1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4" s="10"/>
      <c r="U24" s="10"/>
      <c r="V24" s="10"/>
    </row>
    <row r="25" spans="1:22">
      <c r="A25" t="s">
        <v>223</v>
      </c>
      <c r="B25" t="s">
        <v>9</v>
      </c>
      <c r="C25" t="s">
        <v>26</v>
      </c>
      <c r="D25">
        <v>5</v>
      </c>
      <c r="E25">
        <v>0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25" s="19">
        <f>AVERAGEIFS(DropAnalityka[Energy Drop],DropAnalityka[Location],LocFeatures[[#This Row],[Location]],DropAnalityka[LVL],LocFeatures[[#This Row],[LVL]],DropAnalityka[Stage],LocFeatures[[#This Row],[Stage]])</f>
        <v>0</v>
      </c>
      <c r="K25">
        <f>4*LocFeatures[[#This Row],[XP Gain per member]]</f>
        <v>0</v>
      </c>
      <c r="L25">
        <f>3*LocFeatures[[#This Row],[XP Gain per member]]</f>
        <v>0</v>
      </c>
      <c r="M25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25" s="50">
        <f>LocFeatures[[#This Row],[Drop worth gain]]/(LocFeatures[[#This Row],[E. Cost]]-LocFeatures[[#This Row],[Energy gain]])</f>
        <v>1846.9</v>
      </c>
      <c r="O25" s="50">
        <f>LocFeatures[[#This Row],[XP Train Gain]]/(LocFeatures[[#This Row],[E. Cost]]-LocFeatures[[#This Row],[Energy gain]])</f>
        <v>0</v>
      </c>
      <c r="P25" s="50">
        <f>(LocFeatures[[#This Row],[XP Train Gain]]+LocFeatures[[#This Row],[XP drop]])/(LocFeatures[[#This Row],[E. Cost]]-LocFeatures[[#This Row],[Energy gain]])</f>
        <v>716.44</v>
      </c>
      <c r="Q25" s="43">
        <f>COUNTIFS(DropAnalityka[Location],LocFeatures[[#This Row],[Location]],DropAnalityka[LVL],LocFeatures[[#This Row],[LVL]],DropAnalityka[Stage],LocFeatures[[#This Row],[Stage]])</f>
        <v>8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</row>
    <row r="26" spans="1:22">
      <c r="A26" s="10" t="s">
        <v>8</v>
      </c>
      <c r="B26" s="10" t="s">
        <v>30</v>
      </c>
      <c r="C26" s="10">
        <v>3</v>
      </c>
      <c r="D26" s="10">
        <v>4</v>
      </c>
      <c r="E26" s="10">
        <v>1098</v>
      </c>
      <c r="F26" s="10">
        <v>12</v>
      </c>
      <c r="G26" s="10" t="s">
        <v>18</v>
      </c>
      <c r="H26" s="10"/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26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26" s="10">
        <f>4*LocFeatures[[#This Row],[XP Gain per member]]</f>
        <v>4392</v>
      </c>
      <c r="L26">
        <f>3*LocFeatures[[#This Row],[XP Gain per member]]</f>
        <v>3294</v>
      </c>
      <c r="M26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26" s="50">
        <f>LocFeatures[[#This Row],[Drop worth gain]]/(LocFeatures[[#This Row],[E. Cost]]-LocFeatures[[#This Row],[Energy gain]])</f>
        <v>1324.3554216867471</v>
      </c>
      <c r="O26" s="50">
        <f>LocFeatures[[#This Row],[XP Train Gain]]/(LocFeatures[[#This Row],[E. Cost]]-LocFeatures[[#This Row],[Energy gain]])</f>
        <v>1051.698795180723</v>
      </c>
      <c r="P26" s="50">
        <f>(LocFeatures[[#This Row],[XP Train Gain]]+LocFeatures[[#This Row],[XP drop]])/(LocFeatures[[#This Row],[E. Cost]]-LocFeatures[[#This Row],[Energy gain]])</f>
        <v>1402.433734939759</v>
      </c>
      <c r="Q26" s="47">
        <f>COUNTIFS(DropAnalityka[Location],LocFeatures[[#This Row],[Location]],DropAnalityka[LVL],LocFeatures[[#This Row],[LVL]],DropAnalityka[Stage],LocFeatures[[#This Row],[Stage]])</f>
        <v>53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26" s="10"/>
      <c r="U26" s="10"/>
      <c r="V26" s="10"/>
    </row>
    <row r="27" spans="1:22">
      <c r="A27" s="10" t="s">
        <v>8</v>
      </c>
      <c r="B27" s="10" t="s">
        <v>30</v>
      </c>
      <c r="C27" s="10">
        <v>6</v>
      </c>
      <c r="D27" s="10">
        <v>5</v>
      </c>
      <c r="E27" s="10">
        <v>1116</v>
      </c>
      <c r="F27" s="10">
        <v>12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27" s="19">
        <f>AVERAGEIFS(DropAnalityka[Energy Drop],DropAnalityka[Location],LocFeatures[[#This Row],[Location]],DropAnalityka[LVL],LocFeatures[[#This Row],[LVL]],DropAnalityka[Stage],LocFeatures[[#This Row],[Stage]])</f>
        <v>1</v>
      </c>
      <c r="K27" s="10">
        <f>4*LocFeatures[[#This Row],[XP Gain per member]]</f>
        <v>4464</v>
      </c>
      <c r="L27">
        <f>3*LocFeatures[[#This Row],[XP Gain per member]]</f>
        <v>3348</v>
      </c>
      <c r="M27" s="50">
        <f>AVERAGEIFS(DropAnalityka[Exp Gain],DropAnalityka[Location],LocFeatures[[#This Row],[Location]],DropAnalityka[LVL],LocFeatures[[#This Row],[LVL]],DropAnalityka[Stage],LocFeatures[[#This Row],[Stage]])</f>
        <v>0</v>
      </c>
      <c r="N27" s="50">
        <f>LocFeatures[[#This Row],[Drop worth gain]]/(LocFeatures[[#This Row],[E. Cost]]-LocFeatures[[#This Row],[Energy gain]])</f>
        <v>663</v>
      </c>
      <c r="O27" s="50">
        <f>LocFeatures[[#This Row],[XP Train Gain]]/(LocFeatures[[#This Row],[E. Cost]]-LocFeatures[[#This Row],[Energy gain]])</f>
        <v>837</v>
      </c>
      <c r="P27" s="50">
        <f>(LocFeatures[[#This Row],[XP Train Gain]]+LocFeatures[[#This Row],[XP drop]])/(LocFeatures[[#This Row],[E. Cost]]-LocFeatures[[#This Row],[Energy gain]])</f>
        <v>837</v>
      </c>
      <c r="Q27" s="47">
        <f>COUNTIFS(DropAnalityka[Location],LocFeatures[[#This Row],[Location]],DropAnalityka[LVL],LocFeatures[[#This Row],[LVL]],DropAnalityka[Stage],LocFeatures[[#This Row],[Stage]])</f>
        <v>1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27" s="10"/>
      <c r="U27" s="10"/>
      <c r="V27" s="10"/>
    </row>
    <row r="28" spans="1:22">
      <c r="A28" s="10" t="s">
        <v>8</v>
      </c>
      <c r="B28" s="10" t="s">
        <v>32</v>
      </c>
      <c r="C28" s="10">
        <v>3</v>
      </c>
      <c r="D28" s="10">
        <v>5</v>
      </c>
      <c r="E28" s="10">
        <v>1800</v>
      </c>
      <c r="F28" s="10">
        <v>12</v>
      </c>
      <c r="G28" s="10"/>
      <c r="H28" s="10"/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28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28" s="10">
        <f>4*LocFeatures[[#This Row],[XP Gain per member]]</f>
        <v>7200</v>
      </c>
      <c r="L28">
        <f>3*LocFeatures[[#This Row],[XP Gain per member]]</f>
        <v>5400</v>
      </c>
      <c r="M28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28" s="50">
        <f>LocFeatures[[#This Row],[Drop worth gain]]/(LocFeatures[[#This Row],[E. Cost]]-LocFeatures[[#This Row],[Energy gain]])</f>
        <v>1097.8548644338116</v>
      </c>
      <c r="O28" s="50">
        <f>LocFeatures[[#This Row],[XP Train Gain]]/(LocFeatures[[#This Row],[E. Cost]]-LocFeatures[[#This Row],[Energy gain]])</f>
        <v>1343.5406698564593</v>
      </c>
      <c r="P28" s="50">
        <f>(LocFeatures[[#This Row],[XP Train Gain]]+LocFeatures[[#This Row],[XP drop]])/(LocFeatures[[#This Row],[E. Cost]]-LocFeatures[[#This Row],[Energy gain]])</f>
        <v>1652.4529505582138</v>
      </c>
      <c r="Q28" s="47">
        <f>COUNTIFS(DropAnalityka[Location],LocFeatures[[#This Row],[Location]],DropAnalityka[LVL],LocFeatures[[#This Row],[LVL]],DropAnalityka[Stage],LocFeatures[[#This Row],[Stage]])</f>
        <v>156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28" s="10"/>
      <c r="U28" s="10"/>
      <c r="V28" s="10"/>
    </row>
    <row r="29" spans="1:22">
      <c r="A29" s="10" t="s">
        <v>8</v>
      </c>
      <c r="B29" s="10" t="s">
        <v>32</v>
      </c>
      <c r="C29" s="10">
        <v>13</v>
      </c>
      <c r="D29" s="10">
        <v>5</v>
      </c>
      <c r="E29" s="10">
        <v>1800</v>
      </c>
      <c r="F29" s="10">
        <v>12</v>
      </c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29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29" s="10">
        <f>4*LocFeatures[[#This Row],[XP Gain per member]]</f>
        <v>7200</v>
      </c>
      <c r="L29">
        <f>3*LocFeatures[[#This Row],[XP Gain per member]]</f>
        <v>5400</v>
      </c>
      <c r="M29" s="50">
        <f>AVERAGEIFS(DropAnalityka[Exp Gain],DropAnalityka[Location],LocFeatures[[#This Row],[Location]],DropAnalityka[LVL],LocFeatures[[#This Row],[LVL]],DropAnalityka[Stage],LocFeatures[[#This Row],[Stage]])</f>
        <v>400</v>
      </c>
      <c r="N29" s="50">
        <f>LocFeatures[[#This Row],[Drop worth gain]]/(LocFeatures[[#This Row],[E. Cost]]-LocFeatures[[#This Row],[Energy gain]])</f>
        <v>916.54666666666662</v>
      </c>
      <c r="O29" s="50">
        <f>LocFeatures[[#This Row],[XP Train Gain]]/(LocFeatures[[#This Row],[E. Cost]]-LocFeatures[[#This Row],[Energy gain]])</f>
        <v>1296</v>
      </c>
      <c r="P29" s="50">
        <f>(LocFeatures[[#This Row],[XP Train Gain]]+LocFeatures[[#This Row],[XP drop]])/(LocFeatures[[#This Row],[E. Cost]]-LocFeatures[[#This Row],[Energy gain]])</f>
        <v>1392</v>
      </c>
      <c r="Q29" s="47">
        <f>COUNTIFS(DropAnalityka[Location],LocFeatures[[#This Row],[Location]],DropAnalityka[LVL],LocFeatures[[#This Row],[LVL]],DropAnalityka[Stage],LocFeatures[[#This Row],[Stage]])</f>
        <v>18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29">
        <v>92</v>
      </c>
      <c r="T29" s="10" t="s">
        <v>246</v>
      </c>
    </row>
    <row r="30" spans="1:22">
      <c r="A30" t="s">
        <v>8</v>
      </c>
      <c r="B30" t="s">
        <v>9</v>
      </c>
      <c r="C30">
        <v>3</v>
      </c>
      <c r="D30">
        <v>3</v>
      </c>
      <c r="E30">
        <v>642</v>
      </c>
      <c r="F30">
        <v>12</v>
      </c>
      <c r="G30" t="s">
        <v>18</v>
      </c>
      <c r="H30" t="s">
        <v>21</v>
      </c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0">
        <f>4*LocFeatures[[#This Row],[XP Gain per member]]</f>
        <v>2568</v>
      </c>
      <c r="L30">
        <f>3*LocFeatures[[#This Row],[XP Gain per member]]</f>
        <v>1926</v>
      </c>
      <c r="M30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0" s="50">
        <f>LocFeatures[[#This Row],[Drop worth gain]]/(LocFeatures[[#This Row],[E. Cost]]-LocFeatures[[#This Row],[Energy gain]])</f>
        <v>1284.4719101123596</v>
      </c>
      <c r="O30" s="50">
        <f>LocFeatures[[#This Row],[XP Train Gain]]/(LocFeatures[[#This Row],[E. Cost]]-LocFeatures[[#This Row],[Energy gain]])</f>
        <v>887.25842696629206</v>
      </c>
      <c r="P30" s="50">
        <f>(LocFeatures[[#This Row],[XP Train Gain]]+LocFeatures[[#This Row],[XP drop]])/(LocFeatures[[#This Row],[E. Cost]]-LocFeatures[[#This Row],[Energy gain]])</f>
        <v>968.15730337078639</v>
      </c>
      <c r="Q30" s="43">
        <f>COUNTIFS(DropAnalityka[Location],LocFeatures[[#This Row],[Location]],DropAnalityka[LVL],LocFeatures[[#This Row],[LVL]],DropAnalityka[Stage],LocFeatures[[#This Row],[Stage]])</f>
        <v>41</v>
      </c>
      <c r="R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31" spans="1:22">
      <c r="A31" t="s">
        <v>8</v>
      </c>
      <c r="B31" t="s">
        <v>9</v>
      </c>
      <c r="C31">
        <v>3</v>
      </c>
      <c r="D31">
        <v>3</v>
      </c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1">
        <f>4*LocFeatures[[#This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1" s="50">
        <f>LocFeatures[[#This Row],[Drop worth gain]]/(LocFeatures[[#This Row],[E. Cost]]-LocFeatures[[#This Row],[Energy gain]])</f>
        <v>1284.4719101123596</v>
      </c>
      <c r="O31" s="50">
        <f>LocFeatures[[#This Row],[XP Train Gain]]/(LocFeatures[[#This Row],[E. Cost]]-LocFeatures[[#This Row],[Energy gain]])</f>
        <v>0</v>
      </c>
      <c r="P31" s="50">
        <f>(LocFeatures[[#This Row],[XP Train Gain]]+LocFeatures[[#This Row],[XP drop]])/(LocFeatures[[#This Row],[E. Cost]]-LocFeatures[[#This Row],[Energy gain]])</f>
        <v>80.898876404494388</v>
      </c>
      <c r="Q31" s="43">
        <f>COUNTIFS(DropAnalityka[Location],LocFeatures[[#This Row],[Location]],DropAnalityka[LVL],LocFeatures[[#This Row],[LVL]],DropAnalityka[Stage],LocFeatures[[#This Row],[Stage]])</f>
        <v>41</v>
      </c>
      <c r="R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32" spans="1:22">
      <c r="A32" s="10" t="s">
        <v>319</v>
      </c>
      <c r="B32" s="10" t="s">
        <v>30</v>
      </c>
      <c r="C32" s="10">
        <v>1</v>
      </c>
      <c r="D32">
        <v>4</v>
      </c>
      <c r="E32">
        <f>1524*3/4</f>
        <v>1143</v>
      </c>
      <c r="F32">
        <v>12</v>
      </c>
      <c r="G32" t="s">
        <v>18</v>
      </c>
      <c r="H32" t="s">
        <v>21</v>
      </c>
      <c r="I3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2" s="19">
        <f>AVERAGEIFS(DropAnalityka[Energy Drop],DropAnalityka[Location],LocFeatures[[#This Row],[Location]],DropAnalityka[LVL],LocFeatures[[#This Row],[LVL]],DropAnalityka[Stage],LocFeatures[[#This Row],[Stage]])</f>
        <v>0.875</v>
      </c>
      <c r="K32">
        <f>4*LocFeatures[[#This Row],[XP Gain per member]]</f>
        <v>4572</v>
      </c>
      <c r="L32">
        <f>3*LocFeatures[[#This Row],[XP Gain per member]]</f>
        <v>3429</v>
      </c>
      <c r="M32" s="50">
        <f>AVERAGEIFS(DropAnalityka[Exp Gain],DropAnalityka[Location],LocFeatures[[#This Row],[Location]],DropAnalityka[LVL],LocFeatures[[#This Row],[LVL]],DropAnalityka[Stage],LocFeatures[[#This Row],[Stage]])</f>
        <v>0</v>
      </c>
      <c r="N32" s="50">
        <f>LocFeatures[[#This Row],[Drop worth gain]]/(LocFeatures[[#This Row],[E. Cost]]-LocFeatures[[#This Row],[Energy gain]])</f>
        <v>1138.4000000000001</v>
      </c>
      <c r="O32" s="50">
        <f>LocFeatures[[#This Row],[XP Train Gain]]/(LocFeatures[[#This Row],[E. Cost]]-LocFeatures[[#This Row],[Energy gain]])</f>
        <v>1097.28</v>
      </c>
      <c r="P32" s="50">
        <f>(LocFeatures[[#This Row],[XP Train Gain]]+LocFeatures[[#This Row],[XP drop]])/(LocFeatures[[#This Row],[E. Cost]]-LocFeatures[[#This Row],[Energy gain]])</f>
        <v>1097.28</v>
      </c>
      <c r="Q32" s="43">
        <f>COUNTIFS(DropAnalityka[Location],LocFeatures[[#This Row],[Location]],DropAnalityka[LVL],LocFeatures[[#This Row],[LVL]],DropAnalityka[Stage],LocFeatures[[#This Row],[Stage]])</f>
        <v>8</v>
      </c>
      <c r="R3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17" t="s">
        <v>273</v>
      </c>
      <c r="S2" s="217"/>
      <c r="T2" s="217"/>
      <c r="U2" s="217"/>
      <c r="V2" s="217"/>
      <c r="W2" s="217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3625.4257425742576</v>
      </c>
      <c r="C39" s="1">
        <v>4470.3861386138615</v>
      </c>
      <c r="D39" s="1">
        <v>1.0066006600660067</v>
      </c>
      <c r="E39" s="43">
        <v>285</v>
      </c>
    </row>
    <row r="40" spans="1:5">
      <c r="A40" s="13" t="s">
        <v>9</v>
      </c>
      <c r="B40" s="1">
        <v>3625.4257425742576</v>
      </c>
      <c r="C40" s="1">
        <v>4470.3861386138615</v>
      </c>
      <c r="D40" s="1">
        <v>1.0066006600660067</v>
      </c>
      <c r="E40" s="43">
        <v>285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4009.7165775401068</v>
      </c>
      <c r="C47" s="1">
        <v>5437.2780748663099</v>
      </c>
      <c r="D47" s="1">
        <v>0.94117647058823528</v>
      </c>
      <c r="E47" s="43">
        <v>187</v>
      </c>
    </row>
    <row r="48" spans="1:5">
      <c r="A48" s="12" t="s">
        <v>66</v>
      </c>
      <c r="B48" s="1">
        <v>2196.140762463343</v>
      </c>
      <c r="C48" s="1">
        <v>1988.6220472440946</v>
      </c>
      <c r="D48" s="1">
        <v>0.91006842619745842</v>
      </c>
      <c r="E48" s="43">
        <v>563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8" t="s">
        <v>315</v>
      </c>
      <c r="X19" s="218"/>
      <c r="Y19" s="218"/>
      <c r="Z19" s="218"/>
      <c r="AA19" s="218"/>
      <c r="AB19" s="218"/>
      <c r="AC19" s="218"/>
      <c r="AD19" s="218"/>
      <c r="AE19" s="218"/>
      <c r="AF19" s="218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F20" sqref="F20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255702.5316455696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T327"/>
  <sheetViews>
    <sheetView workbookViewId="0">
      <pane ySplit="1" topLeftCell="A2" activePane="bottomLeft" state="frozen"/>
      <selection pane="bottomLeft" activeCell="J12" sqref="J12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170"/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P19"/>
  <sheetViews>
    <sheetView workbookViewId="0">
      <selection activeCell="G19" sqref="G19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4" max="14" width="16.25" bestFit="1" customWidth="1"/>
  </cols>
  <sheetData>
    <row r="1" spans="1:16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6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$G$19/30*J2</f>
        <v>4218</v>
      </c>
      <c r="N2" t="s">
        <v>847</v>
      </c>
      <c r="O2">
        <v>20</v>
      </c>
      <c r="P2">
        <v>70</v>
      </c>
    </row>
    <row r="3" spans="1:16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7" si="0">F3*E3</f>
        <v>90</v>
      </c>
      <c r="J3">
        <v>80</v>
      </c>
      <c r="K3">
        <f>$G$19/30*J3</f>
        <v>4440</v>
      </c>
      <c r="L3">
        <f>(K3-K2)/J2*30/G19</f>
        <v>5.2631578947368425E-2</v>
      </c>
      <c r="N3" t="s">
        <v>848</v>
      </c>
      <c r="O3" s="15">
        <v>0.05</v>
      </c>
    </row>
    <row r="4" spans="1:16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6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6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6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</row>
    <row r="8" spans="1:16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</row>
    <row r="9" spans="1:16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</row>
    <row r="10" spans="1:16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</row>
    <row r="11" spans="1:16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</row>
    <row r="12" spans="1:16">
      <c r="A12" t="s">
        <v>786</v>
      </c>
      <c r="C12">
        <f>24*30</f>
        <v>720</v>
      </c>
      <c r="D12">
        <v>100</v>
      </c>
      <c r="E12">
        <v>100</v>
      </c>
      <c r="F12">
        <v>1</v>
      </c>
      <c r="G12">
        <f t="shared" si="0"/>
        <v>100</v>
      </c>
    </row>
    <row r="13" spans="1:16">
      <c r="A13" t="s">
        <v>821</v>
      </c>
      <c r="B13">
        <v>5.15</v>
      </c>
      <c r="D13">
        <v>10</v>
      </c>
      <c r="E13">
        <v>10</v>
      </c>
      <c r="F13">
        <v>2</v>
      </c>
      <c r="G13">
        <f t="shared" si="0"/>
        <v>20</v>
      </c>
    </row>
    <row r="14" spans="1:16">
      <c r="A14" t="s">
        <v>786</v>
      </c>
      <c r="B14">
        <v>25.35</v>
      </c>
      <c r="D14">
        <v>20</v>
      </c>
      <c r="E14">
        <v>20</v>
      </c>
      <c r="F14">
        <v>2</v>
      </c>
      <c r="G14">
        <f>F14*E14</f>
        <v>40</v>
      </c>
    </row>
    <row r="15" spans="1:16">
      <c r="A15" t="s">
        <v>786</v>
      </c>
      <c r="B15">
        <v>45</v>
      </c>
      <c r="D15">
        <v>30</v>
      </c>
      <c r="E15">
        <v>30</v>
      </c>
      <c r="F15">
        <v>1</v>
      </c>
      <c r="G15">
        <f>F15*E15</f>
        <v>30</v>
      </c>
    </row>
    <row r="16" spans="1:16">
      <c r="A16" t="s">
        <v>787</v>
      </c>
      <c r="C16">
        <f>C12</f>
        <v>720</v>
      </c>
      <c r="D16">
        <v>100</v>
      </c>
      <c r="E16">
        <v>100</v>
      </c>
      <c r="F16">
        <v>1</v>
      </c>
      <c r="G16">
        <f t="shared" si="0"/>
        <v>100</v>
      </c>
    </row>
    <row r="17" spans="1:7">
      <c r="A17" t="s">
        <v>788</v>
      </c>
      <c r="C17">
        <f>24*7</f>
        <v>168</v>
      </c>
      <c r="D17">
        <v>100</v>
      </c>
      <c r="E17">
        <v>100</v>
      </c>
      <c r="F17">
        <v>4</v>
      </c>
      <c r="G17">
        <f t="shared" si="0"/>
        <v>400</v>
      </c>
    </row>
    <row r="19" spans="1:7" ht="15">
      <c r="F19" s="36" t="s">
        <v>793</v>
      </c>
      <c r="G19" s="36">
        <f>SUM(Tabela20[Cryst/Month])</f>
        <v>1665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854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855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856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  <vt:lpstr>Arkusz2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2015-12-08T16:06:01Z</dcterms:modified>
</cp:coreProperties>
</file>