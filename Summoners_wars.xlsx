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</sheets>
  <calcPr calcId="145621"/>
  <pivotCaches>
    <pivotCache cacheId="0" r:id="rId12"/>
    <pivotCache cacheId="1" r:id="rId13"/>
  </pivotCaches>
</workbook>
</file>

<file path=xl/calcChain.xml><?xml version="1.0" encoding="utf-8"?>
<calcChain xmlns="http://schemas.openxmlformats.org/spreadsheetml/2006/main">
  <c r="H3" i="6" l="1"/>
  <c r="H4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M3" i="1" l="1"/>
  <c r="M28" i="1"/>
  <c r="M29" i="1" l="1"/>
  <c r="O28" i="1"/>
  <c r="R35" i="2" l="1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K3" i="4" l="1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I37" i="2" l="1"/>
  <c r="J36" i="2"/>
  <c r="K36" i="2"/>
  <c r="J5" i="6"/>
  <c r="H5" i="6"/>
  <c r="P2" i="6"/>
  <c r="AN4" i="6"/>
  <c r="AM4" i="6"/>
  <c r="AL4" i="6"/>
  <c r="AN3" i="6"/>
  <c r="AM3" i="6"/>
  <c r="AL3" i="6"/>
  <c r="AN2" i="6"/>
  <c r="AM2" i="6"/>
  <c r="AL2" i="6"/>
  <c r="Q6" i="5"/>
  <c r="Q13" i="4"/>
  <c r="L13" i="4"/>
  <c r="K13" i="4"/>
  <c r="J13" i="4"/>
  <c r="W6" i="5"/>
  <c r="T6" i="5"/>
  <c r="U6" i="5"/>
  <c r="S6" i="5"/>
  <c r="V6" i="5"/>
  <c r="R6" i="5"/>
  <c r="R4" i="6" l="1"/>
  <c r="R3" i="6"/>
  <c r="I38" i="2"/>
  <c r="J37" i="2"/>
  <c r="K37" i="2"/>
  <c r="R2" i="6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3" i="4" l="1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E12" i="4"/>
  <c r="L12" i="4" s="1"/>
  <c r="M20" i="4" l="1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R5" i="5"/>
  <c r="W5" i="5"/>
  <c r="S4" i="5"/>
  <c r="W4" i="5"/>
  <c r="V5" i="5"/>
  <c r="T5" i="5"/>
  <c r="U5" i="5"/>
  <c r="U4" i="5"/>
  <c r="S5" i="5"/>
  <c r="T4" i="5"/>
  <c r="V4" i="5"/>
  <c r="P11" i="4" l="1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M30" i="1" l="1"/>
  <c r="I12" i="4"/>
  <c r="N12" i="4" s="1"/>
  <c r="Q26" i="4"/>
  <c r="L26" i="4"/>
  <c r="K26" i="4"/>
  <c r="J26" i="4"/>
  <c r="J2" i="4"/>
  <c r="M32" i="1" l="1"/>
  <c r="M31" i="1"/>
  <c r="I11" i="4"/>
  <c r="N11" i="4" s="1"/>
  <c r="P22" i="4"/>
  <c r="I22" i="4"/>
  <c r="N22" i="4" s="1"/>
  <c r="I24" i="4"/>
  <c r="N24" i="4" s="1"/>
  <c r="P24" i="4"/>
  <c r="O26" i="4"/>
  <c r="R26" i="4" s="1"/>
  <c r="M34" i="1" l="1"/>
  <c r="M33" i="1"/>
  <c r="K2" i="4"/>
  <c r="Q2" i="4"/>
  <c r="L2" i="4"/>
  <c r="O2" i="4" l="1"/>
  <c r="R2" i="4" s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Q15" i="4"/>
  <c r="L15" i="4"/>
  <c r="K15" i="4"/>
  <c r="J15" i="4"/>
  <c r="U46" i="9" l="1"/>
  <c r="U47" i="9"/>
  <c r="U45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Q35" i="2" l="1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B35" i="2" l="1"/>
  <c r="O31" i="1"/>
  <c r="O33" i="1"/>
  <c r="K23" i="4"/>
  <c r="O35" i="1" l="1"/>
  <c r="O37" i="1" s="1"/>
  <c r="M36" i="1" l="1"/>
  <c r="K10" i="4"/>
  <c r="I21" i="4" l="1"/>
  <c r="N21" i="4" s="1"/>
  <c r="I6" i="4"/>
  <c r="N6" i="4" s="1"/>
  <c r="P18" i="4"/>
  <c r="P21" i="4"/>
  <c r="P6" i="4"/>
  <c r="P25" i="4"/>
  <c r="P28" i="4" l="1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I25" i="4" l="1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N5" i="4" l="1"/>
  <c r="P35" i="2"/>
  <c r="C35" i="2" s="1"/>
  <c r="P37" i="2"/>
  <c r="M21" i="1"/>
  <c r="M22" i="1" s="1"/>
  <c r="M23" i="1" s="1"/>
  <c r="O20" i="1"/>
  <c r="V4" i="1"/>
  <c r="W4" i="1" s="1"/>
  <c r="V5" i="1"/>
  <c r="W5" i="1" s="1"/>
  <c r="V6" i="1"/>
  <c r="W6" i="1" s="1"/>
  <c r="V7" i="1"/>
  <c r="W7" i="1" s="1"/>
  <c r="V8" i="1"/>
  <c r="W8" i="1" s="1"/>
  <c r="K16" i="4"/>
  <c r="K19" i="4"/>
  <c r="K17" i="4"/>
  <c r="K7" i="4"/>
  <c r="K18" i="4"/>
  <c r="K14" i="4"/>
  <c r="K21" i="4"/>
  <c r="K4" i="4"/>
  <c r="K6" i="4"/>
  <c r="K9" i="4"/>
  <c r="K8" i="4"/>
  <c r="Z8" i="1" l="1"/>
  <c r="Z7" i="1"/>
  <c r="Z6" i="1"/>
  <c r="Z5" i="1"/>
  <c r="Z4" i="1"/>
  <c r="Y4" i="1"/>
  <c r="Y8" i="1"/>
  <c r="Y7" i="1"/>
  <c r="Y6" i="1"/>
  <c r="Y5" i="1"/>
  <c r="O22" i="1" l="1"/>
  <c r="O24" i="1" s="1"/>
  <c r="R38" i="2"/>
  <c r="R36" i="2"/>
  <c r="R30" i="2"/>
  <c r="R34" i="2"/>
  <c r="P34" i="2"/>
  <c r="R33" i="2"/>
  <c r="P33" i="2"/>
  <c r="R32" i="2"/>
  <c r="R31" i="2"/>
  <c r="R29" i="2"/>
  <c r="R28" i="2"/>
  <c r="M5" i="1" l="1"/>
  <c r="M4" i="1"/>
  <c r="O5" i="1" s="1"/>
  <c r="AH2" i="6"/>
  <c r="S2" i="6" s="1"/>
  <c r="U2" i="6" s="1"/>
  <c r="AG2" i="6"/>
  <c r="AF2" i="6"/>
  <c r="J6" i="6"/>
  <c r="J7" i="6" s="1"/>
  <c r="J8" i="6" s="1"/>
  <c r="J9" i="6" s="1"/>
  <c r="Q5" i="6"/>
  <c r="Q7" i="6" s="1"/>
  <c r="V3" i="1"/>
  <c r="W3" i="1" s="1"/>
  <c r="V2" i="1"/>
  <c r="G3" i="6" l="1"/>
  <c r="G19" i="6"/>
  <c r="F3" i="6"/>
  <c r="N3" i="6" s="1"/>
  <c r="F19" i="6"/>
  <c r="O3" i="6"/>
  <c r="P3" i="6" s="1"/>
  <c r="S3" i="6" s="1"/>
  <c r="U3" i="6" s="1"/>
  <c r="O6" i="1"/>
  <c r="O7" i="1"/>
  <c r="M6" i="1"/>
  <c r="M7" i="1"/>
  <c r="J10" i="6"/>
  <c r="G4" i="6"/>
  <c r="F4" i="6"/>
  <c r="N4" i="6" s="1"/>
  <c r="R5" i="6"/>
  <c r="P4" i="1"/>
  <c r="Z2" i="1"/>
  <c r="W2" i="1"/>
  <c r="O33" i="2"/>
  <c r="O34" i="2"/>
  <c r="Y2" i="1"/>
  <c r="Q8" i="6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R19" i="6" s="1"/>
  <c r="Q6" i="6"/>
  <c r="I5" i="6"/>
  <c r="G5" i="6" s="1"/>
  <c r="H6" i="6"/>
  <c r="H7" i="6" s="1"/>
  <c r="F5" i="6"/>
  <c r="N5" i="6" s="1"/>
  <c r="Z3" i="1"/>
  <c r="Y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19" i="6" l="1"/>
  <c r="P19" i="6" s="1"/>
  <c r="N19" i="6"/>
  <c r="S19" i="6"/>
  <c r="U19" i="6" s="1"/>
  <c r="O8" i="1"/>
  <c r="M9" i="1"/>
  <c r="M8" i="1"/>
  <c r="O9" i="1" s="1"/>
  <c r="R9" i="6"/>
  <c r="J11" i="6"/>
  <c r="R10" i="6"/>
  <c r="H8" i="6"/>
  <c r="H9" i="6" s="1"/>
  <c r="F7" i="6"/>
  <c r="N7" i="6" s="1"/>
  <c r="R6" i="6"/>
  <c r="R7" i="6"/>
  <c r="Q24" i="2"/>
  <c r="P6" i="1"/>
  <c r="Q19" i="2"/>
  <c r="Q31" i="2"/>
  <c r="Q32" i="2"/>
  <c r="I6" i="6"/>
  <c r="I7" i="6" s="1"/>
  <c r="F6" i="6"/>
  <c r="N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H10" i="6" l="1"/>
  <c r="F9" i="6"/>
  <c r="J12" i="6"/>
  <c r="R11" i="6"/>
  <c r="I8" i="6"/>
  <c r="I9" i="6" s="1"/>
  <c r="G7" i="6"/>
  <c r="F8" i="6"/>
  <c r="N8" i="6" s="1"/>
  <c r="G6" i="6"/>
  <c r="R8" i="6"/>
  <c r="M11" i="1"/>
  <c r="P8" i="1"/>
  <c r="O7" i="6"/>
  <c r="O6" i="6"/>
  <c r="O24" i="2"/>
  <c r="O22" i="2"/>
  <c r="O23" i="2"/>
  <c r="P23" i="2"/>
  <c r="P24" i="2"/>
  <c r="P22" i="2"/>
  <c r="H11" i="6" l="1"/>
  <c r="F10" i="6"/>
  <c r="I10" i="6"/>
  <c r="G9" i="6"/>
  <c r="J13" i="6"/>
  <c r="R12" i="6"/>
  <c r="G8" i="6"/>
  <c r="P7" i="6"/>
  <c r="S7" i="6" s="1"/>
  <c r="U7" i="6" s="1"/>
  <c r="P6" i="6"/>
  <c r="S6" i="6" s="1"/>
  <c r="U6" i="6" s="1"/>
  <c r="P10" i="1"/>
  <c r="O12" i="1" s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H12" i="6" l="1"/>
  <c r="F11" i="6"/>
  <c r="I11" i="6"/>
  <c r="G10" i="6"/>
  <c r="J14" i="6"/>
  <c r="R13" i="6"/>
  <c r="P8" i="6"/>
  <c r="S8" i="6" s="1"/>
  <c r="U8" i="6" s="1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H13" i="6" l="1"/>
  <c r="F12" i="6"/>
  <c r="I12" i="6"/>
  <c r="G11" i="6"/>
  <c r="J15" i="6"/>
  <c r="R14" i="6"/>
  <c r="N9" i="6"/>
  <c r="Q34" i="2"/>
  <c r="Q33" i="2"/>
  <c r="B24" i="2"/>
  <c r="C24" i="2"/>
  <c r="B23" i="2"/>
  <c r="C23" i="2"/>
  <c r="O14" i="2"/>
  <c r="A3" i="2"/>
  <c r="B3" i="2" s="1"/>
  <c r="B37" i="2" l="1"/>
  <c r="C37" i="2"/>
  <c r="H14" i="6"/>
  <c r="F13" i="6"/>
  <c r="I13" i="6"/>
  <c r="G12" i="6"/>
  <c r="J16" i="6"/>
  <c r="R15" i="6"/>
  <c r="P38" i="2"/>
  <c r="P36" i="2"/>
  <c r="C33" i="2"/>
  <c r="B30" i="2"/>
  <c r="P30" i="2"/>
  <c r="P29" i="2"/>
  <c r="P28" i="2"/>
  <c r="N11" i="6"/>
  <c r="N12" i="6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H15" i="6" l="1"/>
  <c r="F14" i="6"/>
  <c r="N14" i="6" s="1"/>
  <c r="I14" i="6"/>
  <c r="G13" i="6"/>
  <c r="J17" i="6"/>
  <c r="R16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2" i="6"/>
  <c r="O11" i="6"/>
  <c r="N13" i="6"/>
  <c r="B26" i="2"/>
  <c r="C26" i="2"/>
  <c r="B27" i="2"/>
  <c r="C27" i="2"/>
  <c r="E42" i="2"/>
  <c r="F42" i="2" s="1"/>
  <c r="R17" i="6" l="1"/>
  <c r="J18" i="6"/>
  <c r="R18" i="6" s="1"/>
  <c r="H16" i="6"/>
  <c r="F15" i="6"/>
  <c r="N15" i="6" s="1"/>
  <c r="I15" i="6"/>
  <c r="G14" i="6"/>
  <c r="S10" i="6"/>
  <c r="U10" i="6" s="1"/>
  <c r="S9" i="6"/>
  <c r="U9" i="6" s="1"/>
  <c r="C34" i="2"/>
  <c r="B34" i="2"/>
  <c r="O14" i="6"/>
  <c r="O13" i="6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H17" i="6" l="1"/>
  <c r="F16" i="6"/>
  <c r="N16" i="6" s="1"/>
  <c r="O15" i="6"/>
  <c r="I16" i="6"/>
  <c r="G15" i="6"/>
  <c r="S11" i="6"/>
  <c r="U11" i="6" s="1"/>
  <c r="F17" i="6" l="1"/>
  <c r="N17" i="6" s="1"/>
  <c r="H18" i="6"/>
  <c r="F18" i="6" s="1"/>
  <c r="O16" i="6"/>
  <c r="I17" i="6"/>
  <c r="G16" i="6"/>
  <c r="B36" i="2"/>
  <c r="C36" i="2"/>
  <c r="B38" i="2"/>
  <c r="C38" i="2"/>
  <c r="O17" i="6" l="1"/>
  <c r="N18" i="6"/>
  <c r="O18" i="6"/>
  <c r="G17" i="6"/>
  <c r="I18" i="6"/>
  <c r="G18" i="6" s="1"/>
  <c r="P12" i="6"/>
  <c r="P18" i="6" l="1"/>
  <c r="S18" i="6" s="1"/>
  <c r="U18" i="6" s="1"/>
  <c r="S12" i="6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  <c r="P17" i="6"/>
  <c r="S17" i="6" l="1"/>
  <c r="U17" i="6" s="1"/>
  <c r="J20" i="11"/>
  <c r="J19" i="11"/>
  <c r="J21" i="11"/>
  <c r="K20" i="11"/>
  <c r="K21" i="11"/>
  <c r="K19" i="11"/>
</calcChain>
</file>

<file path=xl/sharedStrings.xml><?xml version="1.0" encoding="utf-8"?>
<sst xmlns="http://schemas.openxmlformats.org/spreadsheetml/2006/main" count="4903" uniqueCount="385">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</sst>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8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98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3" fillId="0" borderId="0" xfId="0" applyFont="1"/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4" fillId="0" borderId="2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3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7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ny" xfId="0" builtinId="0"/>
    <cellStyle name="Procentowy" xfId="1" builtinId="5"/>
  </cellStyles>
  <dxfs count="85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17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16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15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14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84">
      <calculatedColumnFormula>MAXA(-(4*M1-Tabela6[[#This Row],[Done]]),0)</calculatedColumnFormula>
    </tableColumn>
    <tableColumn id="4" name="XP to gain" dataDxfId="8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2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8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80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79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78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76">
      <calculatedColumnFormula>4*LocFeatures[[#This Row],[XP Gain per member]]</calculatedColumnFormula>
    </tableColumn>
    <tableColumn id="11" name="XP Train Gain"/>
    <tableColumn id="22" name="XP drop" dataDxfId="7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74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73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72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69" tableBorderDxfId="68">
  <autoFilter ref="Q3:W6"/>
  <tableColumns count="7">
    <tableColumn id="1" name="Kolumna1">
      <calculatedColumnFormula>G5</calculatedColumnFormula>
    </tableColumn>
    <tableColumn id="2" name="4" dataDxfId="67"/>
    <tableColumn id="3" name="5" dataDxfId="66"/>
    <tableColumn id="4" name="7" dataDxfId="65"/>
    <tableColumn id="5" name="8" dataDxfId="64"/>
    <tableColumn id="6" name="9" dataDxfId="63"/>
    <tableColumn id="7" name="10" dataDxfId="6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61">
  <autoFilter ref="X1:AB5"/>
  <tableColumns count="5">
    <tableColumn id="1" name="Set Name" dataDxfId="60"/>
    <tableColumn id="2" name="Attack" dataDxfId="59"/>
    <tableColumn id="3" name="Crit.Dmg" dataDxfId="58"/>
    <tableColumn id="4" name="Crit.Cha" dataDxfId="57"/>
    <tableColumn id="5" name="Speed" dataDxfId="5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9" totalsRowShown="0" headerRowDxfId="55" dataDxfId="54" tableBorderDxfId="53">
  <autoFilter ref="A1:U39"/>
  <tableColumns count="21">
    <tableColumn id="1" name="Set" dataDxfId="52"/>
    <tableColumn id="2" name="Runes" dataDxfId="51"/>
    <tableColumn id="3" name="Fatal Nbr" dataDxfId="50"/>
    <tableColumn id="4" name="Rage Nbr" dataDxfId="49"/>
    <tableColumn id="5" name="Blade Nbr" dataDxfId="48"/>
    <tableColumn id="6" name="Atk Mult" dataDxfId="47"/>
    <tableColumn id="7" name="CritD" dataDxfId="46"/>
    <tableColumn id="8" name="Atk % from subs" dataDxfId="45"/>
    <tableColumn id="9" name="Crit D % from subs" dataDxfId="44"/>
    <tableColumn id="10" name="% of Crit C from subs" dataDxfId="43"/>
    <tableColumn id="11" name="Nbr of Atk rune" dataDxfId="42"/>
    <tableColumn id="12" name="Nbr of Crit D rune" dataDxfId="41"/>
    <tableColumn id="13" name="Nbr of Crit C rune" dataDxfId="40"/>
    <tableColumn id="14" name="Atk" dataDxfId="39"/>
    <tableColumn id="15" name="Dmg" dataDxfId="38"/>
    <tableColumn id="16" name="DmgC" dataDxfId="37"/>
    <tableColumn id="17" name="Crit Chance Basic" dataDxfId="36"/>
    <tableColumn id="18" name="Final Crit Chance" dataDxfId="35"/>
    <tableColumn id="19" name="AvgDmg" dataDxfId="34"/>
    <tableColumn id="20" name="AvgDmg Basic" dataDxfId="33"/>
    <tableColumn id="21" name="% change to basic" dataDxfId="32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31">
  <autoFilter ref="W20:AF42"/>
  <tableColumns count="10">
    <tableColumn id="1" name="Crit C" dataDxfId="30"/>
    <tableColumn id="2" name="Crit D" dataDxfId="29"/>
    <tableColumn id="3" name="Atk " dataDxfId="28"/>
    <tableColumn id="4" name="Set1" dataDxfId="27"/>
    <tableColumn id="5" name="Set2" dataDxfId="26"/>
    <tableColumn id="6" name="Rune1" dataDxfId="25"/>
    <tableColumn id="7" name="NBR R1"/>
    <tableColumn id="8" name="Rune2" dataDxfId="24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23"/>
    <tableColumn id="5" name="HP"/>
    <tableColumn id="6" name="Acc%"/>
    <tableColumn id="7" name="SPD"/>
    <tableColumn id="8" name="Crit Rate%" dataDxfId="22"/>
    <tableColumn id="9" name="Crit DMG%" dataDxfId="21"/>
    <tableColumn id="10" name="Att%" dataDxfId="20"/>
    <tableColumn id="16" name="Att"/>
    <tableColumn id="11" name="Def%" dataDxfId="19"/>
    <tableColumn id="14" name="Def"/>
    <tableColumn id="12" name="Res%" dataDxfId="18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10">
  <autoFilter ref="A6:R38"/>
  <tableColumns count="18">
    <tableColumn id="1" name="Scenario"/>
    <tableColumn id="2" name="XP" dataDxfId="9">
      <calculatedColumnFormula>(2*$J7+$K7)/($R7-$Q7)*O7</calculatedColumnFormula>
    </tableColumn>
    <tableColumn id="3" name="Gold" dataDxfId="8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7"/>
    <tableColumn id="11" name="Ene normal" dataDxfId="6"/>
    <tableColumn id="12" name="Location" dataDxfId="5"/>
    <tableColumn id="13" name="LVL" dataDxfId="4"/>
    <tableColumn id="14" name="Stage" dataDxfId="3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2">
      <calculatedColumnFormula>FLOOR((J$17+J$18*(Tabela1318[[#This Row],[Type]]-1))*1.2,1)</calculatedColumnFormula>
    </tableColumn>
    <tableColumn id="9" name="Att" dataDxfId="1">
      <calculatedColumnFormula>FLOOR((K$17+K$18*(Tabela1318[[#This Row],[Type]]-1))*1.2,1)</calculatedColumnFormula>
    </tableColumn>
    <tableColumn id="10" name="Def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Views>
    <sheetView tabSelected="1" workbookViewId="0">
      <selection activeCell="N4" sqref="N4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3</v>
      </c>
      <c r="N4">
        <v>2</v>
      </c>
      <c r="O4" s="43">
        <v>0</v>
      </c>
      <c r="P4" s="1">
        <f>M4*$B$5</f>
        <v>569250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19</v>
      </c>
      <c r="N5">
        <v>1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2</v>
      </c>
      <c r="N6">
        <v>20</v>
      </c>
      <c r="O6" s="43">
        <f>MAXA(-(M5+M4-O5-Tabela6[[#This Row],[Done]]),0)</f>
        <v>0</v>
      </c>
      <c r="P6" s="1">
        <f>M6*$B$4</f>
        <v>164364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54</v>
      </c>
      <c r="N7">
        <v>12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53</v>
      </c>
      <c r="N8">
        <v>3</v>
      </c>
      <c r="O8" s="43">
        <f>MAXA(-(M7+M6-O7-Tabela6[[#This Row],[Done]]),0)</f>
        <v>0</v>
      </c>
      <c r="P8" s="1">
        <f>M8*$B$3</f>
        <v>1898566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97</v>
      </c>
      <c r="N9">
        <v>15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2632180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1380260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78" t="s">
        <v>239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80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181" t="s">
        <v>240</v>
      </c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3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184" t="s">
        <v>268</v>
      </c>
      <c r="G18" s="185"/>
      <c r="H18" s="186"/>
      <c r="I18" s="187" t="s">
        <v>269</v>
      </c>
      <c r="J18" s="188"/>
      <c r="K18" s="189"/>
      <c r="L18" s="190" t="s">
        <v>18</v>
      </c>
      <c r="M18" s="191"/>
      <c r="N18" s="192"/>
      <c r="O18" s="193" t="s">
        <v>271</v>
      </c>
      <c r="P18" s="194"/>
      <c r="Q18" s="195"/>
      <c r="R18" s="175" t="s">
        <v>270</v>
      </c>
      <c r="S18" s="176"/>
      <c r="T18" s="177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>
        <v>10</v>
      </c>
      <c r="N26" s="106">
        <v>15</v>
      </c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>
        <v>20</v>
      </c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2" t="s">
        <v>267</v>
      </c>
      <c r="B35" s="78" t="s">
        <v>256</v>
      </c>
      <c r="C35" s="7" t="s">
        <v>211</v>
      </c>
      <c r="D35" s="64" t="s">
        <v>349</v>
      </c>
      <c r="E35" s="9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>
        <v>15</v>
      </c>
      <c r="S35" s="113">
        <v>1</v>
      </c>
      <c r="T35" s="114"/>
    </row>
    <row r="36" spans="1:21">
      <c r="E36" s="71" t="s">
        <v>274</v>
      </c>
      <c r="F36" s="91">
        <f>SUM(F$20:F$35)</f>
        <v>50</v>
      </c>
      <c r="G36" s="91">
        <f t="shared" ref="G36:T36" si="0">SUM(G$20:G$35)</f>
        <v>65</v>
      </c>
      <c r="H36" s="91">
        <f t="shared" si="0"/>
        <v>10</v>
      </c>
      <c r="I36" s="99">
        <f t="shared" si="0"/>
        <v>45</v>
      </c>
      <c r="J36" s="99">
        <f t="shared" si="0"/>
        <v>65</v>
      </c>
      <c r="K36" s="99">
        <f t="shared" si="0"/>
        <v>12</v>
      </c>
      <c r="L36" s="107">
        <f t="shared" si="0"/>
        <v>30</v>
      </c>
      <c r="M36" s="107">
        <f t="shared" si="0"/>
        <v>65</v>
      </c>
      <c r="N36" s="107">
        <f t="shared" si="0"/>
        <v>25</v>
      </c>
      <c r="O36" s="125">
        <f t="shared" si="0"/>
        <v>80</v>
      </c>
      <c r="P36" s="125">
        <f t="shared" si="0"/>
        <v>105</v>
      </c>
      <c r="Q36" s="125">
        <f t="shared" si="0"/>
        <v>20</v>
      </c>
      <c r="R36" s="115">
        <f t="shared" si="0"/>
        <v>15</v>
      </c>
      <c r="S36" s="115">
        <f t="shared" si="0"/>
        <v>1</v>
      </c>
      <c r="T36" s="117">
        <f t="shared" si="0"/>
        <v>0</v>
      </c>
    </row>
    <row r="37" spans="1:21">
      <c r="E37" s="71" t="s">
        <v>275</v>
      </c>
      <c r="F37" s="89">
        <v>267</v>
      </c>
      <c r="G37" s="89">
        <v>65</v>
      </c>
      <c r="H37" s="89">
        <v>27</v>
      </c>
      <c r="I37" s="97">
        <v>121</v>
      </c>
      <c r="J37" s="97">
        <v>66</v>
      </c>
      <c r="K37" s="97">
        <v>37</v>
      </c>
      <c r="L37" s="105">
        <v>120</v>
      </c>
      <c r="M37" s="105">
        <v>63</v>
      </c>
      <c r="N37" s="105">
        <v>29</v>
      </c>
      <c r="O37" s="123">
        <v>187</v>
      </c>
      <c r="P37" s="123">
        <v>3</v>
      </c>
      <c r="Q37" s="123">
        <v>25</v>
      </c>
      <c r="R37" s="113">
        <v>19</v>
      </c>
      <c r="S37" s="113">
        <v>16</v>
      </c>
      <c r="T37" s="114">
        <v>6</v>
      </c>
    </row>
    <row r="38" spans="1:21" ht="15.75" thickBot="1">
      <c r="E38" s="80" t="s">
        <v>123</v>
      </c>
      <c r="F38" s="92">
        <f>MAXA(F36-F37,0)</f>
        <v>0</v>
      </c>
      <c r="G38" s="92">
        <f t="shared" ref="G38:T38" si="1">MAXA(G36-G37,0)</f>
        <v>0</v>
      </c>
      <c r="H38" s="92">
        <f t="shared" si="1"/>
        <v>0</v>
      </c>
      <c r="I38" s="100">
        <f t="shared" si="1"/>
        <v>0</v>
      </c>
      <c r="J38" s="100">
        <f t="shared" si="1"/>
        <v>0</v>
      </c>
      <c r="K38" s="100">
        <f t="shared" si="1"/>
        <v>0</v>
      </c>
      <c r="L38" s="108">
        <f t="shared" si="1"/>
        <v>0</v>
      </c>
      <c r="M38" s="108">
        <f t="shared" si="1"/>
        <v>2</v>
      </c>
      <c r="N38" s="108">
        <f t="shared" si="1"/>
        <v>0</v>
      </c>
      <c r="O38" s="126">
        <f t="shared" si="1"/>
        <v>0</v>
      </c>
      <c r="P38" s="126">
        <f t="shared" si="1"/>
        <v>102</v>
      </c>
      <c r="Q38" s="126">
        <f t="shared" si="1"/>
        <v>0</v>
      </c>
      <c r="R38" s="116">
        <f t="shared" si="1"/>
        <v>0</v>
      </c>
      <c r="S38" s="116">
        <f t="shared" si="1"/>
        <v>0</v>
      </c>
      <c r="T38" s="118">
        <f t="shared" si="1"/>
        <v>0</v>
      </c>
    </row>
    <row r="39" spans="1:21">
      <c r="E39" s="73"/>
      <c r="F39" s="51"/>
      <c r="G39" s="173" t="s">
        <v>300</v>
      </c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4"/>
    </row>
    <row r="40" spans="1:21">
      <c r="E40" s="5">
        <v>9</v>
      </c>
      <c r="F40" s="6">
        <f>F$38/VLOOKUP(F$19,Tabela11[#All],6,FALSE)</f>
        <v>0</v>
      </c>
      <c r="G40" s="130">
        <f>G$38/VLOOKUP(G$19,Tabela11[#All],6,FALSE)</f>
        <v>0</v>
      </c>
      <c r="H40" s="130">
        <f>H$38/VLOOKUP(H$19,Tabela11[#All],6,FALSE)</f>
        <v>0</v>
      </c>
      <c r="I40" s="130">
        <f>I$38/VLOOKUP(I$19,Tabela11[#All],6,FALSE)</f>
        <v>0</v>
      </c>
      <c r="J40" s="130">
        <f>J$38/VLOOKUP(J$19,Tabela11[#All],6,FALSE)</f>
        <v>0</v>
      </c>
      <c r="K40" s="130">
        <f>K$38/VLOOKUP(K$19,Tabela11[#All],6,FALSE)</f>
        <v>0</v>
      </c>
      <c r="L40" s="130">
        <f>L$38/VLOOKUP(L$19,Tabela11[#All],6,FALSE)</f>
        <v>0</v>
      </c>
      <c r="M40" s="130">
        <f>M$38/VLOOKUP(M$19,Tabela11[#All],6,FALSE)</f>
        <v>3.5820895522388061</v>
      </c>
      <c r="N40" s="130">
        <f>N$38/VLOOKUP(N$19,Tabela11[#All],6,FALSE)</f>
        <v>0</v>
      </c>
      <c r="O40" s="130">
        <f>O$38/VLOOKUP(O$19,Tabela11[#All],6,FALSE)</f>
        <v>0</v>
      </c>
      <c r="P40" s="130">
        <f>P$38/VLOOKUP(P$19,Tabela11[#All],6,FALSE)</f>
        <v>182.68656716417911</v>
      </c>
      <c r="Q40" s="130">
        <f>Q$38/VLOOKUP(Q$19,Tabela11[#All],6,FALSE)</f>
        <v>0</v>
      </c>
      <c r="R40" s="130">
        <f>R$38/VLOOKUP(R$19,Tabela11[#All],6,FALSE)</f>
        <v>0</v>
      </c>
      <c r="S40" s="130">
        <f>S$38/VLOOKUP(S$19,Tabela11[#All],6,FALSE)</f>
        <v>0</v>
      </c>
      <c r="T40" s="131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0">
        <f>G$38/VLOOKUP(G$19,Tabela11[#All],5,FALSE)</f>
        <v>0</v>
      </c>
      <c r="H41" s="130">
        <f>H$38/VLOOKUP(H$19,Tabela11[#All],5,FALSE)</f>
        <v>0</v>
      </c>
      <c r="I41" s="130">
        <f>I$38/VLOOKUP(I$19,Tabela11[#All],5,FALSE)</f>
        <v>0</v>
      </c>
      <c r="J41" s="130">
        <f>J$38/VLOOKUP(J$19,Tabela11[#All],5,FALSE)</f>
        <v>0</v>
      </c>
      <c r="K41" s="130">
        <f>K$38/VLOOKUP(K$19,Tabela11[#All],5,FALSE)</f>
        <v>0</v>
      </c>
      <c r="L41" s="130">
        <f>L$38/VLOOKUP(L$19,Tabela11[#All],5,FALSE)</f>
        <v>0</v>
      </c>
      <c r="M41" s="130">
        <f>M$38/VLOOKUP(M$19,Tabela11[#All],5,FALSE)</f>
        <v>9.1428571428571423</v>
      </c>
      <c r="N41" s="130">
        <f>N$38/VLOOKUP(N$19,Tabela11[#All],5,FALSE)</f>
        <v>0</v>
      </c>
      <c r="O41" s="130">
        <f>O$38/VLOOKUP(O$19,Tabela11[#All],5,FALSE)</f>
        <v>0</v>
      </c>
      <c r="P41" s="130">
        <f>P$38/VLOOKUP(P$19,Tabela11[#All],5,FALSE)</f>
        <v>466.28571428571428</v>
      </c>
      <c r="Q41" s="130">
        <f>Q$38/VLOOKUP(Q$19,Tabela11[#All],5,FALSE)</f>
        <v>0</v>
      </c>
      <c r="R41" s="130">
        <f>R$38/VLOOKUP(R$19,Tabela11[#All],5,FALSE)</f>
        <v>0</v>
      </c>
      <c r="S41" s="130">
        <f>S$38/VLOOKUP(S$19,Tabela11[#All],5,FALSE)</f>
        <v>0</v>
      </c>
      <c r="T41" s="131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2">
        <f>G$38/VLOOKUP(G$19,Tabela11[#All],4,FALSE)</f>
        <v>0</v>
      </c>
      <c r="H42" s="132">
        <f>H$38/VLOOKUP(H$19,Tabela11[#All],4,FALSE)</f>
        <v>0</v>
      </c>
      <c r="I42" s="132">
        <f>I$38/VLOOKUP(I$19,Tabela11[#All],4,FALSE)</f>
        <v>0</v>
      </c>
      <c r="J42" s="132">
        <f>J$38/VLOOKUP(J$19,Tabela11[#All],4,FALSE)</f>
        <v>0</v>
      </c>
      <c r="K42" s="132">
        <f>K$38/VLOOKUP(K$19,Tabela11[#All],4,FALSE)</f>
        <v>0</v>
      </c>
      <c r="L42" s="132">
        <f>L$38/VLOOKUP(L$19,Tabela11[#All],4,FALSE)</f>
        <v>0</v>
      </c>
      <c r="M42" s="132">
        <f>M$38/VLOOKUP(M$19,Tabela11[#All],4,FALSE)</f>
        <v>3.6216216216216215</v>
      </c>
      <c r="N42" s="132">
        <f>N$38/VLOOKUP(N$19,Tabela11[#All],4,FALSE)</f>
        <v>0</v>
      </c>
      <c r="O42" s="132">
        <f>O$38/VLOOKUP(O$19,Tabela11[#All],4,FALSE)</f>
        <v>0</v>
      </c>
      <c r="P42" s="132">
        <f>P$38/VLOOKUP(P$19,Tabela11[#All],4,FALSE)</f>
        <v>184.70270270270268</v>
      </c>
      <c r="Q42" s="132">
        <f>Q$38/VLOOKUP(Q$19,Tabela11[#All],4,FALSE)</f>
        <v>0</v>
      </c>
      <c r="R42" s="132">
        <f>R$38/VLOOKUP(R$19,Tabela11[#All],4,FALSE)</f>
        <v>0</v>
      </c>
      <c r="S42" s="132">
        <f>S$38/VLOOKUP(S$19,Tabela11[#All],4,FALSE)</f>
        <v>0</v>
      </c>
      <c r="T42" s="133">
        <f>T$38/VLOOKUP(T$19,Tabela11[#All],4,FALSE)</f>
        <v>0</v>
      </c>
    </row>
    <row r="43" spans="1:21" ht="15" thickBot="1"/>
    <row r="44" spans="1:21" ht="15.75" thickBot="1">
      <c r="E44" s="73"/>
      <c r="F44" s="51"/>
      <c r="G44" s="170" t="s">
        <v>299</v>
      </c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2"/>
      <c r="U44" s="134" t="s">
        <v>301</v>
      </c>
    </row>
    <row r="45" spans="1:21">
      <c r="E45" s="5">
        <v>9</v>
      </c>
      <c r="F45" s="6">
        <f>F$38/VLOOKUP(F$19,Tabela11[#All],6,FALSE)*(7-12*0.065)</f>
        <v>0</v>
      </c>
      <c r="G45" s="138">
        <f>G$38/VLOOKUP(G$19,Tabela11[#All],6,FALSE)*(7-12*0.065)</f>
        <v>0</v>
      </c>
      <c r="H45" s="138">
        <f>H$38/VLOOKUP(H$19,Tabela11[#All],6,FALSE)*(7-12*0.065)</f>
        <v>0</v>
      </c>
      <c r="I45" s="138">
        <f>I$38/VLOOKUP(I$19,Tabela11[#All],6,FALSE)*(7-12*0.065)</f>
        <v>0</v>
      </c>
      <c r="J45" s="138">
        <f>J$38/VLOOKUP(J$19,Tabela11[#All],6,FALSE)*(7-12*0.065)</f>
        <v>0</v>
      </c>
      <c r="K45" s="138">
        <f>K$38/VLOOKUP(K$19,Tabela11[#All],6,FALSE)*(7-12*0.065)</f>
        <v>0</v>
      </c>
      <c r="L45" s="138">
        <f>L$38/VLOOKUP(L$19,Tabela11[#All],6,FALSE)*(7-12*0.065)</f>
        <v>0</v>
      </c>
      <c r="M45" s="138">
        <f>M$38/VLOOKUP(M$19,Tabela11[#All],6,FALSE)*(7-12*0.065)</f>
        <v>22.280597014925373</v>
      </c>
      <c r="N45" s="138">
        <f>N$38/VLOOKUP(N$19,Tabela11[#All],6,FALSE)*(7-12*0.065)</f>
        <v>0</v>
      </c>
      <c r="O45" s="138">
        <f>O$38/VLOOKUP(O$19,Tabela11[#All],6,FALSE)*(7-12*0.065)</f>
        <v>0</v>
      </c>
      <c r="P45" s="138">
        <f>P$38/VLOOKUP(P$19,Tabela11[#All],6,FALSE)*(7-12*0.065)</f>
        <v>1136.3104477611939</v>
      </c>
      <c r="Q45" s="138">
        <f>Q$38/VLOOKUP(Q$19,Tabela11[#All],6,FALSE)*(7-12*0.065)</f>
        <v>0</v>
      </c>
      <c r="R45" s="138">
        <f>R$38/VLOOKUP(R$19,Tabela11[#All],6,FALSE)*(7-12*0.065)</f>
        <v>0</v>
      </c>
      <c r="S45" s="138">
        <f>S$38/VLOOKUP(S$19,Tabela11[#All],6,FALSE)*(7-12*0.065)</f>
        <v>0</v>
      </c>
      <c r="T45" s="139">
        <f>T$38/VLOOKUP(T$19,Tabela11[#All],6,FALSE)*(7-12*0.065)</f>
        <v>0</v>
      </c>
      <c r="U45" s="135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38">
        <f>G$38/VLOOKUP(G$19,Tabela11[#All],5,FALSE)*(7-12*0.065)</f>
        <v>0</v>
      </c>
      <c r="H46" s="138">
        <f>H$38/VLOOKUP(H$19,Tabela11[#All],5,FALSE)*(7-12*0.065)</f>
        <v>0</v>
      </c>
      <c r="I46" s="138">
        <f>I$38/VLOOKUP(I$19,Tabela11[#All],5,FALSE)*(7-12*0.065)</f>
        <v>0</v>
      </c>
      <c r="J46" s="138">
        <f>J$38/VLOOKUP(J$19,Tabela11[#All],5,FALSE)*(7-12*0.065)</f>
        <v>0</v>
      </c>
      <c r="K46" s="138">
        <f>K$38/VLOOKUP(K$19,Tabela11[#All],5,FALSE)*(7-12*0.065)</f>
        <v>0</v>
      </c>
      <c r="L46" s="138">
        <f>L$38/VLOOKUP(L$19,Tabela11[#All],5,FALSE)*(7-12*0.065)</f>
        <v>0</v>
      </c>
      <c r="M46" s="138">
        <f>M$38/VLOOKUP(M$19,Tabela11[#All],5,FALSE)*(7-12*0.065)</f>
        <v>56.868571428571421</v>
      </c>
      <c r="N46" s="138">
        <f>N$38/VLOOKUP(N$19,Tabela11[#All],5,FALSE)*(7-12*0.065)</f>
        <v>0</v>
      </c>
      <c r="O46" s="138">
        <f>O$38/VLOOKUP(O$19,Tabela11[#All],5,FALSE)*(7-12*0.065)</f>
        <v>0</v>
      </c>
      <c r="P46" s="138">
        <f>P$38/VLOOKUP(P$19,Tabela11[#All],5,FALSE)*(7-12*0.065)</f>
        <v>2900.2971428571427</v>
      </c>
      <c r="Q46" s="138">
        <f>Q$38/VLOOKUP(Q$19,Tabela11[#All],5,FALSE)*(7-12*0.065)</f>
        <v>0</v>
      </c>
      <c r="R46" s="138">
        <f>R$38/VLOOKUP(R$19,Tabela11[#All],5,FALSE)*(7-12*0.065)</f>
        <v>0</v>
      </c>
      <c r="S46" s="138">
        <f>S$38/VLOOKUP(S$19,Tabela11[#All],5,FALSE)*(7-12*0.065)</f>
        <v>0</v>
      </c>
      <c r="T46" s="139">
        <f>T$38/VLOOKUP(T$19,Tabela11[#All],5,FALSE)*(7-12*0.065)</f>
        <v>0</v>
      </c>
      <c r="U46" s="136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0">
        <f>G$38/VLOOKUP(G$19,Tabela11[#All],4,FALSE)*(6-12*0.065)</f>
        <v>0</v>
      </c>
      <c r="H47" s="140">
        <f>H$38/VLOOKUP(H$19,Tabela11[#All],4,FALSE)*(6-12*0.065)</f>
        <v>0</v>
      </c>
      <c r="I47" s="140">
        <f>I$38/VLOOKUP(I$19,Tabela11[#All],4,FALSE)*(6-12*0.065)</f>
        <v>0</v>
      </c>
      <c r="J47" s="140">
        <f>J$38/VLOOKUP(J$19,Tabela11[#All],4,FALSE)*(6-12*0.065)</f>
        <v>0</v>
      </c>
      <c r="K47" s="140">
        <f>K$38/VLOOKUP(K$19,Tabela11[#All],4,FALSE)*(6-12*0.065)</f>
        <v>0</v>
      </c>
      <c r="L47" s="140">
        <f>L$38/VLOOKUP(L$19,Tabela11[#All],4,FALSE)*(6-12*0.065)</f>
        <v>0</v>
      </c>
      <c r="M47" s="140">
        <f>M$38/VLOOKUP(M$19,Tabela11[#All],4,FALSE)*(6-12*0.065)</f>
        <v>18.904864864864862</v>
      </c>
      <c r="N47" s="140">
        <f>N$38/VLOOKUP(N$19,Tabela11[#All],4,FALSE)*(6-12*0.065)</f>
        <v>0</v>
      </c>
      <c r="O47" s="140">
        <f>O$38/VLOOKUP(O$19,Tabela11[#All],4,FALSE)*(6-12*0.065)</f>
        <v>0</v>
      </c>
      <c r="P47" s="140">
        <f>P$38/VLOOKUP(P$19,Tabela11[#All],4,FALSE)*(6-12*0.065)</f>
        <v>964.14810810810798</v>
      </c>
      <c r="Q47" s="140">
        <f>Q$38/VLOOKUP(Q$19,Tabela11[#All],4,FALSE)*(6-12*0.065)</f>
        <v>0</v>
      </c>
      <c r="R47" s="140">
        <f>R$38/VLOOKUP(R$19,Tabela11[#All],4,FALSE)*(6-12*0.065)</f>
        <v>0</v>
      </c>
      <c r="S47" s="140">
        <f>S$38/VLOOKUP(S$19,Tabela11[#All],4,FALSE)*(6-12*0.065)</f>
        <v>0</v>
      </c>
      <c r="T47" s="141">
        <f>T$38/VLOOKUP(T$19,Tabela11[#All],4,FALSE)*(6-12*0.065)</f>
        <v>0</v>
      </c>
      <c r="U47" s="137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196" t="s">
        <v>292</v>
      </c>
      <c r="S2" s="196"/>
      <c r="T2" s="196"/>
      <c r="U2" s="196"/>
      <c r="V2" s="196"/>
      <c r="W2" s="196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zoomScale="85" zoomScaleNormal="85" workbookViewId="0">
      <selection activeCell="K21" sqref="K21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119</v>
      </c>
      <c r="B1" s="147" t="s">
        <v>118</v>
      </c>
      <c r="C1" s="148" t="s">
        <v>319</v>
      </c>
      <c r="D1" s="148" t="s">
        <v>320</v>
      </c>
      <c r="E1" s="148" t="s">
        <v>321</v>
      </c>
      <c r="F1" s="147" t="s">
        <v>117</v>
      </c>
      <c r="G1" s="147" t="s">
        <v>116</v>
      </c>
      <c r="H1" s="147" t="s">
        <v>115</v>
      </c>
      <c r="I1" s="147" t="s">
        <v>114</v>
      </c>
      <c r="J1" s="147" t="s">
        <v>113</v>
      </c>
      <c r="K1" s="147" t="s">
        <v>112</v>
      </c>
      <c r="L1" s="147" t="s">
        <v>111</v>
      </c>
      <c r="M1" s="149" t="s">
        <v>110</v>
      </c>
      <c r="N1" s="147" t="s">
        <v>109</v>
      </c>
      <c r="O1" s="147" t="s">
        <v>108</v>
      </c>
      <c r="P1" s="147" t="s">
        <v>107</v>
      </c>
      <c r="Q1" s="147" t="s">
        <v>106</v>
      </c>
      <c r="R1" s="148" t="s">
        <v>322</v>
      </c>
      <c r="S1" s="147" t="s">
        <v>105</v>
      </c>
      <c r="T1" s="150" t="s">
        <v>104</v>
      </c>
      <c r="U1" s="149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53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19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51">
        <v>5172.027000000001</v>
      </c>
      <c r="U3" s="152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51">
        <v>5979.3678</v>
      </c>
      <c r="U4" s="152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19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51">
        <v>5859.1050000000014</v>
      </c>
      <c r="U5" s="152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51">
        <v>5879.3385000000007</v>
      </c>
      <c r="U6" s="152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51">
        <v>6862.3968000000004</v>
      </c>
      <c r="U7" s="152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19" si="14">Q7</f>
        <v>0.15</v>
      </c>
      <c r="R8" s="20">
        <f t="shared" si="1"/>
        <v>0.38</v>
      </c>
      <c r="S8" s="37">
        <f t="shared" si="2"/>
        <v>6735.8717999999999</v>
      </c>
      <c r="T8" s="151">
        <v>6735.8717999999999</v>
      </c>
      <c r="U8" s="152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51">
        <v>6928.9794000000002</v>
      </c>
      <c r="U9" s="152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51">
        <v>7225.68</v>
      </c>
      <c r="U10" s="152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51">
        <v>7291.3050000000003</v>
      </c>
      <c r="U11" s="152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51">
        <v>7331.4150000000018</v>
      </c>
      <c r="U12" s="152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91</v>
      </c>
      <c r="B13" s="21" t="s">
        <v>90</v>
      </c>
      <c r="C13" s="21">
        <v>1</v>
      </c>
      <c r="D13" s="21"/>
      <c r="E13" s="21">
        <v>1</v>
      </c>
      <c r="F13" s="20">
        <f t="shared" si="15"/>
        <v>2.4000000000000004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1766.4000000000003</v>
      </c>
      <c r="O13" s="37">
        <f t="shared" si="3"/>
        <v>5040.0000000000009</v>
      </c>
      <c r="P13" s="37">
        <f t="shared" si="0"/>
        <v>9828.0000000000018</v>
      </c>
      <c r="Q13" s="20">
        <f t="shared" si="14"/>
        <v>0.15</v>
      </c>
      <c r="R13" s="20">
        <f t="shared" si="20"/>
        <v>0.5</v>
      </c>
      <c r="S13" s="37">
        <f t="shared" si="21"/>
        <v>7434.0000000000018</v>
      </c>
      <c r="T13" s="151">
        <v>7434.0000000000018</v>
      </c>
      <c r="U13" s="152">
        <f t="shared" si="8"/>
        <v>0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51">
        <v>7210.8750000000018</v>
      </c>
      <c r="U14" s="152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51">
        <v>6586.6500000000015</v>
      </c>
      <c r="U15" s="152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51">
        <v>7203.6720000000014</v>
      </c>
      <c r="U16" s="152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51">
        <v>7547.956500000003</v>
      </c>
      <c r="U17" s="152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51">
        <v>7547.956500000003</v>
      </c>
      <c r="U18" s="152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/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2.4500000000000002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1803.2</v>
      </c>
      <c r="O19" s="37">
        <f t="shared" si="3"/>
        <v>5145</v>
      </c>
      <c r="P19" s="37">
        <f t="shared" ref="P19" si="30">O19*G19</f>
        <v>8386.3499999999985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6441.5399999999991</v>
      </c>
      <c r="T19" s="151">
        <v>7547.956500000003</v>
      </c>
      <c r="U19" s="152">
        <f t="shared" ref="U19" si="33">S19/T19-1</f>
        <v>-0.14658490678901015</v>
      </c>
      <c r="V19" s="18"/>
      <c r="W19" s="197" t="s">
        <v>334</v>
      </c>
      <c r="X19" s="197"/>
      <c r="Y19" s="197"/>
      <c r="Z19" s="197"/>
      <c r="AA19" s="197"/>
      <c r="AB19" s="197"/>
      <c r="AC19" s="197"/>
      <c r="AD19" s="197"/>
      <c r="AE19" s="197"/>
      <c r="AF19" s="197"/>
    </row>
    <row r="20" spans="1:34" ht="15" thickBot="1">
      <c r="A20" s="144"/>
      <c r="B20" s="21"/>
      <c r="C20" s="21"/>
      <c r="D20" s="21"/>
      <c r="E20" s="21"/>
      <c r="F20" s="20"/>
      <c r="G20" s="20"/>
      <c r="H20" s="20"/>
      <c r="I20" s="20"/>
      <c r="J20" s="20"/>
      <c r="K20" s="22"/>
      <c r="L20" s="22"/>
      <c r="M20" s="22"/>
      <c r="N20" s="37"/>
      <c r="O20" s="37"/>
      <c r="P20" s="37"/>
      <c r="Q20" s="20"/>
      <c r="R20" s="20"/>
      <c r="S20" s="37"/>
      <c r="T20" s="151"/>
      <c r="U20" s="152"/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/>
      <c r="B21" s="21"/>
      <c r="C21" s="21"/>
      <c r="D21" s="21"/>
      <c r="E21" s="21"/>
      <c r="F21" s="20"/>
      <c r="G21" s="20"/>
      <c r="H21" s="20"/>
      <c r="I21" s="20"/>
      <c r="J21" s="20"/>
      <c r="K21" s="22"/>
      <c r="L21" s="22"/>
      <c r="M21" s="22"/>
      <c r="N21" s="37"/>
      <c r="O21" s="37"/>
      <c r="P21" s="37"/>
      <c r="Q21" s="20"/>
      <c r="R21" s="20"/>
      <c r="S21" s="37"/>
      <c r="T21" s="151"/>
      <c r="U21" s="152"/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/>
      <c r="B22" s="21"/>
      <c r="C22" s="21"/>
      <c r="D22" s="21"/>
      <c r="E22" s="21"/>
      <c r="F22" s="20"/>
      <c r="G22" s="20"/>
      <c r="H22" s="20"/>
      <c r="I22" s="20"/>
      <c r="J22" s="20"/>
      <c r="K22" s="22"/>
      <c r="L22" s="22"/>
      <c r="M22" s="10"/>
      <c r="N22" s="21"/>
      <c r="O22" s="21"/>
      <c r="P22" s="21"/>
      <c r="Q22" s="20"/>
      <c r="R22" s="20"/>
      <c r="S22" s="37"/>
      <c r="T22" s="151"/>
      <c r="U22" s="152"/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/>
      <c r="B23" s="21"/>
      <c r="C23" s="21"/>
      <c r="D23" s="21"/>
      <c r="E23" s="21"/>
      <c r="F23" s="20"/>
      <c r="G23" s="20"/>
      <c r="H23" s="20"/>
      <c r="I23" s="20"/>
      <c r="J23" s="20"/>
      <c r="K23" s="22"/>
      <c r="L23" s="22"/>
      <c r="M23" s="10"/>
      <c r="N23" s="21"/>
      <c r="O23" s="21"/>
      <c r="P23" s="21"/>
      <c r="Q23" s="20"/>
      <c r="R23" s="20"/>
      <c r="S23" s="37"/>
      <c r="T23" s="151"/>
      <c r="U23" s="152"/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/>
      <c r="B24" s="21"/>
      <c r="C24" s="21"/>
      <c r="D24" s="21"/>
      <c r="E24" s="21"/>
      <c r="F24" s="20"/>
      <c r="G24" s="20"/>
      <c r="H24" s="20"/>
      <c r="I24" s="20"/>
      <c r="J24" s="20"/>
      <c r="K24" s="22"/>
      <c r="L24" s="22"/>
      <c r="M24" s="10"/>
      <c r="N24" s="21"/>
      <c r="O24" s="21"/>
      <c r="P24" s="21"/>
      <c r="Q24" s="20"/>
      <c r="R24" s="20"/>
      <c r="S24" s="37"/>
      <c r="T24" s="151"/>
      <c r="U24" s="152"/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/>
      <c r="B25" s="21"/>
      <c r="C25" s="21"/>
      <c r="D25" s="21"/>
      <c r="E25" s="21"/>
      <c r="F25" s="20"/>
      <c r="G25" s="20"/>
      <c r="H25" s="20"/>
      <c r="I25" s="20"/>
      <c r="J25" s="20"/>
      <c r="K25" s="22"/>
      <c r="L25" s="22"/>
      <c r="M25" s="10"/>
      <c r="N25" s="21"/>
      <c r="O25" s="21"/>
      <c r="P25" s="21"/>
      <c r="Q25" s="20"/>
      <c r="R25" s="20"/>
      <c r="S25" s="37"/>
      <c r="T25" s="151"/>
      <c r="U25" s="152"/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/>
      <c r="B26" s="21"/>
      <c r="C26" s="21"/>
      <c r="D26" s="21"/>
      <c r="E26" s="21"/>
      <c r="F26" s="20"/>
      <c r="G26" s="20"/>
      <c r="H26" s="20"/>
      <c r="I26" s="20"/>
      <c r="J26" s="20"/>
      <c r="K26" s="22"/>
      <c r="L26" s="22"/>
      <c r="M26" s="10"/>
      <c r="N26" s="21"/>
      <c r="O26" s="21"/>
      <c r="P26" s="21"/>
      <c r="Q26" s="20"/>
      <c r="R26" s="20"/>
      <c r="S26" s="37"/>
      <c r="T26" s="151"/>
      <c r="U26" s="152"/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/>
      <c r="B27" s="21"/>
      <c r="C27" s="21"/>
      <c r="D27" s="21"/>
      <c r="E27" s="21"/>
      <c r="F27" s="20"/>
      <c r="G27" s="20"/>
      <c r="H27" s="20"/>
      <c r="I27" s="20"/>
      <c r="J27" s="20"/>
      <c r="K27" s="22"/>
      <c r="L27" s="22"/>
      <c r="M27" s="10"/>
      <c r="N27" s="21"/>
      <c r="O27" s="21"/>
      <c r="P27" s="21"/>
      <c r="Q27" s="20"/>
      <c r="R27" s="20"/>
      <c r="S27" s="37"/>
      <c r="T27" s="151"/>
      <c r="U27" s="152"/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/>
      <c r="B28" s="21"/>
      <c r="C28" s="21"/>
      <c r="D28" s="21"/>
      <c r="E28" s="21"/>
      <c r="F28" s="20"/>
      <c r="G28" s="20"/>
      <c r="H28" s="20"/>
      <c r="I28" s="20"/>
      <c r="J28" s="20"/>
      <c r="K28" s="22"/>
      <c r="L28" s="22"/>
      <c r="M28" s="10"/>
      <c r="N28" s="21"/>
      <c r="O28" s="21"/>
      <c r="P28" s="21"/>
      <c r="Q28" s="20"/>
      <c r="R28" s="20"/>
      <c r="S28" s="37"/>
      <c r="T28" s="151"/>
      <c r="U28" s="152"/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21"/>
      <c r="O37" s="21"/>
      <c r="P37" s="21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/>
      <c r="C39" s="21"/>
      <c r="D39" s="21"/>
      <c r="E39" s="21"/>
      <c r="F39" s="20"/>
      <c r="G39" s="20"/>
      <c r="H39" s="20"/>
      <c r="I39" s="20"/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 hidden="1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363</v>
      </c>
      <c r="B12" s="155" t="s">
        <v>363</v>
      </c>
      <c r="C12" s="155" t="s">
        <v>197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383</v>
      </c>
    </row>
    <row r="27" spans="1:19" hidden="1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193</v>
      </c>
    </row>
    <row r="28" spans="1:19" hidden="1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193</v>
      </c>
    </row>
    <row r="29" spans="1:19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193</v>
      </c>
    </row>
    <row r="30" spans="1:19" hidden="1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193</v>
      </c>
    </row>
    <row r="31" spans="1:19" hidden="1">
      <c r="A31" s="155" t="s">
        <v>193</v>
      </c>
      <c r="B31" s="155"/>
      <c r="C31" s="155" t="s">
        <v>154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193</v>
      </c>
    </row>
    <row r="32" spans="1:19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365</v>
      </c>
      <c r="B38" s="159" t="s">
        <v>365</v>
      </c>
      <c r="C38" s="159" t="s">
        <v>155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384</v>
      </c>
    </row>
    <row r="44" spans="1:19" hidden="1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211</v>
      </c>
    </row>
    <row r="48" spans="1:19" hidden="1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366</v>
      </c>
      <c r="B49" s="2" t="s">
        <v>366</v>
      </c>
      <c r="C49" s="2" t="s">
        <v>154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211</v>
      </c>
    </row>
    <row r="50" spans="1:19" hidden="1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141</v>
      </c>
      <c r="B53" s="162" t="s">
        <v>141</v>
      </c>
      <c r="C53" s="162" t="s">
        <v>158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141</v>
      </c>
      <c r="B55" s="162" t="s">
        <v>141</v>
      </c>
      <c r="C55" s="162" t="s">
        <v>197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156</v>
      </c>
      <c r="B61" s="155" t="s">
        <v>156</v>
      </c>
      <c r="C61" s="155" t="s">
        <v>197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152</v>
      </c>
    </row>
    <row r="63" spans="1:19" hidden="1">
      <c r="A63" s="10"/>
      <c r="B63" s="10"/>
      <c r="C63" s="10" t="s">
        <v>154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383</v>
      </c>
    </row>
    <row r="64" spans="1:19" hidden="1">
      <c r="C64" t="s">
        <v>86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383</v>
      </c>
    </row>
    <row r="65" spans="1:19" hidden="1">
      <c r="C65" t="s">
        <v>86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383</v>
      </c>
    </row>
    <row r="66" spans="1:19">
      <c r="C66" t="s">
        <v>197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383</v>
      </c>
    </row>
    <row r="67" spans="1:19" hidden="1">
      <c r="A67" t="s">
        <v>152</v>
      </c>
      <c r="B67" t="s">
        <v>152</v>
      </c>
      <c r="C67" t="s">
        <v>86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152</v>
      </c>
    </row>
    <row r="68" spans="1:19" hidden="1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154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154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154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211</v>
      </c>
      <c r="S91" s="2" t="s">
        <v>384</v>
      </c>
    </row>
    <row r="92" spans="1:19" hidden="1">
      <c r="C92" t="s">
        <v>154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197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383</v>
      </c>
    </row>
    <row r="94" spans="1:19" hidden="1">
      <c r="C94" t="s">
        <v>154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154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154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154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154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152</v>
      </c>
      <c r="C99" t="s">
        <v>154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152</v>
      </c>
    </row>
    <row r="100" spans="1:19" hidden="1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154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154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154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154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154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86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86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152</v>
      </c>
      <c r="C122" s="2" t="s">
        <v>154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211</v>
      </c>
      <c r="S122" s="2" t="s">
        <v>383</v>
      </c>
    </row>
    <row r="123" spans="1:19" hidden="1">
      <c r="C123" t="s">
        <v>86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383</v>
      </c>
    </row>
    <row r="124" spans="1:19" hidden="1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152</v>
      </c>
      <c r="B125" t="s">
        <v>152</v>
      </c>
      <c r="C125" t="s">
        <v>197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152</v>
      </c>
    </row>
    <row r="126" spans="1:19" hidden="1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383</v>
      </c>
    </row>
    <row r="128" spans="1:19" hidden="1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86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152</v>
      </c>
      <c r="B131" t="s">
        <v>152</v>
      </c>
      <c r="C131" t="s">
        <v>197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152</v>
      </c>
    </row>
    <row r="132" spans="1:19" hidden="1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383</v>
      </c>
    </row>
    <row r="133" spans="1:19" hidden="1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86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383</v>
      </c>
    </row>
    <row r="138" spans="1:19" hidden="1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155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211</v>
      </c>
      <c r="S143" t="s">
        <v>156</v>
      </c>
    </row>
    <row r="144" spans="1:19">
      <c r="C144" t="s">
        <v>155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211</v>
      </c>
    </row>
    <row r="146" spans="1:18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197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383</v>
      </c>
    </row>
    <row r="170" spans="1:19" hidden="1">
      <c r="A170" t="s">
        <v>152</v>
      </c>
      <c r="B170" t="s">
        <v>152</v>
      </c>
      <c r="C170" t="s">
        <v>154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152</v>
      </c>
    </row>
    <row r="171" spans="1:19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86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383</v>
      </c>
    </row>
    <row r="173" spans="1:19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2015-11-06T08:07:26Z</dcterms:modified>
</cp:coreProperties>
</file>