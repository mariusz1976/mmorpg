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0.xml" ContentType="application/vnd.openxmlformats-officedocument.spreadsheetml.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 firstSheet="7" activeTab="15"/>
  </bookViews>
  <sheets>
    <sheet name="Crystals" sheetId="14" r:id="rId1"/>
    <sheet name="EXP lvls" sheetId="1" r:id="rId2"/>
    <sheet name="Arkusz3" sheetId="18" r:id="rId3"/>
    <sheet name="Drop analityka" sheetId="3" r:id="rId4"/>
    <sheet name="Fusion" sheetId="9" r:id="rId5"/>
    <sheet name="Location features" sheetId="4" r:id="rId6"/>
    <sheet name="TabPrz" sheetId="5" r:id="rId7"/>
    <sheet name="Arkusz1" sheetId="15" r:id="rId8"/>
    <sheet name="Runes for DPS" sheetId="6" r:id="rId9"/>
    <sheet name="Runes stats" sheetId="11" r:id="rId10"/>
    <sheet name="Runes DB" sheetId="8" r:id="rId11"/>
    <sheet name="TP_Mon.Runes" sheetId="12" r:id="rId12"/>
    <sheet name="Grind.Summary" sheetId="2" r:id="rId13"/>
    <sheet name="Runes Mon.build" sheetId="7" r:id="rId14"/>
    <sheet name="ToA auto" sheetId="16" r:id="rId15"/>
    <sheet name="Mon.Utilities" sheetId="13" r:id="rId16"/>
    <sheet name="Arkusz2" sheetId="17" r:id="rId17"/>
  </sheets>
  <definedNames>
    <definedName name="_xlnm._FilterDatabase" localSheetId="15" hidden="1">Mon.Utilities!$A$1:$N$1</definedName>
  </definedNames>
  <calcPr calcId="145621"/>
  <pivotCaches>
    <pivotCache cacheId="0" r:id="rId18"/>
    <pivotCache cacheId="1" r:id="rId19"/>
    <pivotCache cacheId="2" r:id="rId20"/>
  </pivotCaches>
</workbook>
</file>

<file path=xl/calcChain.xml><?xml version="1.0" encoding="utf-8"?>
<calcChain xmlns="http://schemas.openxmlformats.org/spreadsheetml/2006/main">
  <c r="O18" i="14" l="1"/>
  <c r="C18" i="14"/>
  <c r="C17" i="14"/>
  <c r="C16" i="14"/>
  <c r="C15" i="14"/>
  <c r="C14" i="14"/>
  <c r="C13" i="14"/>
  <c r="G18" i="14"/>
  <c r="G16" i="14"/>
  <c r="G15" i="14"/>
  <c r="Q13" i="14"/>
  <c r="R18" i="14" l="1"/>
  <c r="P33" i="4" l="1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O19" i="14"/>
  <c r="D2" i="18" l="1"/>
  <c r="R8" i="4" l="1"/>
  <c r="L8" i="4"/>
  <c r="K8" i="4"/>
  <c r="J8" i="4"/>
  <c r="O8" i="4" s="1"/>
  <c r="S8" i="4" s="1"/>
  <c r="D3" i="18"/>
  <c r="C5" i="18"/>
  <c r="C4" i="18"/>
  <c r="C2" i="18"/>
  <c r="C9" i="18" l="1"/>
  <c r="E9" i="18" s="1"/>
  <c r="C8" i="18"/>
  <c r="C3" i="18"/>
  <c r="C7" i="18" s="1"/>
  <c r="I2" i="18"/>
  <c r="D6" i="18"/>
  <c r="D7" i="18"/>
  <c r="D4" i="18"/>
  <c r="D5" i="18" l="1"/>
  <c r="I5" i="18" s="1"/>
  <c r="E2" i="18"/>
  <c r="C6" i="18"/>
  <c r="E6" i="18" s="1"/>
  <c r="F6" i="18" s="1"/>
  <c r="D8" i="18"/>
  <c r="I4" i="18"/>
  <c r="E8" i="18"/>
  <c r="E4" i="18"/>
  <c r="J55" i="6"/>
  <c r="J46" i="6"/>
  <c r="F2" i="18" l="1"/>
  <c r="H2" i="18" s="1"/>
  <c r="G2" i="18"/>
  <c r="F4" i="18"/>
  <c r="G4" i="18"/>
  <c r="E5" i="18"/>
  <c r="F8" i="18"/>
  <c r="D9" i="18"/>
  <c r="F9" i="18" s="1"/>
  <c r="I3" i="18"/>
  <c r="E7" i="18"/>
  <c r="F7" i="18" s="1"/>
  <c r="E3" i="18"/>
  <c r="R6" i="4"/>
  <c r="L6" i="4"/>
  <c r="K6" i="4"/>
  <c r="J6" i="4"/>
  <c r="K2" i="17"/>
  <c r="J2" i="17"/>
  <c r="I2" i="17"/>
  <c r="H2" i="17"/>
  <c r="G2" i="17"/>
  <c r="H4" i="18" l="1"/>
  <c r="F5" i="18"/>
  <c r="H5" i="18" s="1"/>
  <c r="G5" i="18"/>
  <c r="F3" i="18"/>
  <c r="H3" i="18" s="1"/>
  <c r="G3" i="18"/>
  <c r="O6" i="4"/>
  <c r="S6" i="4" s="1"/>
  <c r="D3" i="17"/>
  <c r="B4" i="17"/>
  <c r="B3" i="17"/>
  <c r="D2" i="17"/>
  <c r="Q6" i="3"/>
  <c r="R7" i="4" l="1"/>
  <c r="L7" i="4"/>
  <c r="K7" i="4"/>
  <c r="J7" i="4"/>
  <c r="S7" i="4" l="1"/>
  <c r="O7" i="4"/>
  <c r="O6" i="14"/>
  <c r="P6" i="14"/>
  <c r="M3" i="1"/>
  <c r="O4" i="1" s="1"/>
  <c r="O9" i="14" l="1"/>
  <c r="O13" i="14"/>
  <c r="P9" i="14"/>
  <c r="P13" i="14"/>
  <c r="R14" i="4"/>
  <c r="L14" i="4"/>
  <c r="K14" i="4"/>
  <c r="J14" i="4"/>
  <c r="O14" i="4" l="1"/>
  <c r="S14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7" i="14" l="1"/>
  <c r="G14" i="14"/>
  <c r="G13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20" i="14"/>
  <c r="G19" i="14"/>
  <c r="G6" i="14"/>
  <c r="G7" i="14"/>
  <c r="G9" i="14"/>
  <c r="G10" i="14"/>
  <c r="G11" i="14"/>
  <c r="G12" i="14"/>
  <c r="G2" i="14"/>
  <c r="J4" i="6"/>
  <c r="R4" i="6" s="1"/>
  <c r="H4" i="6"/>
  <c r="F4" i="6" s="1"/>
  <c r="I4" i="6"/>
  <c r="G4" i="6" s="1"/>
  <c r="C20" i="14"/>
  <c r="C12" i="14"/>
  <c r="C19" i="14" s="1"/>
  <c r="S116" i="13"/>
  <c r="S221" i="13"/>
  <c r="S234" i="13"/>
  <c r="S35" i="13"/>
  <c r="S232" i="13"/>
  <c r="S204" i="13"/>
  <c r="S207" i="13"/>
  <c r="S135" i="13"/>
  <c r="S214" i="13"/>
  <c r="S154" i="13"/>
  <c r="S222" i="13"/>
  <c r="S235" i="13"/>
  <c r="S187" i="13"/>
  <c r="S203" i="13"/>
  <c r="S210" i="13"/>
  <c r="S226" i="13"/>
  <c r="S230" i="13"/>
  <c r="S136" i="13"/>
  <c r="S15" i="13"/>
  <c r="S228" i="13"/>
  <c r="S218" i="13"/>
  <c r="S117" i="13"/>
  <c r="S156" i="13"/>
  <c r="S212" i="13"/>
  <c r="S202" i="13"/>
  <c r="S211" i="13"/>
  <c r="S137" i="13"/>
  <c r="S215" i="13"/>
  <c r="S208" i="13"/>
  <c r="S225" i="13"/>
  <c r="S229" i="13"/>
  <c r="S205" i="13"/>
  <c r="S29" i="13"/>
  <c r="S216" i="13"/>
  <c r="S209" i="13"/>
  <c r="S219" i="13"/>
  <c r="S223" i="13"/>
  <c r="S233" i="13"/>
  <c r="S206" i="13"/>
  <c r="S155" i="13"/>
  <c r="S213" i="13"/>
  <c r="S217" i="13"/>
  <c r="S220" i="13"/>
  <c r="S224" i="13"/>
  <c r="S227" i="13"/>
  <c r="S231" i="13"/>
  <c r="S157" i="13"/>
  <c r="S94" i="13"/>
  <c r="S77" i="13"/>
  <c r="S95" i="13"/>
  <c r="S138" i="13"/>
  <c r="S16" i="13"/>
  <c r="S96" i="13"/>
  <c r="S140" i="13"/>
  <c r="S247" i="13"/>
  <c r="S252" i="13"/>
  <c r="S193" i="13"/>
  <c r="S24" i="13"/>
  <c r="S164" i="13"/>
  <c r="S167" i="13"/>
  <c r="S83" i="13"/>
  <c r="S196" i="13"/>
  <c r="S268" i="13"/>
  <c r="S38" i="13"/>
  <c r="S170" i="13"/>
  <c r="S278" i="13"/>
  <c r="S279" i="13"/>
  <c r="S282" i="13"/>
  <c r="S287" i="13"/>
  <c r="S292" i="13"/>
  <c r="S297" i="13"/>
  <c r="S300" i="13"/>
  <c r="S305" i="13"/>
  <c r="S100" i="13"/>
  <c r="S309" i="13"/>
  <c r="S174" i="13"/>
  <c r="S314" i="13"/>
  <c r="S199" i="13"/>
  <c r="S50" i="13"/>
  <c r="S23" i="13"/>
  <c r="S236" i="13"/>
  <c r="S78" i="13"/>
  <c r="S160" i="13"/>
  <c r="S79" i="13"/>
  <c r="S159" i="13"/>
  <c r="S161" i="13"/>
  <c r="S248" i="13"/>
  <c r="S253" i="13"/>
  <c r="S194" i="13"/>
  <c r="S255" i="13"/>
  <c r="S81" i="13"/>
  <c r="S258" i="13"/>
  <c r="S168" i="13"/>
  <c r="S264" i="13"/>
  <c r="S269" i="13"/>
  <c r="S273" i="13"/>
  <c r="S276" i="13"/>
  <c r="S172" i="13"/>
  <c r="S280" i="13"/>
  <c r="S283" i="13"/>
  <c r="S288" i="13"/>
  <c r="S293" i="13"/>
  <c r="S18" i="13"/>
  <c r="S301" i="13"/>
  <c r="S306" i="13"/>
  <c r="S312" i="13"/>
  <c r="S19" i="13"/>
  <c r="S188" i="13"/>
  <c r="S190" i="13"/>
  <c r="S237" i="13"/>
  <c r="S239" i="13"/>
  <c r="S139" i="13"/>
  <c r="S243" i="13"/>
  <c r="S141" i="13"/>
  <c r="S249" i="13"/>
  <c r="S43" i="13"/>
  <c r="S120" i="13"/>
  <c r="S5" i="13"/>
  <c r="S257" i="13"/>
  <c r="S259" i="13"/>
  <c r="S262" i="13"/>
  <c r="S265" i="13"/>
  <c r="S270" i="13"/>
  <c r="S274" i="13"/>
  <c r="S52" i="13"/>
  <c r="S197" i="13"/>
  <c r="S281" i="13"/>
  <c r="S284" i="13"/>
  <c r="S289" i="13"/>
  <c r="S294" i="13"/>
  <c r="S298" i="13"/>
  <c r="S302" i="13"/>
  <c r="S84" i="13"/>
  <c r="S315" i="13"/>
  <c r="S158" i="13"/>
  <c r="S36" i="13"/>
  <c r="S238" i="13"/>
  <c r="S240" i="13"/>
  <c r="S241" i="13"/>
  <c r="S244" i="13"/>
  <c r="S246" i="13"/>
  <c r="S250" i="13"/>
  <c r="S191" i="13"/>
  <c r="S162" i="13"/>
  <c r="S195" i="13"/>
  <c r="S80" i="13"/>
  <c r="S51" i="13"/>
  <c r="S165" i="13"/>
  <c r="S260" i="13"/>
  <c r="S261" i="13"/>
  <c r="S263" i="13"/>
  <c r="S266" i="13"/>
  <c r="S271" i="13"/>
  <c r="S275" i="13"/>
  <c r="S277" i="13"/>
  <c r="S99" i="13"/>
  <c r="S285" i="13"/>
  <c r="S290" i="13"/>
  <c r="S295" i="13"/>
  <c r="S299" i="13"/>
  <c r="S303" i="13"/>
  <c r="S307" i="13"/>
  <c r="S310" i="13"/>
  <c r="S53" i="13"/>
  <c r="S311" i="13"/>
  <c r="S142" i="13"/>
  <c r="S316" i="13"/>
  <c r="S189" i="13"/>
  <c r="S118" i="13"/>
  <c r="S37" i="13"/>
  <c r="S119" i="13"/>
  <c r="S242" i="13"/>
  <c r="S245" i="13"/>
  <c r="S327" i="13"/>
  <c r="S251" i="13"/>
  <c r="S192" i="13"/>
  <c r="S163" i="13"/>
  <c r="S254" i="13"/>
  <c r="S97" i="13"/>
  <c r="S67" i="13"/>
  <c r="S256" i="13"/>
  <c r="S98" i="13"/>
  <c r="S166" i="13"/>
  <c r="S82" i="13"/>
  <c r="S169" i="13"/>
  <c r="S267" i="13"/>
  <c r="S272" i="13"/>
  <c r="S2" i="13"/>
  <c r="S171" i="13"/>
  <c r="S173" i="13"/>
  <c r="S286" i="13"/>
  <c r="S291" i="13"/>
  <c r="S296" i="13"/>
  <c r="S198" i="13"/>
  <c r="S304" i="13"/>
  <c r="S308" i="13"/>
  <c r="S10" i="13"/>
  <c r="S313" i="13"/>
  <c r="S20" i="13"/>
  <c r="S54" i="13"/>
  <c r="S101" i="13"/>
  <c r="S44" i="13"/>
  <c r="S68" i="13"/>
  <c r="S21" i="13"/>
  <c r="S123" i="13"/>
  <c r="S143" i="13"/>
  <c r="S179" i="13"/>
  <c r="S319" i="13"/>
  <c r="S89" i="13"/>
  <c r="S41" i="13"/>
  <c r="S32" i="13"/>
  <c r="S59" i="13"/>
  <c r="S60" i="13"/>
  <c r="S322" i="13"/>
  <c r="S90" i="13"/>
  <c r="S62" i="13"/>
  <c r="S150" i="13"/>
  <c r="S13" i="13"/>
  <c r="S152" i="13"/>
  <c r="S66" i="13"/>
  <c r="S185" i="13"/>
  <c r="S34" i="13"/>
  <c r="S324" i="13"/>
  <c r="S153" i="13"/>
  <c r="S4" i="13"/>
  <c r="S175" i="13"/>
  <c r="S86" i="13"/>
  <c r="S8" i="13"/>
  <c r="S122" i="13"/>
  <c r="S57" i="13"/>
  <c r="S45" i="13"/>
  <c r="S124" i="13"/>
  <c r="S320" i="13"/>
  <c r="S144" i="13"/>
  <c r="S201" i="13"/>
  <c r="S58" i="13"/>
  <c r="S104" i="13"/>
  <c r="S105" i="13"/>
  <c r="S323" i="13"/>
  <c r="S22" i="13"/>
  <c r="S63" i="13"/>
  <c r="S7" i="13"/>
  <c r="S64" i="13"/>
  <c r="S183" i="13"/>
  <c r="S110" i="13"/>
  <c r="S111" i="13"/>
  <c r="S14" i="13"/>
  <c r="S112" i="13"/>
  <c r="S186" i="13"/>
  <c r="S326" i="13"/>
  <c r="S325" i="13"/>
  <c r="S121" i="13"/>
  <c r="S200" i="13"/>
  <c r="S39" i="13"/>
  <c r="S17" i="13"/>
  <c r="S25" i="13"/>
  <c r="S46" i="13"/>
  <c r="S318" i="13"/>
  <c r="S180" i="13"/>
  <c r="S145" i="13"/>
  <c r="S181" i="13"/>
  <c r="S71" i="13"/>
  <c r="S126" i="13"/>
  <c r="S61" i="13"/>
  <c r="S42" i="13"/>
  <c r="S106" i="13"/>
  <c r="S108" i="13"/>
  <c r="S151" i="13"/>
  <c r="S65" i="13"/>
  <c r="S184" i="13"/>
  <c r="S3" i="13"/>
  <c r="S92" i="13"/>
  <c r="S133" i="13"/>
  <c r="S49" i="13"/>
  <c r="S28" i="13"/>
  <c r="S115" i="13"/>
  <c r="S93" i="13"/>
  <c r="S176" i="13"/>
  <c r="S55" i="13"/>
  <c r="S30" i="13"/>
  <c r="S56" i="13"/>
  <c r="S40" i="13"/>
  <c r="S69" i="13"/>
  <c r="S9" i="13"/>
  <c r="S88" i="13"/>
  <c r="S26" i="13"/>
  <c r="S125" i="13"/>
  <c r="S31" i="13"/>
  <c r="S127" i="13"/>
  <c r="S182" i="13"/>
  <c r="S130" i="13"/>
  <c r="S72" i="13"/>
  <c r="S109" i="13"/>
  <c r="S73" i="13"/>
  <c r="S47" i="13"/>
  <c r="S132" i="13"/>
  <c r="S74" i="13"/>
  <c r="S76" i="13"/>
  <c r="S113" i="13"/>
  <c r="S85" i="13"/>
  <c r="S87" i="13"/>
  <c r="S177" i="13"/>
  <c r="S317" i="13"/>
  <c r="S12" i="13"/>
  <c r="S178" i="13"/>
  <c r="S70" i="13"/>
  <c r="S102" i="13"/>
  <c r="S321" i="13"/>
  <c r="S146" i="13"/>
  <c r="S147" i="13"/>
  <c r="S148" i="13"/>
  <c r="S103" i="13"/>
  <c r="S134" i="13"/>
  <c r="S128" i="13"/>
  <c r="S129" i="13"/>
  <c r="S149" i="13"/>
  <c r="S107" i="13"/>
  <c r="S91" i="13"/>
  <c r="S131" i="13"/>
  <c r="S33" i="13"/>
  <c r="S48" i="13"/>
  <c r="S27" i="13"/>
  <c r="S75" i="13"/>
  <c r="S11" i="13"/>
  <c r="S6" i="13"/>
  <c r="S114" i="13"/>
  <c r="R116" i="13"/>
  <c r="R221" i="13"/>
  <c r="R234" i="13"/>
  <c r="R35" i="13"/>
  <c r="R232" i="13"/>
  <c r="R204" i="13"/>
  <c r="R207" i="13"/>
  <c r="R135" i="13"/>
  <c r="R214" i="13"/>
  <c r="R154" i="13"/>
  <c r="R222" i="13"/>
  <c r="R235" i="13"/>
  <c r="R187" i="13"/>
  <c r="R203" i="13"/>
  <c r="R210" i="13"/>
  <c r="R226" i="13"/>
  <c r="R230" i="13"/>
  <c r="R136" i="13"/>
  <c r="R15" i="13"/>
  <c r="R228" i="13"/>
  <c r="R218" i="13"/>
  <c r="R117" i="13"/>
  <c r="R156" i="13"/>
  <c r="R212" i="13"/>
  <c r="R202" i="13"/>
  <c r="R211" i="13"/>
  <c r="R137" i="13"/>
  <c r="R215" i="13"/>
  <c r="R208" i="13"/>
  <c r="R225" i="13"/>
  <c r="R229" i="13"/>
  <c r="R205" i="13"/>
  <c r="R29" i="13"/>
  <c r="R216" i="13"/>
  <c r="R209" i="13"/>
  <c r="R219" i="13"/>
  <c r="R223" i="13"/>
  <c r="R233" i="13"/>
  <c r="R206" i="13"/>
  <c r="R155" i="13"/>
  <c r="R213" i="13"/>
  <c r="R217" i="13"/>
  <c r="R220" i="13"/>
  <c r="R224" i="13"/>
  <c r="R227" i="13"/>
  <c r="R231" i="13"/>
  <c r="R157" i="13"/>
  <c r="R94" i="13"/>
  <c r="R77" i="13"/>
  <c r="R95" i="13"/>
  <c r="R138" i="13"/>
  <c r="R16" i="13"/>
  <c r="R96" i="13"/>
  <c r="R140" i="13"/>
  <c r="R247" i="13"/>
  <c r="R252" i="13"/>
  <c r="R193" i="13"/>
  <c r="R24" i="13"/>
  <c r="R164" i="13"/>
  <c r="R167" i="13"/>
  <c r="R83" i="13"/>
  <c r="R196" i="13"/>
  <c r="R268" i="13"/>
  <c r="R38" i="13"/>
  <c r="R170" i="13"/>
  <c r="R278" i="13"/>
  <c r="R279" i="13"/>
  <c r="R282" i="13"/>
  <c r="R287" i="13"/>
  <c r="R292" i="13"/>
  <c r="R297" i="13"/>
  <c r="R300" i="13"/>
  <c r="R305" i="13"/>
  <c r="R100" i="13"/>
  <c r="R309" i="13"/>
  <c r="R174" i="13"/>
  <c r="R314" i="13"/>
  <c r="R199" i="13"/>
  <c r="R50" i="13"/>
  <c r="R23" i="13"/>
  <c r="R236" i="13"/>
  <c r="R78" i="13"/>
  <c r="R160" i="13"/>
  <c r="R79" i="13"/>
  <c r="R159" i="13"/>
  <c r="R161" i="13"/>
  <c r="R248" i="13"/>
  <c r="R253" i="13"/>
  <c r="R194" i="13"/>
  <c r="R255" i="13"/>
  <c r="R81" i="13"/>
  <c r="R258" i="13"/>
  <c r="R168" i="13"/>
  <c r="R264" i="13"/>
  <c r="R269" i="13"/>
  <c r="R273" i="13"/>
  <c r="R276" i="13"/>
  <c r="R172" i="13"/>
  <c r="R280" i="13"/>
  <c r="R283" i="13"/>
  <c r="R288" i="13"/>
  <c r="R293" i="13"/>
  <c r="R18" i="13"/>
  <c r="R301" i="13"/>
  <c r="R306" i="13"/>
  <c r="R312" i="13"/>
  <c r="R19" i="13"/>
  <c r="R188" i="13"/>
  <c r="R190" i="13"/>
  <c r="R237" i="13"/>
  <c r="R239" i="13"/>
  <c r="R139" i="13"/>
  <c r="R243" i="13"/>
  <c r="R141" i="13"/>
  <c r="R249" i="13"/>
  <c r="R43" i="13"/>
  <c r="R120" i="13"/>
  <c r="R5" i="13"/>
  <c r="R257" i="13"/>
  <c r="R259" i="13"/>
  <c r="R262" i="13"/>
  <c r="R265" i="13"/>
  <c r="R270" i="13"/>
  <c r="R274" i="13"/>
  <c r="R52" i="13"/>
  <c r="R197" i="13"/>
  <c r="R281" i="13"/>
  <c r="R284" i="13"/>
  <c r="R289" i="13"/>
  <c r="R294" i="13"/>
  <c r="R298" i="13"/>
  <c r="R302" i="13"/>
  <c r="R84" i="13"/>
  <c r="R315" i="13"/>
  <c r="R158" i="13"/>
  <c r="R36" i="13"/>
  <c r="R238" i="13"/>
  <c r="R240" i="13"/>
  <c r="R241" i="13"/>
  <c r="R244" i="13"/>
  <c r="R246" i="13"/>
  <c r="R250" i="13"/>
  <c r="R191" i="13"/>
  <c r="R162" i="13"/>
  <c r="R195" i="13"/>
  <c r="R80" i="13"/>
  <c r="R51" i="13"/>
  <c r="R165" i="13"/>
  <c r="R260" i="13"/>
  <c r="R261" i="13"/>
  <c r="R263" i="13"/>
  <c r="R266" i="13"/>
  <c r="R271" i="13"/>
  <c r="R275" i="13"/>
  <c r="R277" i="13"/>
  <c r="R99" i="13"/>
  <c r="R285" i="13"/>
  <c r="R290" i="13"/>
  <c r="R295" i="13"/>
  <c r="R299" i="13"/>
  <c r="R303" i="13"/>
  <c r="R307" i="13"/>
  <c r="R310" i="13"/>
  <c r="R53" i="13"/>
  <c r="R311" i="13"/>
  <c r="R142" i="13"/>
  <c r="R316" i="13"/>
  <c r="R189" i="13"/>
  <c r="R118" i="13"/>
  <c r="R37" i="13"/>
  <c r="R119" i="13"/>
  <c r="R242" i="13"/>
  <c r="R245" i="13"/>
  <c r="R327" i="13"/>
  <c r="R251" i="13"/>
  <c r="R192" i="13"/>
  <c r="R163" i="13"/>
  <c r="R254" i="13"/>
  <c r="R97" i="13"/>
  <c r="R67" i="13"/>
  <c r="R256" i="13"/>
  <c r="R98" i="13"/>
  <c r="R166" i="13"/>
  <c r="R82" i="13"/>
  <c r="R169" i="13"/>
  <c r="R267" i="13"/>
  <c r="R272" i="13"/>
  <c r="R2" i="13"/>
  <c r="R171" i="13"/>
  <c r="R173" i="13"/>
  <c r="R286" i="13"/>
  <c r="R291" i="13"/>
  <c r="R296" i="13"/>
  <c r="R198" i="13"/>
  <c r="R304" i="13"/>
  <c r="R308" i="13"/>
  <c r="R10" i="13"/>
  <c r="R313" i="13"/>
  <c r="R20" i="13"/>
  <c r="R54" i="13"/>
  <c r="R101" i="13"/>
  <c r="R44" i="13"/>
  <c r="R68" i="13"/>
  <c r="R21" i="13"/>
  <c r="R123" i="13"/>
  <c r="R143" i="13"/>
  <c r="R179" i="13"/>
  <c r="R319" i="13"/>
  <c r="R89" i="13"/>
  <c r="R41" i="13"/>
  <c r="R32" i="13"/>
  <c r="R59" i="13"/>
  <c r="R60" i="13"/>
  <c r="R322" i="13"/>
  <c r="R90" i="13"/>
  <c r="R62" i="13"/>
  <c r="R150" i="13"/>
  <c r="R13" i="13"/>
  <c r="R152" i="13"/>
  <c r="R66" i="13"/>
  <c r="R185" i="13"/>
  <c r="R34" i="13"/>
  <c r="R324" i="13"/>
  <c r="R153" i="13"/>
  <c r="R4" i="13"/>
  <c r="R175" i="13"/>
  <c r="R86" i="13"/>
  <c r="R8" i="13"/>
  <c r="R122" i="13"/>
  <c r="R57" i="13"/>
  <c r="R45" i="13"/>
  <c r="R124" i="13"/>
  <c r="R320" i="13"/>
  <c r="R144" i="13"/>
  <c r="R201" i="13"/>
  <c r="R58" i="13"/>
  <c r="R104" i="13"/>
  <c r="R105" i="13"/>
  <c r="R323" i="13"/>
  <c r="R22" i="13"/>
  <c r="R63" i="13"/>
  <c r="R7" i="13"/>
  <c r="R64" i="13"/>
  <c r="R183" i="13"/>
  <c r="R110" i="13"/>
  <c r="R111" i="13"/>
  <c r="R14" i="13"/>
  <c r="R112" i="13"/>
  <c r="R186" i="13"/>
  <c r="R326" i="13"/>
  <c r="R325" i="13"/>
  <c r="R121" i="13"/>
  <c r="R200" i="13"/>
  <c r="R39" i="13"/>
  <c r="R17" i="13"/>
  <c r="R25" i="13"/>
  <c r="R46" i="13"/>
  <c r="R318" i="13"/>
  <c r="R180" i="13"/>
  <c r="R145" i="13"/>
  <c r="R181" i="13"/>
  <c r="R71" i="13"/>
  <c r="R126" i="13"/>
  <c r="R61" i="13"/>
  <c r="R42" i="13"/>
  <c r="R106" i="13"/>
  <c r="R108" i="13"/>
  <c r="R151" i="13"/>
  <c r="R65" i="13"/>
  <c r="R184" i="13"/>
  <c r="R3" i="13"/>
  <c r="R92" i="13"/>
  <c r="R133" i="13"/>
  <c r="R49" i="13"/>
  <c r="R28" i="13"/>
  <c r="R115" i="13"/>
  <c r="R93" i="13"/>
  <c r="R176" i="13"/>
  <c r="R55" i="13"/>
  <c r="R30" i="13"/>
  <c r="R56" i="13"/>
  <c r="R40" i="13"/>
  <c r="R69" i="13"/>
  <c r="R9" i="13"/>
  <c r="R88" i="13"/>
  <c r="R26" i="13"/>
  <c r="R125" i="13"/>
  <c r="R31" i="13"/>
  <c r="R127" i="13"/>
  <c r="R182" i="13"/>
  <c r="R130" i="13"/>
  <c r="R72" i="13"/>
  <c r="R109" i="13"/>
  <c r="R73" i="13"/>
  <c r="R47" i="13"/>
  <c r="R132" i="13"/>
  <c r="R74" i="13"/>
  <c r="R76" i="13"/>
  <c r="R113" i="13"/>
  <c r="R85" i="13"/>
  <c r="R87" i="13"/>
  <c r="R177" i="13"/>
  <c r="R317" i="13"/>
  <c r="R12" i="13"/>
  <c r="R178" i="13"/>
  <c r="R70" i="13"/>
  <c r="R102" i="13"/>
  <c r="R321" i="13"/>
  <c r="R146" i="13"/>
  <c r="R147" i="13"/>
  <c r="R148" i="13"/>
  <c r="R103" i="13"/>
  <c r="R134" i="13"/>
  <c r="R128" i="13"/>
  <c r="R129" i="13"/>
  <c r="R149" i="13"/>
  <c r="R107" i="13"/>
  <c r="R91" i="13"/>
  <c r="R131" i="13"/>
  <c r="R33" i="13"/>
  <c r="R48" i="13"/>
  <c r="R27" i="13"/>
  <c r="R75" i="13"/>
  <c r="R11" i="13"/>
  <c r="R6" i="13"/>
  <c r="R114" i="13"/>
  <c r="Q116" i="13"/>
  <c r="Q221" i="13"/>
  <c r="Q234" i="13"/>
  <c r="Q35" i="13"/>
  <c r="Q232" i="13"/>
  <c r="Q204" i="13"/>
  <c r="Q207" i="13"/>
  <c r="Q135" i="13"/>
  <c r="Q214" i="13"/>
  <c r="Q154" i="13"/>
  <c r="Q222" i="13"/>
  <c r="Q235" i="13"/>
  <c r="Q187" i="13"/>
  <c r="Q203" i="13"/>
  <c r="Q210" i="13"/>
  <c r="Q226" i="13"/>
  <c r="Q230" i="13"/>
  <c r="Q136" i="13"/>
  <c r="Q15" i="13"/>
  <c r="Q228" i="13"/>
  <c r="Q218" i="13"/>
  <c r="Q117" i="13"/>
  <c r="Q156" i="13"/>
  <c r="Q212" i="13"/>
  <c r="Q202" i="13"/>
  <c r="Q211" i="13"/>
  <c r="Q137" i="13"/>
  <c r="Q215" i="13"/>
  <c r="Q208" i="13"/>
  <c r="Q225" i="13"/>
  <c r="Q229" i="13"/>
  <c r="Q205" i="13"/>
  <c r="Q29" i="13"/>
  <c r="Q216" i="13"/>
  <c r="Q209" i="13"/>
  <c r="Q219" i="13"/>
  <c r="Q223" i="13"/>
  <c r="Q233" i="13"/>
  <c r="Q206" i="13"/>
  <c r="Q155" i="13"/>
  <c r="Q213" i="13"/>
  <c r="Q217" i="13"/>
  <c r="Q220" i="13"/>
  <c r="Q224" i="13"/>
  <c r="Q227" i="13"/>
  <c r="Q231" i="13"/>
  <c r="Q157" i="13"/>
  <c r="Q94" i="13"/>
  <c r="Q77" i="13"/>
  <c r="Q95" i="13"/>
  <c r="Q138" i="13"/>
  <c r="Q16" i="13"/>
  <c r="Q96" i="13"/>
  <c r="Q140" i="13"/>
  <c r="Q247" i="13"/>
  <c r="Q252" i="13"/>
  <c r="Q193" i="13"/>
  <c r="Q24" i="13"/>
  <c r="Q164" i="13"/>
  <c r="Q167" i="13"/>
  <c r="Q83" i="13"/>
  <c r="Q196" i="13"/>
  <c r="Q268" i="13"/>
  <c r="Q38" i="13"/>
  <c r="Q170" i="13"/>
  <c r="Q278" i="13"/>
  <c r="Q279" i="13"/>
  <c r="Q282" i="13"/>
  <c r="Q287" i="13"/>
  <c r="Q292" i="13"/>
  <c r="Q297" i="13"/>
  <c r="Q300" i="13"/>
  <c r="Q305" i="13"/>
  <c r="Q100" i="13"/>
  <c r="Q309" i="13"/>
  <c r="Q174" i="13"/>
  <c r="Q314" i="13"/>
  <c r="Q199" i="13"/>
  <c r="Q50" i="13"/>
  <c r="Q23" i="13"/>
  <c r="Q236" i="13"/>
  <c r="Q78" i="13"/>
  <c r="Q160" i="13"/>
  <c r="Q79" i="13"/>
  <c r="Q159" i="13"/>
  <c r="Q161" i="13"/>
  <c r="Q248" i="13"/>
  <c r="Q253" i="13"/>
  <c r="Q194" i="13"/>
  <c r="Q255" i="13"/>
  <c r="Q81" i="13"/>
  <c r="Q258" i="13"/>
  <c r="Q168" i="13"/>
  <c r="Q264" i="13"/>
  <c r="Q269" i="13"/>
  <c r="Q273" i="13"/>
  <c r="Q276" i="13"/>
  <c r="Q172" i="13"/>
  <c r="Q280" i="13"/>
  <c r="Q283" i="13"/>
  <c r="Q288" i="13"/>
  <c r="Q293" i="13"/>
  <c r="Q18" i="13"/>
  <c r="Q301" i="13"/>
  <c r="Q306" i="13"/>
  <c r="Q312" i="13"/>
  <c r="Q19" i="13"/>
  <c r="Q188" i="13"/>
  <c r="Q190" i="13"/>
  <c r="Q237" i="13"/>
  <c r="Q239" i="13"/>
  <c r="Q139" i="13"/>
  <c r="Q243" i="13"/>
  <c r="Q141" i="13"/>
  <c r="Q249" i="13"/>
  <c r="Q43" i="13"/>
  <c r="Q120" i="13"/>
  <c r="Q5" i="13"/>
  <c r="Q257" i="13"/>
  <c r="Q259" i="13"/>
  <c r="Q262" i="13"/>
  <c r="Q265" i="13"/>
  <c r="Q270" i="13"/>
  <c r="Q274" i="13"/>
  <c r="Q52" i="13"/>
  <c r="Q197" i="13"/>
  <c r="Q281" i="13"/>
  <c r="Q284" i="13"/>
  <c r="Q289" i="13"/>
  <c r="Q294" i="13"/>
  <c r="Q298" i="13"/>
  <c r="Q302" i="13"/>
  <c r="Q84" i="13"/>
  <c r="Q315" i="13"/>
  <c r="Q158" i="13"/>
  <c r="Q36" i="13"/>
  <c r="Q238" i="13"/>
  <c r="Q240" i="13"/>
  <c r="Q241" i="13"/>
  <c r="Q244" i="13"/>
  <c r="Q246" i="13"/>
  <c r="Q250" i="13"/>
  <c r="Q191" i="13"/>
  <c r="Q162" i="13"/>
  <c r="Q195" i="13"/>
  <c r="Q80" i="13"/>
  <c r="Q51" i="13"/>
  <c r="Q165" i="13"/>
  <c r="Q260" i="13"/>
  <c r="Q261" i="13"/>
  <c r="Q263" i="13"/>
  <c r="Q266" i="13"/>
  <c r="Q271" i="13"/>
  <c r="Q275" i="13"/>
  <c r="Q277" i="13"/>
  <c r="Q99" i="13"/>
  <c r="Q285" i="13"/>
  <c r="Q290" i="13"/>
  <c r="Q295" i="13"/>
  <c r="Q299" i="13"/>
  <c r="Q303" i="13"/>
  <c r="Q307" i="13"/>
  <c r="Q310" i="13"/>
  <c r="Q53" i="13"/>
  <c r="Q311" i="13"/>
  <c r="Q142" i="13"/>
  <c r="Q316" i="13"/>
  <c r="Q189" i="13"/>
  <c r="Q118" i="13"/>
  <c r="Q37" i="13"/>
  <c r="Q119" i="13"/>
  <c r="Q242" i="13"/>
  <c r="Q245" i="13"/>
  <c r="Q327" i="13"/>
  <c r="Q251" i="13"/>
  <c r="Q192" i="13"/>
  <c r="Q163" i="13"/>
  <c r="Q254" i="13"/>
  <c r="Q97" i="13"/>
  <c r="Q67" i="13"/>
  <c r="Q256" i="13"/>
  <c r="Q98" i="13"/>
  <c r="Q166" i="13"/>
  <c r="Q82" i="13"/>
  <c r="Q169" i="13"/>
  <c r="Q267" i="13"/>
  <c r="Q272" i="13"/>
  <c r="Q2" i="13"/>
  <c r="Q171" i="13"/>
  <c r="Q173" i="13"/>
  <c r="Q286" i="13"/>
  <c r="Q291" i="13"/>
  <c r="Q296" i="13"/>
  <c r="Q198" i="13"/>
  <c r="Q304" i="13"/>
  <c r="Q308" i="13"/>
  <c r="Q10" i="13"/>
  <c r="Q313" i="13"/>
  <c r="Q20" i="13"/>
  <c r="Q54" i="13"/>
  <c r="Q101" i="13"/>
  <c r="Q44" i="13"/>
  <c r="Q68" i="13"/>
  <c r="Q21" i="13"/>
  <c r="Q123" i="13"/>
  <c r="Q143" i="13"/>
  <c r="Q179" i="13"/>
  <c r="Q319" i="13"/>
  <c r="Q89" i="13"/>
  <c r="Q41" i="13"/>
  <c r="Q32" i="13"/>
  <c r="Q59" i="13"/>
  <c r="Q60" i="13"/>
  <c r="Q322" i="13"/>
  <c r="Q90" i="13"/>
  <c r="Q62" i="13"/>
  <c r="Q150" i="13"/>
  <c r="Q13" i="13"/>
  <c r="Q152" i="13"/>
  <c r="Q66" i="13"/>
  <c r="Q185" i="13"/>
  <c r="Q34" i="13"/>
  <c r="Q324" i="13"/>
  <c r="Q153" i="13"/>
  <c r="Q4" i="13"/>
  <c r="Q175" i="13"/>
  <c r="Q86" i="13"/>
  <c r="Q8" i="13"/>
  <c r="Q122" i="13"/>
  <c r="Q57" i="13"/>
  <c r="Q45" i="13"/>
  <c r="Q124" i="13"/>
  <c r="Q320" i="13"/>
  <c r="Q144" i="13"/>
  <c r="Q201" i="13"/>
  <c r="Q58" i="13"/>
  <c r="Q104" i="13"/>
  <c r="Q105" i="13"/>
  <c r="Q323" i="13"/>
  <c r="Q22" i="13"/>
  <c r="Q63" i="13"/>
  <c r="Q7" i="13"/>
  <c r="Q64" i="13"/>
  <c r="Q183" i="13"/>
  <c r="Q110" i="13"/>
  <c r="Q111" i="13"/>
  <c r="Q14" i="13"/>
  <c r="Q112" i="13"/>
  <c r="Q186" i="13"/>
  <c r="Q326" i="13"/>
  <c r="Q325" i="13"/>
  <c r="Q121" i="13"/>
  <c r="Q200" i="13"/>
  <c r="Q39" i="13"/>
  <c r="Q17" i="13"/>
  <c r="Q25" i="13"/>
  <c r="Q46" i="13"/>
  <c r="Q318" i="13"/>
  <c r="Q180" i="13"/>
  <c r="Q145" i="13"/>
  <c r="Q181" i="13"/>
  <c r="Q71" i="13"/>
  <c r="Q126" i="13"/>
  <c r="Q61" i="13"/>
  <c r="Q42" i="13"/>
  <c r="Q106" i="13"/>
  <c r="Q108" i="13"/>
  <c r="Q151" i="13"/>
  <c r="Q65" i="13"/>
  <c r="Q184" i="13"/>
  <c r="Q3" i="13"/>
  <c r="Q92" i="13"/>
  <c r="Q133" i="13"/>
  <c r="Q49" i="13"/>
  <c r="Q28" i="13"/>
  <c r="Q115" i="13"/>
  <c r="Q93" i="13"/>
  <c r="Q176" i="13"/>
  <c r="Q55" i="13"/>
  <c r="Q30" i="13"/>
  <c r="Q56" i="13"/>
  <c r="Q40" i="13"/>
  <c r="Q69" i="13"/>
  <c r="Q9" i="13"/>
  <c r="Q88" i="13"/>
  <c r="Q26" i="13"/>
  <c r="Q125" i="13"/>
  <c r="Q31" i="13"/>
  <c r="Q127" i="13"/>
  <c r="Q182" i="13"/>
  <c r="Q130" i="13"/>
  <c r="Q72" i="13"/>
  <c r="Q109" i="13"/>
  <c r="Q73" i="13"/>
  <c r="Q47" i="13"/>
  <c r="Q132" i="13"/>
  <c r="Q74" i="13"/>
  <c r="Q76" i="13"/>
  <c r="Q113" i="13"/>
  <c r="Q85" i="13"/>
  <c r="Q87" i="13"/>
  <c r="Q177" i="13"/>
  <c r="Q317" i="13"/>
  <c r="Q12" i="13"/>
  <c r="Q178" i="13"/>
  <c r="Q70" i="13"/>
  <c r="Q102" i="13"/>
  <c r="Q321" i="13"/>
  <c r="Q146" i="13"/>
  <c r="Q147" i="13"/>
  <c r="Q148" i="13"/>
  <c r="Q103" i="13"/>
  <c r="Q134" i="13"/>
  <c r="Q128" i="13"/>
  <c r="Q129" i="13"/>
  <c r="Q149" i="13"/>
  <c r="Q107" i="13"/>
  <c r="Q91" i="13"/>
  <c r="Q131" i="13"/>
  <c r="Q33" i="13"/>
  <c r="Q48" i="13"/>
  <c r="Q27" i="13"/>
  <c r="Q75" i="13"/>
  <c r="Q11" i="13"/>
  <c r="Q6" i="13"/>
  <c r="Q114" i="13"/>
  <c r="T116" i="13"/>
  <c r="T221" i="13"/>
  <c r="T234" i="13"/>
  <c r="T35" i="13"/>
  <c r="T232" i="13"/>
  <c r="T204" i="13"/>
  <c r="T207" i="13"/>
  <c r="T135" i="13"/>
  <c r="T214" i="13"/>
  <c r="T154" i="13"/>
  <c r="T222" i="13"/>
  <c r="T235" i="13"/>
  <c r="T187" i="13"/>
  <c r="T203" i="13"/>
  <c r="T210" i="13"/>
  <c r="T226" i="13"/>
  <c r="T230" i="13"/>
  <c r="T136" i="13"/>
  <c r="T15" i="13"/>
  <c r="T228" i="13"/>
  <c r="T218" i="13"/>
  <c r="T117" i="13"/>
  <c r="T156" i="13"/>
  <c r="T212" i="13"/>
  <c r="T202" i="13"/>
  <c r="T211" i="13"/>
  <c r="T137" i="13"/>
  <c r="T215" i="13"/>
  <c r="T208" i="13"/>
  <c r="T225" i="13"/>
  <c r="T229" i="13"/>
  <c r="T205" i="13"/>
  <c r="T29" i="13"/>
  <c r="T216" i="13"/>
  <c r="T209" i="13"/>
  <c r="T219" i="13"/>
  <c r="T223" i="13"/>
  <c r="T233" i="13"/>
  <c r="T206" i="13"/>
  <c r="T155" i="13"/>
  <c r="T213" i="13"/>
  <c r="T217" i="13"/>
  <c r="T220" i="13"/>
  <c r="T224" i="13"/>
  <c r="T227" i="13"/>
  <c r="T231" i="13"/>
  <c r="T157" i="13"/>
  <c r="T94" i="13"/>
  <c r="T77" i="13"/>
  <c r="T95" i="13"/>
  <c r="T138" i="13"/>
  <c r="T16" i="13"/>
  <c r="T96" i="13"/>
  <c r="T140" i="13"/>
  <c r="T247" i="13"/>
  <c r="T252" i="13"/>
  <c r="T193" i="13"/>
  <c r="T24" i="13"/>
  <c r="T164" i="13"/>
  <c r="T167" i="13"/>
  <c r="T83" i="13"/>
  <c r="T196" i="13"/>
  <c r="T268" i="13"/>
  <c r="T38" i="13"/>
  <c r="T170" i="13"/>
  <c r="T278" i="13"/>
  <c r="T279" i="13"/>
  <c r="T282" i="13"/>
  <c r="T287" i="13"/>
  <c r="T292" i="13"/>
  <c r="T297" i="13"/>
  <c r="T300" i="13"/>
  <c r="T305" i="13"/>
  <c r="T100" i="13"/>
  <c r="T309" i="13"/>
  <c r="T174" i="13"/>
  <c r="T314" i="13"/>
  <c r="T199" i="13"/>
  <c r="T50" i="13"/>
  <c r="T23" i="13"/>
  <c r="T236" i="13"/>
  <c r="T78" i="13"/>
  <c r="T160" i="13"/>
  <c r="T79" i="13"/>
  <c r="T159" i="13"/>
  <c r="T161" i="13"/>
  <c r="T248" i="13"/>
  <c r="T253" i="13"/>
  <c r="T194" i="13"/>
  <c r="T255" i="13"/>
  <c r="T81" i="13"/>
  <c r="T258" i="13"/>
  <c r="T168" i="13"/>
  <c r="T264" i="13"/>
  <c r="T269" i="13"/>
  <c r="T273" i="13"/>
  <c r="T276" i="13"/>
  <c r="T172" i="13"/>
  <c r="T280" i="13"/>
  <c r="T283" i="13"/>
  <c r="T288" i="13"/>
  <c r="T293" i="13"/>
  <c r="T18" i="13"/>
  <c r="T301" i="13"/>
  <c r="T306" i="13"/>
  <c r="T312" i="13"/>
  <c r="T19" i="13"/>
  <c r="T188" i="13"/>
  <c r="T190" i="13"/>
  <c r="T237" i="13"/>
  <c r="T239" i="13"/>
  <c r="T139" i="13"/>
  <c r="T243" i="13"/>
  <c r="T141" i="13"/>
  <c r="T249" i="13"/>
  <c r="T43" i="13"/>
  <c r="T120" i="13"/>
  <c r="T5" i="13"/>
  <c r="T257" i="13"/>
  <c r="T259" i="13"/>
  <c r="T262" i="13"/>
  <c r="T265" i="13"/>
  <c r="T270" i="13"/>
  <c r="T274" i="13"/>
  <c r="T52" i="13"/>
  <c r="T197" i="13"/>
  <c r="T281" i="13"/>
  <c r="T284" i="13"/>
  <c r="T289" i="13"/>
  <c r="T294" i="13"/>
  <c r="T298" i="13"/>
  <c r="T302" i="13"/>
  <c r="T84" i="13"/>
  <c r="T315" i="13"/>
  <c r="T158" i="13"/>
  <c r="T36" i="13"/>
  <c r="T238" i="13"/>
  <c r="T240" i="13"/>
  <c r="T241" i="13"/>
  <c r="T244" i="13"/>
  <c r="T246" i="13"/>
  <c r="T250" i="13"/>
  <c r="T191" i="13"/>
  <c r="T162" i="13"/>
  <c r="T195" i="13"/>
  <c r="T80" i="13"/>
  <c r="T51" i="13"/>
  <c r="T165" i="13"/>
  <c r="T260" i="13"/>
  <c r="T261" i="13"/>
  <c r="T263" i="13"/>
  <c r="T266" i="13"/>
  <c r="T271" i="13"/>
  <c r="T275" i="13"/>
  <c r="T277" i="13"/>
  <c r="T99" i="13"/>
  <c r="T285" i="13"/>
  <c r="T290" i="13"/>
  <c r="T295" i="13"/>
  <c r="T299" i="13"/>
  <c r="T303" i="13"/>
  <c r="T307" i="13"/>
  <c r="T310" i="13"/>
  <c r="T53" i="13"/>
  <c r="T311" i="13"/>
  <c r="T142" i="13"/>
  <c r="T316" i="13"/>
  <c r="T189" i="13"/>
  <c r="T118" i="13"/>
  <c r="T37" i="13"/>
  <c r="T119" i="13"/>
  <c r="T242" i="13"/>
  <c r="T245" i="13"/>
  <c r="T327" i="13"/>
  <c r="T251" i="13"/>
  <c r="T192" i="13"/>
  <c r="T163" i="13"/>
  <c r="T254" i="13"/>
  <c r="T97" i="13"/>
  <c r="T67" i="13"/>
  <c r="T256" i="13"/>
  <c r="T98" i="13"/>
  <c r="T166" i="13"/>
  <c r="T82" i="13"/>
  <c r="T169" i="13"/>
  <c r="T267" i="13"/>
  <c r="T272" i="13"/>
  <c r="T2" i="13"/>
  <c r="T171" i="13"/>
  <c r="T173" i="13"/>
  <c r="T286" i="13"/>
  <c r="T291" i="13"/>
  <c r="T296" i="13"/>
  <c r="T198" i="13"/>
  <c r="T304" i="13"/>
  <c r="T308" i="13"/>
  <c r="T10" i="13"/>
  <c r="T313" i="13"/>
  <c r="T20" i="13"/>
  <c r="T54" i="13"/>
  <c r="T101" i="13"/>
  <c r="T44" i="13"/>
  <c r="T68" i="13"/>
  <c r="T21" i="13"/>
  <c r="T123" i="13"/>
  <c r="T143" i="13"/>
  <c r="T179" i="13"/>
  <c r="T319" i="13"/>
  <c r="T89" i="13"/>
  <c r="T41" i="13"/>
  <c r="T32" i="13"/>
  <c r="T59" i="13"/>
  <c r="T60" i="13"/>
  <c r="T322" i="13"/>
  <c r="T90" i="13"/>
  <c r="T62" i="13"/>
  <c r="T150" i="13"/>
  <c r="T13" i="13"/>
  <c r="T152" i="13"/>
  <c r="T66" i="13"/>
  <c r="T185" i="13"/>
  <c r="T34" i="13"/>
  <c r="T324" i="13"/>
  <c r="T153" i="13"/>
  <c r="T4" i="13"/>
  <c r="T175" i="13"/>
  <c r="T86" i="13"/>
  <c r="T8" i="13"/>
  <c r="T122" i="13"/>
  <c r="T57" i="13"/>
  <c r="T45" i="13"/>
  <c r="T124" i="13"/>
  <c r="T320" i="13"/>
  <c r="T144" i="13"/>
  <c r="T201" i="13"/>
  <c r="T58" i="13"/>
  <c r="T104" i="13"/>
  <c r="T105" i="13"/>
  <c r="T323" i="13"/>
  <c r="T22" i="13"/>
  <c r="T63" i="13"/>
  <c r="T7" i="13"/>
  <c r="T64" i="13"/>
  <c r="T183" i="13"/>
  <c r="T110" i="13"/>
  <c r="T111" i="13"/>
  <c r="T14" i="13"/>
  <c r="T112" i="13"/>
  <c r="T186" i="13"/>
  <c r="T326" i="13"/>
  <c r="T325" i="13"/>
  <c r="T121" i="13"/>
  <c r="T200" i="13"/>
  <c r="T39" i="13"/>
  <c r="T17" i="13"/>
  <c r="T25" i="13"/>
  <c r="T46" i="13"/>
  <c r="T318" i="13"/>
  <c r="T180" i="13"/>
  <c r="T145" i="13"/>
  <c r="T181" i="13"/>
  <c r="T71" i="13"/>
  <c r="T126" i="13"/>
  <c r="T61" i="13"/>
  <c r="T42" i="13"/>
  <c r="T106" i="13"/>
  <c r="T108" i="13"/>
  <c r="T151" i="13"/>
  <c r="T65" i="13"/>
  <c r="T184" i="13"/>
  <c r="T3" i="13"/>
  <c r="T92" i="13"/>
  <c r="T133" i="13"/>
  <c r="T49" i="13"/>
  <c r="T28" i="13"/>
  <c r="T115" i="13"/>
  <c r="T93" i="13"/>
  <c r="T176" i="13"/>
  <c r="T55" i="13"/>
  <c r="T30" i="13"/>
  <c r="T56" i="13"/>
  <c r="T40" i="13"/>
  <c r="T69" i="13"/>
  <c r="T9" i="13"/>
  <c r="T88" i="13"/>
  <c r="T26" i="13"/>
  <c r="T125" i="13"/>
  <c r="T31" i="13"/>
  <c r="T127" i="13"/>
  <c r="T182" i="13"/>
  <c r="T130" i="13"/>
  <c r="T72" i="13"/>
  <c r="T109" i="13"/>
  <c r="T73" i="13"/>
  <c r="T47" i="13"/>
  <c r="T132" i="13"/>
  <c r="T74" i="13"/>
  <c r="T76" i="13"/>
  <c r="T113" i="13"/>
  <c r="T85" i="13"/>
  <c r="T87" i="13"/>
  <c r="T177" i="13"/>
  <c r="T317" i="13"/>
  <c r="T12" i="13"/>
  <c r="T178" i="13"/>
  <c r="T70" i="13"/>
  <c r="T102" i="13"/>
  <c r="T321" i="13"/>
  <c r="T146" i="13"/>
  <c r="T147" i="13"/>
  <c r="T148" i="13"/>
  <c r="T103" i="13"/>
  <c r="T134" i="13"/>
  <c r="T128" i="13"/>
  <c r="T129" i="13"/>
  <c r="T149" i="13"/>
  <c r="T107" i="13"/>
  <c r="T91" i="13"/>
  <c r="T131" i="13"/>
  <c r="T33" i="13"/>
  <c r="T48" i="13"/>
  <c r="T27" i="13"/>
  <c r="T75" i="13"/>
  <c r="T11" i="13"/>
  <c r="T6" i="13"/>
  <c r="T114" i="13"/>
  <c r="AT101" i="6" l="1"/>
  <c r="AR1174" i="6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2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R55" i="6"/>
  <c r="I55" i="6"/>
  <c r="G55" i="6" s="1"/>
  <c r="H55" i="6"/>
  <c r="R46" i="6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R32" i="4"/>
  <c r="J32" i="4"/>
  <c r="E32" i="4"/>
  <c r="L32" i="4" s="1"/>
  <c r="AT13" i="6" l="1"/>
  <c r="AS13" i="6"/>
  <c r="AO14" i="6"/>
  <c r="AU14" i="6" s="1"/>
  <c r="AM13" i="6"/>
  <c r="AR10" i="6"/>
  <c r="AQ10" i="6"/>
  <c r="K32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2" i="4"/>
  <c r="S32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R13" i="4"/>
  <c r="L13" i="4"/>
  <c r="K13" i="4"/>
  <c r="J13" i="4"/>
  <c r="T6" i="5"/>
  <c r="W6" i="5"/>
  <c r="V6" i="5"/>
  <c r="U6" i="5"/>
  <c r="R6" i="5"/>
  <c r="S6" i="5"/>
  <c r="AT15" i="6" l="1"/>
  <c r="AS15" i="6"/>
  <c r="AO16" i="6"/>
  <c r="AU16" i="6" s="1"/>
  <c r="AM15" i="6"/>
  <c r="AQ12" i="6"/>
  <c r="AR12" i="6"/>
  <c r="I38" i="2"/>
  <c r="J37" i="2"/>
  <c r="K37" i="2"/>
  <c r="O13" i="4"/>
  <c r="S13" i="4" s="1"/>
  <c r="R22" i="4"/>
  <c r="L22" i="4"/>
  <c r="K22" i="4"/>
  <c r="J22" i="4"/>
  <c r="K17" i="4"/>
  <c r="K16" i="4"/>
  <c r="K20" i="4"/>
  <c r="K15" i="4"/>
  <c r="K21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27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4" i="4" s="1"/>
  <c r="L179" i="3"/>
  <c r="L180" i="3"/>
  <c r="L181" i="3"/>
  <c r="L182" i="3"/>
  <c r="L183" i="3"/>
  <c r="L184" i="3"/>
  <c r="L185" i="3"/>
  <c r="L186" i="3"/>
  <c r="L187" i="3"/>
  <c r="L188" i="3"/>
  <c r="L189" i="3"/>
  <c r="M4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9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7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81" i="3"/>
  <c r="L882" i="3"/>
  <c r="L883" i="3"/>
  <c r="L884" i="3"/>
  <c r="L885" i="3"/>
  <c r="L886" i="3"/>
  <c r="L887" i="3"/>
  <c r="L888" i="3"/>
  <c r="L889" i="3"/>
  <c r="L890" i="3"/>
  <c r="L892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8" i="3"/>
  <c r="L909" i="3"/>
  <c r="L910" i="3"/>
  <c r="L912" i="3"/>
  <c r="L913" i="3"/>
  <c r="L914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7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5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4" i="3"/>
  <c r="L1225" i="3"/>
  <c r="L1226" i="3"/>
  <c r="L1227" i="3"/>
  <c r="L1228" i="3"/>
  <c r="L1229" i="3"/>
  <c r="L1230" i="3"/>
  <c r="L1232" i="3"/>
  <c r="L1233" i="3"/>
  <c r="L1234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4" i="3"/>
  <c r="K1225" i="3"/>
  <c r="K1226" i="3"/>
  <c r="K1227" i="3"/>
  <c r="K1228" i="3"/>
  <c r="K1229" i="3"/>
  <c r="K1230" i="3"/>
  <c r="K1231" i="3"/>
  <c r="K1232" i="3"/>
  <c r="K1233" i="3"/>
  <c r="K1234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2" i="3"/>
  <c r="R8" i="3"/>
  <c r="K295" i="3" s="1"/>
  <c r="T8" i="3"/>
  <c r="L295" i="3" s="1"/>
  <c r="T5" i="3"/>
  <c r="L891" i="3" s="1"/>
  <c r="L1370" i="3" l="1"/>
  <c r="L1346" i="3"/>
  <c r="M7" i="4" s="1"/>
  <c r="K1370" i="3"/>
  <c r="K1346" i="3"/>
  <c r="I8" i="4"/>
  <c r="N8" i="4" s="1"/>
  <c r="L1327" i="3"/>
  <c r="M8" i="4" s="1"/>
  <c r="K1327" i="3"/>
  <c r="L1231" i="3"/>
  <c r="M6" i="4"/>
  <c r="I6" i="4"/>
  <c r="N6" i="4" s="1"/>
  <c r="K1235" i="3"/>
  <c r="K1223" i="3"/>
  <c r="L1235" i="3"/>
  <c r="L1223" i="3"/>
  <c r="I7" i="4"/>
  <c r="N7" i="4" s="1"/>
  <c r="L1114" i="3"/>
  <c r="I14" i="4"/>
  <c r="N14" i="4" s="1"/>
  <c r="AT16" i="6"/>
  <c r="AS16" i="6"/>
  <c r="AO17" i="6"/>
  <c r="AU17" i="6" s="1"/>
  <c r="AM16" i="6"/>
  <c r="AR13" i="6"/>
  <c r="AQ13" i="6"/>
  <c r="I32" i="4"/>
  <c r="N32" i="4" s="1"/>
  <c r="M32" i="4"/>
  <c r="K38" i="2"/>
  <c r="J38" i="2"/>
  <c r="M23" i="4"/>
  <c r="K1016" i="3"/>
  <c r="L1016" i="3"/>
  <c r="M30" i="4"/>
  <c r="M31" i="4"/>
  <c r="M12" i="4"/>
  <c r="M15" i="4"/>
  <c r="M19" i="4"/>
  <c r="M10" i="4"/>
  <c r="M9" i="4"/>
  <c r="M3" i="4"/>
  <c r="M17" i="4"/>
  <c r="M11" i="4"/>
  <c r="M13" i="4"/>
  <c r="M18" i="4"/>
  <c r="M29" i="4"/>
  <c r="M20" i="4"/>
  <c r="M5" i="4"/>
  <c r="M28" i="4"/>
  <c r="M16" i="4"/>
  <c r="M26" i="4"/>
  <c r="I13" i="4"/>
  <c r="N13" i="4" s="1"/>
  <c r="I22" i="4"/>
  <c r="N22" i="4" s="1"/>
  <c r="O22" i="4"/>
  <c r="S22" i="4" s="1"/>
  <c r="K878" i="3"/>
  <c r="K874" i="3"/>
  <c r="K538" i="3"/>
  <c r="L880" i="3"/>
  <c r="L876" i="3"/>
  <c r="L856" i="3"/>
  <c r="M21" i="4" s="1"/>
  <c r="K879" i="3"/>
  <c r="K875" i="3"/>
  <c r="L877" i="3"/>
  <c r="L873" i="3"/>
  <c r="K880" i="3"/>
  <c r="K876" i="3"/>
  <c r="K856" i="3"/>
  <c r="L878" i="3"/>
  <c r="L874" i="3"/>
  <c r="L538" i="3"/>
  <c r="K877" i="3"/>
  <c r="K873" i="3"/>
  <c r="L879" i="3"/>
  <c r="L875" i="3"/>
  <c r="L915" i="3"/>
  <c r="L911" i="3"/>
  <c r="L907" i="3"/>
  <c r="R23" i="4"/>
  <c r="J23" i="4"/>
  <c r="L23" i="4"/>
  <c r="Q32" i="4" l="1"/>
  <c r="P32" i="4"/>
  <c r="R20" i="14"/>
  <c r="O12" i="14"/>
  <c r="O10" i="14" s="1"/>
  <c r="Q6" i="4"/>
  <c r="P6" i="4"/>
  <c r="Q13" i="4"/>
  <c r="P13" i="4"/>
  <c r="P23" i="4"/>
  <c r="Q8" i="4"/>
  <c r="P8" i="4"/>
  <c r="Q7" i="4"/>
  <c r="P7" i="4"/>
  <c r="P12" i="14"/>
  <c r="P10" i="14" s="1"/>
  <c r="Q12" i="14"/>
  <c r="Q10" i="14" s="1"/>
  <c r="M14" i="4"/>
  <c r="AT17" i="6"/>
  <c r="AS17" i="6"/>
  <c r="AO18" i="6"/>
  <c r="AU18" i="6" s="1"/>
  <c r="AM17" i="6"/>
  <c r="AR14" i="6"/>
  <c r="AQ14" i="6"/>
  <c r="M22" i="4"/>
  <c r="M25" i="4"/>
  <c r="K23" i="4"/>
  <c r="O23" i="4"/>
  <c r="S23" i="4" s="1"/>
  <c r="Q23" i="4"/>
  <c r="R25" i="4"/>
  <c r="L25" i="4"/>
  <c r="K25" i="4"/>
  <c r="J25" i="4"/>
  <c r="R15" i="4"/>
  <c r="L15" i="4"/>
  <c r="J15" i="4"/>
  <c r="P15" i="4" s="1"/>
  <c r="R21" i="4"/>
  <c r="L21" i="4"/>
  <c r="J21" i="4"/>
  <c r="P21" i="4" s="1"/>
  <c r="R20" i="4"/>
  <c r="L20" i="4"/>
  <c r="J20" i="4"/>
  <c r="P20" i="4" s="1"/>
  <c r="R17" i="4"/>
  <c r="L17" i="4"/>
  <c r="J17" i="4"/>
  <c r="P17" i="4" s="1"/>
  <c r="T4" i="5"/>
  <c r="W5" i="5"/>
  <c r="S4" i="5"/>
  <c r="T5" i="5"/>
  <c r="U5" i="5"/>
  <c r="S5" i="5"/>
  <c r="U4" i="5"/>
  <c r="R5" i="5"/>
  <c r="V4" i="5"/>
  <c r="V5" i="5"/>
  <c r="W4" i="5"/>
  <c r="P25" i="4" l="1"/>
  <c r="Q14" i="4"/>
  <c r="P14" i="4"/>
  <c r="R21" i="14" s="1"/>
  <c r="Q22" i="4"/>
  <c r="P22" i="4"/>
  <c r="AT18" i="6"/>
  <c r="AS18" i="6"/>
  <c r="AO19" i="6"/>
  <c r="AU19" i="6" s="1"/>
  <c r="AM18" i="6"/>
  <c r="AR15" i="6"/>
  <c r="AQ15" i="6"/>
  <c r="Q25" i="4"/>
  <c r="O25" i="4"/>
  <c r="S25" i="4" s="1"/>
  <c r="O15" i="4"/>
  <c r="S15" i="4" s="1"/>
  <c r="O20" i="4"/>
  <c r="O17" i="4"/>
  <c r="S17" i="4" s="1"/>
  <c r="O21" i="4"/>
  <c r="S21" i="4" s="1"/>
  <c r="S20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23" i="4"/>
  <c r="N23" i="4" s="1"/>
  <c r="R19" i="4"/>
  <c r="L19" i="4"/>
  <c r="K19" i="4"/>
  <c r="J19" i="4"/>
  <c r="P19" i="4" s="1"/>
  <c r="J2" i="4"/>
  <c r="AT20" i="6" l="1"/>
  <c r="AS20" i="6"/>
  <c r="AO21" i="6"/>
  <c r="AU21" i="6" s="1"/>
  <c r="AM20" i="6"/>
  <c r="AR17" i="6"/>
  <c r="AQ17" i="6"/>
  <c r="I25" i="4"/>
  <c r="N25" i="4" s="1"/>
  <c r="Q21" i="4"/>
  <c r="I21" i="4"/>
  <c r="N21" i="4" s="1"/>
  <c r="O20" i="14" s="1"/>
  <c r="I15" i="4"/>
  <c r="N15" i="4" s="1"/>
  <c r="Q15" i="4"/>
  <c r="O19" i="4"/>
  <c r="S19" i="4" s="1"/>
  <c r="AT21" i="6" l="1"/>
  <c r="AS21" i="6"/>
  <c r="AO22" i="6"/>
  <c r="AU22" i="6" s="1"/>
  <c r="AM21" i="6"/>
  <c r="AR18" i="6"/>
  <c r="AQ18" i="6"/>
  <c r="K2" i="4"/>
  <c r="R2" i="4"/>
  <c r="L2" i="4"/>
  <c r="AT22" i="6" l="1"/>
  <c r="AS22" i="6"/>
  <c r="AO23" i="6"/>
  <c r="AU23" i="6" s="1"/>
  <c r="AM22" i="6"/>
  <c r="AR19" i="6"/>
  <c r="AQ19" i="6"/>
  <c r="O2" i="4"/>
  <c r="S2" i="4" s="1"/>
  <c r="T24" i="9"/>
  <c r="T26" i="9" s="1"/>
  <c r="S24" i="9"/>
  <c r="S26" i="9" s="1"/>
  <c r="R24" i="9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90" i="9" l="1"/>
  <c r="R58" i="9"/>
  <c r="R26" i="9"/>
  <c r="R29" i="9" s="1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L34" i="9"/>
  <c r="T35" i="9"/>
  <c r="T28" i="9"/>
  <c r="T33" i="9"/>
  <c r="T29" i="9"/>
  <c r="T34" i="9"/>
  <c r="T30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R29" i="4"/>
  <c r="L29" i="4"/>
  <c r="K29" i="4"/>
  <c r="J29" i="4"/>
  <c r="P29" i="4" s="1"/>
  <c r="K33" i="9" l="1"/>
  <c r="J34" i="9"/>
  <c r="M28" i="9"/>
  <c r="R60" i="9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29" i="4"/>
  <c r="S29" i="4" s="1"/>
  <c r="R28" i="4"/>
  <c r="R10" i="4"/>
  <c r="R9" i="4"/>
  <c r="R3" i="4"/>
  <c r="R24" i="4"/>
  <c r="R11" i="4"/>
  <c r="R26" i="4"/>
  <c r="R30" i="4"/>
  <c r="R27" i="4"/>
  <c r="R5" i="4"/>
  <c r="R4" i="4"/>
  <c r="R12" i="4"/>
  <c r="R16" i="4"/>
  <c r="R31" i="4"/>
  <c r="R18" i="4"/>
  <c r="O29" i="1"/>
  <c r="M17" i="1"/>
  <c r="M18" i="1" s="1"/>
  <c r="J9" i="4"/>
  <c r="J28" i="4"/>
  <c r="P28" i="4" s="1"/>
  <c r="J10" i="4"/>
  <c r="J5" i="4"/>
  <c r="P5" i="4" s="1"/>
  <c r="J11" i="4"/>
  <c r="P11" i="4" s="1"/>
  <c r="J24" i="4"/>
  <c r="P24" i="4" s="1"/>
  <c r="J26" i="4"/>
  <c r="P26" i="4" s="1"/>
  <c r="J30" i="4"/>
  <c r="P30" i="4" s="1"/>
  <c r="J4" i="4"/>
  <c r="P4" i="4" s="1"/>
  <c r="J3" i="4"/>
  <c r="P3" i="4" s="1"/>
  <c r="J12" i="4"/>
  <c r="P12" i="4" s="1"/>
  <c r="J16" i="4"/>
  <c r="P16" i="4" s="1"/>
  <c r="J31" i="4"/>
  <c r="P31" i="4" s="1"/>
  <c r="J27" i="4"/>
  <c r="P27" i="4" s="1"/>
  <c r="J18" i="4"/>
  <c r="P18" i="4" s="1"/>
  <c r="L9" i="4"/>
  <c r="L28" i="4"/>
  <c r="L10" i="4"/>
  <c r="L5" i="4"/>
  <c r="L11" i="4"/>
  <c r="L24" i="4"/>
  <c r="L26" i="4"/>
  <c r="L30" i="4"/>
  <c r="L4" i="4"/>
  <c r="L3" i="4"/>
  <c r="L12" i="4"/>
  <c r="L16" i="4"/>
  <c r="L31" i="4"/>
  <c r="L27" i="4"/>
  <c r="L18" i="4"/>
  <c r="P9" i="4" l="1"/>
  <c r="N18" i="14"/>
  <c r="N21" i="14" s="1"/>
  <c r="P10" i="4"/>
  <c r="U34" i="9"/>
  <c r="U35" i="9"/>
  <c r="U33" i="9"/>
  <c r="U97" i="9"/>
  <c r="S15" i="1" s="1"/>
  <c r="Q11" i="14" s="1"/>
  <c r="Q9" i="14" s="1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9" i="4"/>
  <c r="S9" i="4" s="1"/>
  <c r="O4" i="4"/>
  <c r="S4" i="4" s="1"/>
  <c r="O11" i="4"/>
  <c r="S11" i="4" s="1"/>
  <c r="O18" i="4"/>
  <c r="S18" i="4" s="1"/>
  <c r="O24" i="4"/>
  <c r="S24" i="4" s="1"/>
  <c r="O28" i="4"/>
  <c r="S28" i="4" s="1"/>
  <c r="O3" i="4"/>
  <c r="S3" i="4" s="1"/>
  <c r="O31" i="4"/>
  <c r="S31" i="4" s="1"/>
  <c r="O12" i="4"/>
  <c r="S12" i="4" s="1"/>
  <c r="O26" i="4"/>
  <c r="S26" i="4" s="1"/>
  <c r="O10" i="4"/>
  <c r="S10" i="4" s="1"/>
  <c r="O27" i="4"/>
  <c r="S27" i="4" s="1"/>
  <c r="O16" i="4"/>
  <c r="S16" i="4" s="1"/>
  <c r="O30" i="4"/>
  <c r="S30" i="4" s="1"/>
  <c r="O5" i="4"/>
  <c r="S5" i="4" s="1"/>
  <c r="K10" i="4"/>
  <c r="P18" i="14" l="1"/>
  <c r="Q18" i="14" s="1"/>
  <c r="Q21" i="14" s="1"/>
  <c r="N19" i="14"/>
  <c r="P19" i="14" s="1"/>
  <c r="P22" i="14" s="1"/>
  <c r="AT26" i="6"/>
  <c r="AS26" i="6"/>
  <c r="AO27" i="6"/>
  <c r="AU27" i="6" s="1"/>
  <c r="AM26" i="6"/>
  <c r="AR23" i="6"/>
  <c r="AQ23" i="6"/>
  <c r="B35" i="2"/>
  <c r="K18" i="4"/>
  <c r="Q20" i="14" l="1"/>
  <c r="Q19" i="14"/>
  <c r="AT27" i="6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2" i="4"/>
  <c r="AT29" i="6" l="1"/>
  <c r="AS29" i="6"/>
  <c r="AO30" i="6"/>
  <c r="AU30" i="6" s="1"/>
  <c r="AM29" i="6"/>
  <c r="AR26" i="6"/>
  <c r="AQ26" i="6"/>
  <c r="I24" i="4"/>
  <c r="N24" i="4" s="1"/>
  <c r="I4" i="4"/>
  <c r="N4" i="4" s="1"/>
  <c r="Q27" i="4"/>
  <c r="Q24" i="4"/>
  <c r="Q4" i="4"/>
  <c r="Q20" i="4"/>
  <c r="AT30" i="6" l="1"/>
  <c r="AS30" i="6"/>
  <c r="AO31" i="6"/>
  <c r="AU31" i="6" s="1"/>
  <c r="AM30" i="6"/>
  <c r="AR27" i="6"/>
  <c r="AQ27" i="6"/>
  <c r="Q17" i="4"/>
  <c r="M2" i="4"/>
  <c r="I5" i="4"/>
  <c r="N5" i="4" s="1"/>
  <c r="Q19" i="4"/>
  <c r="Q10" i="4"/>
  <c r="P21" i="14" s="1"/>
  <c r="Q30" i="4"/>
  <c r="Q31" i="4"/>
  <c r="Q5" i="4"/>
  <c r="Q26" i="4"/>
  <c r="Q18" i="4"/>
  <c r="Q28" i="4"/>
  <c r="Q16" i="4"/>
  <c r="Q12" i="4"/>
  <c r="Q9" i="4"/>
  <c r="Q29" i="4"/>
  <c r="Q3" i="4"/>
  <c r="Q11" i="4"/>
  <c r="I27" i="4"/>
  <c r="N27" i="4" s="1"/>
  <c r="I17" i="4"/>
  <c r="N17" i="4" s="1"/>
  <c r="M16" i="1"/>
  <c r="M19" i="1" s="1"/>
  <c r="Q2" i="4" l="1"/>
  <c r="P2" i="4"/>
  <c r="AT31" i="6"/>
  <c r="AS31" i="6"/>
  <c r="AO32" i="6"/>
  <c r="AU32" i="6" s="1"/>
  <c r="AM31" i="6"/>
  <c r="AQ28" i="6"/>
  <c r="AR28" i="6"/>
  <c r="I20" i="4"/>
  <c r="N20" i="4" s="1"/>
  <c r="I2" i="4"/>
  <c r="N2" i="4" s="1"/>
  <c r="I19" i="4"/>
  <c r="N19" i="4" s="1"/>
  <c r="I16" i="4"/>
  <c r="N16" i="4" s="1"/>
  <c r="I12" i="4"/>
  <c r="N12" i="4" s="1"/>
  <c r="I29" i="4"/>
  <c r="N29" i="4" s="1"/>
  <c r="I31" i="4"/>
  <c r="N31" i="4" s="1"/>
  <c r="I30" i="4"/>
  <c r="N30" i="4" s="1"/>
  <c r="I18" i="4"/>
  <c r="N18" i="4" s="1"/>
  <c r="I10" i="4"/>
  <c r="I26" i="4"/>
  <c r="N26" i="4" s="1"/>
  <c r="I9" i="4"/>
  <c r="N9" i="4" s="1"/>
  <c r="I28" i="4"/>
  <c r="N28" i="4" s="1"/>
  <c r="I11" i="4"/>
  <c r="N11" i="4" s="1"/>
  <c r="I3" i="4"/>
  <c r="N3" i="4" s="1"/>
  <c r="O16" i="1"/>
  <c r="M20" i="1"/>
  <c r="O18" i="1"/>
  <c r="AT32" i="6" l="1"/>
  <c r="AS32" i="6"/>
  <c r="AO33" i="6"/>
  <c r="AU33" i="6" s="1"/>
  <c r="AM32" i="6"/>
  <c r="AR29" i="6"/>
  <c r="AQ29" i="6"/>
  <c r="N10" i="4"/>
  <c r="N20" i="14" s="1"/>
  <c r="P20" i="14" s="1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30" i="4"/>
  <c r="K31" i="4"/>
  <c r="K26" i="4"/>
  <c r="K11" i="4"/>
  <c r="K27" i="4"/>
  <c r="K28" i="4"/>
  <c r="K24" i="4"/>
  <c r="K3" i="4"/>
  <c r="K4" i="4"/>
  <c r="K5" i="4"/>
  <c r="K9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S2" i="6"/>
  <c r="U2" i="6" s="1"/>
  <c r="J6" i="6"/>
  <c r="J7" i="6" s="1"/>
  <c r="J8" i="6" s="1"/>
  <c r="J9" i="6" s="1"/>
  <c r="Q5" i="6"/>
  <c r="W3" i="1"/>
  <c r="X3" i="1" s="1"/>
  <c r="W2" i="1"/>
  <c r="Q4" i="1" l="1"/>
  <c r="O5" i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Q7" i="1" l="1"/>
  <c r="N32" i="1"/>
  <c r="M32" i="1" s="1"/>
  <c r="M31" i="1"/>
  <c r="O8" i="1"/>
  <c r="M9" i="1"/>
  <c r="Q9" i="1" s="1"/>
  <c r="M8" i="1"/>
  <c r="O9" i="1" s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6" i="6"/>
  <c r="O24" i="2"/>
  <c r="O22" i="2"/>
  <c r="O23" i="2"/>
  <c r="P23" i="2"/>
  <c r="P24" i="2"/>
  <c r="P22" i="2"/>
  <c r="O7" i="6" l="1"/>
  <c r="O31" i="1"/>
  <c r="N33" i="1"/>
  <c r="O33" i="1" s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<sst xmlns="http://schemas.openxmlformats.org/spreadsheetml/2006/main" count="7531" uniqueCount="892">
  <si>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</si>
  <si>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</si>
  <si>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</si>
  <si>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</si>
  <si>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</si>
  <si>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</si>
  <si>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</si>
  <si>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</si>
  <si>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</si>
  <si>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</si>
  <si>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</si>
  <si>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</si>
  <si>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</si>
  <si>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</si>
  <si>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</si>
  <si>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</si>
  <si>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</si>
  <si>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</si>
  <si>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</si>
  <si>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</si>
  <si>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</si>
  <si>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</si>
  <si>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</si>
  <si>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</si>
  <si>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</si>
  <si>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</si>
  <si>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</si>
  <si>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</si>
  <si>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</si>
  <si>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</si>
  <si>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</si>
  <si>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</si>
  <si>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</si>
  <si>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</si>
  <si>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</si>
  <si>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</si>
  <si>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</si>
  <si>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</si>
  <si>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</si>
  <si>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</si>
  <si>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</si>
  <si>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</si>
  <si>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</si>
  <si>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</si>
  <si>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</si>
  <si>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</si>
  <si>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</si>
  <si>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</si>
  <si>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</si>
  <si>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</si>
  <si>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</si>
  <si>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</si>
  <si>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</si>
  <si>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</si>
  <si>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</si>
  <si>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</si>
  <si>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</si>
  <si>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</si>
  <si>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</si>
  <si>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</si>
  <si>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</si>
  <si>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</si>
  <si>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</si>
  <si>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</si>
  <si>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</si>
  <si>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</si>
  <si>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</si>
  <si>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</si>
  <si>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</si>
  <si>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</si>
  <si>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</si>
  <si>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</si>
  <si>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</si>
  <si>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</si>
  <si>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</si>
  <si>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</si>
  <si>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</si>
  <si>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</si>
  <si>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</si>
  <si>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</si>
  <si>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</si>
  <si>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</si>
  <si>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</si>
  <si>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</si>
  <si>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</si>
  <si>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</si>
  <si>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</si>
  <si>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</si>
  <si>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</si>
  <si>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</si>
  <si>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</si>
  <si>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</si>
  <si>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</si>
  <si>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</si>
  <si>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</si>
  <si>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</si>
  <si>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</si>
  <si>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</si>
  <si>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</si>
  <si>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</si>
  <si>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</si>
  <si>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</si>
  <si>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</si>
  <si>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</si>
  <si>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</si>
  <si>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</si>
  <si>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</si>
  <si>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</si>
  <si>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</si>
  <si>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</si>
  <si>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</si>
  <si>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</si>
  <si>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</si>
  <si>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</si>
  <si>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</si>
  <si>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</si>
  <si>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</si>
  <si>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</si>
  <si>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</si>
  <si>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</si>
  <si>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</si>
  <si>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</si>
  <si>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</si>
  <si>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</si>
  <si>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</si>
  <si>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</si>
  <si>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</si>
  <si>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</si>
  <si>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</si>
  <si>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</si>
  <si>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</si>
  <si>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</si>
  <si>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</si>
  <si>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</si>
  <si>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</si>
  <si>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</si>
  <si>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</si>
  <si>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</si>
  <si>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</si>
  <si>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</si>
  <si>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</si>
  <si>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</si>
  <si>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</si>
  <si>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</si>
  <si>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</si>
  <si>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</si>
  <si>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</si>
  <si>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</si>
  <si>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</si>
  <si>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</si>
  <si>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</si>
  <si>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</si>
  <si>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</si>
  <si>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</si>
  <si>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</si>
  <si>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</si>
  <si>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</si>
  <si>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</si>
  <si>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</si>
  <si>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</si>
  <si>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</si>
  <si>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</si>
  <si>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</si>
  <si>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</si>
  <si>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</si>
  <si>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</si>
  <si>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</si>
  <si>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</si>
  <si>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</si>
  <si>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</si>
  <si>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</si>
  <si>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</si>
  <si>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</si>
  <si>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</si>
  <si>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</si>
  <si>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</si>
  <si>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</si>
  <si>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</si>
  <si>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</si>
  <si>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</si>
  <si>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</si>
  <si>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</si>
  <si>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</si>
  <si>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</si>
  <si>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</si>
  <si>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</si>
  <si>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</si>
  <si>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</si>
  <si>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</si>
  <si>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</si>
  <si>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</si>
  <si>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</si>
  <si>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</si>
  <si>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</si>
  <si>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</si>
  <si>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</si>
  <si>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</si>
  <si>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</si>
  <si>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</si>
  <si>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</si>
  <si>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</si>
  <si>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</si>
  <si>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</si>
  <si>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</si>
  <si>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</si>
  <si>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</si>
  <si>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</si>
  <si>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</si>
  <si>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</si>
  <si>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</si>
  <si>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</si>
  <si>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</si>
  <si>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</si>
  <si>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</si>
  <si>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</si>
  <si>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</si>
  <si>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</si>
  <si>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</si>
  <si>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</si>
  <si>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</si>
  <si>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</si>
  <si>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</si>
  <si>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</si>
  <si>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</si>
  <si>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</si>
  <si>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</si>
  <si>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</si>
  <si>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</si>
  <si>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</si>
  <si>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</si>
  <si>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</si>
  <si>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</si>
  <si>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</si>
  <si>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</si>
  <si>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</si>
  <si>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</si>
  <si>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</si>
  <si>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</si>
  <si>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</si>
  <si>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</si>
  <si>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</si>
  <si>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</si>
  <si>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</si>
  <si>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</si>
  <si>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</si>
  <si>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</si>
  <si>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</si>
  <si>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</si>
  <si>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</si>
  <si>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</si>
  <si>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</si>
  <si>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</si>
  <si>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</si>
  <si>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</si>
  <si>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</si>
  <si>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</si>
  <si>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</si>
  <si>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</si>
  <si>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</si>
  <si>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</si>
  <si>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</si>
  <si>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</si>
  <si>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</si>
  <si>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</si>
  <si>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</si>
  <si>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</si>
  <si>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</si>
  <si>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</si>
  <si>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</si>
  <si>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</si>
  <si>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</si>
  <si>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</si>
  <si>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</si>
  <si>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</si>
  <si>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</si>
  <si>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</si>
  <si>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</si>
  <si>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</si>
  <si>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</si>
  <si>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</si>
  <si>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</si>
  <si>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</si>
  <si>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</si>
  <si>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</si>
  <si>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</si>
  <si>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</si>
  <si>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</si>
  <si>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</si>
  <si>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</si>
  <si>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</si>
  <si>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</si>
  <si>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</si>
  <si>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</si>
  <si>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</si>
  <si>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</si>
  <si>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</si>
  <si>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</si>
  <si>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</si>
  <si>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</si>
  <si>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</si>
  <si>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</si>
  <si>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</si>
  <si>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</si>
  <si>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</si>
  <si>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</si>
  <si>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</si>
  <si>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</si>
  <si>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</si>
  <si>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</si>
  <si>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</si>
  <si>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</si>
  <si>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</si>
  <si>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</si>
  <si>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</si>
  <si>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</si>
  <si>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</si>
  <si>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</si>
  <si>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</si>
  <si>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</si>
  <si>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</si>
  <si>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</si>
  <si>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</si>
  <si>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</si>
  <si>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</si>
  <si>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</si>
  <si>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</si>
  <si>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</si>
  <si>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</si>
  <si>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</si>
  <si>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</si>
  <si>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</si>
  <si>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</si>
  <si>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</si>
  <si>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</si>
  <si>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</si>
  <si>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</si>
  <si>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</si>
  <si>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</si>
  <si>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</si>
  <si>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</si>
  <si>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</si>
  <si>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</si>
  <si>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</si>
  <si>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</si>
  <si>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</si>
  <si>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</si>
  <si>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</si>
  <si>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</si>
  <si>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</si>
  <si>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</si>
  <si>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</si>
  <si>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</si>
  <si>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</si>
  <si>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</si>
  <si>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</si>
  <si>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</si>
  <si>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</si>
  <si>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</si>
  <si>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</si>
  <si>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</si>
  <si>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</si>
  <si>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</si>
  <si>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</si>
  <si>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</si>
  <si>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</si>
  <si>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</si>
  <si>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</si>
  <si>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</si>
  <si>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</si>
  <si>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</si>
  <si>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</si>
  <si>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</si>
  <si>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</si>
  <si>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</si>
  <si>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</si>
  <si>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</si>
  <si>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</si>
  <si>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</si>
  <si>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</si>
  <si>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</si>
  <si>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</si>
  <si>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</si>
  <si>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</si>
  <si>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</si>
  <si>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</si>
  <si>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</si>
  <si>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</si>
  <si>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</si>
  <si>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</si>
  <si>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</si>
  <si>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</si>
  <si>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</si>
  <si>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</si>
  <si>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</si>
  <si>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</si>
  <si>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</si>
  <si>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</si>
  <si>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</si>
  <si>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</si>
  <si>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</si>
  <si>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</si>
  <si>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</si>
  <si>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</si>
  <si>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</si>
  <si>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</si>
  <si>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</si>
  <si>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</si>
  <si>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</si>
  <si>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</si>
  <si>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</si>
  <si>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</si>
  <si>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</si>
  <si>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</si>
  <si>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</si>
  <si>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</si>
  <si>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</si>
  <si>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</si>
  <si>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</si>
  <si>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</si>
  <si>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</si>
  <si>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</si>
  <si>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</si>
  <si>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</si>
  <si>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</si>
  <si>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</si>
  <si>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</si>
  <si>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</si>
  <si>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</si>
  <si>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</si>
  <si>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</si>
  <si>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</si>
  <si>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</si>
  <si>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</si>
  <si>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</si>
  <si>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</si>
  <si>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</si>
  <si>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</si>
  <si>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</si>
  <si>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</si>
  <si>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</si>
  <si>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</si>
  <si>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</si>
  <si>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</si>
  <si>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</si>
  <si>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</si>
  <si>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</si>
  <si>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</si>
  <si>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</si>
  <si>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</si>
  <si>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</si>
  <si>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</si>
  <si>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</si>
  <si>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</si>
  <si>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</si>
  <si>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</si>
  <si>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</si>
  <si>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</si>
  <si>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</si>
  <si>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</si>
  <si>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</si>
  <si>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</si>
  <si>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</si>
  <si>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</si>
  <si>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</si>
  <si>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</si>
  <si>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</si>
  <si>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</si>
  <si>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</si>
  <si>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</si>
  <si>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</si>
  <si>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</si>
  <si>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</si>
  <si>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</si>
  <si>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</si>
  <si>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</si>
  <si>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</si>
  <si>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</si>
  <si>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</si>
  <si>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</si>
  <si>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</si>
  <si>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</si>
  <si>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</si>
  <si>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</si>
  <si>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</si>
  <si>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</si>
  <si>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</si>
  <si>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</si>
  <si>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</si>
  <si>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</si>
  <si>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</si>
  <si>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</si>
  <si>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</si>
  <si>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</si>
  <si>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</si>
  <si>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</si>
  <si>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</si>
  <si>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</si>
  <si>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</si>
  <si>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</si>
  <si>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</si>
  <si>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</si>
  <si>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</si>
  <si>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</si>
  <si>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</si>
  <si>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</si>
  <si>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</si>
  <si>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</si>
  <si>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</si>
  <si>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</si>
  <si>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</si>
  <si>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</si>
  <si>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</si>
  <si>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</si>
  <si>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</si>
  <si>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</si>
  <si>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</si>
  <si>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</si>
  <si>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</si>
  <si>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</si>
  <si>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</si>
  <si>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</si>
  <si>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</si>
  <si>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</si>
  <si>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</si>
  <si>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</si>
  <si>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</si>
  <si>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</si>
  <si>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</si>
  <si>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</si>
  <si>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</si>
  <si>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</si>
  <si>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</si>
  <si>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</si>
  <si>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</si>
  <si>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</si>
  <si>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</si>
  <si>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</si>
  <si>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</si>
  <si>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</si>
  <si>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</si>
  <si>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</si>
  <si>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</si>
  <si>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</si>
  <si>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</si>
  <si>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</si>
  <si>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</si>
  <si>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</si>
  <si>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</si>
  <si>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</si>
  <si>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</si>
  <si>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</si>
  <si>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</si>
  <si>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</si>
  <si>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</si>
  <si>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</si>
  <si>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</si>
  <si>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</si>
  <si>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</si>
  <si>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</si>
  <si>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</si>
  <si>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</si>
  <si>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</si>
  <si>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</si>
  <si>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</si>
  <si>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</si>
  <si>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</si>
  <si>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</si>
  <si>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</si>
  <si>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</si>
  <si>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</si>
  <si>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</si>
  <si>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</si>
  <si>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</si>
  <si>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</si>
  <si>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</si>
  <si>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</si>
  <si>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</si>
  <si>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</si>
  <si>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</si>
  <si>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</si>
  <si>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</si>
  <si>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</si>
  <si>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</si>
  <si>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</si>
  <si>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</si>
  <si>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</si>
  <si>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</si>
  <si>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</si>
  <si>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</si>
  <si>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</si>
  <si>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</si>
  <si>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</si>
  <si>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</si>
  <si>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</si>
  <si>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</si>
  <si>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</si>
  <si>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</si>
  <si>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</si>
  <si>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</si>
  <si>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</si>
  <si>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</si>
  <si>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</si>
  <si>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</si>
  <si>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</si>
  <si>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</si>
  <si>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</si>
  <si>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</si>
  <si>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</si>
  <si>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</si>
  <si>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</si>
  <si>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</si>
  <si>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</si>
  <si>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</si>
  <si>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</si>
  <si>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</si>
  <si>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</si>
  <si>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</si>
  <si>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</si>
  <si>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</si>
  <si>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</si>
  <si>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</si>
  <si>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</si>
  <si>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</si>
  <si>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</si>
  <si>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</si>
  <si>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</si>
  <si>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</si>
  <si>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</si>
  <si>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</si>
  <si>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</si>
  <si>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</si>
  <si>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</si>
  <si>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</si>
  <si>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</si>
  <si>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</si>
  <si>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</si>
  <si>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</si>
  <si>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</si>
  <si>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</si>
  <si>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</si>
  <si>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</si>
  <si>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</si>
  <si>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</si>
  <si>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</si>
  <si>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</si>
  <si>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</si>
  <si>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</si>
  <si>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</si>
  <si>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</si>
  <si>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</si>
  <si>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</si>
  <si>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</si>
  <si>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</si>
  <si>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</si>
  <si>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</si>
  <si>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</si>
  <si>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</si>
  <si>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</si>
  <si>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</si>
  <si>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</si>
  <si>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</si>
  <si>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</si>
  <si>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</si>
  <si>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</si>
  <si>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</si>
  <si>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</si>
  <si>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</si>
  <si>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</si>
  <si>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</si>
  <si>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</si>
  <si>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</si>
  <si>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</si>
  <si>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</si>
  <si>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</si>
  <si>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</si>
  <si>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</si>
  <si>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</si>
  <si>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</si>
  <si>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</si>
  <si>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</si>
  <si>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</si>
  <si>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</si>
  <si>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</si>
  <si>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</si>
  <si>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</si>
  <si>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</si>
  <si>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</si>
  <si>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</si>
  <si>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</si>
  <si>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</si>
  <si>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</si>
  <si>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</si>
  <si>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</si>
  <si>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</si>
  <si>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</si>
  <si>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</si>
  <si>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</si>
  <si>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</si>
  <si>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</si>
  <si>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</si>
  <si>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</si>
  <si>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</si>
  <si>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</si>
  <si>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</si>
  <si>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</si>
  <si>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</si>
  <si>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</si>
  <si>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</si>
  <si>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</si>
  <si>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</si>
  <si>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</si>
  <si>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</si>
  <si>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</si>
  <si>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</si>
  <si>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</si>
  <si>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</si>
  <si>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</si>
  <si>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</si>
  <si>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</si>
  <si>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</si>
  <si>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</si>
  <si>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</si>
  <si>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</si>
  <si>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</si>
  <si>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</si>
  <si>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</si>
  <si>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</si>
  <si>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</si>
  <si>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</si>
  <si>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</si>
  <si>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</si>
  <si>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</si>
  <si>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</si>
  <si>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</si>
  <si>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</si>
  <si>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</si>
  <si>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</si>
  <si>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</si>
  <si>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</si>
  <si>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</si>
  <si>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</si>
  <si>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</si>
  <si>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</si>
  <si>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</si>
  <si>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</si>
  <si>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</si>
  <si>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</si>
  <si>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</si>
  <si>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</si>
  <si>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</si>
  <si>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</si>
  <si>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</si>
  <si>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</si>
  <si>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</si>
  <si>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</si>
  <si>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</si>
  <si>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</si>
  <si>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</si>
  <si>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</si>
  <si>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</si>
  <si>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</si>
  <si>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</si>
  <si>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</si>
  <si>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</si>
  <si>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</si>
  <si>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</si>
  <si>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</si>
  <si>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</si>
  <si>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</si>
  <si>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</si>
  <si>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</si>
  <si>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</si>
  <si>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</si>
  <si>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</si>
  <si>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</si>
  <si>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</si>
  <si>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</si>
  <si>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</si>
  <si>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</si>
  <si>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</si>
  <si>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</si>
  <si>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</si>
  <si>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</si>
  <si>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</si>
  <si>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</si>
  <si>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</si>
  <si>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</si>
  <si>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</si>
  <si>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</si>
  <si>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</si>
  <si>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</si>
  <si>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</si>
  <si>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</si>
  <si>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</si>
  <si>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</si>
  <si>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</si>
  <si>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</si>
  <si>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</si>
  <si>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</si>
  <si>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</si>
  <si>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</si>
  <si>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</si>
  <si>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</si>
  <si>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</si>
  <si>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</si>
  <si>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</si>
  <si>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</si>
  <si>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</si>
  <si>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</si>
  <si>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</si>
  <si>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</si>
  <si>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</si>
  <si>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</si>
  <si>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</si>
  <si>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</si>
  <si>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</si>
  <si>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</si>
  <si>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</si>
  <si>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</si>
  <si>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</si>
  <si>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</si>
  <si>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</si>
  <si>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</si>
  <si>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</si>
  <si>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</si>
  <si>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</si>
  <si>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</si>
  <si>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</si>
  <si>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</si>
  <si>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</si>
  <si>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</si>
  <si>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</si>
  <si>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</si>
  <si>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</si>
  <si>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</si>
  <si>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</si>
  <si>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</si>
  <si>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</si>
  <si>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</si>
  <si>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</si>
  <si>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</si>
  <si>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</si>
  <si>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</si>
  <si>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</si>
  <si>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</si>
  <si>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</si>
  <si>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</si>
  <si>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</si>
  <si>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</si>
  <si>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</si>
  <si>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</si>
  <si>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</si>
  <si>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</si>
  <si>
    <t>Try to Get</t>
  </si>
  <si>
    <t>1r</t>
  </si>
  <si>
    <t>2r</t>
  </si>
  <si>
    <t>3r</t>
  </si>
  <si>
    <t>Spd +</t>
  </si>
  <si>
    <t>Fatal/Att</t>
  </si>
  <si>
    <t>Fatal/Spd</t>
  </si>
  <si>
    <t>Spd/Att</t>
  </si>
  <si>
    <t>Spd/Spd</t>
  </si>
  <si>
    <t>Skill</t>
  </si>
  <si>
    <t>Att % rune</t>
  </si>
  <si>
    <t>nuke % dmg 1st skill</t>
  </si>
  <si>
    <t>DPS % 1ST skill</t>
  </si>
  <si>
    <t>Speed buff</t>
  </si>
  <si>
    <t>Rune Set</t>
  </si>
  <si>
    <t>Att % basic</t>
  </si>
  <si>
    <t xml:space="preserve">SPD </t>
  </si>
  <si>
    <t>Basic spd</t>
  </si>
  <si>
    <t>Nuke 2 turns</t>
  </si>
  <si>
    <t>DPS 2 turns</t>
  </si>
  <si>
    <t>Speed staat +</t>
  </si>
  <si>
    <t>1Devilmon Cryst cost</t>
  </si>
  <si>
    <t>Devilmon cryst worth</t>
  </si>
  <si>
    <t>Mana gain from Cryst burn</t>
  </si>
  <si>
    <t>Mana gain/zl</t>
  </si>
  <si>
    <t>Faimon Farm</t>
  </si>
  <si>
    <t>1188 XP</t>
  </si>
  <si>
    <t>Halls Cost</t>
  </si>
  <si>
    <t>950 Energy</t>
  </si>
  <si>
    <t>Mana gain</t>
  </si>
  <si>
    <t>Cryst on refills</t>
  </si>
  <si>
    <t>Fod XP worth</t>
  </si>
  <si>
    <t>Total Cost</t>
  </si>
  <si>
    <t>Giant Farm</t>
  </si>
  <si>
    <t>Devil Pack</t>
  </si>
  <si>
    <t>3 devilmon with 15d packs</t>
  </si>
  <si>
    <t>Cryst all gain</t>
  </si>
  <si>
    <t>World boss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</si>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</sst>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6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0" fillId="0" borderId="0" applyFont="0" applyFill="0" applyBorder="0" applyAlignment="0" applyProtection="0"/>
    <xf numFmtId="0" fontId="4" fillId="0" borderId="0"/>
  </cellStyleXfs>
  <cellXfs count="230">
    <xf numFmtId="0" fontId="0" fillId="0" borderId="0" xfId="0"/>
    <xf numFmtId="4" fontId="0" fillId="0" borderId="0" xfId="0" applyNumberFormat="1"/>
    <xf numFmtId="0" fontId="0" fillId="2" borderId="0" xfId="0" applyFill="1"/>
    <xf numFmtId="0" fontId="5" fillId="3" borderId="1" xfId="0" applyFont="1" applyFill="1" applyBorder="1"/>
    <xf numFmtId="0" fontId="5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6" fillId="0" borderId="10" xfId="0" applyNumberFormat="1" applyFont="1" applyFill="1" applyBorder="1" applyAlignment="1">
      <alignment horizontal="left" wrapText="1"/>
    </xf>
    <xf numFmtId="0" fontId="6" fillId="0" borderId="10" xfId="0" applyFont="1" applyFill="1" applyBorder="1" applyAlignment="1">
      <alignment horizontal="left" wrapText="1"/>
    </xf>
    <xf numFmtId="3" fontId="6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7" fillId="0" borderId="5" xfId="0" applyNumberFormat="1" applyFont="1" applyBorder="1"/>
    <xf numFmtId="0" fontId="7" fillId="0" borderId="4" xfId="0" applyFont="1" applyBorder="1"/>
    <xf numFmtId="0" fontId="7" fillId="0" borderId="3" xfId="0" applyFont="1" applyBorder="1"/>
    <xf numFmtId="165" fontId="7" fillId="0" borderId="14" xfId="0" applyNumberFormat="1" applyFont="1" applyBorder="1"/>
    <xf numFmtId="0" fontId="8" fillId="4" borderId="0" xfId="0" applyFont="1" applyFill="1" applyBorder="1" applyAlignment="1">
      <alignment horizontal="left" vertical="center" wrapText="1"/>
    </xf>
    <xf numFmtId="0" fontId="7" fillId="0" borderId="0" xfId="0" applyFont="1"/>
    <xf numFmtId="4" fontId="6" fillId="0" borderId="10" xfId="0" applyNumberFormat="1" applyFont="1" applyFill="1" applyBorder="1" applyAlignment="1">
      <alignment horizontal="left" wrapText="1"/>
    </xf>
    <xf numFmtId="4" fontId="7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9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7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7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7" fillId="0" borderId="16" xfId="0" applyFont="1" applyFill="1" applyBorder="1"/>
    <xf numFmtId="0" fontId="0" fillId="0" borderId="0" xfId="0" applyAlignment="1">
      <alignment wrapText="1"/>
    </xf>
    <xf numFmtId="0" fontId="7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7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7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7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7" fillId="9" borderId="8" xfId="0" applyFont="1" applyFill="1" applyBorder="1"/>
    <xf numFmtId="0" fontId="0" fillId="9" borderId="5" xfId="0" applyFill="1" applyBorder="1"/>
    <xf numFmtId="0" fontId="7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7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7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6" fillId="4" borderId="0" xfId="0" applyFont="1" applyFill="1" applyBorder="1" applyAlignment="1">
      <alignment horizontal="left" vertical="center" wrapText="1"/>
    </xf>
    <xf numFmtId="0" fontId="6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8" fillId="0" borderId="20" xfId="0" applyFont="1" applyFill="1" applyBorder="1" applyAlignment="1">
      <alignment horizontal="left" vertical="center" wrapText="1"/>
    </xf>
    <xf numFmtId="0" fontId="8" fillId="0" borderId="10" xfId="0" applyFont="1" applyFill="1" applyBorder="1" applyAlignment="1">
      <alignment horizontal="left" vertical="center" wrapText="1"/>
    </xf>
    <xf numFmtId="0" fontId="6" fillId="0" borderId="10" xfId="0" applyFont="1" applyFill="1" applyBorder="1" applyAlignment="1">
      <alignment horizontal="left" vertical="center" wrapText="1"/>
    </xf>
    <xf numFmtId="0" fontId="8" fillId="0" borderId="15" xfId="0" applyFont="1" applyFill="1" applyBorder="1" applyAlignment="1">
      <alignment horizontal="left" vertical="center" wrapText="1"/>
    </xf>
    <xf numFmtId="0" fontId="7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1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1" fillId="0" borderId="20" xfId="0" applyFont="1" applyFill="1" applyBorder="1" applyAlignment="1">
      <alignment horizontal="left" wrapText="1"/>
    </xf>
    <xf numFmtId="0" fontId="11" fillId="0" borderId="10" xfId="0" applyFont="1" applyFill="1" applyBorder="1" applyAlignment="1">
      <alignment horizontal="left" wrapText="1"/>
    </xf>
    <xf numFmtId="9" fontId="11" fillId="0" borderId="10" xfId="0" applyNumberFormat="1" applyFont="1" applyFill="1" applyBorder="1" applyAlignment="1">
      <alignment horizontal="left" wrapText="1"/>
    </xf>
    <xf numFmtId="3" fontId="11" fillId="0" borderId="10" xfId="0" applyNumberFormat="1" applyFont="1" applyFill="1" applyBorder="1" applyAlignment="1">
      <alignment horizontal="left" wrapText="1"/>
    </xf>
    <xf numFmtId="4" fontId="11" fillId="0" borderId="10" xfId="0" applyNumberFormat="1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2" xfId="0" applyFont="1" applyFill="1" applyBorder="1" applyAlignment="1">
      <alignment horizontal="left" wrapText="1"/>
    </xf>
    <xf numFmtId="9" fontId="11" fillId="0" borderId="22" xfId="0" applyNumberFormat="1" applyFont="1" applyFill="1" applyBorder="1" applyAlignment="1">
      <alignment horizontal="left" wrapText="1"/>
    </xf>
    <xf numFmtId="3" fontId="11" fillId="0" borderId="22" xfId="0" applyNumberFormat="1" applyFont="1" applyFill="1" applyBorder="1" applyAlignment="1">
      <alignment horizontal="left" wrapText="1"/>
    </xf>
    <xf numFmtId="4" fontId="11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4" fillId="0" borderId="0" xfId="2"/>
    <xf numFmtId="0" fontId="4" fillId="0" borderId="0" xfId="2" applyAlignment="1">
      <alignment vertical="center" wrapText="1"/>
    </xf>
    <xf numFmtId="0" fontId="13" fillId="0" borderId="0" xfId="2" applyFont="1" applyAlignment="1">
      <alignment vertical="center" wrapText="1"/>
    </xf>
    <xf numFmtId="0" fontId="14" fillId="0" borderId="0" xfId="2" applyFont="1" applyAlignment="1">
      <alignment vertical="center" wrapText="1"/>
    </xf>
    <xf numFmtId="0" fontId="4" fillId="13" borderId="0" xfId="2" applyFill="1" applyAlignment="1">
      <alignment vertical="center" wrapText="1"/>
    </xf>
    <xf numFmtId="0" fontId="15" fillId="0" borderId="0" xfId="2" applyFont="1" applyAlignment="1">
      <alignment vertical="center" wrapText="1"/>
    </xf>
    <xf numFmtId="0" fontId="12" fillId="0" borderId="0" xfId="2" applyFont="1" applyAlignment="1">
      <alignment vertical="center" wrapText="1"/>
    </xf>
    <xf numFmtId="0" fontId="12" fillId="13" borderId="0" xfId="2" applyFont="1" applyFill="1" applyAlignment="1">
      <alignment vertical="center" wrapText="1"/>
    </xf>
    <xf numFmtId="0" fontId="4" fillId="5" borderId="0" xfId="2" applyFill="1" applyAlignment="1">
      <alignment vertical="center" wrapText="1"/>
    </xf>
    <xf numFmtId="0" fontId="14" fillId="4" borderId="0" xfId="2" applyFont="1" applyFill="1" applyAlignment="1">
      <alignment vertical="center" wrapText="1"/>
    </xf>
    <xf numFmtId="0" fontId="15" fillId="13" borderId="0" xfId="2" applyFont="1" applyFill="1" applyAlignment="1">
      <alignment vertical="center" wrapText="1"/>
    </xf>
    <xf numFmtId="0" fontId="4" fillId="0" borderId="0" xfId="2" applyNumberFormat="1" applyAlignment="1">
      <alignment vertical="center" wrapText="1"/>
    </xf>
    <xf numFmtId="0" fontId="4" fillId="13" borderId="0" xfId="2" applyNumberFormat="1" applyFill="1" applyAlignment="1">
      <alignment vertical="center" wrapText="1"/>
    </xf>
    <xf numFmtId="0" fontId="4" fillId="5" borderId="0" xfId="2" applyNumberFormat="1" applyFill="1" applyAlignment="1">
      <alignment vertical="center" wrapText="1"/>
    </xf>
    <xf numFmtId="0" fontId="4" fillId="0" borderId="0" xfId="2" applyFill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0" fontId="15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7" fillId="0" borderId="7" xfId="0" applyFont="1" applyFill="1" applyBorder="1"/>
    <xf numFmtId="0" fontId="3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2" fillId="0" borderId="0" xfId="2" applyFont="1" applyAlignment="1">
      <alignment vertical="center" wrapText="1"/>
    </xf>
    <xf numFmtId="2" fontId="0" fillId="2" borderId="0" xfId="0" applyNumberFormat="1" applyFill="1"/>
    <xf numFmtId="164" fontId="0" fillId="2" borderId="0" xfId="0" applyNumberFormat="1" applyFill="1"/>
    <xf numFmtId="0" fontId="0" fillId="0" borderId="26" xfId="0" applyBorder="1"/>
    <xf numFmtId="0" fontId="7" fillId="0" borderId="27" xfId="0" applyFont="1" applyBorder="1"/>
    <xf numFmtId="3" fontId="7" fillId="0" borderId="27" xfId="0" applyNumberFormat="1" applyFont="1" applyBorder="1"/>
    <xf numFmtId="4" fontId="0" fillId="0" borderId="26" xfId="0" applyNumberFormat="1" applyBorder="1"/>
    <xf numFmtId="4" fontId="0" fillId="0" borderId="28" xfId="0" applyNumberFormat="1" applyBorder="1"/>
    <xf numFmtId="0" fontId="0" fillId="0" borderId="29" xfId="0" applyBorder="1"/>
    <xf numFmtId="3" fontId="7" fillId="0" borderId="30" xfId="0" applyNumberFormat="1" applyFont="1" applyBorder="1"/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0" xfId="2" applyFont="1" applyAlignment="1">
      <alignment vertical="center" wrapText="1"/>
    </xf>
  </cellXfs>
  <cellStyles count="3">
    <cellStyle name="Normalny" xfId="0" builtinId="0"/>
    <cellStyle name="Normalny 2" xfId="2"/>
    <cellStyle name="Procentowy" xfId="1" builtinId="5"/>
  </cellStyles>
  <dxfs count="122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06E-2"/>
          <c:w val="0.72971464242649287"/>
          <c:h val="0.89097169207608629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196992"/>
        <c:axId val="152198528"/>
      </c:lineChart>
      <c:catAx>
        <c:axId val="152196992"/>
        <c:scaling>
          <c:orientation val="minMax"/>
        </c:scaling>
        <c:delete val="0"/>
        <c:axPos val="b"/>
        <c:majorTickMark val="out"/>
        <c:minorTickMark val="none"/>
        <c:tickLblPos val="nextTo"/>
        <c:crossAx val="152198528"/>
        <c:crosses val="autoZero"/>
        <c:auto val="1"/>
        <c:lblAlgn val="ctr"/>
        <c:lblOffset val="100"/>
        <c:noMultiLvlLbl val="0"/>
      </c:catAx>
      <c:valAx>
        <c:axId val="1521985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219699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133" l="0.70000000000000062" r="0.70000000000000062" t="0.75000000000000133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46.654743865744" createdVersion="3" refreshedVersion="3" minRefreshableVersion="3" recordCount="1996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s"/>
        <s v="HoMagic"/>
        <s v="Mt White"/>
        <s v="Aiden"/>
        <s v="HoLight"/>
        <s v="HoDark"/>
        <s v="HoWater"/>
        <s v="HoFire"/>
        <s v="SD"/>
        <s v="HoWind"/>
        <s v="Hydeni"/>
        <s v="Vrofagul"/>
        <s v="Dragon"/>
        <m/>
        <s v="Giant" u="1"/>
      </sharedItems>
    </cacheField>
    <cacheField name="LVL" numFmtId="0">
      <sharedItems containsBlank="1" count="4">
        <s v="Normal"/>
        <s v="Hard"/>
        <s v="Hell"/>
        <m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ntainsMixedTypes="1" containsNumber="1" containsInteger="1" minValue="0" maxValue="0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0" maxValue="1" count="12">
        <m/>
        <s v="2*"/>
        <s v="1*"/>
        <s v="low"/>
        <s v="mid"/>
        <s v="3*"/>
        <s v="high"/>
        <s v="4*"/>
        <s v="5*"/>
        <s v="6*"/>
        <n v="0"/>
        <n v="1" u="1"/>
      </sharedItems>
    </cacheField>
    <cacheField name="Sell Drop" numFmtId="0">
      <sharedItems containsString="0" containsBlank="1" containsNumber="1" containsInteger="1" minValue="0" maxValue="27103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6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200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200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200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200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200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200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2000"/>
    <n v="0"/>
    <n v="800"/>
    <m/>
  </r>
  <r>
    <x v="0"/>
    <x v="0"/>
    <x v="1"/>
    <n v="999"/>
    <n v="1"/>
    <s v="Scroll"/>
    <n v="1"/>
    <x v="2"/>
    <n v="0"/>
    <n v="200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400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200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200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2000"/>
    <n v="0"/>
    <n v="800"/>
    <m/>
  </r>
  <r>
    <x v="1"/>
    <x v="0"/>
    <x v="0"/>
    <n v="1618"/>
    <n v="1"/>
    <s v="Scroll"/>
    <n v="1"/>
    <x v="2"/>
    <n v="0"/>
    <n v="200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200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200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400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200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400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400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400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400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400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400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200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200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200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0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4000"/>
    <n v="0"/>
    <n v="1600"/>
    <m/>
  </r>
  <r>
    <x v="0"/>
    <x v="1"/>
    <x v="1"/>
    <n v="621"/>
    <n v="1"/>
    <s v="Scroll"/>
    <n v="2"/>
    <x v="2"/>
    <n v="0"/>
    <n v="400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4000"/>
    <n v="0"/>
    <n v="1600"/>
    <m/>
  </r>
  <r>
    <x v="0"/>
    <x v="1"/>
    <x v="1"/>
    <n v="2244"/>
    <n v="2"/>
    <s v="Rainb"/>
    <n v="1"/>
    <x v="1"/>
    <n v="0"/>
    <n v="0"/>
    <n v="11500"/>
    <n v="35822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200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200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200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200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200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200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200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2000"/>
    <n v="0"/>
    <n v="800"/>
    <m/>
  </r>
  <r>
    <x v="1"/>
    <x v="0"/>
    <x v="0"/>
    <n v="1954"/>
    <n v="1"/>
    <s v="Scroll"/>
    <n v="1"/>
    <x v="2"/>
    <n v="0"/>
    <n v="2000"/>
    <n v="0"/>
    <n v="800"/>
    <m/>
  </r>
  <r>
    <x v="1"/>
    <x v="0"/>
    <x v="0"/>
    <n v="1261"/>
    <n v="1"/>
    <s v="Scroll"/>
    <n v="1"/>
    <x v="2"/>
    <n v="0"/>
    <n v="200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2000"/>
    <n v="0"/>
    <n v="800"/>
    <m/>
  </r>
  <r>
    <x v="1"/>
    <x v="0"/>
    <x v="0"/>
    <n v="1770"/>
    <n v="2"/>
    <s v="Scroll"/>
    <n v="1"/>
    <x v="2"/>
    <n v="0"/>
    <n v="200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200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4000"/>
    <n v="0"/>
    <n v="1600"/>
    <m/>
  </r>
  <r>
    <x v="3"/>
    <x v="0"/>
    <x v="4"/>
    <n v="1238"/>
    <n v="0"/>
    <s v="Scroll"/>
    <n v="3"/>
    <x v="2"/>
    <n v="0"/>
    <n v="6000"/>
    <n v="0"/>
    <n v="2400"/>
    <m/>
  </r>
  <r>
    <x v="3"/>
    <x v="0"/>
    <x v="4"/>
    <n v="1236"/>
    <n v="1"/>
    <s v="Scroll"/>
    <n v="2"/>
    <x v="2"/>
    <n v="0"/>
    <n v="400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600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2"/>
    <x v="5"/>
    <n v="1192"/>
    <n v="1"/>
    <s v="Rainb"/>
    <n v="1"/>
    <x v="1"/>
    <n v="0"/>
    <n v="0"/>
    <n v="11500"/>
    <n v="35822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400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4000"/>
    <n v="0"/>
    <n v="1600"/>
    <m/>
  </r>
  <r>
    <x v="0"/>
    <x v="2"/>
    <x v="1"/>
    <n v="1597"/>
    <n v="1"/>
    <m/>
    <m/>
    <x v="0"/>
    <n v="2067"/>
    <n v="2067"/>
    <n v="0"/>
    <n v="0"/>
    <m/>
  </r>
  <r>
    <x v="0"/>
    <x v="2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200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2000"/>
    <n v="0"/>
    <n v="800"/>
    <m/>
  </r>
  <r>
    <x v="5"/>
    <x v="0"/>
    <x v="0"/>
    <n v="1156"/>
    <n v="0"/>
    <s v="Scroll"/>
    <n v="1"/>
    <x v="2"/>
    <n v="0"/>
    <n v="200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200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200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2000"/>
    <n v="0"/>
    <n v="800"/>
    <m/>
  </r>
  <r>
    <x v="5"/>
    <x v="0"/>
    <x v="0"/>
    <n v="1385"/>
    <n v="0"/>
    <s v="Scroll"/>
    <n v="1"/>
    <x v="2"/>
    <n v="0"/>
    <n v="2000"/>
    <n v="0"/>
    <n v="800"/>
    <m/>
  </r>
  <r>
    <x v="5"/>
    <x v="0"/>
    <x v="0"/>
    <n v="1562"/>
    <n v="1"/>
    <s v="Scroll"/>
    <n v="1"/>
    <x v="2"/>
    <n v="0"/>
    <n v="200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200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2000"/>
    <n v="0"/>
    <n v="800"/>
    <m/>
  </r>
  <r>
    <x v="5"/>
    <x v="0"/>
    <x v="0"/>
    <n v="1437"/>
    <n v="0"/>
    <s v="Scroll"/>
    <n v="1"/>
    <x v="2"/>
    <n v="0"/>
    <n v="200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2000"/>
    <n v="0"/>
    <n v="800"/>
    <m/>
  </r>
  <r>
    <x v="5"/>
    <x v="0"/>
    <x v="0"/>
    <n v="1913"/>
    <n v="1"/>
    <s v="Scroll"/>
    <n v="1"/>
    <x v="2"/>
    <n v="0"/>
    <n v="200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2"/>
    <x v="1"/>
    <n v="1484"/>
    <n v="2"/>
    <m/>
    <m/>
    <x v="0"/>
    <n v="1159"/>
    <n v="1159"/>
    <n v="0"/>
    <n v="0"/>
    <m/>
  </r>
  <r>
    <x v="0"/>
    <x v="2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200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200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200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200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200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200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800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400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400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400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35822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400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400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400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2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7"/>
    <x v="0"/>
    <x v="3"/>
    <n v="1000"/>
    <n v="0"/>
    <s v="Dark"/>
    <n v="5"/>
    <x v="3"/>
    <n v="0"/>
    <n v="0"/>
    <n v="0"/>
    <n v="0"/>
    <m/>
  </r>
  <r>
    <x v="0"/>
    <x v="2"/>
    <x v="1"/>
    <n v="1659"/>
    <n v="4"/>
    <m/>
    <m/>
    <x v="0"/>
    <n v="2067"/>
    <n v="2067"/>
    <n v="0"/>
    <n v="0"/>
    <m/>
  </r>
  <r>
    <x v="0"/>
    <x v="2"/>
    <x v="1"/>
    <n v="1881"/>
    <n v="1"/>
    <m/>
    <m/>
    <x v="0"/>
    <n v="1159"/>
    <n v="1159"/>
    <n v="0"/>
    <n v="0"/>
    <m/>
  </r>
  <r>
    <x v="0"/>
    <x v="2"/>
    <x v="1"/>
    <n v="2446"/>
    <n v="1"/>
    <m/>
    <m/>
    <x v="0"/>
    <n v="1159"/>
    <n v="1159"/>
    <n v="0"/>
    <n v="0"/>
    <m/>
  </r>
  <r>
    <x v="0"/>
    <x v="2"/>
    <x v="1"/>
    <n v="1899"/>
    <n v="0"/>
    <m/>
    <m/>
    <x v="0"/>
    <n v="1352"/>
    <n v="1352"/>
    <n v="0"/>
    <n v="0"/>
    <m/>
  </r>
  <r>
    <x v="0"/>
    <x v="2"/>
    <x v="1"/>
    <n v="1480"/>
    <n v="1"/>
    <m/>
    <m/>
    <x v="0"/>
    <n v="1159"/>
    <n v="1159"/>
    <n v="0"/>
    <n v="0"/>
    <m/>
  </r>
  <r>
    <x v="0"/>
    <x v="2"/>
    <x v="1"/>
    <n v="1725"/>
    <n v="2"/>
    <m/>
    <m/>
    <x v="0"/>
    <n v="1159"/>
    <n v="1159"/>
    <n v="0"/>
    <n v="0"/>
    <m/>
  </r>
  <r>
    <x v="0"/>
    <x v="2"/>
    <x v="1"/>
    <n v="1343"/>
    <n v="0"/>
    <s v="Scroll"/>
    <n v="3"/>
    <x v="2"/>
    <n v="0"/>
    <n v="6000"/>
    <n v="0"/>
    <n v="2400"/>
    <m/>
  </r>
  <r>
    <x v="0"/>
    <x v="2"/>
    <x v="1"/>
    <n v="2733"/>
    <n v="0"/>
    <m/>
    <m/>
    <x v="0"/>
    <n v="1159"/>
    <n v="1159"/>
    <n v="0"/>
    <n v="0"/>
    <m/>
  </r>
  <r>
    <x v="0"/>
    <x v="2"/>
    <x v="1"/>
    <n v="2196"/>
    <n v="0"/>
    <m/>
    <m/>
    <x v="0"/>
    <n v="1159"/>
    <n v="1159"/>
    <n v="0"/>
    <n v="0"/>
    <m/>
  </r>
  <r>
    <x v="0"/>
    <x v="2"/>
    <x v="1"/>
    <n v="1326"/>
    <n v="0"/>
    <m/>
    <m/>
    <x v="0"/>
    <n v="1159"/>
    <n v="1159"/>
    <n v="0"/>
    <n v="0"/>
    <m/>
  </r>
  <r>
    <x v="0"/>
    <x v="2"/>
    <x v="1"/>
    <n v="2012"/>
    <n v="0"/>
    <s v="SweetCookie"/>
    <m/>
    <x v="0"/>
    <n v="0"/>
    <n v="0"/>
    <n v="0"/>
    <n v="0"/>
    <m/>
  </r>
  <r>
    <x v="0"/>
    <x v="2"/>
    <x v="1"/>
    <n v="1970"/>
    <n v="1"/>
    <m/>
    <m/>
    <x v="0"/>
    <n v="1546"/>
    <n v="1546"/>
    <n v="0"/>
    <n v="0"/>
    <m/>
  </r>
  <r>
    <x v="0"/>
    <x v="2"/>
    <x v="1"/>
    <n v="779"/>
    <n v="1"/>
    <s v="Scroll"/>
    <n v="3"/>
    <x v="2"/>
    <n v="0"/>
    <n v="6000"/>
    <n v="0"/>
    <n v="2400"/>
    <m/>
  </r>
  <r>
    <x v="0"/>
    <x v="2"/>
    <x v="1"/>
    <n v="2074"/>
    <n v="1"/>
    <m/>
    <m/>
    <x v="0"/>
    <n v="1159"/>
    <n v="1159"/>
    <n v="0"/>
    <n v="0"/>
    <m/>
  </r>
  <r>
    <x v="0"/>
    <x v="2"/>
    <x v="1"/>
    <n v="1672"/>
    <n v="0"/>
    <m/>
    <m/>
    <x v="0"/>
    <n v="1159"/>
    <n v="1159"/>
    <n v="0"/>
    <n v="0"/>
    <m/>
  </r>
  <r>
    <x v="0"/>
    <x v="2"/>
    <x v="1"/>
    <n v="823"/>
    <n v="0"/>
    <m/>
    <m/>
    <x v="0"/>
    <n v="1159"/>
    <n v="1159"/>
    <n v="0"/>
    <n v="0"/>
    <m/>
  </r>
  <r>
    <x v="0"/>
    <x v="2"/>
    <x v="1"/>
    <n v="1454"/>
    <n v="3"/>
    <m/>
    <m/>
    <x v="0"/>
    <n v="1159"/>
    <n v="1159"/>
    <n v="0"/>
    <n v="0"/>
    <m/>
  </r>
  <r>
    <x v="0"/>
    <x v="2"/>
    <x v="1"/>
    <n v="1264"/>
    <n v="2"/>
    <s v="Scroll"/>
    <n v="3"/>
    <x v="2"/>
    <n v="0"/>
    <n v="6000"/>
    <n v="0"/>
    <n v="2400"/>
    <m/>
  </r>
  <r>
    <x v="0"/>
    <x v="2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400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400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2"/>
    <x v="0"/>
    <x v="3"/>
    <n v="2351"/>
    <n v="2"/>
    <m/>
    <m/>
    <x v="0"/>
    <n v="3100"/>
    <n v="3100"/>
    <n v="0"/>
    <n v="0"/>
    <m/>
  </r>
  <r>
    <x v="2"/>
    <x v="0"/>
    <x v="3"/>
    <n v="2200"/>
    <n v="4"/>
    <m/>
    <m/>
    <x v="0"/>
    <n v="1300"/>
    <n v="1300"/>
    <n v="0"/>
    <n v="0"/>
    <m/>
  </r>
  <r>
    <x v="2"/>
    <x v="0"/>
    <x v="3"/>
    <n v="1737"/>
    <n v="2"/>
    <m/>
    <m/>
    <x v="0"/>
    <n v="1649"/>
    <n v="1649"/>
    <n v="0"/>
    <n v="0"/>
    <m/>
  </r>
  <r>
    <x v="2"/>
    <x v="0"/>
    <x v="3"/>
    <n v="2547"/>
    <n v="2"/>
    <s v="SweetCookie"/>
    <m/>
    <x v="0"/>
    <n v="0"/>
    <n v="0"/>
    <n v="0"/>
    <n v="0"/>
    <m/>
  </r>
  <r>
    <x v="2"/>
    <x v="0"/>
    <x v="3"/>
    <n v="2230"/>
    <n v="2"/>
    <s v="Scroll"/>
    <n v="2"/>
    <x v="2"/>
    <n v="0"/>
    <n v="4000"/>
    <n v="0"/>
    <n v="1600"/>
    <m/>
  </r>
  <r>
    <x v="2"/>
    <x v="0"/>
    <x v="3"/>
    <n v="2500"/>
    <n v="2"/>
    <s v="Scroll"/>
    <n v="3"/>
    <x v="2"/>
    <n v="0"/>
    <n v="6000"/>
    <n v="0"/>
    <n v="2400"/>
    <m/>
  </r>
  <r>
    <x v="2"/>
    <x v="0"/>
    <x v="3"/>
    <n v="2677"/>
    <n v="1"/>
    <m/>
    <m/>
    <x v="0"/>
    <n v="8882"/>
    <n v="8882"/>
    <n v="0"/>
    <n v="0"/>
    <m/>
  </r>
  <r>
    <x v="2"/>
    <x v="0"/>
    <x v="3"/>
    <n v="2500"/>
    <n v="1"/>
    <m/>
    <m/>
    <x v="0"/>
    <n v="4134"/>
    <n v="4134"/>
    <n v="0"/>
    <n v="0"/>
    <m/>
  </r>
  <r>
    <x v="2"/>
    <x v="0"/>
    <x v="3"/>
    <n v="2751"/>
    <n v="0"/>
    <m/>
    <m/>
    <x v="0"/>
    <n v="6615"/>
    <n v="6615"/>
    <n v="0"/>
    <n v="0"/>
    <m/>
  </r>
  <r>
    <x v="2"/>
    <x v="0"/>
    <x v="3"/>
    <n v="2004"/>
    <n v="2"/>
    <m/>
    <m/>
    <x v="0"/>
    <n v="13770"/>
    <n v="13770"/>
    <n v="0"/>
    <n v="0"/>
    <m/>
  </r>
  <r>
    <x v="2"/>
    <x v="0"/>
    <x v="3"/>
    <n v="1787"/>
    <n v="3"/>
    <m/>
    <m/>
    <x v="0"/>
    <n v="4134"/>
    <n v="4134"/>
    <n v="0"/>
    <n v="0"/>
    <m/>
  </r>
  <r>
    <x v="2"/>
    <x v="0"/>
    <x v="3"/>
    <n v="2747"/>
    <n v="1"/>
    <m/>
    <m/>
    <x v="0"/>
    <n v="3720"/>
    <n v="3720"/>
    <n v="0"/>
    <n v="0"/>
    <m/>
  </r>
  <r>
    <x v="2"/>
    <x v="0"/>
    <x v="3"/>
    <n v="2105"/>
    <n v="0"/>
    <s v="Scroll"/>
    <n v="3"/>
    <x v="2"/>
    <n v="0"/>
    <n v="6000"/>
    <n v="0"/>
    <n v="2400"/>
    <m/>
  </r>
  <r>
    <x v="2"/>
    <x v="0"/>
    <x v="3"/>
    <n v="2230"/>
    <n v="2"/>
    <m/>
    <m/>
    <x v="0"/>
    <n v="2067"/>
    <n v="2067"/>
    <n v="0"/>
    <n v="0"/>
    <m/>
  </r>
  <r>
    <x v="2"/>
    <x v="0"/>
    <x v="3"/>
    <n v="2236"/>
    <n v="1"/>
    <s v="Scroll"/>
    <n v="4"/>
    <x v="2"/>
    <n v="0"/>
    <n v="8000"/>
    <n v="0"/>
    <n v="3200"/>
    <m/>
  </r>
  <r>
    <x v="2"/>
    <x v="0"/>
    <x v="3"/>
    <n v="2339"/>
    <n v="3"/>
    <s v="Scroll"/>
    <n v="4"/>
    <x v="2"/>
    <n v="0"/>
    <n v="8000"/>
    <n v="0"/>
    <n v="3200"/>
    <m/>
  </r>
  <r>
    <x v="0"/>
    <x v="2"/>
    <x v="1"/>
    <n v="1396"/>
    <n v="2"/>
    <m/>
    <m/>
    <x v="0"/>
    <n v="1159"/>
    <n v="1159"/>
    <n v="0"/>
    <n v="0"/>
    <m/>
  </r>
  <r>
    <x v="0"/>
    <x v="2"/>
    <x v="1"/>
    <n v="1382"/>
    <n v="1"/>
    <s v="Scroll"/>
    <n v="3"/>
    <x v="2"/>
    <n v="0"/>
    <n v="6000"/>
    <n v="0"/>
    <n v="2400"/>
    <m/>
  </r>
  <r>
    <x v="0"/>
    <x v="2"/>
    <x v="1"/>
    <n v="823"/>
    <n v="1"/>
    <m/>
    <m/>
    <x v="0"/>
    <n v="1159"/>
    <n v="1159"/>
    <n v="0"/>
    <n v="0"/>
    <m/>
  </r>
  <r>
    <x v="0"/>
    <x v="2"/>
    <x v="1"/>
    <n v="1300"/>
    <n v="2"/>
    <m/>
    <m/>
    <x v="0"/>
    <n v="1159"/>
    <n v="1159"/>
    <n v="0"/>
    <n v="0"/>
    <m/>
  </r>
  <r>
    <x v="0"/>
    <x v="2"/>
    <x v="1"/>
    <n v="1617"/>
    <n v="0"/>
    <m/>
    <m/>
    <x v="0"/>
    <n v="1159"/>
    <n v="1159"/>
    <n v="0"/>
    <n v="0"/>
    <m/>
  </r>
  <r>
    <x v="0"/>
    <x v="2"/>
    <x v="1"/>
    <n v="1669"/>
    <n v="2"/>
    <m/>
    <m/>
    <x v="0"/>
    <n v="2067"/>
    <n v="2067"/>
    <n v="0"/>
    <n v="0"/>
    <m/>
  </r>
  <r>
    <x v="0"/>
    <x v="2"/>
    <x v="1"/>
    <n v="1400"/>
    <n v="0"/>
    <m/>
    <m/>
    <x v="0"/>
    <n v="2067"/>
    <n v="2067"/>
    <n v="0"/>
    <n v="0"/>
    <m/>
  </r>
  <r>
    <x v="0"/>
    <x v="2"/>
    <x v="1"/>
    <n v="1299"/>
    <n v="1"/>
    <m/>
    <m/>
    <x v="0"/>
    <n v="1159"/>
    <n v="1159"/>
    <n v="0"/>
    <n v="0"/>
    <m/>
  </r>
  <r>
    <x v="0"/>
    <x v="2"/>
    <x v="1"/>
    <n v="1135"/>
    <n v="1"/>
    <m/>
    <m/>
    <x v="0"/>
    <n v="1159"/>
    <n v="1159"/>
    <n v="0"/>
    <n v="0"/>
    <m/>
  </r>
  <r>
    <x v="0"/>
    <x v="2"/>
    <x v="1"/>
    <n v="1659"/>
    <n v="1"/>
    <m/>
    <m/>
    <x v="0"/>
    <n v="1546"/>
    <n v="1546"/>
    <n v="0"/>
    <n v="0"/>
    <m/>
  </r>
  <r>
    <x v="0"/>
    <x v="2"/>
    <x v="1"/>
    <n v="1820"/>
    <n v="2"/>
    <m/>
    <m/>
    <x v="0"/>
    <n v="1159"/>
    <n v="1159"/>
    <n v="0"/>
    <n v="0"/>
    <m/>
  </r>
  <r>
    <x v="0"/>
    <x v="2"/>
    <x v="1"/>
    <n v="1567"/>
    <n v="1"/>
    <m/>
    <m/>
    <x v="0"/>
    <n v="1352"/>
    <n v="1352"/>
    <n v="0"/>
    <n v="0"/>
    <m/>
  </r>
  <r>
    <x v="0"/>
    <x v="2"/>
    <x v="1"/>
    <n v="1417"/>
    <n v="1"/>
    <m/>
    <m/>
    <x v="0"/>
    <n v="2067"/>
    <n v="2067"/>
    <n v="0"/>
    <n v="0"/>
    <m/>
  </r>
  <r>
    <x v="0"/>
    <x v="2"/>
    <x v="1"/>
    <n v="1149"/>
    <n v="0"/>
    <m/>
    <m/>
    <x v="0"/>
    <n v="1546"/>
    <n v="1546"/>
    <n v="0"/>
    <n v="0"/>
    <m/>
  </r>
  <r>
    <x v="0"/>
    <x v="2"/>
    <x v="1"/>
    <n v="999"/>
    <n v="2"/>
    <m/>
    <m/>
    <x v="0"/>
    <n v="2067"/>
    <n v="2067"/>
    <n v="0"/>
    <n v="0"/>
    <m/>
  </r>
  <r>
    <x v="0"/>
    <x v="2"/>
    <x v="1"/>
    <n v="1041"/>
    <n v="1"/>
    <m/>
    <m/>
    <x v="0"/>
    <n v="1159"/>
    <n v="1159"/>
    <n v="0"/>
    <n v="0"/>
    <m/>
  </r>
  <r>
    <x v="0"/>
    <x v="2"/>
    <x v="1"/>
    <n v="1428"/>
    <n v="1"/>
    <m/>
    <m/>
    <x v="0"/>
    <n v="1352"/>
    <n v="1352"/>
    <n v="0"/>
    <n v="0"/>
    <m/>
  </r>
  <r>
    <x v="0"/>
    <x v="2"/>
    <x v="1"/>
    <n v="1853"/>
    <n v="0"/>
    <s v="Scroll"/>
    <n v="3"/>
    <x v="2"/>
    <n v="0"/>
    <n v="6000"/>
    <n v="0"/>
    <n v="2400"/>
    <m/>
  </r>
  <r>
    <x v="0"/>
    <x v="2"/>
    <x v="1"/>
    <n v="2455"/>
    <n v="2"/>
    <m/>
    <m/>
    <x v="0"/>
    <n v="1159"/>
    <n v="1159"/>
    <n v="0"/>
    <n v="0"/>
    <m/>
  </r>
  <r>
    <x v="0"/>
    <x v="2"/>
    <x v="1"/>
    <n v="1681"/>
    <n v="1"/>
    <m/>
    <m/>
    <x v="0"/>
    <n v="1546"/>
    <n v="1546"/>
    <n v="0"/>
    <n v="0"/>
    <m/>
  </r>
  <r>
    <x v="0"/>
    <x v="2"/>
    <x v="1"/>
    <n v="824"/>
    <n v="0"/>
    <s v="Scroll"/>
    <n v="3"/>
    <x v="2"/>
    <n v="0"/>
    <n v="6000"/>
    <n v="0"/>
    <n v="2400"/>
    <m/>
  </r>
  <r>
    <x v="0"/>
    <x v="2"/>
    <x v="1"/>
    <n v="1214"/>
    <n v="1"/>
    <m/>
    <m/>
    <x v="0"/>
    <n v="1159"/>
    <n v="1159"/>
    <n v="0"/>
    <n v="0"/>
    <m/>
  </r>
  <r>
    <x v="0"/>
    <x v="2"/>
    <x v="1"/>
    <n v="1917"/>
    <n v="2"/>
    <m/>
    <m/>
    <x v="0"/>
    <n v="1159"/>
    <n v="1159"/>
    <n v="0"/>
    <n v="0"/>
    <m/>
  </r>
  <r>
    <x v="0"/>
    <x v="2"/>
    <x v="1"/>
    <n v="404"/>
    <n v="0"/>
    <m/>
    <m/>
    <x v="0"/>
    <n v="2067"/>
    <n v="2067"/>
    <n v="0"/>
    <n v="0"/>
    <m/>
  </r>
  <r>
    <x v="0"/>
    <x v="2"/>
    <x v="1"/>
    <n v="991"/>
    <n v="0"/>
    <m/>
    <m/>
    <x v="0"/>
    <n v="1159"/>
    <n v="1159"/>
    <n v="0"/>
    <n v="0"/>
    <m/>
  </r>
  <r>
    <x v="0"/>
    <x v="2"/>
    <x v="1"/>
    <n v="1585"/>
    <n v="0"/>
    <m/>
    <m/>
    <x v="0"/>
    <n v="1159"/>
    <n v="1159"/>
    <n v="0"/>
    <n v="0"/>
    <m/>
  </r>
  <r>
    <x v="0"/>
    <x v="2"/>
    <x v="1"/>
    <n v="1099"/>
    <n v="1"/>
    <m/>
    <m/>
    <x v="0"/>
    <n v="1352"/>
    <n v="1352"/>
    <n v="0"/>
    <n v="0"/>
    <m/>
  </r>
  <r>
    <x v="0"/>
    <x v="2"/>
    <x v="1"/>
    <n v="1444"/>
    <n v="0"/>
    <m/>
    <m/>
    <x v="0"/>
    <n v="1739"/>
    <n v="1739"/>
    <n v="0"/>
    <n v="0"/>
    <m/>
  </r>
  <r>
    <x v="0"/>
    <x v="2"/>
    <x v="1"/>
    <n v="1206"/>
    <n v="1"/>
    <m/>
    <m/>
    <x v="0"/>
    <n v="1159"/>
    <n v="1159"/>
    <n v="0"/>
    <n v="0"/>
    <m/>
  </r>
  <r>
    <x v="0"/>
    <x v="2"/>
    <x v="1"/>
    <n v="2034"/>
    <n v="3"/>
    <m/>
    <m/>
    <x v="0"/>
    <n v="1159"/>
    <n v="1159"/>
    <n v="0"/>
    <n v="0"/>
    <m/>
  </r>
  <r>
    <x v="0"/>
    <x v="2"/>
    <x v="1"/>
    <n v="2474"/>
    <n v="0"/>
    <s v="Scroll"/>
    <n v="3"/>
    <x v="2"/>
    <n v="0"/>
    <n v="6000"/>
    <n v="0"/>
    <n v="2400"/>
    <m/>
  </r>
  <r>
    <x v="0"/>
    <x v="2"/>
    <x v="1"/>
    <n v="1210"/>
    <n v="2"/>
    <m/>
    <m/>
    <x v="0"/>
    <n v="1352"/>
    <n v="1352"/>
    <n v="0"/>
    <n v="0"/>
    <m/>
  </r>
  <r>
    <x v="0"/>
    <x v="2"/>
    <x v="1"/>
    <n v="1838"/>
    <n v="0"/>
    <m/>
    <m/>
    <x v="0"/>
    <n v="1159"/>
    <n v="1159"/>
    <n v="0"/>
    <n v="0"/>
    <m/>
  </r>
  <r>
    <x v="0"/>
    <x v="2"/>
    <x v="1"/>
    <n v="1620"/>
    <n v="1"/>
    <m/>
    <m/>
    <x v="0"/>
    <n v="1159"/>
    <n v="1159"/>
    <n v="0"/>
    <n v="0"/>
    <m/>
  </r>
  <r>
    <x v="0"/>
    <x v="2"/>
    <x v="1"/>
    <n v="1629"/>
    <n v="1"/>
    <m/>
    <m/>
    <x v="0"/>
    <n v="2750"/>
    <n v="2750"/>
    <n v="0"/>
    <n v="0"/>
    <m/>
  </r>
  <r>
    <x v="0"/>
    <x v="2"/>
    <x v="1"/>
    <n v="1374"/>
    <n v="1"/>
    <s v="Scroll"/>
    <n v="3"/>
    <x v="2"/>
    <n v="0"/>
    <n v="6000"/>
    <n v="0"/>
    <n v="2400"/>
    <m/>
  </r>
  <r>
    <x v="0"/>
    <x v="2"/>
    <x v="1"/>
    <n v="1637"/>
    <n v="0"/>
    <m/>
    <m/>
    <x v="0"/>
    <n v="1352"/>
    <n v="1352"/>
    <n v="0"/>
    <n v="0"/>
    <m/>
  </r>
  <r>
    <x v="0"/>
    <x v="2"/>
    <x v="1"/>
    <n v="1846"/>
    <n v="1"/>
    <m/>
    <m/>
    <x v="0"/>
    <n v="1159"/>
    <n v="1159"/>
    <n v="0"/>
    <n v="0"/>
    <m/>
  </r>
  <r>
    <x v="0"/>
    <x v="2"/>
    <x v="1"/>
    <n v="1617"/>
    <n v="1"/>
    <m/>
    <m/>
    <x v="0"/>
    <n v="2756"/>
    <n v="2756"/>
    <n v="0"/>
    <n v="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585"/>
    <n v="0"/>
    <s v="Scroll"/>
    <n v="3"/>
    <x v="2"/>
    <n v="0"/>
    <n v="6000"/>
    <n v="0"/>
    <n v="2400"/>
    <m/>
  </r>
  <r>
    <x v="0"/>
    <x v="2"/>
    <x v="1"/>
    <n v="1990"/>
    <n v="0"/>
    <m/>
    <m/>
    <x v="0"/>
    <n v="1159"/>
    <n v="1159"/>
    <n v="0"/>
    <n v="0"/>
    <m/>
  </r>
  <r>
    <x v="0"/>
    <x v="2"/>
    <x v="1"/>
    <n v="1186"/>
    <n v="1"/>
    <m/>
    <m/>
    <x v="0"/>
    <n v="2756"/>
    <n v="2756"/>
    <n v="0"/>
    <n v="0"/>
    <m/>
  </r>
  <r>
    <x v="0"/>
    <x v="2"/>
    <x v="1"/>
    <n v="1193"/>
    <n v="2"/>
    <m/>
    <m/>
    <x v="0"/>
    <n v="1159"/>
    <n v="1159"/>
    <n v="0"/>
    <n v="0"/>
    <m/>
  </r>
  <r>
    <x v="0"/>
    <x v="2"/>
    <x v="1"/>
    <n v="1223"/>
    <n v="0"/>
    <m/>
    <m/>
    <x v="0"/>
    <n v="2067"/>
    <n v="2067"/>
    <n v="0"/>
    <n v="0"/>
    <m/>
  </r>
  <r>
    <x v="0"/>
    <x v="2"/>
    <x v="1"/>
    <n v="1833"/>
    <n v="0"/>
    <m/>
    <m/>
    <x v="0"/>
    <n v="2067"/>
    <n v="2067"/>
    <n v="0"/>
    <n v="0"/>
    <m/>
  </r>
  <r>
    <x v="0"/>
    <x v="2"/>
    <x v="1"/>
    <n v="1601"/>
    <n v="1"/>
    <m/>
    <m/>
    <x v="0"/>
    <n v="2067"/>
    <n v="2067"/>
    <n v="0"/>
    <n v="0"/>
    <m/>
  </r>
  <r>
    <x v="0"/>
    <x v="2"/>
    <x v="1"/>
    <n v="1381"/>
    <n v="0"/>
    <m/>
    <m/>
    <x v="0"/>
    <n v="2067"/>
    <n v="2067"/>
    <n v="0"/>
    <n v="0"/>
    <m/>
  </r>
  <r>
    <x v="0"/>
    <x v="2"/>
    <x v="1"/>
    <n v="1472"/>
    <n v="3"/>
    <m/>
    <m/>
    <x v="0"/>
    <n v="1159"/>
    <n v="1159"/>
    <n v="0"/>
    <n v="0"/>
    <m/>
  </r>
  <r>
    <x v="0"/>
    <x v="2"/>
    <x v="1"/>
    <n v="1210"/>
    <n v="1"/>
    <m/>
    <m/>
    <x v="0"/>
    <n v="1159"/>
    <n v="1159"/>
    <n v="0"/>
    <n v="0"/>
    <m/>
  </r>
  <r>
    <x v="0"/>
    <x v="2"/>
    <x v="1"/>
    <n v="1469"/>
    <n v="1"/>
    <s v="Fod"/>
    <n v="1"/>
    <x v="1"/>
    <n v="0"/>
    <n v="0"/>
    <n v="11500"/>
    <n v="0"/>
    <m/>
  </r>
  <r>
    <x v="0"/>
    <x v="2"/>
    <x v="1"/>
    <n v="1035"/>
    <n v="1"/>
    <m/>
    <m/>
    <x v="0"/>
    <n v="2067"/>
    <n v="2067"/>
    <n v="0"/>
    <n v="0"/>
    <m/>
  </r>
  <r>
    <x v="0"/>
    <x v="2"/>
    <x v="1"/>
    <n v="1877"/>
    <n v="1"/>
    <s v="Scroll"/>
    <n v="3"/>
    <x v="2"/>
    <n v="0"/>
    <n v="6000"/>
    <n v="0"/>
    <n v="2400"/>
    <m/>
  </r>
  <r>
    <x v="0"/>
    <x v="2"/>
    <x v="1"/>
    <n v="849"/>
    <n v="1"/>
    <s v="Scroll"/>
    <n v="3"/>
    <x v="2"/>
    <n v="0"/>
    <n v="6000"/>
    <n v="0"/>
    <n v="2400"/>
    <m/>
  </r>
  <r>
    <x v="0"/>
    <x v="2"/>
    <x v="1"/>
    <n v="1261"/>
    <n v="1"/>
    <s v="Scroll"/>
    <n v="3"/>
    <x v="2"/>
    <n v="0"/>
    <n v="6000"/>
    <n v="0"/>
    <n v="2400"/>
    <m/>
  </r>
  <r>
    <x v="0"/>
    <x v="2"/>
    <x v="1"/>
    <n v="2271"/>
    <n v="1"/>
    <s v="Scroll"/>
    <n v="3"/>
    <x v="2"/>
    <n v="0"/>
    <n v="6000"/>
    <n v="0"/>
    <n v="2400"/>
    <m/>
  </r>
  <r>
    <x v="0"/>
    <x v="2"/>
    <x v="1"/>
    <n v="1066"/>
    <n v="0"/>
    <s v="Rainb"/>
    <n v="1"/>
    <x v="1"/>
    <n v="0"/>
    <n v="0"/>
    <n v="11500"/>
    <n v="35822"/>
    <m/>
  </r>
  <r>
    <x v="0"/>
    <x v="2"/>
    <x v="1"/>
    <n v="1217"/>
    <n v="0"/>
    <m/>
    <m/>
    <x v="0"/>
    <n v="1159"/>
    <n v="1159"/>
    <n v="0"/>
    <n v="0"/>
    <m/>
  </r>
  <r>
    <x v="0"/>
    <x v="2"/>
    <x v="1"/>
    <n v="1369"/>
    <n v="0"/>
    <s v="Fod"/>
    <n v="1"/>
    <x v="5"/>
    <m/>
    <n v="0"/>
    <n v="34500"/>
    <n v="35822"/>
    <m/>
  </r>
  <r>
    <x v="0"/>
    <x v="2"/>
    <x v="1"/>
    <n v="1200"/>
    <n v="1"/>
    <m/>
    <m/>
    <x v="0"/>
    <n v="1546"/>
    <n v="1546"/>
    <n v="0"/>
    <n v="0"/>
    <m/>
  </r>
  <r>
    <x v="0"/>
    <x v="2"/>
    <x v="1"/>
    <n v="2084"/>
    <n v="1"/>
    <m/>
    <m/>
    <x v="0"/>
    <n v="1159"/>
    <n v="1159"/>
    <n v="0"/>
    <n v="0"/>
    <m/>
  </r>
  <r>
    <x v="0"/>
    <x v="2"/>
    <x v="1"/>
    <n v="1041"/>
    <n v="2"/>
    <m/>
    <m/>
    <x v="0"/>
    <n v="1159"/>
    <n v="1159"/>
    <n v="0"/>
    <n v="0"/>
    <m/>
  </r>
  <r>
    <x v="0"/>
    <x v="2"/>
    <x v="1"/>
    <n v="1173"/>
    <n v="0"/>
    <s v="Scroll"/>
    <n v="3"/>
    <x v="2"/>
    <n v="0"/>
    <n v="6000"/>
    <n v="0"/>
    <n v="2400"/>
    <m/>
  </r>
  <r>
    <x v="0"/>
    <x v="2"/>
    <x v="1"/>
    <n v="1203"/>
    <n v="0"/>
    <m/>
    <m/>
    <x v="0"/>
    <n v="1159"/>
    <n v="1159"/>
    <n v="0"/>
    <n v="0"/>
    <m/>
  </r>
  <r>
    <x v="0"/>
    <x v="2"/>
    <x v="1"/>
    <n v="1265"/>
    <n v="0"/>
    <m/>
    <m/>
    <x v="0"/>
    <n v="1159"/>
    <n v="1159"/>
    <n v="0"/>
    <n v="0"/>
    <m/>
  </r>
  <r>
    <x v="0"/>
    <x v="2"/>
    <x v="1"/>
    <n v="1133"/>
    <n v="0"/>
    <m/>
    <m/>
    <x v="0"/>
    <n v="1159"/>
    <n v="1159"/>
    <n v="0"/>
    <n v="0"/>
    <m/>
  </r>
  <r>
    <x v="0"/>
    <x v="2"/>
    <x v="1"/>
    <n v="967"/>
    <n v="1"/>
    <s v="Fod"/>
    <n v="1"/>
    <x v="2"/>
    <n v="0"/>
    <n v="0"/>
    <n v="0"/>
    <n v="0"/>
    <m/>
  </r>
  <r>
    <x v="0"/>
    <x v="2"/>
    <x v="1"/>
    <n v="2246"/>
    <n v="1"/>
    <m/>
    <m/>
    <x v="0"/>
    <n v="2067"/>
    <n v="2067"/>
    <n v="0"/>
    <n v="0"/>
    <m/>
  </r>
  <r>
    <x v="0"/>
    <x v="2"/>
    <x v="1"/>
    <n v="1423"/>
    <n v="2"/>
    <m/>
    <m/>
    <x v="0"/>
    <n v="1159"/>
    <n v="1159"/>
    <n v="0"/>
    <n v="0"/>
    <m/>
  </r>
  <r>
    <x v="0"/>
    <x v="2"/>
    <x v="1"/>
    <n v="1858"/>
    <n v="0"/>
    <m/>
    <m/>
    <x v="0"/>
    <n v="2067"/>
    <n v="2067"/>
    <n v="0"/>
    <n v="0"/>
    <m/>
  </r>
  <r>
    <x v="0"/>
    <x v="2"/>
    <x v="1"/>
    <n v="1423"/>
    <n v="1"/>
    <m/>
    <m/>
    <x v="0"/>
    <n v="1546"/>
    <n v="1546"/>
    <n v="0"/>
    <n v="0"/>
    <m/>
  </r>
  <r>
    <x v="0"/>
    <x v="2"/>
    <x v="1"/>
    <n v="2042"/>
    <n v="1"/>
    <m/>
    <m/>
    <x v="0"/>
    <n v="1159"/>
    <n v="1159"/>
    <n v="0"/>
    <n v="0"/>
    <m/>
  </r>
  <r>
    <x v="0"/>
    <x v="2"/>
    <x v="1"/>
    <n v="2001"/>
    <n v="1"/>
    <s v="Fod"/>
    <n v="1"/>
    <x v="2"/>
    <n v="0"/>
    <n v="0"/>
    <n v="0"/>
    <n v="0"/>
    <m/>
  </r>
  <r>
    <x v="0"/>
    <x v="2"/>
    <x v="1"/>
    <n v="1540"/>
    <n v="0"/>
    <s v="Fod"/>
    <n v="1"/>
    <x v="2"/>
    <n v="0"/>
    <n v="0"/>
    <n v="0"/>
    <n v="0"/>
    <m/>
  </r>
  <r>
    <x v="0"/>
    <x v="2"/>
    <x v="1"/>
    <n v="1699"/>
    <n v="1"/>
    <m/>
    <m/>
    <x v="0"/>
    <n v="2067"/>
    <n v="2067"/>
    <n v="0"/>
    <n v="0"/>
    <m/>
  </r>
  <r>
    <x v="0"/>
    <x v="2"/>
    <x v="1"/>
    <n v="1916"/>
    <n v="1"/>
    <m/>
    <m/>
    <x v="0"/>
    <n v="1159"/>
    <n v="1159"/>
    <n v="0"/>
    <n v="0"/>
    <m/>
  </r>
  <r>
    <x v="0"/>
    <x v="2"/>
    <x v="1"/>
    <n v="2501"/>
    <n v="0"/>
    <m/>
    <m/>
    <x v="0"/>
    <n v="2067"/>
    <n v="2067"/>
    <n v="0"/>
    <n v="0"/>
    <m/>
  </r>
  <r>
    <x v="0"/>
    <x v="2"/>
    <x v="1"/>
    <n v="1812"/>
    <n v="1"/>
    <s v="Scroll"/>
    <n v="3"/>
    <x v="2"/>
    <n v="0"/>
    <n v="6000"/>
    <n v="0"/>
    <n v="2400"/>
    <m/>
  </r>
  <r>
    <x v="0"/>
    <x v="2"/>
    <x v="1"/>
    <n v="1215"/>
    <n v="0"/>
    <m/>
    <m/>
    <x v="0"/>
    <n v="1159"/>
    <n v="1159"/>
    <n v="0"/>
    <n v="0"/>
    <m/>
  </r>
  <r>
    <x v="0"/>
    <x v="2"/>
    <x v="1"/>
    <n v="422"/>
    <n v="1"/>
    <m/>
    <m/>
    <x v="0"/>
    <n v="2756"/>
    <n v="2756"/>
    <n v="0"/>
    <n v="0"/>
    <m/>
  </r>
  <r>
    <x v="0"/>
    <x v="2"/>
    <x v="1"/>
    <n v="1105"/>
    <n v="0"/>
    <s v="Fod"/>
    <n v="1"/>
    <x v="1"/>
    <n v="0"/>
    <n v="0"/>
    <n v="11500"/>
    <n v="0"/>
    <m/>
  </r>
  <r>
    <x v="0"/>
    <x v="2"/>
    <x v="1"/>
    <n v="821"/>
    <n v="1"/>
    <m/>
    <m/>
    <x v="0"/>
    <n v="1159"/>
    <n v="1159"/>
    <n v="0"/>
    <n v="0"/>
    <m/>
  </r>
  <r>
    <x v="0"/>
    <x v="2"/>
    <x v="1"/>
    <n v="1748"/>
    <n v="1"/>
    <s v="SweetCookie"/>
    <m/>
    <x v="0"/>
    <n v="0"/>
    <n v="0"/>
    <n v="0"/>
    <n v="0"/>
    <m/>
  </r>
  <r>
    <x v="0"/>
    <x v="2"/>
    <x v="1"/>
    <n v="1840"/>
    <n v="0"/>
    <s v="SweetCookie"/>
    <m/>
    <x v="0"/>
    <n v="0"/>
    <n v="0"/>
    <n v="0"/>
    <n v="0"/>
    <m/>
  </r>
  <r>
    <x v="0"/>
    <x v="2"/>
    <x v="1"/>
    <n v="1395"/>
    <n v="2"/>
    <m/>
    <m/>
    <x v="0"/>
    <n v="1159"/>
    <n v="1159"/>
    <n v="0"/>
    <n v="0"/>
    <m/>
  </r>
  <r>
    <x v="0"/>
    <x v="2"/>
    <x v="1"/>
    <n v="1292"/>
    <n v="2"/>
    <m/>
    <m/>
    <x v="0"/>
    <n v="1159"/>
    <n v="1159"/>
    <n v="0"/>
    <n v="0"/>
    <m/>
  </r>
  <r>
    <x v="0"/>
    <x v="2"/>
    <x v="1"/>
    <n v="1574"/>
    <n v="0"/>
    <m/>
    <m/>
    <x v="0"/>
    <n v="1159"/>
    <n v="1159"/>
    <n v="0"/>
    <n v="0"/>
    <m/>
  </r>
  <r>
    <x v="0"/>
    <x v="2"/>
    <x v="1"/>
    <n v="1388"/>
    <n v="0"/>
    <m/>
    <m/>
    <x v="0"/>
    <n v="1159"/>
    <n v="1159"/>
    <n v="0"/>
    <n v="0"/>
    <m/>
  </r>
  <r>
    <x v="0"/>
    <x v="2"/>
    <x v="1"/>
    <n v="3326"/>
    <n v="0"/>
    <s v="Scroll"/>
    <n v="3"/>
    <x v="2"/>
    <n v="0"/>
    <n v="6000"/>
    <n v="0"/>
    <n v="2400"/>
    <m/>
  </r>
  <r>
    <x v="0"/>
    <x v="2"/>
    <x v="1"/>
    <n v="999"/>
    <n v="1"/>
    <s v="SweetCookie"/>
    <m/>
    <x v="0"/>
    <n v="0"/>
    <n v="0"/>
    <n v="0"/>
    <n v="0"/>
    <m/>
  </r>
  <r>
    <x v="0"/>
    <x v="2"/>
    <x v="1"/>
    <n v="1225"/>
    <n v="0"/>
    <m/>
    <m/>
    <x v="0"/>
    <n v="2411"/>
    <n v="2411"/>
    <n v="0"/>
    <n v="0"/>
    <m/>
  </r>
  <r>
    <x v="0"/>
    <x v="2"/>
    <x v="1"/>
    <n v="1362"/>
    <n v="2"/>
    <s v="Fod"/>
    <n v="1"/>
    <x v="2"/>
    <m/>
    <n v="0"/>
    <n v="0"/>
    <n v="0"/>
    <m/>
  </r>
  <r>
    <x v="0"/>
    <x v="2"/>
    <x v="1"/>
    <n v="1149"/>
    <n v="2"/>
    <m/>
    <m/>
    <x v="0"/>
    <n v="1159"/>
    <n v="1159"/>
    <n v="0"/>
    <n v="0"/>
    <m/>
  </r>
  <r>
    <x v="0"/>
    <x v="2"/>
    <x v="1"/>
    <n v="1186"/>
    <n v="1"/>
    <m/>
    <m/>
    <x v="0"/>
    <n v="2067"/>
    <n v="2067"/>
    <n v="0"/>
    <n v="0"/>
    <m/>
  </r>
  <r>
    <x v="0"/>
    <x v="2"/>
    <x v="1"/>
    <n v="1366"/>
    <n v="1"/>
    <m/>
    <m/>
    <x v="0"/>
    <n v="2411"/>
    <n v="2411"/>
    <n v="0"/>
    <n v="0"/>
    <m/>
  </r>
  <r>
    <x v="0"/>
    <x v="2"/>
    <x v="1"/>
    <n v="2407"/>
    <n v="4"/>
    <s v="Fod"/>
    <n v="1"/>
    <x v="1"/>
    <n v="0"/>
    <n v="0"/>
    <n v="11500"/>
    <n v="0"/>
    <m/>
  </r>
  <r>
    <x v="0"/>
    <x v="2"/>
    <x v="1"/>
    <n v="2050"/>
    <n v="1"/>
    <m/>
    <m/>
    <x v="0"/>
    <n v="2067"/>
    <n v="2067"/>
    <n v="0"/>
    <n v="0"/>
    <m/>
  </r>
  <r>
    <x v="0"/>
    <x v="2"/>
    <x v="1"/>
    <n v="2063"/>
    <n v="1"/>
    <s v="Fod"/>
    <n v="1"/>
    <x v="2"/>
    <m/>
    <n v="0"/>
    <n v="0"/>
    <n v="0"/>
    <m/>
  </r>
  <r>
    <x v="0"/>
    <x v="2"/>
    <x v="1"/>
    <n v="1086"/>
    <n v="0"/>
    <m/>
    <m/>
    <x v="0"/>
    <n v="1546"/>
    <n v="1546"/>
    <n v="0"/>
    <n v="0"/>
    <m/>
  </r>
  <r>
    <x v="0"/>
    <x v="2"/>
    <x v="1"/>
    <n v="1248"/>
    <n v="2"/>
    <s v="Scroll"/>
    <n v="3"/>
    <x v="2"/>
    <n v="0"/>
    <n v="6000"/>
    <n v="0"/>
    <n v="2400"/>
    <m/>
  </r>
  <r>
    <x v="0"/>
    <x v="2"/>
    <x v="1"/>
    <n v="1342"/>
    <n v="1"/>
    <s v="SweetCookie"/>
    <m/>
    <x v="0"/>
    <n v="0"/>
    <n v="0"/>
    <n v="0"/>
    <n v="0"/>
    <m/>
  </r>
  <r>
    <x v="0"/>
    <x v="2"/>
    <x v="1"/>
    <n v="2048"/>
    <n v="0"/>
    <m/>
    <m/>
    <x v="0"/>
    <n v="1159"/>
    <n v="1159"/>
    <n v="0"/>
    <n v="0"/>
    <m/>
  </r>
  <r>
    <x v="0"/>
    <x v="2"/>
    <x v="1"/>
    <n v="2152"/>
    <n v="2"/>
    <s v="Fod"/>
    <n v="1"/>
    <x v="2"/>
    <n v="0"/>
    <n v="0"/>
    <n v="0"/>
    <n v="0"/>
    <m/>
  </r>
  <r>
    <x v="0"/>
    <x v="2"/>
    <x v="1"/>
    <n v="1171"/>
    <n v="1"/>
    <m/>
    <m/>
    <x v="0"/>
    <n v="2067"/>
    <n v="2067"/>
    <n v="0"/>
    <n v="0"/>
    <m/>
  </r>
  <r>
    <x v="0"/>
    <x v="2"/>
    <x v="1"/>
    <n v="2951"/>
    <n v="2"/>
    <m/>
    <m/>
    <x v="0"/>
    <n v="2411"/>
    <n v="2411"/>
    <n v="0"/>
    <n v="0"/>
    <m/>
  </r>
  <r>
    <x v="0"/>
    <x v="2"/>
    <x v="1"/>
    <n v="1340"/>
    <n v="0"/>
    <m/>
    <m/>
    <x v="0"/>
    <n v="1159"/>
    <n v="1159"/>
    <n v="0"/>
    <n v="0"/>
    <m/>
  </r>
  <r>
    <x v="0"/>
    <x v="2"/>
    <x v="1"/>
    <n v="1120"/>
    <n v="1"/>
    <m/>
    <m/>
    <x v="0"/>
    <n v="1546"/>
    <n v="1546"/>
    <n v="0"/>
    <n v="0"/>
    <m/>
  </r>
  <r>
    <x v="0"/>
    <x v="2"/>
    <x v="1"/>
    <n v="805"/>
    <n v="1"/>
    <m/>
    <m/>
    <x v="0"/>
    <n v="2067"/>
    <n v="2067"/>
    <n v="0"/>
    <n v="0"/>
    <m/>
  </r>
  <r>
    <x v="0"/>
    <x v="2"/>
    <x v="1"/>
    <n v="1611"/>
    <n v="3"/>
    <m/>
    <m/>
    <x v="0"/>
    <n v="1159"/>
    <n v="1159"/>
    <n v="0"/>
    <n v="0"/>
    <m/>
  </r>
  <r>
    <x v="0"/>
    <x v="2"/>
    <x v="1"/>
    <n v="1332"/>
    <n v="0"/>
    <m/>
    <m/>
    <x v="0"/>
    <n v="1159"/>
    <n v="1159"/>
    <n v="0"/>
    <n v="0"/>
    <m/>
  </r>
  <r>
    <x v="0"/>
    <x v="2"/>
    <x v="1"/>
    <n v="1613"/>
    <n v="1"/>
    <m/>
    <m/>
    <x v="0"/>
    <n v="2411"/>
    <n v="2411"/>
    <n v="0"/>
    <n v="0"/>
    <m/>
  </r>
  <r>
    <x v="0"/>
    <x v="2"/>
    <x v="1"/>
    <n v="1375"/>
    <n v="1"/>
    <m/>
    <m/>
    <x v="0"/>
    <n v="1159"/>
    <n v="1159"/>
    <n v="0"/>
    <n v="0"/>
    <m/>
  </r>
  <r>
    <x v="0"/>
    <x v="2"/>
    <x v="1"/>
    <n v="1277"/>
    <n v="1"/>
    <m/>
    <m/>
    <x v="0"/>
    <n v="1159"/>
    <n v="1159"/>
    <n v="0"/>
    <n v="0"/>
    <m/>
  </r>
  <r>
    <x v="0"/>
    <x v="2"/>
    <x v="1"/>
    <n v="1167"/>
    <n v="0"/>
    <m/>
    <m/>
    <x v="0"/>
    <n v="2067"/>
    <n v="2067"/>
    <n v="0"/>
    <n v="0"/>
    <m/>
  </r>
  <r>
    <x v="0"/>
    <x v="2"/>
    <x v="1"/>
    <n v="1156"/>
    <n v="2"/>
    <m/>
    <m/>
    <x v="0"/>
    <n v="1352"/>
    <n v="1352"/>
    <n v="0"/>
    <n v="0"/>
    <m/>
  </r>
  <r>
    <x v="0"/>
    <x v="2"/>
    <x v="1"/>
    <n v="1404"/>
    <n v="0"/>
    <s v="Fod"/>
    <n v="1"/>
    <x v="5"/>
    <n v="0"/>
    <n v="0"/>
    <n v="34500"/>
    <n v="35822"/>
    <m/>
  </r>
  <r>
    <x v="0"/>
    <x v="2"/>
    <x v="1"/>
    <n v="1462"/>
    <n v="0"/>
    <m/>
    <m/>
    <x v="0"/>
    <n v="1159"/>
    <n v="1159"/>
    <n v="0"/>
    <n v="0"/>
    <m/>
  </r>
  <r>
    <x v="0"/>
    <x v="2"/>
    <x v="1"/>
    <n v="1957"/>
    <n v="2"/>
    <s v="SweetCookie"/>
    <m/>
    <x v="0"/>
    <n v="0"/>
    <n v="0"/>
    <n v="0"/>
    <n v="0"/>
    <m/>
  </r>
  <r>
    <x v="0"/>
    <x v="2"/>
    <x v="1"/>
    <n v="1051"/>
    <n v="0"/>
    <m/>
    <m/>
    <x v="0"/>
    <n v="2411"/>
    <n v="2411"/>
    <n v="0"/>
    <n v="0"/>
    <m/>
  </r>
  <r>
    <x v="0"/>
    <x v="2"/>
    <x v="1"/>
    <n v="1187"/>
    <n v="2"/>
    <m/>
    <m/>
    <x v="0"/>
    <n v="1159"/>
    <n v="1159"/>
    <n v="0"/>
    <n v="0"/>
    <m/>
  </r>
  <r>
    <x v="0"/>
    <x v="2"/>
    <x v="1"/>
    <n v="1798"/>
    <n v="2"/>
    <s v="Scroll"/>
    <n v="3"/>
    <x v="2"/>
    <n v="0"/>
    <n v="6000"/>
    <n v="0"/>
    <n v="2400"/>
    <m/>
  </r>
  <r>
    <x v="0"/>
    <x v="2"/>
    <x v="1"/>
    <n v="1909"/>
    <n v="3"/>
    <m/>
    <m/>
    <x v="0"/>
    <n v="1159"/>
    <n v="1159"/>
    <n v="0"/>
    <n v="0"/>
    <m/>
  </r>
  <r>
    <x v="0"/>
    <x v="2"/>
    <x v="1"/>
    <n v="829"/>
    <n v="2"/>
    <m/>
    <m/>
    <x v="0"/>
    <n v="1159"/>
    <n v="1159"/>
    <n v="0"/>
    <n v="0"/>
    <m/>
  </r>
  <r>
    <x v="0"/>
    <x v="2"/>
    <x v="1"/>
    <n v="1201"/>
    <n v="2"/>
    <s v="Scroll"/>
    <n v="3"/>
    <x v="2"/>
    <n v="0"/>
    <n v="6000"/>
    <n v="0"/>
    <n v="2400"/>
    <m/>
  </r>
  <r>
    <x v="0"/>
    <x v="2"/>
    <x v="1"/>
    <n v="1770"/>
    <n v="0"/>
    <m/>
    <m/>
    <x v="0"/>
    <n v="1159"/>
    <n v="1159"/>
    <n v="0"/>
    <n v="0"/>
    <m/>
  </r>
  <r>
    <x v="0"/>
    <x v="2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200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200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2000"/>
    <n v="0"/>
    <n v="800"/>
    <m/>
  </r>
  <r>
    <x v="0"/>
    <x v="1"/>
    <x v="1"/>
    <n v="2474"/>
    <n v="3"/>
    <s v="Scroll"/>
    <n v="2"/>
    <x v="2"/>
    <n v="0"/>
    <n v="4000"/>
    <n v="0"/>
    <n v="1600"/>
    <m/>
  </r>
  <r>
    <x v="0"/>
    <x v="2"/>
    <x v="1"/>
    <n v="920"/>
    <n v="2"/>
    <s v="Scroll"/>
    <n v="3"/>
    <x v="2"/>
    <n v="0"/>
    <n v="6000"/>
    <n v="0"/>
    <n v="2400"/>
    <m/>
  </r>
  <r>
    <x v="0"/>
    <x v="2"/>
    <x v="1"/>
    <n v="1475"/>
    <n v="3"/>
    <m/>
    <m/>
    <x v="0"/>
    <n v="2756"/>
    <n v="2756"/>
    <n v="0"/>
    <n v="0"/>
    <m/>
  </r>
  <r>
    <x v="0"/>
    <x v="2"/>
    <x v="1"/>
    <n v="1500"/>
    <n v="3"/>
    <s v="Fod"/>
    <n v="1"/>
    <x v="5"/>
    <n v="0"/>
    <n v="0"/>
    <n v="34500"/>
    <n v="35822"/>
    <m/>
  </r>
  <r>
    <x v="0"/>
    <x v="2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2"/>
    <x v="0"/>
    <x v="2"/>
    <n v="2090"/>
    <n v="2"/>
    <m/>
    <m/>
    <x v="0"/>
    <n v="1971"/>
    <n v="1971"/>
    <n v="0"/>
    <n v="0"/>
    <m/>
  </r>
  <r>
    <x v="2"/>
    <x v="0"/>
    <x v="2"/>
    <n v="2783"/>
    <n v="2"/>
    <s v="Scroll"/>
    <n v="3"/>
    <x v="2"/>
    <n v="0"/>
    <n v="6000"/>
    <n v="0"/>
    <n v="2400"/>
    <m/>
  </r>
  <r>
    <x v="2"/>
    <x v="0"/>
    <x v="2"/>
    <n v="2090"/>
    <n v="0"/>
    <m/>
    <m/>
    <x v="0"/>
    <n v="12000"/>
    <n v="12000"/>
    <n v="0"/>
    <n v="0"/>
    <m/>
  </r>
  <r>
    <x v="2"/>
    <x v="0"/>
    <x v="2"/>
    <n v="2367"/>
    <n v="0"/>
    <s v="Rainb"/>
    <n v="1"/>
    <x v="1"/>
    <n v="0"/>
    <n v="0"/>
    <n v="11500"/>
    <n v="35822"/>
    <m/>
  </r>
  <r>
    <x v="2"/>
    <x v="0"/>
    <x v="2"/>
    <n v="3236"/>
    <n v="1"/>
    <m/>
    <m/>
    <x v="0"/>
    <n v="1236"/>
    <n v="1236"/>
    <n v="0"/>
    <n v="0"/>
    <m/>
  </r>
  <r>
    <x v="2"/>
    <x v="0"/>
    <x v="2"/>
    <n v="2638"/>
    <n v="0"/>
    <s v="SweetCookie"/>
    <m/>
    <x v="0"/>
    <n v="0"/>
    <n v="0"/>
    <n v="0"/>
    <n v="0"/>
    <m/>
  </r>
  <r>
    <x v="2"/>
    <x v="0"/>
    <x v="2"/>
    <n v="2603"/>
    <n v="0"/>
    <s v="Scroll"/>
    <n v="4"/>
    <x v="2"/>
    <n v="0"/>
    <n v="8000"/>
    <n v="0"/>
    <n v="3200"/>
    <m/>
  </r>
  <r>
    <x v="2"/>
    <x v="0"/>
    <x v="2"/>
    <n v="2600"/>
    <n v="2"/>
    <m/>
    <m/>
    <x v="0"/>
    <n v="3916"/>
    <n v="3916"/>
    <n v="0"/>
    <n v="0"/>
    <m/>
  </r>
  <r>
    <x v="2"/>
    <x v="0"/>
    <x v="2"/>
    <n v="2913"/>
    <n v="0"/>
    <m/>
    <m/>
    <x v="0"/>
    <n v="3789"/>
    <n v="3789"/>
    <n v="0"/>
    <n v="0"/>
    <m/>
  </r>
  <r>
    <x v="2"/>
    <x v="0"/>
    <x v="2"/>
    <n v="2460"/>
    <n v="1"/>
    <s v="Scroll"/>
    <n v="4"/>
    <x v="2"/>
    <n v="0"/>
    <n v="8000"/>
    <n v="0"/>
    <n v="3200"/>
    <m/>
  </r>
  <r>
    <x v="8"/>
    <x v="0"/>
    <x v="7"/>
    <n v="2498"/>
    <n v="2"/>
    <s v="Water"/>
    <n v="3"/>
    <x v="3"/>
    <n v="0"/>
    <n v="0"/>
    <n v="0"/>
    <n v="0"/>
    <m/>
  </r>
  <r>
    <x v="8"/>
    <x v="0"/>
    <x v="6"/>
    <n v="2073"/>
    <n v="0"/>
    <s v="Water"/>
    <n v="1"/>
    <x v="4"/>
    <n v="0"/>
    <n v="0"/>
    <n v="0"/>
    <n v="0"/>
    <m/>
  </r>
  <r>
    <x v="8"/>
    <x v="0"/>
    <x v="6"/>
    <n v="2143"/>
    <n v="0"/>
    <s v="Water"/>
    <n v="3"/>
    <x v="3"/>
    <n v="0"/>
    <n v="0"/>
    <n v="0"/>
    <n v="0"/>
    <m/>
  </r>
  <r>
    <x v="8"/>
    <x v="0"/>
    <x v="6"/>
    <n v="1852"/>
    <n v="1"/>
    <s v="Water"/>
    <n v="1"/>
    <x v="4"/>
    <n v="0"/>
    <n v="0"/>
    <n v="0"/>
    <n v="0"/>
    <m/>
  </r>
  <r>
    <x v="8"/>
    <x v="0"/>
    <x v="6"/>
    <n v="2417"/>
    <n v="0"/>
    <s v="SumStone"/>
    <n v="1"/>
    <x v="5"/>
    <n v="0"/>
    <n v="0"/>
    <n v="862.5"/>
    <n v="895.55"/>
    <m/>
  </r>
  <r>
    <x v="8"/>
    <x v="0"/>
    <x v="7"/>
    <n v="2146"/>
    <n v="0"/>
    <s v="Water"/>
    <n v="2"/>
    <x v="4"/>
    <n v="0"/>
    <n v="0"/>
    <n v="0"/>
    <n v="0"/>
    <m/>
  </r>
  <r>
    <x v="8"/>
    <x v="0"/>
    <x v="7"/>
    <n v="2968"/>
    <n v="0"/>
    <s v="Scroll"/>
    <n v="4"/>
    <x v="2"/>
    <n v="0"/>
    <n v="8000"/>
    <n v="0"/>
    <n v="3200"/>
    <m/>
  </r>
  <r>
    <x v="8"/>
    <x v="0"/>
    <x v="7"/>
    <n v="2237"/>
    <n v="0"/>
    <s v="Scroll"/>
    <n v="4"/>
    <x v="2"/>
    <n v="0"/>
    <n v="8000"/>
    <n v="0"/>
    <n v="3200"/>
    <m/>
  </r>
  <r>
    <x v="8"/>
    <x v="0"/>
    <x v="7"/>
    <n v="2223"/>
    <n v="1"/>
    <s v="Water"/>
    <n v="5"/>
    <x v="3"/>
    <n v="0"/>
    <n v="0"/>
    <n v="0"/>
    <n v="0"/>
    <m/>
  </r>
  <r>
    <x v="8"/>
    <x v="0"/>
    <x v="7"/>
    <n v="2246"/>
    <n v="2"/>
    <s v="Scroll"/>
    <n v="4"/>
    <x v="2"/>
    <n v="0"/>
    <n v="8000"/>
    <n v="0"/>
    <n v="3200"/>
    <m/>
  </r>
  <r>
    <x v="8"/>
    <x v="0"/>
    <x v="7"/>
    <n v="1945"/>
    <n v="0"/>
    <s v="Scroll"/>
    <n v="4"/>
    <x v="2"/>
    <n v="0"/>
    <n v="8000"/>
    <n v="0"/>
    <n v="3200"/>
    <m/>
  </r>
  <r>
    <x v="8"/>
    <x v="0"/>
    <x v="7"/>
    <n v="2404"/>
    <n v="1"/>
    <s v="Water"/>
    <n v="4"/>
    <x v="3"/>
    <n v="0"/>
    <n v="0"/>
    <n v="0"/>
    <n v="0"/>
    <m/>
  </r>
  <r>
    <x v="8"/>
    <x v="0"/>
    <x v="7"/>
    <n v="3017"/>
    <n v="1"/>
    <s v="Water"/>
    <n v="4"/>
    <x v="3"/>
    <n v="0"/>
    <n v="0"/>
    <n v="0"/>
    <n v="0"/>
    <m/>
  </r>
  <r>
    <x v="8"/>
    <x v="0"/>
    <x v="7"/>
    <n v="2175"/>
    <n v="0"/>
    <s v="SweetCookie"/>
    <n v="1"/>
    <x v="0"/>
    <n v="0"/>
    <n v="0"/>
    <n v="0"/>
    <n v="0"/>
    <m/>
  </r>
  <r>
    <x v="8"/>
    <x v="0"/>
    <x v="7"/>
    <n v="2276"/>
    <n v="0"/>
    <s v="Water"/>
    <n v="4"/>
    <x v="3"/>
    <n v="0"/>
    <n v="0"/>
    <n v="0"/>
    <n v="0"/>
    <m/>
  </r>
  <r>
    <x v="8"/>
    <x v="0"/>
    <x v="7"/>
    <n v="2576"/>
    <n v="3"/>
    <s v="Water"/>
    <n v="4"/>
    <x v="3"/>
    <n v="0"/>
    <n v="0"/>
    <n v="0"/>
    <n v="0"/>
    <m/>
  </r>
  <r>
    <x v="8"/>
    <x v="0"/>
    <x v="7"/>
    <n v="2058"/>
    <n v="1"/>
    <s v="Water"/>
    <n v="5"/>
    <x v="3"/>
    <n v="0"/>
    <n v="0"/>
    <n v="0"/>
    <n v="0"/>
    <m/>
  </r>
  <r>
    <x v="8"/>
    <x v="0"/>
    <x v="7"/>
    <n v="2086"/>
    <n v="1"/>
    <s v="Scroll"/>
    <n v="4"/>
    <x v="2"/>
    <n v="0"/>
    <n v="8000"/>
    <n v="0"/>
    <n v="3200"/>
    <m/>
  </r>
  <r>
    <x v="8"/>
    <x v="0"/>
    <x v="7"/>
    <n v="2586"/>
    <n v="3"/>
    <s v="Scroll"/>
    <n v="4"/>
    <x v="2"/>
    <n v="0"/>
    <n v="8000"/>
    <n v="0"/>
    <n v="3200"/>
    <m/>
  </r>
  <r>
    <x v="8"/>
    <x v="0"/>
    <x v="7"/>
    <n v="2500"/>
    <n v="1"/>
    <s v="Scroll"/>
    <n v="5"/>
    <x v="2"/>
    <n v="0"/>
    <n v="10000"/>
    <n v="0"/>
    <n v="4000"/>
    <m/>
  </r>
  <r>
    <x v="8"/>
    <x v="0"/>
    <x v="7"/>
    <n v="2526"/>
    <n v="0"/>
    <s v="Water"/>
    <n v="1"/>
    <x v="6"/>
    <n v="0"/>
    <n v="0"/>
    <n v="0"/>
    <n v="0"/>
    <m/>
  </r>
  <r>
    <x v="8"/>
    <x v="0"/>
    <x v="7"/>
    <n v="2483"/>
    <n v="3"/>
    <s v="Water"/>
    <n v="1"/>
    <x v="6"/>
    <n v="0"/>
    <n v="0"/>
    <n v="0"/>
    <n v="0"/>
    <m/>
  </r>
  <r>
    <x v="8"/>
    <x v="0"/>
    <x v="7"/>
    <n v="2491"/>
    <n v="0"/>
    <s v="SD"/>
    <s v="Bearman"/>
    <x v="5"/>
    <n v="0"/>
    <n v="0"/>
    <n v="0"/>
    <n v="0"/>
    <m/>
  </r>
  <r>
    <x v="8"/>
    <x v="0"/>
    <x v="7"/>
    <n v="2730"/>
    <n v="0"/>
    <s v="Scroll"/>
    <n v="4"/>
    <x v="2"/>
    <n v="0"/>
    <n v="8000"/>
    <n v="0"/>
    <n v="3200"/>
    <m/>
  </r>
  <r>
    <x v="8"/>
    <x v="0"/>
    <x v="7"/>
    <n v="2671"/>
    <n v="2"/>
    <s v="Water"/>
    <n v="4"/>
    <x v="3"/>
    <n v="0"/>
    <n v="0"/>
    <n v="0"/>
    <n v="0"/>
    <m/>
  </r>
  <r>
    <x v="8"/>
    <x v="0"/>
    <x v="7"/>
    <n v="2186"/>
    <n v="1"/>
    <s v="Angelmon"/>
    <n v="1"/>
    <x v="2"/>
    <n v="0"/>
    <n v="0"/>
    <n v="0"/>
    <n v="0"/>
    <m/>
  </r>
  <r>
    <x v="8"/>
    <x v="0"/>
    <x v="7"/>
    <n v="2316"/>
    <n v="0"/>
    <s v="Water"/>
    <n v="3"/>
    <x v="3"/>
    <n v="0"/>
    <n v="0"/>
    <n v="0"/>
    <n v="0"/>
    <m/>
  </r>
  <r>
    <x v="8"/>
    <x v="0"/>
    <x v="7"/>
    <n v="2046"/>
    <n v="1"/>
    <s v="Water"/>
    <n v="4"/>
    <x v="3"/>
    <n v="0"/>
    <n v="0"/>
    <n v="0"/>
    <n v="0"/>
    <m/>
  </r>
  <r>
    <x v="8"/>
    <x v="0"/>
    <x v="7"/>
    <n v="2303"/>
    <n v="3"/>
    <s v="Water"/>
    <n v="1"/>
    <x v="4"/>
    <n v="0"/>
    <n v="0"/>
    <n v="0"/>
    <n v="0"/>
    <m/>
  </r>
  <r>
    <x v="8"/>
    <x v="0"/>
    <x v="7"/>
    <n v="2396"/>
    <n v="1"/>
    <s v="Water"/>
    <n v="1"/>
    <x v="4"/>
    <n v="0"/>
    <n v="0"/>
    <n v="0"/>
    <n v="0"/>
    <m/>
  </r>
  <r>
    <x v="8"/>
    <x v="0"/>
    <x v="7"/>
    <n v="2325"/>
    <n v="1"/>
    <s v="Water"/>
    <n v="2"/>
    <x v="6"/>
    <n v="0"/>
    <n v="0"/>
    <n v="0"/>
    <n v="0"/>
    <m/>
  </r>
  <r>
    <x v="8"/>
    <x v="0"/>
    <x v="7"/>
    <n v="2398"/>
    <n v="1"/>
    <s v="Water"/>
    <n v="3"/>
    <x v="3"/>
    <n v="0"/>
    <n v="0"/>
    <n v="0"/>
    <n v="0"/>
    <m/>
  </r>
  <r>
    <x v="8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800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2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4000"/>
    <n v="0"/>
    <n v="1600"/>
    <m/>
  </r>
  <r>
    <x v="1"/>
    <x v="1"/>
    <x v="8"/>
    <n v="1532"/>
    <n v="1"/>
    <s v="Scroll"/>
    <n v="2"/>
    <x v="2"/>
    <n v="0"/>
    <n v="400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400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400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4000"/>
    <n v="0"/>
    <n v="1600"/>
    <m/>
  </r>
  <r>
    <x v="1"/>
    <x v="1"/>
    <x v="8"/>
    <n v="1485"/>
    <n v="1"/>
    <s v="Scroll"/>
    <n v="2"/>
    <x v="2"/>
    <n v="0"/>
    <n v="400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400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2"/>
    <x v="1"/>
    <n v="1628"/>
    <n v="2"/>
    <m/>
    <m/>
    <x v="0"/>
    <n v="1159"/>
    <n v="1159"/>
    <n v="0"/>
    <n v="0"/>
    <m/>
  </r>
  <r>
    <x v="0"/>
    <x v="2"/>
    <x v="1"/>
    <n v="1636"/>
    <n v="2"/>
    <m/>
    <m/>
    <x v="0"/>
    <n v="1159"/>
    <n v="1159"/>
    <n v="0"/>
    <n v="0"/>
    <m/>
  </r>
  <r>
    <x v="0"/>
    <x v="2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4000"/>
    <n v="0"/>
    <n v="1600"/>
    <m/>
  </r>
  <r>
    <x v="1"/>
    <x v="1"/>
    <x v="8"/>
    <n v="1918"/>
    <n v="0"/>
    <s v="Scroll"/>
    <n v="2"/>
    <x v="2"/>
    <n v="0"/>
    <n v="4000"/>
    <n v="0"/>
    <n v="1600"/>
    <m/>
  </r>
  <r>
    <x v="1"/>
    <x v="1"/>
    <x v="8"/>
    <n v="1961"/>
    <n v="1"/>
    <s v="Scroll"/>
    <n v="2"/>
    <x v="2"/>
    <n v="0"/>
    <n v="400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4000"/>
    <n v="0"/>
    <n v="1600"/>
    <m/>
  </r>
  <r>
    <x v="0"/>
    <x v="2"/>
    <x v="9"/>
    <n v="1836"/>
    <n v="1"/>
    <m/>
    <m/>
    <x v="0"/>
    <n v="1352"/>
    <n v="1352"/>
    <n v="0"/>
    <n v="0"/>
    <m/>
  </r>
  <r>
    <x v="0"/>
    <x v="2"/>
    <x v="9"/>
    <n v="1596"/>
    <n v="1"/>
    <s v="Scroll"/>
    <n v="3"/>
    <x v="2"/>
    <n v="0"/>
    <n v="6000"/>
    <n v="0"/>
    <n v="2400"/>
    <m/>
  </r>
  <r>
    <x v="0"/>
    <x v="2"/>
    <x v="9"/>
    <n v="1249"/>
    <n v="1"/>
    <m/>
    <m/>
    <x v="0"/>
    <n v="1352"/>
    <n v="1352"/>
    <n v="0"/>
    <n v="0"/>
    <m/>
  </r>
  <r>
    <x v="0"/>
    <x v="2"/>
    <x v="9"/>
    <n v="1211"/>
    <n v="1"/>
    <m/>
    <m/>
    <x v="0"/>
    <n v="1352"/>
    <n v="1352"/>
    <n v="0"/>
    <n v="0"/>
    <m/>
  </r>
  <r>
    <x v="0"/>
    <x v="2"/>
    <x v="9"/>
    <n v="1264"/>
    <n v="2"/>
    <m/>
    <m/>
    <x v="0"/>
    <n v="2411"/>
    <n v="2411"/>
    <n v="0"/>
    <n v="0"/>
    <m/>
  </r>
  <r>
    <x v="0"/>
    <x v="2"/>
    <x v="9"/>
    <n v="2595"/>
    <n v="0"/>
    <m/>
    <m/>
    <x v="0"/>
    <n v="2067"/>
    <n v="2067"/>
    <n v="0"/>
    <n v="0"/>
    <m/>
  </r>
  <r>
    <x v="0"/>
    <x v="2"/>
    <x v="9"/>
    <n v="1424"/>
    <n v="2"/>
    <m/>
    <m/>
    <x v="0"/>
    <n v="1159"/>
    <n v="1159"/>
    <n v="0"/>
    <n v="0"/>
    <m/>
  </r>
  <r>
    <x v="0"/>
    <x v="2"/>
    <x v="9"/>
    <n v="1971"/>
    <n v="1"/>
    <m/>
    <m/>
    <x v="0"/>
    <n v="1159"/>
    <n v="1159"/>
    <n v="0"/>
    <n v="0"/>
    <m/>
  </r>
  <r>
    <x v="0"/>
    <x v="2"/>
    <x v="9"/>
    <n v="2145"/>
    <n v="0"/>
    <m/>
    <m/>
    <x v="0"/>
    <n v="2067"/>
    <n v="2067"/>
    <n v="0"/>
    <n v="0"/>
    <m/>
  </r>
  <r>
    <x v="0"/>
    <x v="2"/>
    <x v="9"/>
    <n v="2223"/>
    <n v="0"/>
    <m/>
    <m/>
    <x v="0"/>
    <n v="1546"/>
    <n v="1546"/>
    <n v="0"/>
    <n v="0"/>
    <m/>
  </r>
  <r>
    <x v="0"/>
    <x v="2"/>
    <x v="9"/>
    <n v="2364"/>
    <n v="1"/>
    <m/>
    <m/>
    <x v="0"/>
    <n v="1159"/>
    <n v="1159"/>
    <n v="0"/>
    <n v="0"/>
    <m/>
  </r>
  <r>
    <x v="0"/>
    <x v="2"/>
    <x v="9"/>
    <n v="781"/>
    <n v="0"/>
    <m/>
    <m/>
    <x v="0"/>
    <n v="2067"/>
    <n v="2067"/>
    <n v="0"/>
    <n v="0"/>
    <m/>
  </r>
  <r>
    <x v="0"/>
    <x v="2"/>
    <x v="9"/>
    <n v="904"/>
    <n v="2"/>
    <s v="Scroll"/>
    <n v="3"/>
    <x v="2"/>
    <n v="0"/>
    <n v="6000"/>
    <n v="0"/>
    <n v="2400"/>
    <m/>
  </r>
  <r>
    <x v="0"/>
    <x v="2"/>
    <x v="9"/>
    <n v="1500"/>
    <n v="0"/>
    <m/>
    <m/>
    <x v="0"/>
    <n v="1159"/>
    <n v="1159"/>
    <n v="0"/>
    <n v="0"/>
    <m/>
  </r>
  <r>
    <x v="0"/>
    <x v="2"/>
    <x v="9"/>
    <n v="1071"/>
    <n v="0"/>
    <m/>
    <m/>
    <x v="0"/>
    <n v="1159"/>
    <n v="1159"/>
    <n v="0"/>
    <n v="0"/>
    <m/>
  </r>
  <r>
    <x v="0"/>
    <x v="2"/>
    <x v="9"/>
    <n v="1683"/>
    <n v="2"/>
    <m/>
    <m/>
    <x v="0"/>
    <n v="1159"/>
    <n v="1159"/>
    <n v="0"/>
    <n v="0"/>
    <m/>
  </r>
  <r>
    <x v="0"/>
    <x v="2"/>
    <x v="9"/>
    <n v="1102"/>
    <n v="0"/>
    <m/>
    <m/>
    <x v="0"/>
    <n v="1159"/>
    <n v="1159"/>
    <n v="0"/>
    <n v="0"/>
    <m/>
  </r>
  <r>
    <x v="0"/>
    <x v="2"/>
    <x v="9"/>
    <n v="1495"/>
    <n v="1"/>
    <s v="Scroll"/>
    <n v="3"/>
    <x v="2"/>
    <n v="0"/>
    <n v="600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800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800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35822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2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800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800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800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7"/>
    <x v="0"/>
    <x v="6"/>
    <n v="2217"/>
    <n v="0"/>
    <s v="Dark"/>
    <n v="2"/>
    <x v="4"/>
    <n v="0"/>
    <n v="0"/>
    <n v="0"/>
    <n v="0"/>
    <m/>
  </r>
  <r>
    <x v="7"/>
    <x v="0"/>
    <x v="7"/>
    <n v="2635"/>
    <n v="0"/>
    <s v="Scroll"/>
    <n v="5"/>
    <x v="2"/>
    <n v="0"/>
    <n v="10000"/>
    <n v="0"/>
    <n v="4000"/>
    <m/>
  </r>
  <r>
    <x v="7"/>
    <x v="0"/>
    <x v="7"/>
    <n v="2286"/>
    <n v="0"/>
    <s v="Dark"/>
    <n v="2"/>
    <x v="4"/>
    <n v="0"/>
    <n v="0"/>
    <n v="0"/>
    <n v="0"/>
    <m/>
  </r>
  <r>
    <x v="7"/>
    <x v="0"/>
    <x v="7"/>
    <n v="2828"/>
    <n v="0"/>
    <s v="Dark"/>
    <n v="1"/>
    <x v="4"/>
    <n v="0"/>
    <n v="0"/>
    <n v="0"/>
    <n v="0"/>
    <m/>
  </r>
  <r>
    <x v="7"/>
    <x v="0"/>
    <x v="10"/>
    <n v="2917"/>
    <n v="2"/>
    <s v="Dark"/>
    <n v="3"/>
    <x v="4"/>
    <n v="0"/>
    <n v="0"/>
    <n v="0"/>
    <n v="0"/>
    <m/>
  </r>
  <r>
    <x v="7"/>
    <x v="0"/>
    <x v="11"/>
    <n v="2771"/>
    <n v="0"/>
    <s v="Dark"/>
    <n v="1"/>
    <x v="4"/>
    <n v="0"/>
    <n v="0"/>
    <n v="0"/>
    <n v="0"/>
    <m/>
  </r>
  <r>
    <x v="7"/>
    <x v="0"/>
    <x v="11"/>
    <n v="3158"/>
    <n v="1"/>
    <s v="Dark"/>
    <n v="3"/>
    <x v="6"/>
    <n v="0"/>
    <n v="0"/>
    <n v="0"/>
    <n v="0"/>
    <m/>
  </r>
  <r>
    <x v="7"/>
    <x v="0"/>
    <x v="11"/>
    <n v="3080"/>
    <n v="0"/>
    <s v="Dark"/>
    <n v="5"/>
    <x v="3"/>
    <n v="0"/>
    <n v="0"/>
    <n v="0"/>
    <n v="0"/>
    <m/>
  </r>
  <r>
    <x v="7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35822"/>
    <m/>
  </r>
  <r>
    <x v="2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35822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400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35822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2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8000"/>
    <n v="0"/>
    <n v="3200"/>
    <m/>
  </r>
  <r>
    <x v="9"/>
    <x v="0"/>
    <x v="10"/>
    <n v="2891"/>
    <n v="0"/>
    <s v="Scroll"/>
    <n v="4"/>
    <x v="2"/>
    <n v="0"/>
    <n v="8000"/>
    <n v="0"/>
    <n v="3200"/>
    <m/>
  </r>
  <r>
    <x v="9"/>
    <x v="0"/>
    <x v="10"/>
    <n v="2801"/>
    <n v="0"/>
    <s v="Fire"/>
    <n v="4"/>
    <x v="3"/>
    <n v="0"/>
    <n v="0"/>
    <n v="0"/>
    <n v="0"/>
    <m/>
  </r>
  <r>
    <x v="9"/>
    <x v="0"/>
    <x v="10"/>
    <n v="2407"/>
    <n v="0"/>
    <s v="Fire"/>
    <n v="1"/>
    <x v="4"/>
    <n v="0"/>
    <n v="0"/>
    <n v="0"/>
    <n v="0"/>
    <m/>
  </r>
  <r>
    <x v="9"/>
    <x v="0"/>
    <x v="10"/>
    <n v="2748"/>
    <n v="0"/>
    <m/>
    <m/>
    <x v="0"/>
    <n v="0"/>
    <n v="0"/>
    <n v="0"/>
    <n v="0"/>
    <m/>
  </r>
  <r>
    <x v="9"/>
    <x v="0"/>
    <x v="10"/>
    <n v="2679"/>
    <n v="1"/>
    <s v="Rainb"/>
    <n v="1"/>
    <x v="1"/>
    <n v="0"/>
    <n v="0"/>
    <n v="11500"/>
    <n v="35822"/>
    <m/>
  </r>
  <r>
    <x v="9"/>
    <x v="0"/>
    <x v="11"/>
    <n v="2720"/>
    <n v="0"/>
    <s v="Fire"/>
    <n v="1"/>
    <x v="4"/>
    <n v="0"/>
    <n v="0"/>
    <n v="0"/>
    <n v="0"/>
    <m/>
  </r>
  <r>
    <x v="9"/>
    <x v="0"/>
    <x v="11"/>
    <n v="0"/>
    <n v="0"/>
    <m/>
    <m/>
    <x v="0"/>
    <n v="0"/>
    <n v="0"/>
    <n v="0"/>
    <n v="0"/>
    <s v="Y"/>
  </r>
  <r>
    <x v="9"/>
    <x v="0"/>
    <x v="10"/>
    <n v="2875"/>
    <n v="0"/>
    <s v="Angelmon"/>
    <n v="1"/>
    <x v="2"/>
    <n v="0"/>
    <n v="0"/>
    <n v="0"/>
    <n v="0"/>
    <m/>
  </r>
  <r>
    <x v="9"/>
    <x v="0"/>
    <x v="10"/>
    <n v="2734"/>
    <n v="0"/>
    <s v="Fire"/>
    <n v="3"/>
    <x v="6"/>
    <n v="0"/>
    <n v="0"/>
    <n v="0"/>
    <n v="0"/>
    <m/>
  </r>
  <r>
    <x v="9"/>
    <x v="0"/>
    <x v="10"/>
    <n v="3073"/>
    <n v="0"/>
    <s v="Fire"/>
    <n v="2"/>
    <x v="4"/>
    <n v="0"/>
    <n v="0"/>
    <n v="0"/>
    <n v="0"/>
    <m/>
  </r>
  <r>
    <x v="9"/>
    <x v="0"/>
    <x v="10"/>
    <n v="2813"/>
    <n v="0"/>
    <s v="Fire"/>
    <n v="2"/>
    <x v="4"/>
    <n v="0"/>
    <n v="0"/>
    <n v="0"/>
    <n v="0"/>
    <m/>
  </r>
  <r>
    <x v="9"/>
    <x v="0"/>
    <x v="10"/>
    <n v="2758"/>
    <n v="0"/>
    <s v="Candy"/>
    <n v="3"/>
    <x v="0"/>
    <n v="0"/>
    <n v="0"/>
    <n v="0"/>
    <n v="0"/>
    <m/>
  </r>
  <r>
    <x v="9"/>
    <x v="0"/>
    <x v="10"/>
    <n v="2313"/>
    <n v="1"/>
    <s v="Fire"/>
    <n v="3"/>
    <x v="4"/>
    <n v="0"/>
    <n v="0"/>
    <n v="0"/>
    <n v="0"/>
    <m/>
  </r>
  <r>
    <x v="9"/>
    <x v="0"/>
    <x v="10"/>
    <n v="2625"/>
    <n v="1"/>
    <s v="Fire"/>
    <n v="3"/>
    <x v="4"/>
    <n v="0"/>
    <n v="0"/>
    <n v="0"/>
    <n v="0"/>
    <m/>
  </r>
  <r>
    <x v="9"/>
    <x v="0"/>
    <x v="10"/>
    <n v="2515"/>
    <n v="0"/>
    <s v="Fire"/>
    <n v="1"/>
    <x v="6"/>
    <n v="0"/>
    <n v="0"/>
    <n v="0"/>
    <n v="0"/>
    <m/>
  </r>
  <r>
    <x v="9"/>
    <x v="0"/>
    <x v="10"/>
    <n v="2516"/>
    <n v="1"/>
    <s v="Candy"/>
    <n v="1"/>
    <x v="0"/>
    <n v="0"/>
    <n v="0"/>
    <n v="0"/>
    <n v="0"/>
    <m/>
  </r>
  <r>
    <x v="9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2"/>
    <x v="0"/>
    <x v="7"/>
    <n v="3425"/>
    <n v="0"/>
    <s v="Blue"/>
    <n v="1"/>
    <x v="7"/>
    <n v="3445"/>
    <n v="3445"/>
    <n v="0"/>
    <n v="0"/>
    <m/>
  </r>
  <r>
    <x v="9"/>
    <x v="0"/>
    <x v="10"/>
    <n v="2517"/>
    <n v="0"/>
    <s v="Candy"/>
    <n v="2"/>
    <x v="0"/>
    <n v="0"/>
    <n v="0"/>
    <n v="0"/>
    <n v="0"/>
    <m/>
  </r>
  <r>
    <x v="9"/>
    <x v="0"/>
    <x v="10"/>
    <n v="2615"/>
    <n v="2"/>
    <s v="Fire"/>
    <n v="2"/>
    <x v="6"/>
    <n v="0"/>
    <n v="0"/>
    <n v="0"/>
    <n v="0"/>
    <m/>
  </r>
  <r>
    <x v="9"/>
    <x v="0"/>
    <x v="10"/>
    <n v="2798"/>
    <n v="2"/>
    <s v="Rainb"/>
    <n v="1"/>
    <x v="1"/>
    <n v="0"/>
    <n v="0"/>
    <n v="11500"/>
    <n v="35822"/>
    <m/>
  </r>
  <r>
    <x v="9"/>
    <x v="0"/>
    <x v="10"/>
    <n v="2602"/>
    <n v="0"/>
    <s v="Fire"/>
    <n v="3"/>
    <x v="4"/>
    <n v="0"/>
    <n v="0"/>
    <n v="0"/>
    <n v="0"/>
    <m/>
  </r>
  <r>
    <x v="9"/>
    <x v="0"/>
    <x v="10"/>
    <n v="2901"/>
    <n v="1"/>
    <s v="Fire"/>
    <n v="1"/>
    <x v="4"/>
    <n v="0"/>
    <n v="0"/>
    <n v="0"/>
    <n v="0"/>
    <m/>
  </r>
  <r>
    <x v="9"/>
    <x v="0"/>
    <x v="10"/>
    <n v="540"/>
    <n v="0"/>
    <m/>
    <m/>
    <x v="0"/>
    <n v="0"/>
    <n v="0"/>
    <n v="0"/>
    <n v="0"/>
    <s v="Y"/>
  </r>
  <r>
    <x v="9"/>
    <x v="0"/>
    <x v="10"/>
    <n v="3199"/>
    <n v="0"/>
    <s v="Fire"/>
    <n v="1"/>
    <x v="4"/>
    <n v="0"/>
    <n v="0"/>
    <n v="0"/>
    <n v="0"/>
    <m/>
  </r>
  <r>
    <x v="9"/>
    <x v="0"/>
    <x v="10"/>
    <n v="2926"/>
    <n v="1"/>
    <s v="Fire"/>
    <n v="1"/>
    <x v="4"/>
    <n v="0"/>
    <n v="0"/>
    <n v="0"/>
    <n v="0"/>
    <m/>
  </r>
  <r>
    <x v="9"/>
    <x v="0"/>
    <x v="10"/>
    <n v="2560"/>
    <n v="1"/>
    <s v="Fire"/>
    <n v="4"/>
    <x v="3"/>
    <n v="0"/>
    <n v="0"/>
    <n v="0"/>
    <n v="0"/>
    <m/>
  </r>
  <r>
    <x v="9"/>
    <x v="0"/>
    <x v="10"/>
    <n v="2313"/>
    <n v="1"/>
    <s v="Fire"/>
    <n v="4"/>
    <x v="3"/>
    <n v="0"/>
    <n v="0"/>
    <n v="0"/>
    <n v="0"/>
    <m/>
  </r>
  <r>
    <x v="9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400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400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400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400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4000"/>
    <n v="0"/>
    <n v="1600"/>
    <m/>
  </r>
  <r>
    <x v="9"/>
    <x v="0"/>
    <x v="10"/>
    <n v="2634"/>
    <n v="1"/>
    <s v="Fire"/>
    <n v="1"/>
    <x v="0"/>
    <n v="0"/>
    <n v="0"/>
    <n v="0"/>
    <n v="0"/>
    <m/>
  </r>
  <r>
    <x v="2"/>
    <x v="0"/>
    <x v="7"/>
    <n v="3118"/>
    <n v="0"/>
    <s v="Blue"/>
    <n v="1"/>
    <x v="8"/>
    <n v="8500"/>
    <n v="8500"/>
    <n v="0"/>
    <n v="0"/>
    <m/>
  </r>
  <r>
    <x v="2"/>
    <x v="0"/>
    <x v="7"/>
    <n v="3166"/>
    <n v="3"/>
    <s v="Scroll"/>
    <n v="5"/>
    <x v="2"/>
    <n v="0"/>
    <n v="10000"/>
    <n v="0"/>
    <n v="4000"/>
    <m/>
  </r>
  <r>
    <x v="2"/>
    <x v="0"/>
    <x v="7"/>
    <n v="3825"/>
    <n v="1"/>
    <s v="Candy"/>
    <n v="1"/>
    <x v="0"/>
    <n v="0"/>
    <n v="0"/>
    <n v="0"/>
    <n v="0"/>
    <m/>
  </r>
  <r>
    <x v="2"/>
    <x v="0"/>
    <x v="7"/>
    <n v="3553"/>
    <n v="0"/>
    <s v="Blue"/>
    <n v="1"/>
    <x v="8"/>
    <n v="8500"/>
    <n v="8500"/>
    <n v="0"/>
    <n v="0"/>
    <m/>
  </r>
  <r>
    <x v="2"/>
    <x v="0"/>
    <x v="7"/>
    <n v="3574"/>
    <n v="1"/>
    <s v="Pink"/>
    <n v="1"/>
    <x v="7"/>
    <n v="4134"/>
    <n v="4134"/>
    <n v="0"/>
    <n v="0"/>
    <m/>
  </r>
  <r>
    <x v="2"/>
    <x v="0"/>
    <x v="7"/>
    <n v="3456"/>
    <n v="3"/>
    <s v="Blue"/>
    <n v="1"/>
    <x v="7"/>
    <n v="2411"/>
    <n v="2411"/>
    <n v="0"/>
    <n v="0"/>
    <m/>
  </r>
  <r>
    <x v="2"/>
    <x v="0"/>
    <x v="7"/>
    <n v="3185"/>
    <n v="0"/>
    <s v="Blue"/>
    <n v="1"/>
    <x v="8"/>
    <n v="6502"/>
    <n v="6502"/>
    <n v="0"/>
    <n v="0"/>
    <m/>
  </r>
  <r>
    <x v="2"/>
    <x v="0"/>
    <x v="7"/>
    <n v="3742"/>
    <n v="4"/>
    <s v="Blue"/>
    <n v="1"/>
    <x v="7"/>
    <n v="4593"/>
    <n v="4593"/>
    <n v="0"/>
    <n v="0"/>
    <m/>
  </r>
  <r>
    <x v="8"/>
    <x v="0"/>
    <x v="10"/>
    <n v="2924"/>
    <n v="1"/>
    <s v="Water"/>
    <n v="1"/>
    <x v="4"/>
    <n v="0"/>
    <n v="0"/>
    <n v="0"/>
    <n v="0"/>
    <m/>
  </r>
  <r>
    <x v="8"/>
    <x v="0"/>
    <x v="10"/>
    <n v="3192"/>
    <n v="2"/>
    <s v="Water"/>
    <n v="2"/>
    <x v="4"/>
    <n v="0"/>
    <n v="0"/>
    <n v="0"/>
    <n v="0"/>
    <m/>
  </r>
  <r>
    <x v="8"/>
    <x v="0"/>
    <x v="10"/>
    <n v="2967"/>
    <n v="1"/>
    <s v="Water"/>
    <n v="2"/>
    <x v="4"/>
    <n v="0"/>
    <n v="0"/>
    <n v="0"/>
    <n v="0"/>
    <m/>
  </r>
  <r>
    <x v="8"/>
    <x v="0"/>
    <x v="10"/>
    <n v="2926"/>
    <n v="0"/>
    <s v="Water"/>
    <n v="3"/>
    <x v="3"/>
    <n v="0"/>
    <n v="0"/>
    <n v="0"/>
    <n v="0"/>
    <m/>
  </r>
  <r>
    <x v="8"/>
    <x v="0"/>
    <x v="10"/>
    <n v="2801"/>
    <n v="1"/>
    <s v="Water"/>
    <n v="3"/>
    <x v="3"/>
    <n v="0"/>
    <n v="0"/>
    <n v="0"/>
    <n v="0"/>
    <m/>
  </r>
  <r>
    <x v="8"/>
    <x v="0"/>
    <x v="10"/>
    <n v="2800"/>
    <n v="0"/>
    <s v="SD"/>
    <s v="Vagabond"/>
    <x v="1"/>
    <n v="0"/>
    <n v="0"/>
    <n v="0"/>
    <n v="0"/>
    <m/>
  </r>
  <r>
    <x v="8"/>
    <x v="0"/>
    <x v="10"/>
    <n v="2913"/>
    <n v="0"/>
    <s v="Water"/>
    <n v="1"/>
    <x v="6"/>
    <n v="0"/>
    <n v="0"/>
    <n v="0"/>
    <n v="0"/>
    <m/>
  </r>
  <r>
    <x v="8"/>
    <x v="0"/>
    <x v="10"/>
    <n v="2812"/>
    <n v="1"/>
    <s v="Water"/>
    <n v="1"/>
    <x v="4"/>
    <n v="0"/>
    <n v="0"/>
    <n v="0"/>
    <n v="0"/>
    <m/>
  </r>
  <r>
    <x v="8"/>
    <x v="0"/>
    <x v="10"/>
    <n v="2449"/>
    <n v="0"/>
    <s v="Rainb"/>
    <n v="1"/>
    <x v="1"/>
    <n v="0"/>
    <n v="0"/>
    <n v="11500"/>
    <n v="35822"/>
    <m/>
  </r>
  <r>
    <x v="8"/>
    <x v="0"/>
    <x v="10"/>
    <n v="2754"/>
    <n v="1"/>
    <s v="MystScroll"/>
    <n v="1"/>
    <x v="2"/>
    <n v="0"/>
    <n v="120000"/>
    <n v="0"/>
    <n v="0"/>
    <m/>
  </r>
  <r>
    <x v="8"/>
    <x v="0"/>
    <x v="10"/>
    <n v="2824"/>
    <n v="1"/>
    <s v="SD"/>
    <s v="Pixie"/>
    <x v="1"/>
    <n v="0"/>
    <n v="0"/>
    <n v="0"/>
    <n v="0"/>
    <m/>
  </r>
  <r>
    <x v="8"/>
    <x v="0"/>
    <x v="10"/>
    <n v="2980"/>
    <n v="0"/>
    <s v="Water"/>
    <n v="1"/>
    <x v="4"/>
    <n v="0"/>
    <n v="0"/>
    <n v="0"/>
    <n v="0"/>
    <m/>
  </r>
  <r>
    <x v="8"/>
    <x v="0"/>
    <x v="10"/>
    <n v="2957"/>
    <n v="0"/>
    <s v="Angelmon"/>
    <n v="1"/>
    <x v="2"/>
    <n v="0"/>
    <n v="0"/>
    <n v="0"/>
    <n v="0"/>
    <m/>
  </r>
  <r>
    <x v="8"/>
    <x v="0"/>
    <x v="10"/>
    <n v="2417"/>
    <n v="0"/>
    <s v="Scroll"/>
    <n v="4"/>
    <x v="2"/>
    <n v="0"/>
    <n v="8000"/>
    <n v="0"/>
    <n v="3200"/>
    <m/>
  </r>
  <r>
    <x v="8"/>
    <x v="0"/>
    <x v="10"/>
    <n v="2671"/>
    <n v="0"/>
    <s v="Water"/>
    <n v="5"/>
    <x v="3"/>
    <n v="0"/>
    <n v="0"/>
    <n v="0"/>
    <n v="0"/>
    <m/>
  </r>
  <r>
    <x v="8"/>
    <x v="0"/>
    <x v="10"/>
    <n v="2947"/>
    <n v="1"/>
    <s v="Water"/>
    <n v="1"/>
    <x v="6"/>
    <n v="0"/>
    <n v="0"/>
    <n v="0"/>
    <n v="0"/>
    <m/>
  </r>
  <r>
    <x v="8"/>
    <x v="0"/>
    <x v="10"/>
    <n v="3358"/>
    <n v="1"/>
    <s v="Scroll"/>
    <n v="4"/>
    <x v="2"/>
    <n v="0"/>
    <n v="8000"/>
    <n v="0"/>
    <n v="3200"/>
    <m/>
  </r>
  <r>
    <x v="8"/>
    <x v="0"/>
    <x v="10"/>
    <n v="2184"/>
    <n v="0"/>
    <s v="Water"/>
    <n v="4"/>
    <x v="3"/>
    <n v="0"/>
    <n v="0"/>
    <n v="0"/>
    <n v="0"/>
    <m/>
  </r>
  <r>
    <x v="8"/>
    <x v="0"/>
    <x v="10"/>
    <n v="2654"/>
    <n v="3"/>
    <s v="Water"/>
    <n v="1"/>
    <x v="4"/>
    <n v="0"/>
    <n v="0"/>
    <n v="0"/>
    <n v="0"/>
    <m/>
  </r>
  <r>
    <x v="8"/>
    <x v="0"/>
    <x v="10"/>
    <n v="2592"/>
    <n v="1"/>
    <s v="Water"/>
    <n v="1"/>
    <x v="4"/>
    <n v="0"/>
    <n v="0"/>
    <n v="0"/>
    <n v="0"/>
    <m/>
  </r>
  <r>
    <x v="8"/>
    <x v="0"/>
    <x v="10"/>
    <n v="2625"/>
    <n v="0"/>
    <s v="Water"/>
    <n v="1"/>
    <x v="6"/>
    <n v="0"/>
    <n v="0"/>
    <n v="0"/>
    <n v="0"/>
    <m/>
  </r>
  <r>
    <x v="8"/>
    <x v="0"/>
    <x v="10"/>
    <n v="3029"/>
    <n v="0"/>
    <s v="Water"/>
    <n v="1"/>
    <x v="4"/>
    <n v="0"/>
    <n v="0"/>
    <n v="0"/>
    <n v="0"/>
    <m/>
  </r>
  <r>
    <x v="8"/>
    <x v="0"/>
    <x v="10"/>
    <n v="2865"/>
    <n v="1"/>
    <s v="Water"/>
    <n v="1"/>
    <x v="4"/>
    <n v="0"/>
    <n v="0"/>
    <n v="0"/>
    <n v="0"/>
    <m/>
  </r>
  <r>
    <x v="8"/>
    <x v="0"/>
    <x v="10"/>
    <n v="3075"/>
    <n v="3"/>
    <s v="Water"/>
    <n v="5"/>
    <x v="3"/>
    <n v="0"/>
    <n v="0"/>
    <n v="0"/>
    <n v="0"/>
    <m/>
  </r>
  <r>
    <x v="8"/>
    <x v="0"/>
    <x v="10"/>
    <n v="3767"/>
    <n v="2"/>
    <s v="Water"/>
    <n v="4"/>
    <x v="3"/>
    <n v="0"/>
    <n v="0"/>
    <n v="0"/>
    <n v="0"/>
    <m/>
  </r>
  <r>
    <x v="8"/>
    <x v="0"/>
    <x v="10"/>
    <n v="3007"/>
    <n v="2"/>
    <s v="Water"/>
    <n v="3"/>
    <x v="4"/>
    <n v="0"/>
    <n v="0"/>
    <n v="0"/>
    <n v="0"/>
    <m/>
  </r>
  <r>
    <x v="8"/>
    <x v="0"/>
    <x v="10"/>
    <n v="2942"/>
    <n v="0"/>
    <s v="Water"/>
    <n v="1"/>
    <x v="4"/>
    <n v="0"/>
    <n v="0"/>
    <n v="0"/>
    <n v="0"/>
    <m/>
  </r>
  <r>
    <x v="8"/>
    <x v="0"/>
    <x v="10"/>
    <n v="2701"/>
    <n v="0"/>
    <s v="Water"/>
    <n v="5"/>
    <x v="3"/>
    <n v="0"/>
    <n v="0"/>
    <n v="0"/>
    <n v="0"/>
    <m/>
  </r>
  <r>
    <x v="8"/>
    <x v="0"/>
    <x v="10"/>
    <n v="3320"/>
    <n v="0"/>
    <s v="Water"/>
    <n v="3"/>
    <x v="6"/>
    <n v="0"/>
    <n v="0"/>
    <n v="0"/>
    <n v="0"/>
    <m/>
  </r>
  <r>
    <x v="8"/>
    <x v="0"/>
    <x v="10"/>
    <n v="2890"/>
    <n v="2"/>
    <s v="Water"/>
    <n v="3"/>
    <x v="3"/>
    <n v="0"/>
    <n v="0"/>
    <n v="0"/>
    <n v="0"/>
    <m/>
  </r>
  <r>
    <x v="8"/>
    <x v="0"/>
    <x v="10"/>
    <n v="3274"/>
    <n v="1"/>
    <s v="Water"/>
    <n v="2"/>
    <x v="6"/>
    <n v="0"/>
    <n v="0"/>
    <n v="0"/>
    <n v="0"/>
    <m/>
  </r>
  <r>
    <x v="8"/>
    <x v="0"/>
    <x v="10"/>
    <n v="2847"/>
    <n v="1"/>
    <s v="Water"/>
    <n v="1"/>
    <x v="6"/>
    <n v="0"/>
    <n v="0"/>
    <n v="0"/>
    <n v="0"/>
    <m/>
  </r>
  <r>
    <x v="8"/>
    <x v="0"/>
    <x v="10"/>
    <n v="2602"/>
    <n v="0"/>
    <s v="Water"/>
    <n v="4"/>
    <x v="3"/>
    <n v="0"/>
    <n v="0"/>
    <n v="0"/>
    <n v="0"/>
    <m/>
  </r>
  <r>
    <x v="8"/>
    <x v="0"/>
    <x v="10"/>
    <n v="2901"/>
    <n v="1"/>
    <s v="SD"/>
    <s v="Golem"/>
    <x v="5"/>
    <n v="0"/>
    <n v="0"/>
    <n v="0"/>
    <n v="0"/>
    <m/>
  </r>
  <r>
    <x v="8"/>
    <x v="0"/>
    <x v="10"/>
    <n v="2768"/>
    <n v="0"/>
    <s v="Water"/>
    <n v="5"/>
    <x v="3"/>
    <n v="0"/>
    <n v="0"/>
    <n v="0"/>
    <n v="0"/>
    <m/>
  </r>
  <r>
    <x v="8"/>
    <x v="0"/>
    <x v="10"/>
    <n v="2401"/>
    <n v="1"/>
    <s v="Water"/>
    <n v="1"/>
    <x v="4"/>
    <n v="0"/>
    <n v="0"/>
    <n v="0"/>
    <n v="0"/>
    <m/>
  </r>
  <r>
    <x v="8"/>
    <x v="0"/>
    <x v="10"/>
    <n v="2915"/>
    <n v="0"/>
    <s v="SumStone"/>
    <n v="3"/>
    <x v="5"/>
    <n v="0"/>
    <n v="0"/>
    <n v="2587.5"/>
    <n v="2686.6499999999996"/>
    <m/>
  </r>
  <r>
    <x v="8"/>
    <x v="0"/>
    <x v="10"/>
    <n v="2978"/>
    <n v="0"/>
    <s v="Water"/>
    <n v="4"/>
    <x v="3"/>
    <n v="0"/>
    <n v="0"/>
    <n v="0"/>
    <n v="0"/>
    <m/>
  </r>
  <r>
    <x v="8"/>
    <x v="0"/>
    <x v="10"/>
    <n v="2956"/>
    <n v="0"/>
    <s v="Water"/>
    <n v="5"/>
    <x v="3"/>
    <n v="0"/>
    <n v="0"/>
    <n v="0"/>
    <n v="0"/>
    <m/>
  </r>
  <r>
    <x v="8"/>
    <x v="0"/>
    <x v="10"/>
    <n v="2657"/>
    <n v="1"/>
    <s v="Water"/>
    <n v="5"/>
    <x v="3"/>
    <n v="0"/>
    <n v="0"/>
    <n v="0"/>
    <n v="0"/>
    <m/>
  </r>
  <r>
    <x v="8"/>
    <x v="0"/>
    <x v="10"/>
    <n v="2789"/>
    <n v="0"/>
    <s v="Angelmon"/>
    <n v="1"/>
    <x v="2"/>
    <n v="0"/>
    <n v="0"/>
    <n v="0"/>
    <n v="0"/>
    <m/>
  </r>
  <r>
    <x v="8"/>
    <x v="0"/>
    <x v="10"/>
    <n v="2793"/>
    <n v="1"/>
    <s v="Water"/>
    <n v="5"/>
    <x v="3"/>
    <n v="0"/>
    <n v="0"/>
    <n v="0"/>
    <n v="0"/>
    <m/>
  </r>
  <r>
    <x v="8"/>
    <x v="0"/>
    <x v="10"/>
    <n v="2869"/>
    <n v="2"/>
    <s v="Water"/>
    <n v="4"/>
    <x v="3"/>
    <n v="0"/>
    <n v="0"/>
    <n v="0"/>
    <n v="0"/>
    <m/>
  </r>
  <r>
    <x v="8"/>
    <x v="0"/>
    <x v="10"/>
    <n v="2638"/>
    <n v="1"/>
    <s v="Angelmon"/>
    <n v="1"/>
    <x v="2"/>
    <n v="0"/>
    <n v="0"/>
    <n v="0"/>
    <n v="0"/>
    <m/>
  </r>
  <r>
    <x v="8"/>
    <x v="0"/>
    <x v="10"/>
    <n v="2929"/>
    <n v="1"/>
    <s v="Water"/>
    <n v="1"/>
    <x v="4"/>
    <n v="0"/>
    <n v="0"/>
    <n v="0"/>
    <n v="0"/>
    <m/>
  </r>
  <r>
    <x v="8"/>
    <x v="0"/>
    <x v="10"/>
    <n v="2423"/>
    <n v="1"/>
    <s v="Water"/>
    <n v="3"/>
    <x v="3"/>
    <n v="0"/>
    <n v="0"/>
    <n v="0"/>
    <n v="0"/>
    <m/>
  </r>
  <r>
    <x v="8"/>
    <x v="0"/>
    <x v="10"/>
    <n v="2881"/>
    <n v="0"/>
    <s v="Water"/>
    <n v="5"/>
    <x v="3"/>
    <n v="0"/>
    <n v="0"/>
    <n v="0"/>
    <n v="0"/>
    <m/>
  </r>
  <r>
    <x v="8"/>
    <x v="0"/>
    <x v="10"/>
    <n v="3128"/>
    <n v="1"/>
    <s v="Water"/>
    <n v="4"/>
    <x v="3"/>
    <n v="0"/>
    <n v="0"/>
    <n v="0"/>
    <n v="0"/>
    <m/>
  </r>
  <r>
    <x v="8"/>
    <x v="0"/>
    <x v="10"/>
    <n v="3042"/>
    <n v="0"/>
    <s v="Water"/>
    <n v="3"/>
    <x v="6"/>
    <n v="0"/>
    <n v="0"/>
    <n v="0"/>
    <n v="0"/>
    <m/>
  </r>
  <r>
    <x v="8"/>
    <x v="0"/>
    <x v="10"/>
    <n v="2846"/>
    <n v="1"/>
    <s v="Water"/>
    <n v="1"/>
    <x v="6"/>
    <n v="0"/>
    <n v="0"/>
    <n v="0"/>
    <n v="0"/>
    <m/>
  </r>
  <r>
    <x v="8"/>
    <x v="0"/>
    <x v="10"/>
    <n v="3112"/>
    <n v="1"/>
    <s v="Water"/>
    <n v="1"/>
    <x v="6"/>
    <n v="0"/>
    <n v="0"/>
    <n v="0"/>
    <n v="0"/>
    <m/>
  </r>
  <r>
    <x v="8"/>
    <x v="0"/>
    <x v="10"/>
    <n v="2928"/>
    <n v="1"/>
    <s v="Water"/>
    <n v="4"/>
    <x v="3"/>
    <n v="0"/>
    <n v="0"/>
    <n v="0"/>
    <n v="0"/>
    <m/>
  </r>
  <r>
    <x v="8"/>
    <x v="0"/>
    <x v="10"/>
    <n v="2702"/>
    <n v="1"/>
    <s v="Water"/>
    <n v="2"/>
    <x v="4"/>
    <n v="0"/>
    <n v="0"/>
    <n v="0"/>
    <n v="0"/>
    <m/>
  </r>
  <r>
    <x v="10"/>
    <x v="0"/>
    <x v="12"/>
    <n v="6071"/>
    <n v="0"/>
    <s v="SumStone"/>
    <n v="4"/>
    <x v="5"/>
    <n v="0"/>
    <n v="0"/>
    <n v="3450"/>
    <n v="3582.2"/>
    <m/>
  </r>
  <r>
    <x v="10"/>
    <x v="0"/>
    <x v="12"/>
    <n v="5719"/>
    <n v="0"/>
    <s v="SumStone"/>
    <n v="4"/>
    <x v="5"/>
    <n v="0"/>
    <n v="0"/>
    <n v="3450"/>
    <n v="3582.2"/>
    <m/>
  </r>
  <r>
    <x v="10"/>
    <x v="0"/>
    <x v="12"/>
    <n v="5444"/>
    <n v="0"/>
    <s v="SumStone"/>
    <n v="4"/>
    <x v="5"/>
    <n v="0"/>
    <n v="0"/>
    <n v="3450"/>
    <n v="3582.2"/>
    <m/>
  </r>
  <r>
    <x v="10"/>
    <x v="0"/>
    <x v="12"/>
    <n v="5741"/>
    <n v="0"/>
    <s v="SumStone"/>
    <n v="4"/>
    <x v="5"/>
    <n v="0"/>
    <n v="0"/>
    <n v="3450"/>
    <n v="3582.2"/>
    <m/>
  </r>
  <r>
    <x v="10"/>
    <x v="0"/>
    <x v="12"/>
    <n v="6031"/>
    <n v="0"/>
    <s v="SumStone"/>
    <n v="4"/>
    <x v="5"/>
    <n v="0"/>
    <n v="0"/>
    <n v="3450"/>
    <n v="3582.2"/>
    <m/>
  </r>
  <r>
    <x v="10"/>
    <x v="0"/>
    <x v="12"/>
    <n v="5574"/>
    <n v="0"/>
    <s v="SumStone"/>
    <n v="4"/>
    <x v="5"/>
    <n v="0"/>
    <n v="0"/>
    <n v="3450"/>
    <n v="3582.2"/>
    <m/>
  </r>
  <r>
    <x v="10"/>
    <x v="0"/>
    <x v="12"/>
    <n v="6065"/>
    <n v="0"/>
    <s v="SumStone"/>
    <n v="4"/>
    <x v="5"/>
    <n v="0"/>
    <n v="0"/>
    <n v="3450"/>
    <n v="3582.2"/>
    <m/>
  </r>
  <r>
    <x v="10"/>
    <x v="0"/>
    <x v="12"/>
    <n v="5631"/>
    <n v="0"/>
    <s v="SumStone"/>
    <n v="4"/>
    <x v="5"/>
    <n v="0"/>
    <n v="0"/>
    <n v="3450"/>
    <n v="3582.2"/>
    <m/>
  </r>
  <r>
    <x v="8"/>
    <x v="0"/>
    <x v="10"/>
    <n v="2671"/>
    <n v="0"/>
    <s v="Water"/>
    <n v="1"/>
    <x v="4"/>
    <n v="0"/>
    <n v="0"/>
    <n v="0"/>
    <n v="0"/>
    <m/>
  </r>
  <r>
    <x v="8"/>
    <x v="0"/>
    <x v="10"/>
    <n v="2940"/>
    <n v="0"/>
    <s v="Water"/>
    <n v="1"/>
    <x v="6"/>
    <n v="0"/>
    <n v="0"/>
    <n v="0"/>
    <n v="0"/>
    <m/>
  </r>
  <r>
    <x v="8"/>
    <x v="0"/>
    <x v="10"/>
    <n v="2643"/>
    <n v="2"/>
    <s v="Water"/>
    <n v="1"/>
    <x v="6"/>
    <n v="0"/>
    <n v="0"/>
    <n v="0"/>
    <n v="0"/>
    <m/>
  </r>
  <r>
    <x v="8"/>
    <x v="0"/>
    <x v="10"/>
    <n v="2968"/>
    <n v="0"/>
    <s v="Water"/>
    <n v="3"/>
    <x v="4"/>
    <n v="0"/>
    <n v="0"/>
    <n v="0"/>
    <n v="0"/>
    <m/>
  </r>
  <r>
    <x v="8"/>
    <x v="0"/>
    <x v="10"/>
    <n v="2502"/>
    <n v="2"/>
    <s v="Water"/>
    <n v="2"/>
    <x v="4"/>
    <n v="0"/>
    <n v="0"/>
    <n v="0"/>
    <n v="0"/>
    <m/>
  </r>
  <r>
    <x v="8"/>
    <x v="0"/>
    <x v="10"/>
    <n v="2719"/>
    <n v="3"/>
    <s v="SD"/>
    <s v="Serpent"/>
    <x v="5"/>
    <n v="0"/>
    <n v="0"/>
    <n v="0"/>
    <n v="0"/>
    <m/>
  </r>
  <r>
    <x v="8"/>
    <x v="0"/>
    <x v="10"/>
    <n v="2733"/>
    <n v="1"/>
    <s v="Water"/>
    <n v="1"/>
    <x v="4"/>
    <n v="0"/>
    <n v="0"/>
    <n v="0"/>
    <n v="0"/>
    <m/>
  </r>
  <r>
    <x v="8"/>
    <x v="0"/>
    <x v="10"/>
    <n v="2917"/>
    <n v="1"/>
    <s v="Water"/>
    <n v="1"/>
    <x v="4"/>
    <n v="0"/>
    <n v="0"/>
    <n v="0"/>
    <n v="0"/>
    <m/>
  </r>
  <r>
    <x v="8"/>
    <x v="0"/>
    <x v="10"/>
    <n v="2662"/>
    <n v="0"/>
    <s v="Water"/>
    <n v="3"/>
    <x v="6"/>
    <n v="0"/>
    <n v="0"/>
    <n v="0"/>
    <n v="0"/>
    <m/>
  </r>
  <r>
    <x v="8"/>
    <x v="0"/>
    <x v="10"/>
    <n v="2980"/>
    <n v="1"/>
    <s v="Water"/>
    <n v="2"/>
    <x v="4"/>
    <n v="0"/>
    <n v="0"/>
    <n v="0"/>
    <n v="0"/>
    <m/>
  </r>
  <r>
    <x v="8"/>
    <x v="0"/>
    <x v="10"/>
    <n v="2778"/>
    <n v="0"/>
    <s v="Rainb"/>
    <n v="1"/>
    <x v="5"/>
    <n v="0"/>
    <n v="0"/>
    <n v="34500"/>
    <n v="118004"/>
    <m/>
  </r>
  <r>
    <x v="8"/>
    <x v="0"/>
    <x v="10"/>
    <n v="2383"/>
    <n v="0"/>
    <s v="Scroll"/>
    <n v="5"/>
    <x v="2"/>
    <n v="0"/>
    <n v="10000"/>
    <n v="0"/>
    <n v="4000"/>
    <m/>
  </r>
  <r>
    <x v="8"/>
    <x v="0"/>
    <x v="10"/>
    <n v="2705"/>
    <n v="1"/>
    <s v="Water"/>
    <n v="1"/>
    <x v="6"/>
    <n v="0"/>
    <n v="0"/>
    <n v="0"/>
    <n v="0"/>
    <m/>
  </r>
  <r>
    <x v="8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1"/>
    <x v="0"/>
    <x v="10"/>
    <n v="2838"/>
    <n v="0"/>
    <s v="Wind"/>
    <n v="4"/>
    <x v="3"/>
    <n v="0"/>
    <n v="0"/>
    <n v="0"/>
    <n v="0"/>
    <m/>
  </r>
  <r>
    <x v="11"/>
    <x v="0"/>
    <x v="10"/>
    <n v="2427"/>
    <n v="1"/>
    <s v="Candy"/>
    <n v="3"/>
    <x v="0"/>
    <n v="0"/>
    <n v="0"/>
    <n v="0"/>
    <n v="0"/>
    <m/>
  </r>
  <r>
    <x v="11"/>
    <x v="0"/>
    <x v="10"/>
    <n v="3047"/>
    <n v="2"/>
    <s v="Wind"/>
    <n v="1"/>
    <x v="4"/>
    <n v="0"/>
    <n v="0"/>
    <n v="0"/>
    <n v="0"/>
    <m/>
  </r>
  <r>
    <x v="11"/>
    <x v="0"/>
    <x v="10"/>
    <n v="2866"/>
    <n v="1"/>
    <s v="Angelmon"/>
    <n v="1"/>
    <x v="2"/>
    <n v="0"/>
    <n v="0"/>
    <n v="0"/>
    <n v="0"/>
    <m/>
  </r>
  <r>
    <x v="11"/>
    <x v="0"/>
    <x v="10"/>
    <n v="2763"/>
    <n v="0"/>
    <s v="Candy"/>
    <n v="2"/>
    <x v="0"/>
    <n v="0"/>
    <n v="0"/>
    <n v="0"/>
    <n v="0"/>
    <m/>
  </r>
  <r>
    <x v="11"/>
    <x v="0"/>
    <x v="10"/>
    <n v="3056"/>
    <n v="1"/>
    <s v="Candy"/>
    <n v="1"/>
    <x v="0"/>
    <n v="0"/>
    <n v="0"/>
    <n v="0"/>
    <n v="0"/>
    <m/>
  </r>
  <r>
    <x v="11"/>
    <x v="0"/>
    <x v="10"/>
    <n v="2719"/>
    <n v="0"/>
    <s v="Wind"/>
    <n v="5"/>
    <x v="3"/>
    <n v="0"/>
    <n v="0"/>
    <n v="0"/>
    <n v="0"/>
    <m/>
  </r>
  <r>
    <x v="11"/>
    <x v="0"/>
    <x v="10"/>
    <n v="2911"/>
    <n v="1"/>
    <s v="Wind"/>
    <n v="5"/>
    <x v="3"/>
    <n v="0"/>
    <n v="0"/>
    <n v="0"/>
    <n v="0"/>
    <m/>
  </r>
  <r>
    <x v="11"/>
    <x v="0"/>
    <x v="10"/>
    <n v="2858"/>
    <n v="0"/>
    <s v="Wind"/>
    <n v="1"/>
    <x v="4"/>
    <n v="0"/>
    <n v="0"/>
    <n v="0"/>
    <n v="0"/>
    <m/>
  </r>
  <r>
    <x v="11"/>
    <x v="0"/>
    <x v="10"/>
    <n v="2965"/>
    <n v="1"/>
    <s v="Wind"/>
    <n v="3"/>
    <x v="4"/>
    <n v="0"/>
    <n v="0"/>
    <n v="0"/>
    <n v="0"/>
    <m/>
  </r>
  <r>
    <x v="11"/>
    <x v="0"/>
    <x v="10"/>
    <n v="3486"/>
    <n v="1"/>
    <s v="Angelmon"/>
    <n v="1"/>
    <x v="2"/>
    <n v="0"/>
    <n v="0"/>
    <n v="0"/>
    <n v="0"/>
    <m/>
  </r>
  <r>
    <x v="11"/>
    <x v="0"/>
    <x v="10"/>
    <n v="2992"/>
    <n v="0"/>
    <s v="Rainb"/>
    <n v="1"/>
    <x v="5"/>
    <n v="0"/>
    <n v="0"/>
    <n v="34500"/>
    <n v="118004"/>
    <m/>
  </r>
  <r>
    <x v="11"/>
    <x v="0"/>
    <x v="10"/>
    <n v="2961"/>
    <n v="1"/>
    <s v="Scroll"/>
    <n v="5"/>
    <x v="2"/>
    <n v="0"/>
    <n v="10000"/>
    <n v="0"/>
    <n v="4000"/>
    <m/>
  </r>
  <r>
    <x v="11"/>
    <x v="0"/>
    <x v="10"/>
    <n v="2744"/>
    <n v="1"/>
    <s v="Wind"/>
    <n v="1"/>
    <x v="6"/>
    <n v="0"/>
    <n v="0"/>
    <n v="0"/>
    <n v="0"/>
    <m/>
  </r>
  <r>
    <x v="11"/>
    <x v="0"/>
    <x v="10"/>
    <n v="2564"/>
    <n v="0"/>
    <s v="Wind"/>
    <n v="5"/>
    <x v="3"/>
    <n v="0"/>
    <n v="0"/>
    <n v="0"/>
    <n v="0"/>
    <m/>
  </r>
  <r>
    <x v="11"/>
    <x v="0"/>
    <x v="10"/>
    <n v="2876"/>
    <n v="2"/>
    <s v="Rainb"/>
    <n v="1"/>
    <x v="5"/>
    <n v="0"/>
    <n v="0"/>
    <n v="34500"/>
    <n v="118004"/>
    <m/>
  </r>
  <r>
    <x v="11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1"/>
    <x v="0"/>
    <x v="10"/>
    <n v="3032"/>
    <n v="0"/>
    <s v="Wind"/>
    <n v="5"/>
    <x v="3"/>
    <n v="0"/>
    <n v="0"/>
    <n v="0"/>
    <n v="0"/>
    <m/>
  </r>
  <r>
    <x v="11"/>
    <x v="0"/>
    <x v="10"/>
    <n v="2865"/>
    <n v="1"/>
    <s v="Rainb"/>
    <n v="1"/>
    <x v="5"/>
    <n v="0"/>
    <n v="0"/>
    <n v="34500"/>
    <n v="118004"/>
    <m/>
  </r>
  <r>
    <x v="11"/>
    <x v="0"/>
    <x v="10"/>
    <n v="2891"/>
    <n v="2"/>
    <s v="Wind"/>
    <n v="1"/>
    <x v="4"/>
    <n v="0"/>
    <n v="0"/>
    <n v="0"/>
    <n v="0"/>
    <m/>
  </r>
  <r>
    <x v="11"/>
    <x v="0"/>
    <x v="10"/>
    <n v="2799"/>
    <n v="0"/>
    <s v="Wind"/>
    <n v="2"/>
    <x v="4"/>
    <n v="0"/>
    <n v="0"/>
    <n v="0"/>
    <n v="0"/>
    <m/>
  </r>
  <r>
    <x v="11"/>
    <x v="0"/>
    <x v="10"/>
    <n v="3197"/>
    <n v="1"/>
    <s v="Wind"/>
    <n v="2"/>
    <x v="4"/>
    <n v="0"/>
    <n v="0"/>
    <n v="0"/>
    <n v="0"/>
    <m/>
  </r>
  <r>
    <x v="11"/>
    <x v="0"/>
    <x v="10"/>
    <n v="3013"/>
    <n v="0"/>
    <s v="Wind"/>
    <n v="4"/>
    <x v="3"/>
    <n v="0"/>
    <n v="0"/>
    <n v="0"/>
    <n v="0"/>
    <m/>
  </r>
  <r>
    <x v="11"/>
    <x v="0"/>
    <x v="10"/>
    <n v="3393"/>
    <n v="1"/>
    <s v="Wind"/>
    <n v="4"/>
    <x v="3"/>
    <n v="0"/>
    <n v="0"/>
    <n v="0"/>
    <n v="0"/>
    <m/>
  </r>
  <r>
    <x v="11"/>
    <x v="0"/>
    <x v="10"/>
    <n v="3290"/>
    <n v="0"/>
    <s v="MystScroll"/>
    <n v="1"/>
    <x v="2"/>
    <n v="0"/>
    <n v="120000"/>
    <n v="0"/>
    <n v="0"/>
    <m/>
  </r>
  <r>
    <x v="12"/>
    <x v="2"/>
    <x v="3"/>
    <n v="1311"/>
    <n v="0"/>
    <m/>
    <m/>
    <x v="0"/>
    <n v="1236"/>
    <n v="1236"/>
    <n v="0"/>
    <n v="0"/>
    <m/>
  </r>
  <r>
    <x v="11"/>
    <x v="0"/>
    <x v="10"/>
    <n v="2551"/>
    <n v="1"/>
    <s v="SD"/>
    <s v="Yeti"/>
    <x v="1"/>
    <n v="0"/>
    <n v="0"/>
    <n v="0"/>
    <n v="0"/>
    <m/>
  </r>
  <r>
    <x v="11"/>
    <x v="0"/>
    <x v="10"/>
    <n v="2856"/>
    <n v="0"/>
    <s v="Wind"/>
    <n v="1"/>
    <x v="6"/>
    <n v="0"/>
    <n v="0"/>
    <n v="0"/>
    <n v="0"/>
    <m/>
  </r>
  <r>
    <x v="11"/>
    <x v="0"/>
    <x v="10"/>
    <n v="2488"/>
    <n v="1"/>
    <s v="Wind"/>
    <n v="3"/>
    <x v="4"/>
    <n v="0"/>
    <n v="0"/>
    <n v="0"/>
    <n v="0"/>
    <m/>
  </r>
  <r>
    <x v="11"/>
    <x v="0"/>
    <x v="10"/>
    <n v="2583"/>
    <n v="0"/>
    <s v="Wind"/>
    <n v="5"/>
    <x v="3"/>
    <n v="0"/>
    <n v="0"/>
    <n v="0"/>
    <n v="0"/>
    <m/>
  </r>
  <r>
    <x v="11"/>
    <x v="0"/>
    <x v="10"/>
    <n v="2394"/>
    <n v="0"/>
    <s v="Wind"/>
    <n v="4"/>
    <x v="3"/>
    <n v="0"/>
    <n v="0"/>
    <n v="0"/>
    <n v="0"/>
    <m/>
  </r>
  <r>
    <x v="11"/>
    <x v="0"/>
    <x v="10"/>
    <n v="2703"/>
    <n v="0"/>
    <s v="Wind"/>
    <n v="1"/>
    <x v="6"/>
    <n v="0"/>
    <n v="0"/>
    <n v="0"/>
    <n v="0"/>
    <m/>
  </r>
  <r>
    <x v="11"/>
    <x v="0"/>
    <x v="10"/>
    <n v="2880"/>
    <n v="1"/>
    <s v="Wind"/>
    <n v="4"/>
    <x v="3"/>
    <n v="0"/>
    <n v="0"/>
    <n v="0"/>
    <n v="0"/>
    <m/>
  </r>
  <r>
    <x v="11"/>
    <x v="0"/>
    <x v="10"/>
    <n v="2802"/>
    <n v="0"/>
    <s v="Wind"/>
    <n v="3"/>
    <x v="4"/>
    <n v="0"/>
    <n v="0"/>
    <n v="0"/>
    <n v="0"/>
    <m/>
  </r>
  <r>
    <x v="11"/>
    <x v="0"/>
    <x v="10"/>
    <n v="2784"/>
    <n v="2"/>
    <s v="Candy"/>
    <n v="2"/>
    <x v="0"/>
    <n v="0"/>
    <n v="0"/>
    <n v="0"/>
    <n v="0"/>
    <m/>
  </r>
  <r>
    <x v="11"/>
    <x v="0"/>
    <x v="10"/>
    <n v="2856"/>
    <n v="0"/>
    <s v="Wind"/>
    <n v="3"/>
    <x v="4"/>
    <n v="0"/>
    <n v="0"/>
    <n v="0"/>
    <n v="0"/>
    <m/>
  </r>
  <r>
    <x v="11"/>
    <x v="0"/>
    <x v="10"/>
    <n v="3481"/>
    <n v="0"/>
    <s v="Wind"/>
    <n v="4"/>
    <x v="3"/>
    <n v="0"/>
    <n v="0"/>
    <n v="0"/>
    <n v="0"/>
    <m/>
  </r>
  <r>
    <x v="11"/>
    <x v="0"/>
    <x v="10"/>
    <n v="2701"/>
    <n v="0"/>
    <s v="Rainb"/>
    <s v="2*"/>
    <x v="0"/>
    <n v="0"/>
    <n v="0"/>
    <n v="0"/>
    <n v="0"/>
    <m/>
  </r>
  <r>
    <x v="11"/>
    <x v="0"/>
    <x v="10"/>
    <n v="2809"/>
    <n v="1"/>
    <s v="Angelmon"/>
    <s v="1*"/>
    <x v="0"/>
    <n v="0"/>
    <n v="0"/>
    <n v="0"/>
    <n v="0"/>
    <m/>
  </r>
  <r>
    <x v="11"/>
    <x v="0"/>
    <x v="10"/>
    <n v="2999"/>
    <n v="0"/>
    <s v="Wind"/>
    <n v="5"/>
    <x v="3"/>
    <n v="0"/>
    <n v="0"/>
    <n v="0"/>
    <n v="0"/>
    <m/>
  </r>
  <r>
    <x v="11"/>
    <x v="0"/>
    <x v="10"/>
    <n v="2639"/>
    <n v="1"/>
    <s v="Wind"/>
    <n v="2"/>
    <x v="4"/>
    <n v="0"/>
    <n v="0"/>
    <n v="0"/>
    <n v="0"/>
    <m/>
  </r>
  <r>
    <x v="11"/>
    <x v="0"/>
    <x v="10"/>
    <n v="2853"/>
    <n v="0"/>
    <s v="Wind"/>
    <n v="2"/>
    <x v="6"/>
    <n v="0"/>
    <n v="0"/>
    <n v="0"/>
    <n v="0"/>
    <m/>
  </r>
  <r>
    <x v="11"/>
    <x v="0"/>
    <x v="10"/>
    <n v="3206"/>
    <n v="1"/>
    <s v="Wind"/>
    <n v="4"/>
    <x v="3"/>
    <n v="0"/>
    <n v="0"/>
    <n v="0"/>
    <n v="0"/>
    <m/>
  </r>
  <r>
    <x v="11"/>
    <x v="0"/>
    <x v="10"/>
    <n v="3218"/>
    <n v="0"/>
    <s v="Wind"/>
    <n v="3"/>
    <x v="4"/>
    <n v="0"/>
    <n v="0"/>
    <n v="0"/>
    <n v="0"/>
    <m/>
  </r>
  <r>
    <x v="11"/>
    <x v="0"/>
    <x v="10"/>
    <n v="2853"/>
    <n v="2"/>
    <s v="Wind"/>
    <n v="3"/>
    <x v="6"/>
    <n v="0"/>
    <n v="0"/>
    <n v="0"/>
    <n v="0"/>
    <m/>
  </r>
  <r>
    <x v="11"/>
    <x v="0"/>
    <x v="10"/>
    <n v="2921"/>
    <n v="0"/>
    <s v="Wind"/>
    <n v="1"/>
    <x v="6"/>
    <n v="0"/>
    <n v="0"/>
    <n v="0"/>
    <n v="0"/>
    <m/>
  </r>
  <r>
    <x v="11"/>
    <x v="0"/>
    <x v="10"/>
    <n v="2840"/>
    <n v="0"/>
    <s v="Angelmon"/>
    <s v="1*"/>
    <x v="0"/>
    <n v="0"/>
    <n v="0"/>
    <n v="0"/>
    <n v="0"/>
    <m/>
  </r>
  <r>
    <x v="11"/>
    <x v="0"/>
    <x v="10"/>
    <n v="3444"/>
    <n v="0"/>
    <s v="Candy"/>
    <n v="1"/>
    <x v="0"/>
    <n v="0"/>
    <n v="0"/>
    <n v="0"/>
    <n v="0"/>
    <m/>
  </r>
  <r>
    <x v="11"/>
    <x v="0"/>
    <x v="10"/>
    <n v="2844"/>
    <n v="0"/>
    <s v="Wind"/>
    <n v="2"/>
    <x v="4"/>
    <n v="0"/>
    <n v="0"/>
    <n v="0"/>
    <n v="0"/>
    <m/>
  </r>
  <r>
    <x v="11"/>
    <x v="0"/>
    <x v="10"/>
    <n v="2720"/>
    <n v="0"/>
    <s v="Wind"/>
    <n v="4"/>
    <x v="3"/>
    <n v="0"/>
    <n v="0"/>
    <n v="0"/>
    <n v="0"/>
    <m/>
  </r>
  <r>
    <x v="11"/>
    <x v="0"/>
    <x v="10"/>
    <n v="2990"/>
    <n v="1"/>
    <s v="Wind"/>
    <n v="4"/>
    <x v="3"/>
    <n v="0"/>
    <n v="0"/>
    <n v="0"/>
    <n v="0"/>
    <m/>
  </r>
  <r>
    <x v="11"/>
    <x v="0"/>
    <x v="10"/>
    <n v="2846"/>
    <n v="4"/>
    <s v="Wind"/>
    <n v="1"/>
    <x v="4"/>
    <n v="0"/>
    <n v="0"/>
    <n v="0"/>
    <n v="0"/>
    <m/>
  </r>
  <r>
    <x v="11"/>
    <x v="0"/>
    <x v="10"/>
    <n v="2740"/>
    <n v="1"/>
    <s v="Candy"/>
    <n v="1"/>
    <x v="0"/>
    <n v="0"/>
    <n v="0"/>
    <n v="0"/>
    <n v="0"/>
    <m/>
  </r>
  <r>
    <x v="11"/>
    <x v="0"/>
    <x v="10"/>
    <n v="2619"/>
    <n v="2"/>
    <s v="Wind"/>
    <n v="1"/>
    <x v="4"/>
    <n v="0"/>
    <n v="0"/>
    <n v="0"/>
    <n v="0"/>
    <m/>
  </r>
  <r>
    <x v="11"/>
    <x v="0"/>
    <x v="10"/>
    <n v="3000"/>
    <n v="1"/>
    <s v="Wind"/>
    <n v="2"/>
    <x v="4"/>
    <n v="0"/>
    <n v="0"/>
    <n v="0"/>
    <n v="0"/>
    <m/>
  </r>
  <r>
    <x v="11"/>
    <x v="0"/>
    <x v="10"/>
    <n v="2846"/>
    <n v="3"/>
    <s v="Wind"/>
    <n v="4"/>
    <x v="3"/>
    <n v="0"/>
    <n v="0"/>
    <n v="0"/>
    <n v="0"/>
    <m/>
  </r>
  <r>
    <x v="11"/>
    <x v="0"/>
    <x v="10"/>
    <n v="2824"/>
    <n v="2"/>
    <s v="Candy"/>
    <n v="3"/>
    <x v="0"/>
    <n v="0"/>
    <n v="0"/>
    <n v="0"/>
    <n v="0"/>
    <m/>
  </r>
  <r>
    <x v="11"/>
    <x v="0"/>
    <x v="10"/>
    <n v="3201"/>
    <n v="0"/>
    <s v="Wind"/>
    <n v="5"/>
    <x v="3"/>
    <n v="0"/>
    <n v="0"/>
    <n v="0"/>
    <n v="0"/>
    <m/>
  </r>
  <r>
    <x v="11"/>
    <x v="0"/>
    <x v="10"/>
    <n v="2638"/>
    <n v="0"/>
    <s v="Wind"/>
    <n v="3"/>
    <x v="3"/>
    <n v="0"/>
    <n v="0"/>
    <n v="0"/>
    <n v="0"/>
    <m/>
  </r>
  <r>
    <x v="11"/>
    <x v="0"/>
    <x v="10"/>
    <n v="2887"/>
    <n v="1"/>
    <s v="Scroll"/>
    <n v="4"/>
    <x v="2"/>
    <n v="0"/>
    <n v="8000"/>
    <n v="0"/>
    <n v="3200"/>
    <m/>
  </r>
  <r>
    <x v="11"/>
    <x v="0"/>
    <x v="10"/>
    <n v="2399"/>
    <n v="0"/>
    <s v="Wind"/>
    <n v="3"/>
    <x v="6"/>
    <n v="0"/>
    <n v="0"/>
    <n v="0"/>
    <n v="0"/>
    <m/>
  </r>
  <r>
    <x v="11"/>
    <x v="0"/>
    <x v="10"/>
    <n v="3055"/>
    <n v="1"/>
    <s v="Wind"/>
    <n v="1"/>
    <x v="4"/>
    <n v="0"/>
    <n v="0"/>
    <n v="0"/>
    <n v="0"/>
    <m/>
  </r>
  <r>
    <x v="11"/>
    <x v="0"/>
    <x v="10"/>
    <n v="2841"/>
    <n v="0"/>
    <s v="Wind"/>
    <n v="5"/>
    <x v="3"/>
    <n v="0"/>
    <n v="0"/>
    <n v="0"/>
    <n v="0"/>
    <m/>
  </r>
  <r>
    <x v="11"/>
    <x v="0"/>
    <x v="10"/>
    <n v="2937"/>
    <n v="0"/>
    <s v="SD"/>
    <s v="2*"/>
    <x v="0"/>
    <n v="0"/>
    <n v="0"/>
    <n v="0"/>
    <n v="0"/>
    <m/>
  </r>
  <r>
    <x v="11"/>
    <x v="0"/>
    <x v="10"/>
    <n v="2426"/>
    <n v="0"/>
    <s v="Wind"/>
    <n v="1"/>
    <x v="6"/>
    <n v="0"/>
    <n v="0"/>
    <n v="0"/>
    <n v="0"/>
    <m/>
  </r>
  <r>
    <x v="11"/>
    <x v="0"/>
    <x v="10"/>
    <n v="2552"/>
    <n v="1"/>
    <s v="Wind"/>
    <n v="3"/>
    <x v="4"/>
    <n v="0"/>
    <n v="0"/>
    <n v="0"/>
    <n v="0"/>
    <m/>
  </r>
  <r>
    <x v="11"/>
    <x v="0"/>
    <x v="10"/>
    <n v="2771"/>
    <n v="2"/>
    <s v="Wind"/>
    <n v="1"/>
    <x v="4"/>
    <n v="0"/>
    <n v="0"/>
    <n v="0"/>
    <n v="0"/>
    <m/>
  </r>
  <r>
    <x v="11"/>
    <x v="0"/>
    <x v="10"/>
    <n v="2652"/>
    <n v="2"/>
    <s v="Wind"/>
    <n v="4"/>
    <x v="3"/>
    <n v="0"/>
    <n v="0"/>
    <n v="0"/>
    <n v="0"/>
    <m/>
  </r>
  <r>
    <x v="11"/>
    <x v="0"/>
    <x v="10"/>
    <n v="2708"/>
    <n v="0"/>
    <s v="Wind"/>
    <n v="1"/>
    <x v="6"/>
    <n v="0"/>
    <n v="0"/>
    <n v="0"/>
    <n v="0"/>
    <m/>
  </r>
  <r>
    <x v="11"/>
    <x v="0"/>
    <x v="10"/>
    <n v="2684"/>
    <n v="1"/>
    <s v="Wind"/>
    <n v="1"/>
    <x v="6"/>
    <n v="0"/>
    <n v="0"/>
    <n v="0"/>
    <n v="0"/>
    <m/>
  </r>
  <r>
    <x v="11"/>
    <x v="0"/>
    <x v="10"/>
    <n v="3108"/>
    <n v="3"/>
    <s v="Wind"/>
    <n v="4"/>
    <x v="3"/>
    <n v="0"/>
    <n v="0"/>
    <n v="0"/>
    <n v="0"/>
    <m/>
  </r>
  <r>
    <x v="11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400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4000"/>
    <n v="0"/>
    <n v="1600"/>
    <m/>
  </r>
  <r>
    <x v="5"/>
    <x v="1"/>
    <x v="8"/>
    <n v="1796"/>
    <n v="2"/>
    <s v="Scroll"/>
    <n v="2"/>
    <x v="2"/>
    <n v="0"/>
    <n v="4000"/>
    <n v="0"/>
    <n v="1600"/>
    <m/>
  </r>
  <r>
    <x v="1"/>
    <x v="1"/>
    <x v="8"/>
    <n v="2028"/>
    <n v="0"/>
    <s v="Scroll"/>
    <n v="2"/>
    <x v="2"/>
    <n v="0"/>
    <n v="400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400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400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4000"/>
    <n v="0"/>
    <n v="1600"/>
    <m/>
  </r>
  <r>
    <x v="3"/>
    <x v="0"/>
    <x v="10"/>
    <n v="3008"/>
    <n v="1"/>
    <s v="Magic"/>
    <n v="5"/>
    <x v="3"/>
    <m/>
    <n v="0"/>
    <n v="0"/>
    <n v="0"/>
    <m/>
  </r>
  <r>
    <x v="2"/>
    <x v="0"/>
    <x v="6"/>
    <n v="2997"/>
    <n v="0"/>
    <s v="Scroll"/>
    <n v="4"/>
    <x v="2"/>
    <n v="0"/>
    <n v="8000"/>
    <n v="0"/>
    <n v="3200"/>
    <m/>
  </r>
  <r>
    <x v="2"/>
    <x v="0"/>
    <x v="6"/>
    <n v="3403"/>
    <n v="3"/>
    <s v="Blue"/>
    <n v="1"/>
    <x v="7"/>
    <n v="3307"/>
    <n v="3307"/>
    <n v="0"/>
    <n v="0"/>
    <m/>
  </r>
  <r>
    <x v="2"/>
    <x v="0"/>
    <x v="6"/>
    <n v="3941"/>
    <n v="1"/>
    <s v="Scroll"/>
    <n v="3"/>
    <x v="2"/>
    <n v="0"/>
    <n v="6000"/>
    <n v="0"/>
    <n v="2400"/>
    <m/>
  </r>
  <r>
    <x v="2"/>
    <x v="0"/>
    <x v="6"/>
    <n v="2787"/>
    <n v="1"/>
    <s v="Blue"/>
    <n v="1"/>
    <x v="7"/>
    <n v="5512"/>
    <n v="5512"/>
    <n v="0"/>
    <n v="0"/>
    <m/>
  </r>
  <r>
    <x v="2"/>
    <x v="0"/>
    <x v="6"/>
    <n v="3709"/>
    <n v="1"/>
    <s v="Scroll"/>
    <n v="3"/>
    <x v="2"/>
    <n v="0"/>
    <n v="6000"/>
    <n v="0"/>
    <n v="2400"/>
    <m/>
  </r>
  <r>
    <x v="2"/>
    <x v="0"/>
    <x v="6"/>
    <n v="3276"/>
    <n v="4"/>
    <s v="Blue"/>
    <n v="1"/>
    <x v="7"/>
    <n v="2411"/>
    <n v="2411"/>
    <n v="0"/>
    <n v="0"/>
    <m/>
  </r>
  <r>
    <x v="2"/>
    <x v="0"/>
    <x v="6"/>
    <n v="2942"/>
    <n v="1"/>
    <s v="Scroll"/>
    <n v="4"/>
    <x v="2"/>
    <n v="0"/>
    <n v="8000"/>
    <n v="0"/>
    <n v="3200"/>
    <m/>
  </r>
  <r>
    <x v="2"/>
    <x v="0"/>
    <x v="6"/>
    <n v="3049"/>
    <n v="1"/>
    <s v="Blue"/>
    <n v="1"/>
    <x v="7"/>
    <n v="3927"/>
    <n v="3927"/>
    <n v="0"/>
    <n v="0"/>
    <m/>
  </r>
  <r>
    <x v="2"/>
    <x v="0"/>
    <x v="6"/>
    <n v="2793"/>
    <n v="0"/>
    <s v="Violet"/>
    <n v="1"/>
    <x v="5"/>
    <n v="1971"/>
    <n v="1971"/>
    <n v="0"/>
    <n v="0"/>
    <m/>
  </r>
  <r>
    <x v="2"/>
    <x v="0"/>
    <x v="6"/>
    <n v="3111"/>
    <n v="1"/>
    <s v="Violet"/>
    <n v="1"/>
    <x v="7"/>
    <n v="3720"/>
    <n v="3720"/>
    <n v="0"/>
    <n v="0"/>
    <m/>
  </r>
  <r>
    <x v="2"/>
    <x v="0"/>
    <x v="6"/>
    <n v="2990"/>
    <n v="0"/>
    <s v="Blue"/>
    <n v="1"/>
    <x v="7"/>
    <n v="4134"/>
    <n v="4134"/>
    <n v="0"/>
    <n v="0"/>
    <m/>
  </r>
  <r>
    <x v="2"/>
    <x v="0"/>
    <x v="6"/>
    <n v="3378"/>
    <n v="1"/>
    <s v="Blue"/>
    <n v="1"/>
    <x v="7"/>
    <n v="4134"/>
    <n v="4134"/>
    <n v="0"/>
    <n v="0"/>
    <m/>
  </r>
  <r>
    <x v="2"/>
    <x v="0"/>
    <x v="6"/>
    <n v="2940"/>
    <n v="3"/>
    <s v="Violet"/>
    <n v="1"/>
    <x v="7"/>
    <n v="4042"/>
    <n v="4042"/>
    <n v="0"/>
    <n v="0"/>
    <m/>
  </r>
  <r>
    <x v="2"/>
    <x v="0"/>
    <x v="6"/>
    <n v="3698"/>
    <n v="3"/>
    <s v="Blue"/>
    <n v="1"/>
    <x v="8"/>
    <n v="8500"/>
    <n v="8500"/>
    <n v="0"/>
    <n v="0"/>
    <m/>
  </r>
  <r>
    <x v="2"/>
    <x v="0"/>
    <x v="6"/>
    <n v="3224"/>
    <n v="0"/>
    <s v="Scroll"/>
    <n v="3"/>
    <x v="2"/>
    <n v="0"/>
    <n v="6000"/>
    <n v="0"/>
    <n v="2400"/>
    <m/>
  </r>
  <r>
    <x v="2"/>
    <x v="0"/>
    <x v="6"/>
    <n v="2991"/>
    <n v="3"/>
    <s v="Scroll"/>
    <n v="3"/>
    <x v="2"/>
    <n v="0"/>
    <n v="6000"/>
    <n v="0"/>
    <n v="2400"/>
    <m/>
  </r>
  <r>
    <x v="2"/>
    <x v="0"/>
    <x v="6"/>
    <n v="3535"/>
    <n v="2"/>
    <s v="Blue"/>
    <n v="1"/>
    <x v="8"/>
    <n v="5057"/>
    <n v="5057"/>
    <n v="0"/>
    <n v="0"/>
    <m/>
  </r>
  <r>
    <x v="2"/>
    <x v="0"/>
    <x v="6"/>
    <n v="3010"/>
    <n v="1"/>
    <s v="Blue"/>
    <n v="1"/>
    <x v="8"/>
    <n v="6800"/>
    <n v="6800"/>
    <n v="0"/>
    <n v="0"/>
    <m/>
  </r>
  <r>
    <x v="2"/>
    <x v="0"/>
    <x v="6"/>
    <n v="3005"/>
    <n v="2"/>
    <s v="Blue"/>
    <n v="1"/>
    <x v="7"/>
    <n v="7028"/>
    <n v="7028"/>
    <n v="0"/>
    <n v="0"/>
    <m/>
  </r>
  <r>
    <x v="2"/>
    <x v="0"/>
    <x v="6"/>
    <n v="2684"/>
    <n v="1"/>
    <s v="Scroll"/>
    <n v="4"/>
    <x v="2"/>
    <n v="0"/>
    <n v="8000"/>
    <n v="0"/>
    <n v="3200"/>
    <m/>
  </r>
  <r>
    <x v="2"/>
    <x v="0"/>
    <x v="6"/>
    <n v="3225"/>
    <n v="0"/>
    <s v="Violet"/>
    <n v="1"/>
    <x v="7"/>
    <n v="4295"/>
    <n v="4295"/>
    <n v="0"/>
    <n v="0"/>
    <m/>
  </r>
  <r>
    <x v="2"/>
    <x v="0"/>
    <x v="6"/>
    <n v="3020"/>
    <n v="1"/>
    <s v="Blue"/>
    <n v="1"/>
    <x v="7"/>
    <n v="4134"/>
    <n v="4134"/>
    <n v="0"/>
    <n v="0"/>
    <m/>
  </r>
  <r>
    <x v="2"/>
    <x v="0"/>
    <x v="6"/>
    <n v="2530"/>
    <n v="1"/>
    <s v="Blue"/>
    <n v="1"/>
    <x v="7"/>
    <n v="4134"/>
    <n v="4134"/>
    <n v="0"/>
    <n v="0"/>
    <m/>
  </r>
  <r>
    <x v="2"/>
    <x v="0"/>
    <x v="6"/>
    <n v="3259"/>
    <n v="1"/>
    <s v="Violet"/>
    <n v="1"/>
    <x v="7"/>
    <n v="3675"/>
    <n v="3675"/>
    <n v="0"/>
    <n v="0"/>
    <m/>
  </r>
  <r>
    <x v="2"/>
    <x v="0"/>
    <x v="6"/>
    <n v="2913"/>
    <n v="1"/>
    <s v="Violet"/>
    <n v="1"/>
    <x v="7"/>
    <n v="3675"/>
    <n v="3675"/>
    <n v="0"/>
    <n v="0"/>
    <m/>
  </r>
  <r>
    <x v="2"/>
    <x v="0"/>
    <x v="6"/>
    <n v="2901"/>
    <n v="0"/>
    <s v="Violet"/>
    <n v="1"/>
    <x v="5"/>
    <n v="2319"/>
    <n v="2319"/>
    <n v="0"/>
    <n v="0"/>
    <m/>
  </r>
  <r>
    <x v="2"/>
    <x v="0"/>
    <x v="6"/>
    <n v="3437"/>
    <n v="2"/>
    <s v="Blue"/>
    <n v="1"/>
    <x v="7"/>
    <n v="2411"/>
    <n v="2411"/>
    <n v="0"/>
    <n v="0"/>
    <m/>
  </r>
  <r>
    <x v="2"/>
    <x v="0"/>
    <x v="6"/>
    <n v="2966"/>
    <n v="2"/>
    <s v="SumStone"/>
    <n v="2"/>
    <x v="5"/>
    <n v="0"/>
    <n v="0"/>
    <n v="1725"/>
    <n v="1791.1"/>
    <m/>
  </r>
  <r>
    <x v="2"/>
    <x v="0"/>
    <x v="6"/>
    <n v="3352"/>
    <n v="1"/>
    <s v="Violet"/>
    <n v="1"/>
    <x v="7"/>
    <n v="6615"/>
    <n v="6615"/>
    <n v="0"/>
    <n v="0"/>
    <m/>
  </r>
  <r>
    <x v="2"/>
    <x v="0"/>
    <x v="6"/>
    <n v="2869"/>
    <n v="1"/>
    <s v="Scroll"/>
    <n v="4"/>
    <x v="2"/>
    <n v="0"/>
    <n v="8000"/>
    <n v="0"/>
    <n v="3200"/>
    <m/>
  </r>
  <r>
    <x v="2"/>
    <x v="0"/>
    <x v="6"/>
    <n v="2535"/>
    <n v="1"/>
    <s v="Blue"/>
    <n v="1"/>
    <x v="7"/>
    <n v="3307"/>
    <n v="3307"/>
    <n v="0"/>
    <n v="0"/>
    <m/>
  </r>
  <r>
    <x v="2"/>
    <x v="0"/>
    <x v="6"/>
    <n v="3507"/>
    <n v="0"/>
    <s v="Rainb"/>
    <n v="1"/>
    <x v="1"/>
    <n v="0"/>
    <n v="0"/>
    <n v="11500"/>
    <n v="35822"/>
    <m/>
  </r>
  <r>
    <x v="2"/>
    <x v="0"/>
    <x v="6"/>
    <n v="2571"/>
    <n v="0"/>
    <s v="Scroll"/>
    <n v="3"/>
    <x v="2"/>
    <n v="0"/>
    <n v="6000"/>
    <n v="0"/>
    <n v="2400"/>
    <m/>
  </r>
  <r>
    <x v="2"/>
    <x v="0"/>
    <x v="6"/>
    <n v="3364"/>
    <n v="1"/>
    <s v="Blue"/>
    <n v="1"/>
    <x v="7"/>
    <n v="2205"/>
    <n v="2205"/>
    <n v="0"/>
    <n v="0"/>
    <m/>
  </r>
  <r>
    <x v="2"/>
    <x v="0"/>
    <x v="6"/>
    <n v="3190"/>
    <n v="1"/>
    <s v="Scroll"/>
    <n v="3"/>
    <x v="2"/>
    <n v="0"/>
    <n v="6000"/>
    <n v="0"/>
    <n v="2400"/>
    <m/>
  </r>
  <r>
    <x v="2"/>
    <x v="0"/>
    <x v="6"/>
    <n v="3129"/>
    <n v="0"/>
    <s v="Scroll"/>
    <n v="4"/>
    <x v="2"/>
    <n v="0"/>
    <n v="8000"/>
    <n v="0"/>
    <n v="3200"/>
    <m/>
  </r>
  <r>
    <x v="2"/>
    <x v="0"/>
    <x v="6"/>
    <n v="3416"/>
    <n v="0"/>
    <s v="Blue"/>
    <n v="1"/>
    <x v="7"/>
    <n v="2894"/>
    <n v="2894"/>
    <n v="0"/>
    <n v="0"/>
    <m/>
  </r>
  <r>
    <x v="2"/>
    <x v="0"/>
    <x v="6"/>
    <n v="2949"/>
    <n v="2"/>
    <s v="Blue"/>
    <n v="1"/>
    <x v="8"/>
    <n v="5355"/>
    <n v="5355"/>
    <n v="0"/>
    <n v="0"/>
    <m/>
  </r>
  <r>
    <x v="2"/>
    <x v="0"/>
    <x v="6"/>
    <n v="2714"/>
    <n v="2"/>
    <s v="Scroll"/>
    <n v="3"/>
    <x v="2"/>
    <n v="0"/>
    <n v="6000"/>
    <n v="0"/>
    <n v="2400"/>
    <m/>
  </r>
  <r>
    <x v="2"/>
    <x v="0"/>
    <x v="6"/>
    <n v="2949"/>
    <n v="1"/>
    <s v="Scroll"/>
    <n v="4"/>
    <x v="2"/>
    <n v="0"/>
    <n v="8000"/>
    <n v="0"/>
    <n v="3200"/>
    <m/>
  </r>
  <r>
    <x v="2"/>
    <x v="0"/>
    <x v="6"/>
    <n v="3175"/>
    <n v="0"/>
    <s v="Scroll"/>
    <n v="3"/>
    <x v="2"/>
    <n v="0"/>
    <n v="6000"/>
    <n v="0"/>
    <n v="2400"/>
    <m/>
  </r>
  <r>
    <x v="2"/>
    <x v="0"/>
    <x v="6"/>
    <n v="3045"/>
    <n v="0"/>
    <s v="Blue"/>
    <n v="1"/>
    <x v="7"/>
    <n v="3514"/>
    <n v="3514"/>
    <n v="0"/>
    <n v="0"/>
    <m/>
  </r>
  <r>
    <x v="2"/>
    <x v="0"/>
    <x v="6"/>
    <n v="3609"/>
    <n v="1"/>
    <s v="Scroll"/>
    <n v="3"/>
    <x v="2"/>
    <n v="0"/>
    <n v="6000"/>
    <n v="0"/>
    <n v="2400"/>
    <m/>
  </r>
  <r>
    <x v="2"/>
    <x v="0"/>
    <x v="6"/>
    <n v="2795"/>
    <n v="1"/>
    <s v="Blue"/>
    <n v="1"/>
    <x v="7"/>
    <n v="3675"/>
    <n v="3675"/>
    <n v="0"/>
    <n v="0"/>
    <m/>
  </r>
  <r>
    <x v="2"/>
    <x v="0"/>
    <x v="6"/>
    <n v="3324"/>
    <n v="0"/>
    <s v="Blue"/>
    <n v="1"/>
    <x v="7"/>
    <n v="2205"/>
    <n v="2205"/>
    <n v="0"/>
    <n v="0"/>
    <m/>
  </r>
  <r>
    <x v="2"/>
    <x v="0"/>
    <x v="6"/>
    <n v="2600"/>
    <n v="0"/>
    <s v="Scroll"/>
    <n v="3"/>
    <x v="2"/>
    <n v="0"/>
    <n v="6000"/>
    <n v="0"/>
    <n v="2400"/>
    <m/>
  </r>
  <r>
    <x v="2"/>
    <x v="0"/>
    <x v="6"/>
    <n v="2789"/>
    <n v="1"/>
    <s v="Violet"/>
    <n v="1"/>
    <x v="7"/>
    <n v="3675"/>
    <n v="3675"/>
    <n v="0"/>
    <n v="0"/>
    <m/>
  </r>
  <r>
    <x v="2"/>
    <x v="0"/>
    <x v="6"/>
    <n v="3263"/>
    <n v="1"/>
    <s v="Violet"/>
    <n v="1"/>
    <x v="8"/>
    <n v="13005"/>
    <n v="13005"/>
    <n v="0"/>
    <n v="0"/>
    <m/>
  </r>
  <r>
    <x v="2"/>
    <x v="0"/>
    <x v="6"/>
    <n v="3037"/>
    <n v="2"/>
    <s v="Scroll"/>
    <n v="3"/>
    <x v="2"/>
    <n v="0"/>
    <n v="6000"/>
    <n v="0"/>
    <n v="2400"/>
    <m/>
  </r>
  <r>
    <x v="2"/>
    <x v="0"/>
    <x v="6"/>
    <n v="1028"/>
    <n v="2"/>
    <m/>
    <m/>
    <x v="0"/>
    <n v="0"/>
    <n v="0"/>
    <n v="0"/>
    <n v="0"/>
    <s v="Y"/>
  </r>
  <r>
    <x v="2"/>
    <x v="0"/>
    <x v="7"/>
    <n v="3555"/>
    <n v="0"/>
    <s v="Scroll"/>
    <n v="5"/>
    <x v="2"/>
    <n v="0"/>
    <n v="10000"/>
    <n v="0"/>
    <n v="4000"/>
    <m/>
  </r>
  <r>
    <x v="2"/>
    <x v="0"/>
    <x v="7"/>
    <n v="3633"/>
    <n v="0"/>
    <s v="Scroll"/>
    <n v="4"/>
    <x v="2"/>
    <n v="0"/>
    <n v="8000"/>
    <n v="0"/>
    <n v="3200"/>
    <m/>
  </r>
  <r>
    <x v="2"/>
    <x v="0"/>
    <x v="7"/>
    <n v="3251"/>
    <n v="1"/>
    <s v="Violet"/>
    <n v="1"/>
    <x v="7"/>
    <n v="4134"/>
    <n v="4134"/>
    <n v="0"/>
    <n v="0"/>
    <m/>
  </r>
  <r>
    <x v="2"/>
    <x v="0"/>
    <x v="7"/>
    <n v="3614"/>
    <n v="1"/>
    <s v="Violet"/>
    <n v="1"/>
    <x v="8"/>
    <n v="7947"/>
    <n v="7947"/>
    <n v="0"/>
    <n v="0"/>
    <m/>
  </r>
  <r>
    <x v="2"/>
    <x v="0"/>
    <x v="7"/>
    <n v="3238"/>
    <n v="1"/>
    <s v="Blue"/>
    <n v="1"/>
    <x v="7"/>
    <n v="4134"/>
    <n v="4134"/>
    <n v="0"/>
    <n v="0"/>
    <m/>
  </r>
  <r>
    <x v="2"/>
    <x v="0"/>
    <x v="7"/>
    <n v="3097"/>
    <n v="0"/>
    <s v="Blue"/>
    <n v="1"/>
    <x v="7"/>
    <n v="3054"/>
    <n v="3054"/>
    <n v="0"/>
    <n v="0"/>
    <m/>
  </r>
  <r>
    <x v="2"/>
    <x v="0"/>
    <x v="7"/>
    <n v="2801"/>
    <n v="0"/>
    <s v="Blue"/>
    <n v="1"/>
    <x v="7"/>
    <n v="2618"/>
    <n v="2618"/>
    <n v="0"/>
    <n v="0"/>
    <m/>
  </r>
  <r>
    <x v="2"/>
    <x v="0"/>
    <x v="7"/>
    <n v="3150"/>
    <n v="0"/>
    <s v="Blue"/>
    <n v="1"/>
    <x v="8"/>
    <n v="5440"/>
    <n v="5440"/>
    <n v="0"/>
    <n v="0"/>
    <m/>
  </r>
  <r>
    <x v="2"/>
    <x v="0"/>
    <x v="7"/>
    <n v="3588"/>
    <n v="1"/>
    <s v="Blue"/>
    <n v="1"/>
    <x v="8"/>
    <n v="6800"/>
    <n v="6800"/>
    <n v="0"/>
    <n v="0"/>
    <m/>
  </r>
  <r>
    <x v="2"/>
    <x v="0"/>
    <x v="7"/>
    <n v="3318"/>
    <n v="1"/>
    <s v="Scroll"/>
    <n v="1"/>
    <x v="7"/>
    <n v="0"/>
    <n v="0"/>
    <n v="0"/>
    <n v="0"/>
    <m/>
  </r>
  <r>
    <x v="2"/>
    <x v="0"/>
    <x v="7"/>
    <n v="3137"/>
    <n v="0"/>
    <s v="Violet"/>
    <n v="1"/>
    <x v="7"/>
    <n v="3491"/>
    <n v="3491"/>
    <n v="0"/>
    <n v="0"/>
    <m/>
  </r>
  <r>
    <x v="2"/>
    <x v="0"/>
    <x v="7"/>
    <n v="3409"/>
    <n v="0"/>
    <s v="Scroll"/>
    <n v="5"/>
    <x v="2"/>
    <n v="0"/>
    <n v="10000"/>
    <n v="0"/>
    <n v="4000"/>
    <m/>
  </r>
  <r>
    <x v="2"/>
    <x v="0"/>
    <x v="7"/>
    <n v="3479"/>
    <n v="1"/>
    <s v="Blue"/>
    <n v="1"/>
    <x v="7"/>
    <n v="2411"/>
    <n v="2411"/>
    <n v="0"/>
    <n v="0"/>
    <m/>
  </r>
  <r>
    <x v="2"/>
    <x v="0"/>
    <x v="7"/>
    <n v="3505"/>
    <n v="2"/>
    <s v="Violet"/>
    <n v="1"/>
    <x v="8"/>
    <n v="7650"/>
    <n v="7650"/>
    <n v="0"/>
    <n v="0"/>
    <m/>
  </r>
  <r>
    <x v="2"/>
    <x v="0"/>
    <x v="7"/>
    <n v="3378"/>
    <n v="1"/>
    <s v="Blue"/>
    <n v="1"/>
    <x v="7"/>
    <n v="3675"/>
    <n v="3675"/>
    <n v="0"/>
    <n v="0"/>
    <m/>
  </r>
  <r>
    <x v="2"/>
    <x v="0"/>
    <x v="7"/>
    <n v="3978"/>
    <n v="2"/>
    <s v="Scroll"/>
    <n v="5"/>
    <x v="2"/>
    <n v="0"/>
    <n v="10000"/>
    <n v="0"/>
    <n v="4000"/>
    <m/>
  </r>
  <r>
    <x v="2"/>
    <x v="0"/>
    <x v="7"/>
    <n v="4035"/>
    <n v="0"/>
    <s v="Scroll"/>
    <n v="5"/>
    <x v="2"/>
    <n v="0"/>
    <n v="10000"/>
    <n v="0"/>
    <n v="4000"/>
    <m/>
  </r>
  <r>
    <x v="2"/>
    <x v="0"/>
    <x v="7"/>
    <n v="3616"/>
    <n v="1"/>
    <s v="Scroll"/>
    <n v="5"/>
    <x v="2"/>
    <n v="0"/>
    <n v="10000"/>
    <n v="0"/>
    <n v="4000"/>
    <m/>
  </r>
  <r>
    <x v="2"/>
    <x v="0"/>
    <x v="7"/>
    <n v="3217"/>
    <n v="0"/>
    <s v="Blue"/>
    <n v="1"/>
    <x v="8"/>
    <n v="5440"/>
    <n v="5440"/>
    <n v="0"/>
    <n v="0"/>
    <m/>
  </r>
  <r>
    <x v="2"/>
    <x v="0"/>
    <x v="7"/>
    <n v="3453"/>
    <n v="0"/>
    <s v="Blue"/>
    <n v="1"/>
    <x v="8"/>
    <n v="4080"/>
    <n v="4080"/>
    <n v="0"/>
    <n v="0"/>
    <m/>
  </r>
  <r>
    <x v="2"/>
    <x v="0"/>
    <x v="7"/>
    <n v="3773"/>
    <n v="1"/>
    <s v="Violet"/>
    <n v="1"/>
    <x v="7"/>
    <n v="4547"/>
    <n v="4547"/>
    <n v="0"/>
    <n v="0"/>
    <m/>
  </r>
  <r>
    <x v="2"/>
    <x v="0"/>
    <x v="7"/>
    <n v="3152"/>
    <n v="2"/>
    <s v="Blue"/>
    <n v="1"/>
    <x v="7"/>
    <n v="3100"/>
    <n v="3100"/>
    <n v="0"/>
    <n v="0"/>
    <m/>
  </r>
  <r>
    <x v="2"/>
    <x v="0"/>
    <x v="7"/>
    <n v="3199"/>
    <n v="2"/>
    <s v="Scroll"/>
    <n v="4"/>
    <x v="2"/>
    <n v="0"/>
    <n v="8000"/>
    <n v="0"/>
    <n v="3200"/>
    <m/>
  </r>
  <r>
    <x v="2"/>
    <x v="0"/>
    <x v="7"/>
    <n v="3391"/>
    <n v="1"/>
    <s v="Orange"/>
    <n v="1"/>
    <x v="7"/>
    <n v="5512"/>
    <n v="5512"/>
    <n v="0"/>
    <n v="0"/>
    <m/>
  </r>
  <r>
    <x v="2"/>
    <x v="0"/>
    <x v="7"/>
    <n v="3826"/>
    <n v="0"/>
    <s v="Blue"/>
    <n v="1"/>
    <x v="8"/>
    <n v="6885"/>
    <n v="6885"/>
    <n v="0"/>
    <n v="0"/>
    <m/>
  </r>
  <r>
    <x v="12"/>
    <x v="2"/>
    <x v="3"/>
    <n v="2208"/>
    <n v="2"/>
    <m/>
    <m/>
    <x v="0"/>
    <n v="1236"/>
    <n v="1236"/>
    <n v="0"/>
    <n v="0"/>
    <m/>
  </r>
  <r>
    <x v="12"/>
    <x v="2"/>
    <x v="3"/>
    <n v="2585"/>
    <n v="2"/>
    <m/>
    <m/>
    <x v="0"/>
    <n v="2205"/>
    <n v="2205"/>
    <n v="0"/>
    <n v="0"/>
    <m/>
  </r>
  <r>
    <x v="12"/>
    <x v="2"/>
    <x v="3"/>
    <n v="2501"/>
    <n v="0"/>
    <m/>
    <m/>
    <x v="0"/>
    <n v="1236"/>
    <n v="1236"/>
    <n v="0"/>
    <n v="0"/>
    <m/>
  </r>
  <r>
    <x v="12"/>
    <x v="2"/>
    <x v="3"/>
    <n v="1564"/>
    <n v="1"/>
    <m/>
    <m/>
    <x v="0"/>
    <n v="1236"/>
    <n v="1236"/>
    <n v="0"/>
    <n v="0"/>
    <m/>
  </r>
  <r>
    <x v="12"/>
    <x v="2"/>
    <x v="3"/>
    <n v="1352"/>
    <n v="0"/>
    <m/>
    <m/>
    <x v="0"/>
    <n v="2205"/>
    <n v="2205"/>
    <n v="0"/>
    <n v="0"/>
    <m/>
  </r>
  <r>
    <x v="12"/>
    <x v="2"/>
    <x v="3"/>
    <n v="828"/>
    <n v="0"/>
    <m/>
    <m/>
    <x v="0"/>
    <n v="1236"/>
    <n v="1236"/>
    <n v="0"/>
    <n v="0"/>
    <m/>
  </r>
  <r>
    <x v="12"/>
    <x v="2"/>
    <x v="3"/>
    <n v="1020"/>
    <n v="1"/>
    <s v="Candy"/>
    <n v="2"/>
    <x v="0"/>
    <n v="0"/>
    <n v="0"/>
    <n v="0"/>
    <n v="0"/>
    <m/>
  </r>
  <r>
    <x v="12"/>
    <x v="2"/>
    <x v="3"/>
    <n v="1937"/>
    <n v="1"/>
    <s v="Candy"/>
    <n v="3"/>
    <x v="0"/>
    <n v="0"/>
    <n v="0"/>
    <n v="0"/>
    <n v="0"/>
    <m/>
  </r>
  <r>
    <x v="12"/>
    <x v="2"/>
    <x v="3"/>
    <n v="2126"/>
    <n v="1"/>
    <m/>
    <m/>
    <x v="0"/>
    <n v="1443"/>
    <n v="1443"/>
    <n v="0"/>
    <n v="0"/>
    <m/>
  </r>
  <r>
    <x v="12"/>
    <x v="2"/>
    <x v="3"/>
    <n v="1860"/>
    <n v="1"/>
    <m/>
    <m/>
    <x v="0"/>
    <n v="1236"/>
    <n v="1236"/>
    <n v="0"/>
    <n v="0"/>
    <m/>
  </r>
  <r>
    <x v="12"/>
    <x v="2"/>
    <x v="3"/>
    <n v="1824"/>
    <n v="1"/>
    <m/>
    <m/>
    <x v="0"/>
    <n v="1236"/>
    <n v="1236"/>
    <n v="0"/>
    <n v="0"/>
    <m/>
  </r>
  <r>
    <x v="12"/>
    <x v="2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3"/>
    <x v="1"/>
    <x v="0"/>
    <n v="1544"/>
    <n v="0"/>
    <m/>
    <m/>
    <x v="0"/>
    <n v="1824"/>
    <n v="1824"/>
    <n v="0"/>
    <n v="0"/>
    <m/>
  </r>
  <r>
    <x v="13"/>
    <x v="1"/>
    <x v="0"/>
    <n v="1180"/>
    <n v="0"/>
    <m/>
    <m/>
    <x v="0"/>
    <n v="1976"/>
    <n v="1976"/>
    <n v="0"/>
    <n v="0"/>
    <m/>
  </r>
  <r>
    <x v="13"/>
    <x v="1"/>
    <x v="0"/>
    <n v="1734"/>
    <n v="4"/>
    <m/>
    <m/>
    <x v="0"/>
    <n v="1824"/>
    <n v="1824"/>
    <n v="0"/>
    <n v="0"/>
    <m/>
  </r>
  <r>
    <x v="13"/>
    <x v="1"/>
    <x v="0"/>
    <n v="1594"/>
    <n v="0"/>
    <m/>
    <m/>
    <x v="0"/>
    <n v="2128"/>
    <n v="2128"/>
    <n v="0"/>
    <n v="0"/>
    <m/>
  </r>
  <r>
    <x v="13"/>
    <x v="1"/>
    <x v="0"/>
    <n v="1672"/>
    <n v="0"/>
    <m/>
    <m/>
    <x v="0"/>
    <n v="1824"/>
    <n v="1824"/>
    <n v="0"/>
    <n v="0"/>
    <m/>
  </r>
  <r>
    <x v="13"/>
    <x v="1"/>
    <x v="0"/>
    <n v="1879"/>
    <n v="1"/>
    <m/>
    <m/>
    <x v="0"/>
    <n v="1824"/>
    <n v="1824"/>
    <n v="0"/>
    <n v="0"/>
    <m/>
  </r>
  <r>
    <x v="13"/>
    <x v="1"/>
    <x v="0"/>
    <n v="1455"/>
    <n v="1"/>
    <m/>
    <m/>
    <x v="0"/>
    <n v="2280"/>
    <n v="2280"/>
    <n v="0"/>
    <n v="0"/>
    <m/>
  </r>
  <r>
    <x v="13"/>
    <x v="1"/>
    <x v="0"/>
    <n v="1898"/>
    <n v="1"/>
    <m/>
    <m/>
    <x v="0"/>
    <n v="1824"/>
    <n v="1824"/>
    <n v="0"/>
    <n v="0"/>
    <m/>
  </r>
  <r>
    <x v="12"/>
    <x v="2"/>
    <x v="3"/>
    <n v="1959"/>
    <n v="1"/>
    <m/>
    <m/>
    <x v="0"/>
    <n v="2205"/>
    <n v="2205"/>
    <n v="0"/>
    <n v="0"/>
    <m/>
  </r>
  <r>
    <x v="12"/>
    <x v="2"/>
    <x v="3"/>
    <n v="1626"/>
    <n v="0"/>
    <m/>
    <m/>
    <x v="0"/>
    <n v="1236"/>
    <n v="1236"/>
    <n v="0"/>
    <n v="0"/>
    <m/>
  </r>
  <r>
    <x v="12"/>
    <x v="2"/>
    <x v="3"/>
    <n v="2155"/>
    <n v="0"/>
    <m/>
    <m/>
    <x v="0"/>
    <n v="1236"/>
    <n v="1236"/>
    <n v="0"/>
    <n v="0"/>
    <m/>
  </r>
  <r>
    <x v="12"/>
    <x v="2"/>
    <x v="3"/>
    <n v="1844"/>
    <n v="1"/>
    <m/>
    <m/>
    <x v="0"/>
    <n v="2205"/>
    <n v="2205"/>
    <n v="0"/>
    <n v="0"/>
    <m/>
  </r>
  <r>
    <x v="12"/>
    <x v="2"/>
    <x v="3"/>
    <n v="645"/>
    <n v="2"/>
    <s v="Scroll"/>
    <n v="3"/>
    <x v="0"/>
    <n v="0"/>
    <n v="0"/>
    <n v="0"/>
    <n v="0"/>
    <m/>
  </r>
  <r>
    <x v="12"/>
    <x v="2"/>
    <x v="3"/>
    <n v="623"/>
    <n v="1"/>
    <m/>
    <m/>
    <x v="0"/>
    <n v="2205"/>
    <n v="2205"/>
    <n v="0"/>
    <n v="0"/>
    <m/>
  </r>
  <r>
    <x v="12"/>
    <x v="2"/>
    <x v="3"/>
    <n v="1484"/>
    <n v="2"/>
    <m/>
    <m/>
    <x v="0"/>
    <n v="2205"/>
    <n v="2205"/>
    <n v="0"/>
    <n v="0"/>
    <m/>
  </r>
  <r>
    <x v="12"/>
    <x v="2"/>
    <x v="3"/>
    <n v="1281"/>
    <n v="0"/>
    <m/>
    <m/>
    <x v="0"/>
    <n v="2572"/>
    <n v="2572"/>
    <n v="0"/>
    <n v="0"/>
    <m/>
  </r>
  <r>
    <x v="12"/>
    <x v="2"/>
    <x v="3"/>
    <n v="839"/>
    <n v="1"/>
    <m/>
    <m/>
    <x v="0"/>
    <n v="2940"/>
    <n v="2940"/>
    <n v="0"/>
    <n v="0"/>
    <m/>
  </r>
  <r>
    <x v="12"/>
    <x v="2"/>
    <x v="3"/>
    <n v="1785"/>
    <n v="2"/>
    <m/>
    <m/>
    <x v="0"/>
    <n v="1824"/>
    <n v="1824"/>
    <n v="0"/>
    <n v="0"/>
    <m/>
  </r>
  <r>
    <x v="12"/>
    <x v="2"/>
    <x v="3"/>
    <n v="1214"/>
    <n v="0"/>
    <m/>
    <m/>
    <x v="0"/>
    <n v="1236"/>
    <n v="1236"/>
    <n v="0"/>
    <n v="0"/>
    <m/>
  </r>
  <r>
    <x v="12"/>
    <x v="2"/>
    <x v="3"/>
    <n v="1200"/>
    <n v="0"/>
    <m/>
    <m/>
    <x v="0"/>
    <n v="1236"/>
    <n v="1236"/>
    <n v="0"/>
    <n v="0"/>
    <m/>
  </r>
  <r>
    <x v="12"/>
    <x v="2"/>
    <x v="3"/>
    <n v="1357"/>
    <n v="2"/>
    <s v="Fod"/>
    <n v="1"/>
    <x v="2"/>
    <n v="0"/>
    <n v="0"/>
    <n v="0"/>
    <n v="0"/>
    <m/>
  </r>
  <r>
    <x v="12"/>
    <x v="2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4000"/>
    <n v="0"/>
    <n v="1600"/>
    <m/>
  </r>
  <r>
    <x v="5"/>
    <x v="1"/>
    <x v="8"/>
    <n v="1868"/>
    <n v="0"/>
    <s v="Scroll"/>
    <n v="2"/>
    <x v="2"/>
    <n v="0"/>
    <n v="4000"/>
    <n v="0"/>
    <n v="1600"/>
    <m/>
  </r>
  <r>
    <x v="5"/>
    <x v="1"/>
    <x v="8"/>
    <n v="1204"/>
    <n v="1"/>
    <m/>
    <m/>
    <x v="0"/>
    <n v="1824"/>
    <n v="1824"/>
    <n v="0"/>
    <n v="0"/>
    <m/>
  </r>
  <r>
    <x v="2"/>
    <x v="0"/>
    <x v="11"/>
    <n v="3766"/>
    <n v="0"/>
    <s v="Blue"/>
    <n v="1"/>
    <x v="8"/>
    <n v="10144"/>
    <n v="10144"/>
    <n v="0"/>
    <n v="0"/>
    <m/>
  </r>
  <r>
    <x v="2"/>
    <x v="0"/>
    <x v="11"/>
    <n v="4343"/>
    <n v="0"/>
    <s v="Violet"/>
    <n v="1"/>
    <x v="7"/>
    <n v="3904"/>
    <n v="3904"/>
    <n v="0"/>
    <n v="0"/>
    <m/>
  </r>
  <r>
    <x v="2"/>
    <x v="0"/>
    <x v="11"/>
    <n v="3715"/>
    <n v="1"/>
    <s v="Scroll"/>
    <n v="4"/>
    <x v="2"/>
    <n v="0"/>
    <n v="8000"/>
    <n v="0"/>
    <n v="3200"/>
    <m/>
  </r>
  <r>
    <x v="2"/>
    <x v="0"/>
    <x v="11"/>
    <n v="3985"/>
    <n v="1"/>
    <s v="Blue"/>
    <n v="1"/>
    <x v="9"/>
    <n v="25677"/>
    <n v="25677"/>
    <n v="0"/>
    <n v="0"/>
    <m/>
  </r>
  <r>
    <x v="2"/>
    <x v="0"/>
    <x v="11"/>
    <n v="4284"/>
    <n v="0"/>
    <s v="Scroll"/>
    <n v="5"/>
    <x v="2"/>
    <n v="0"/>
    <n v="10000"/>
    <n v="0"/>
    <n v="4000"/>
    <m/>
  </r>
  <r>
    <x v="2"/>
    <x v="0"/>
    <x v="11"/>
    <n v="4613"/>
    <n v="0"/>
    <s v="Blue"/>
    <n v="1"/>
    <x v="8"/>
    <n v="5440"/>
    <n v="5440"/>
    <n v="0"/>
    <n v="0"/>
    <m/>
  </r>
  <r>
    <x v="2"/>
    <x v="0"/>
    <x v="11"/>
    <n v="4512"/>
    <n v="0"/>
    <s v="Blue"/>
    <n v="1"/>
    <x v="8"/>
    <n v="6800"/>
    <n v="6800"/>
    <n v="0"/>
    <n v="0"/>
    <m/>
  </r>
  <r>
    <x v="2"/>
    <x v="0"/>
    <x v="11"/>
    <n v="4000"/>
    <n v="1"/>
    <s v="Rainb"/>
    <n v="1"/>
    <x v="5"/>
    <n v="0"/>
    <n v="0"/>
    <n v="34500"/>
    <n v="118004"/>
    <m/>
  </r>
  <r>
    <x v="2"/>
    <x v="0"/>
    <x v="11"/>
    <n v="4361"/>
    <n v="0"/>
    <s v="Scroll"/>
    <n v="5"/>
    <x v="2"/>
    <n v="0"/>
    <n v="10000"/>
    <n v="0"/>
    <n v="4000"/>
    <m/>
  </r>
  <r>
    <x v="2"/>
    <x v="0"/>
    <x v="11"/>
    <n v="4527"/>
    <n v="0"/>
    <s v="Blue"/>
    <n v="1"/>
    <x v="8"/>
    <n v="5440"/>
    <n v="5440"/>
    <n v="0"/>
    <n v="0"/>
    <m/>
  </r>
  <r>
    <x v="2"/>
    <x v="0"/>
    <x v="11"/>
    <n v="3817"/>
    <n v="1"/>
    <s v="Blue"/>
    <n v="1"/>
    <x v="8"/>
    <n v="5440"/>
    <n v="5440"/>
    <n v="0"/>
    <n v="0"/>
    <m/>
  </r>
  <r>
    <x v="2"/>
    <x v="0"/>
    <x v="11"/>
    <n v="3935"/>
    <n v="2"/>
    <s v="Violet"/>
    <n v="1"/>
    <x v="8"/>
    <n v="6800"/>
    <n v="6800"/>
    <n v="0"/>
    <n v="0"/>
    <m/>
  </r>
  <r>
    <x v="2"/>
    <x v="0"/>
    <x v="11"/>
    <n v="4040"/>
    <n v="1"/>
    <s v="Blue"/>
    <n v="1"/>
    <x v="8"/>
    <n v="5440"/>
    <n v="5440"/>
    <n v="0"/>
    <n v="0"/>
    <m/>
  </r>
  <r>
    <x v="2"/>
    <x v="0"/>
    <x v="11"/>
    <n v="3601"/>
    <n v="1"/>
    <s v="Scroll"/>
    <n v="4"/>
    <x v="2"/>
    <n v="0"/>
    <n v="8000"/>
    <n v="0"/>
    <n v="3200"/>
    <m/>
  </r>
  <r>
    <x v="2"/>
    <x v="0"/>
    <x v="11"/>
    <n v="3976"/>
    <n v="0"/>
    <s v="Violet"/>
    <n v="1"/>
    <x v="8"/>
    <n v="5440"/>
    <n v="5440"/>
    <n v="0"/>
    <n v="0"/>
    <m/>
  </r>
  <r>
    <x v="2"/>
    <x v="0"/>
    <x v="11"/>
    <n v="3824"/>
    <n v="0"/>
    <s v="Blue"/>
    <n v="1"/>
    <x v="7"/>
    <n v="3491"/>
    <n v="3491"/>
    <n v="0"/>
    <n v="0"/>
    <m/>
  </r>
  <r>
    <x v="2"/>
    <x v="0"/>
    <x v="11"/>
    <n v="3303"/>
    <n v="0"/>
    <s v="Blue"/>
    <n v="1"/>
    <x v="7"/>
    <n v="3445"/>
    <n v="3445"/>
    <n v="0"/>
    <n v="0"/>
    <m/>
  </r>
  <r>
    <x v="2"/>
    <x v="0"/>
    <x v="11"/>
    <n v="4601"/>
    <n v="1"/>
    <s v="Scroll"/>
    <n v="4"/>
    <x v="2"/>
    <n v="0"/>
    <n v="8000"/>
    <n v="0"/>
    <n v="3200"/>
    <m/>
  </r>
  <r>
    <x v="2"/>
    <x v="0"/>
    <x v="11"/>
    <n v="4076"/>
    <n v="1"/>
    <s v="Blue"/>
    <n v="1"/>
    <x v="7"/>
    <n v="5057"/>
    <n v="5057"/>
    <n v="0"/>
    <n v="0"/>
    <m/>
  </r>
  <r>
    <x v="2"/>
    <x v="0"/>
    <x v="11"/>
    <n v="3735"/>
    <n v="1"/>
    <s v="Blue"/>
    <n v="1"/>
    <x v="8"/>
    <n v="6502"/>
    <n v="6502"/>
    <n v="0"/>
    <n v="0"/>
    <m/>
  </r>
  <r>
    <x v="2"/>
    <x v="0"/>
    <x v="11"/>
    <n v="3968"/>
    <n v="1"/>
    <s v="Blue"/>
    <n v="1"/>
    <x v="8"/>
    <n v="3825"/>
    <n v="3825"/>
    <n v="0"/>
    <n v="0"/>
    <m/>
  </r>
  <r>
    <x v="2"/>
    <x v="0"/>
    <x v="11"/>
    <n v="4409"/>
    <n v="0"/>
    <s v="Blue"/>
    <n v="1"/>
    <x v="8"/>
    <n v="7650"/>
    <n v="7650"/>
    <n v="0"/>
    <n v="0"/>
    <m/>
  </r>
  <r>
    <x v="2"/>
    <x v="0"/>
    <x v="11"/>
    <n v="4316"/>
    <n v="0"/>
    <s v="Blue"/>
    <n v="1"/>
    <x v="8"/>
    <n v="5780"/>
    <n v="5780"/>
    <n v="0"/>
    <n v="0"/>
    <m/>
  </r>
  <r>
    <x v="2"/>
    <x v="0"/>
    <x v="11"/>
    <n v="4350"/>
    <n v="3"/>
    <s v="Blue"/>
    <n v="1"/>
    <x v="8"/>
    <n v="5950"/>
    <n v="5950"/>
    <n v="0"/>
    <n v="0"/>
    <m/>
  </r>
  <r>
    <x v="2"/>
    <x v="0"/>
    <x v="11"/>
    <n v="4027"/>
    <n v="1"/>
    <s v="Blue"/>
    <n v="1"/>
    <x v="8"/>
    <n v="5100"/>
    <n v="5100"/>
    <n v="0"/>
    <n v="0"/>
    <m/>
  </r>
  <r>
    <x v="2"/>
    <x v="0"/>
    <x v="11"/>
    <n v="4582"/>
    <n v="1"/>
    <s v="Orange"/>
    <n v="1"/>
    <x v="8"/>
    <n v="10444"/>
    <n v="10444"/>
    <n v="0"/>
    <n v="0"/>
    <m/>
  </r>
  <r>
    <x v="2"/>
    <x v="0"/>
    <x v="11"/>
    <n v="4490"/>
    <n v="0"/>
    <s v="Blue"/>
    <n v="1"/>
    <x v="7"/>
    <n v="4364"/>
    <n v="4364"/>
    <n v="0"/>
    <n v="0"/>
    <m/>
  </r>
  <r>
    <x v="2"/>
    <x v="0"/>
    <x v="11"/>
    <n v="4382"/>
    <n v="0"/>
    <s v="Blue"/>
    <n v="1"/>
    <x v="7"/>
    <n v="2940"/>
    <n v="2940"/>
    <n v="0"/>
    <n v="0"/>
    <m/>
  </r>
  <r>
    <x v="2"/>
    <x v="0"/>
    <x v="11"/>
    <n v="3808"/>
    <n v="0"/>
    <s v="Scroll"/>
    <n v="5"/>
    <x v="2"/>
    <n v="0"/>
    <n v="10000"/>
    <n v="0"/>
    <n v="4000"/>
    <m/>
  </r>
  <r>
    <x v="2"/>
    <x v="0"/>
    <x v="11"/>
    <n v="3873"/>
    <n v="2"/>
    <s v="Blue"/>
    <n v="1"/>
    <x v="7"/>
    <n v="3307"/>
    <n v="3307"/>
    <n v="0"/>
    <n v="0"/>
    <m/>
  </r>
  <r>
    <x v="2"/>
    <x v="0"/>
    <x v="11"/>
    <n v="4165"/>
    <n v="1"/>
    <s v="Violet"/>
    <n v="1"/>
    <x v="7"/>
    <n v="3927"/>
    <n v="3927"/>
    <n v="0"/>
    <n v="0"/>
    <m/>
  </r>
  <r>
    <x v="2"/>
    <x v="0"/>
    <x v="11"/>
    <n v="3918"/>
    <n v="1"/>
    <s v="Violet"/>
    <n v="1"/>
    <x v="8"/>
    <n v="5440"/>
    <n v="5440"/>
    <n v="0"/>
    <n v="0"/>
    <m/>
  </r>
  <r>
    <x v="2"/>
    <x v="0"/>
    <x v="11"/>
    <n v="3837"/>
    <n v="4"/>
    <s v="Blue"/>
    <n v="1"/>
    <x v="7"/>
    <n v="3100"/>
    <n v="3100"/>
    <n v="0"/>
    <n v="0"/>
    <m/>
  </r>
  <r>
    <x v="2"/>
    <x v="0"/>
    <x v="11"/>
    <n v="3909"/>
    <n v="0"/>
    <s v="Blue"/>
    <n v="1"/>
    <x v="8"/>
    <n v="6460"/>
    <n v="6460"/>
    <n v="0"/>
    <n v="0"/>
    <m/>
  </r>
  <r>
    <x v="2"/>
    <x v="0"/>
    <x v="11"/>
    <n v="4302"/>
    <n v="2"/>
    <s v="Violet"/>
    <n v="1"/>
    <x v="8"/>
    <n v="8075"/>
    <n v="8075"/>
    <n v="0"/>
    <n v="0"/>
    <m/>
  </r>
  <r>
    <x v="2"/>
    <x v="0"/>
    <x v="11"/>
    <n v="4644"/>
    <n v="1"/>
    <s v="MystScroll"/>
    <n v="1"/>
    <x v="2"/>
    <n v="0"/>
    <n v="120000"/>
    <n v="0"/>
    <n v="0"/>
    <m/>
  </r>
  <r>
    <x v="2"/>
    <x v="0"/>
    <x v="11"/>
    <n v="3772"/>
    <n v="0"/>
    <s v="Blue"/>
    <n v="1"/>
    <x v="8"/>
    <n v="5780"/>
    <n v="5780"/>
    <n v="0"/>
    <n v="0"/>
    <m/>
  </r>
  <r>
    <x v="2"/>
    <x v="0"/>
    <x v="11"/>
    <n v="3838"/>
    <n v="1"/>
    <s v="Blue"/>
    <n v="1"/>
    <x v="8"/>
    <n v="6460"/>
    <n v="6460"/>
    <n v="0"/>
    <n v="0"/>
    <m/>
  </r>
  <r>
    <x v="2"/>
    <x v="0"/>
    <x v="11"/>
    <n v="3618"/>
    <n v="1"/>
    <s v="Orange"/>
    <n v="1"/>
    <x v="8"/>
    <n v="11560"/>
    <n v="11560"/>
    <n v="0"/>
    <n v="0"/>
    <m/>
  </r>
  <r>
    <x v="2"/>
    <x v="0"/>
    <x v="11"/>
    <n v="3622"/>
    <n v="2"/>
    <s v="Orange"/>
    <n v="1"/>
    <x v="8"/>
    <n v="16320"/>
    <n v="16320"/>
    <n v="0"/>
    <n v="0"/>
    <m/>
  </r>
  <r>
    <x v="2"/>
    <x v="0"/>
    <x v="11"/>
    <n v="4131"/>
    <n v="2"/>
    <s v="Scroll"/>
    <n v="5"/>
    <x v="2"/>
    <n v="0"/>
    <n v="10000"/>
    <n v="0"/>
    <n v="4000"/>
    <m/>
  </r>
  <r>
    <x v="2"/>
    <x v="0"/>
    <x v="11"/>
    <n v="3935"/>
    <n v="0"/>
    <s v="Rainb"/>
    <n v="1"/>
    <x v="1"/>
    <n v="0"/>
    <n v="0"/>
    <n v="11500"/>
    <n v="35822"/>
    <m/>
  </r>
  <r>
    <x v="2"/>
    <x v="0"/>
    <x v="11"/>
    <n v="3786"/>
    <n v="1"/>
    <s v="Violet"/>
    <n v="1"/>
    <x v="7"/>
    <n v="3904"/>
    <n v="3904"/>
    <n v="0"/>
    <n v="0"/>
    <m/>
  </r>
  <r>
    <x v="2"/>
    <x v="0"/>
    <x v="11"/>
    <n v="3725"/>
    <n v="0"/>
    <s v="Scroll"/>
    <n v="4"/>
    <x v="2"/>
    <n v="0"/>
    <n v="8000"/>
    <n v="0"/>
    <n v="3200"/>
    <m/>
  </r>
  <r>
    <x v="2"/>
    <x v="0"/>
    <x v="11"/>
    <n v="3617"/>
    <n v="1"/>
    <s v="Blue"/>
    <n v="1"/>
    <x v="8"/>
    <n v="6800"/>
    <n v="6800"/>
    <n v="0"/>
    <n v="0"/>
    <m/>
  </r>
  <r>
    <x v="2"/>
    <x v="0"/>
    <x v="11"/>
    <n v="3937"/>
    <n v="1"/>
    <s v="Violet"/>
    <n v="1"/>
    <x v="9"/>
    <n v="13472"/>
    <n v="13472"/>
    <n v="0"/>
    <n v="0"/>
    <m/>
  </r>
  <r>
    <x v="2"/>
    <x v="0"/>
    <x v="11"/>
    <n v="3918"/>
    <n v="1"/>
    <s v="Blue"/>
    <n v="1"/>
    <x v="9"/>
    <n v="9510"/>
    <n v="9510"/>
    <n v="0"/>
    <n v="0"/>
    <m/>
  </r>
  <r>
    <x v="2"/>
    <x v="0"/>
    <x v="11"/>
    <n v="4078"/>
    <n v="3"/>
    <s v="Rainb"/>
    <n v="1"/>
    <x v="1"/>
    <n v="0"/>
    <n v="0"/>
    <n v="11500"/>
    <n v="35822"/>
    <m/>
  </r>
  <r>
    <x v="2"/>
    <x v="0"/>
    <x v="11"/>
    <n v="4022"/>
    <n v="2"/>
    <s v="Blue"/>
    <n v="1"/>
    <x v="8"/>
    <n v="13005"/>
    <n v="13005"/>
    <n v="0"/>
    <n v="0"/>
    <m/>
  </r>
  <r>
    <x v="2"/>
    <x v="0"/>
    <x v="11"/>
    <n v="3677"/>
    <n v="0"/>
    <s v="Scroll"/>
    <n v="5"/>
    <x v="2"/>
    <n v="0"/>
    <n v="10000"/>
    <n v="0"/>
    <n v="4000"/>
    <m/>
  </r>
  <r>
    <x v="2"/>
    <x v="0"/>
    <x v="11"/>
    <n v="4011"/>
    <n v="0"/>
    <s v="Orange"/>
    <n v="1"/>
    <x v="7"/>
    <n v="7350"/>
    <n v="7350"/>
    <n v="0"/>
    <n v="0"/>
    <m/>
  </r>
  <r>
    <x v="2"/>
    <x v="0"/>
    <x v="11"/>
    <n v="4195"/>
    <n v="1"/>
    <s v="Blue"/>
    <n v="1"/>
    <x v="7"/>
    <n v="3491"/>
    <n v="3491"/>
    <n v="0"/>
    <n v="0"/>
    <m/>
  </r>
  <r>
    <x v="2"/>
    <x v="0"/>
    <x v="11"/>
    <n v="4001"/>
    <n v="0"/>
    <s v="Blue"/>
    <n v="1"/>
    <x v="8"/>
    <n v="4590"/>
    <n v="4590"/>
    <n v="0"/>
    <n v="0"/>
    <m/>
  </r>
  <r>
    <x v="2"/>
    <x v="0"/>
    <x v="11"/>
    <n v="3836"/>
    <n v="0"/>
    <s v="Blue"/>
    <n v="1"/>
    <x v="8"/>
    <n v="5780"/>
    <n v="5780"/>
    <n v="0"/>
    <n v="0"/>
    <m/>
  </r>
  <r>
    <x v="2"/>
    <x v="0"/>
    <x v="11"/>
    <n v="3830"/>
    <n v="0"/>
    <s v="Blue"/>
    <n v="1"/>
    <x v="8"/>
    <n v="5100"/>
    <n v="5100"/>
    <n v="0"/>
    <n v="0"/>
    <m/>
  </r>
  <r>
    <x v="2"/>
    <x v="0"/>
    <x v="11"/>
    <n v="4098"/>
    <n v="0"/>
    <s v="Violet"/>
    <n v="1"/>
    <x v="7"/>
    <n v="4800"/>
    <n v="4800"/>
    <n v="0"/>
    <n v="0"/>
    <m/>
  </r>
  <r>
    <x v="2"/>
    <x v="0"/>
    <x v="11"/>
    <n v="4211"/>
    <n v="0"/>
    <s v="Rainb"/>
    <n v="1"/>
    <x v="1"/>
    <n v="0"/>
    <n v="0"/>
    <n v="11500"/>
    <n v="35822"/>
    <m/>
  </r>
  <r>
    <x v="2"/>
    <x v="0"/>
    <x v="11"/>
    <n v="4024"/>
    <n v="1"/>
    <s v="Blue"/>
    <n v="1"/>
    <x v="7"/>
    <n v="2572"/>
    <n v="2572"/>
    <n v="0"/>
    <n v="0"/>
    <m/>
  </r>
  <r>
    <x v="2"/>
    <x v="0"/>
    <x v="11"/>
    <n v="4051"/>
    <n v="0"/>
    <s v="Violet"/>
    <n v="1"/>
    <x v="8"/>
    <n v="8075"/>
    <n v="8075"/>
    <n v="0"/>
    <n v="0"/>
    <m/>
  </r>
  <r>
    <x v="2"/>
    <x v="0"/>
    <x v="11"/>
    <n v="3981"/>
    <n v="2"/>
    <s v="Rainb"/>
    <n v="1"/>
    <x v="1"/>
    <n v="0"/>
    <n v="0"/>
    <n v="11500"/>
    <n v="35822"/>
    <m/>
  </r>
  <r>
    <x v="2"/>
    <x v="0"/>
    <x v="11"/>
    <n v="3667"/>
    <n v="3"/>
    <s v="Blue"/>
    <n v="1"/>
    <x v="8"/>
    <n v="5440"/>
    <n v="5440"/>
    <n v="0"/>
    <n v="0"/>
    <m/>
  </r>
  <r>
    <x v="2"/>
    <x v="0"/>
    <x v="11"/>
    <n v="4500"/>
    <n v="2"/>
    <s v="Violet"/>
    <n v="1"/>
    <x v="8"/>
    <n v="9350"/>
    <n v="9350"/>
    <n v="0"/>
    <n v="0"/>
    <m/>
  </r>
  <r>
    <x v="2"/>
    <x v="0"/>
    <x v="11"/>
    <n v="4090"/>
    <n v="1"/>
    <s v="Blue"/>
    <n v="1"/>
    <x v="8"/>
    <n v="5780"/>
    <n v="5780"/>
    <n v="0"/>
    <n v="0"/>
    <m/>
  </r>
  <r>
    <x v="2"/>
    <x v="0"/>
    <x v="11"/>
    <n v="3757"/>
    <n v="0"/>
    <s v="Rainb"/>
    <n v="1"/>
    <x v="1"/>
    <n v="0"/>
    <n v="0"/>
    <n v="11500"/>
    <n v="35822"/>
    <m/>
  </r>
  <r>
    <x v="2"/>
    <x v="0"/>
    <x v="11"/>
    <n v="3889"/>
    <n v="0"/>
    <s v="Violet"/>
    <n v="1"/>
    <x v="8"/>
    <n v="10200"/>
    <n v="10200"/>
    <n v="0"/>
    <n v="0"/>
    <m/>
  </r>
  <r>
    <x v="2"/>
    <x v="0"/>
    <x v="11"/>
    <n v="3813"/>
    <n v="1"/>
    <s v="Blue"/>
    <n v="1"/>
    <x v="8"/>
    <n v="5355"/>
    <n v="5355"/>
    <n v="0"/>
    <n v="0"/>
    <m/>
  </r>
  <r>
    <x v="2"/>
    <x v="0"/>
    <x v="11"/>
    <n v="3859"/>
    <n v="1"/>
    <s v="Scroll"/>
    <n v="5"/>
    <x v="2"/>
    <n v="0"/>
    <n v="10000"/>
    <n v="0"/>
    <n v="4000"/>
    <m/>
  </r>
  <r>
    <x v="2"/>
    <x v="0"/>
    <x v="11"/>
    <n v="3967"/>
    <n v="2"/>
    <s v="Blue"/>
    <n v="1"/>
    <x v="9"/>
    <n v="12046"/>
    <n v="12046"/>
    <n v="0"/>
    <n v="0"/>
    <m/>
  </r>
  <r>
    <x v="2"/>
    <x v="0"/>
    <x v="11"/>
    <n v="4276"/>
    <n v="0"/>
    <s v="Scroll"/>
    <n v="5"/>
    <x v="2"/>
    <n v="0"/>
    <n v="10000"/>
    <n v="0"/>
    <n v="4000"/>
    <m/>
  </r>
  <r>
    <x v="2"/>
    <x v="0"/>
    <x v="11"/>
    <n v="3898"/>
    <n v="0"/>
    <s v="Violet"/>
    <n v="1"/>
    <x v="8"/>
    <n v="6502"/>
    <n v="6502"/>
    <n v="0"/>
    <n v="0"/>
    <m/>
  </r>
  <r>
    <x v="2"/>
    <x v="0"/>
    <x v="11"/>
    <n v="3992"/>
    <n v="3"/>
    <s v="Violet"/>
    <n v="1"/>
    <x v="8"/>
    <n v="7225"/>
    <n v="7225"/>
    <n v="0"/>
    <n v="0"/>
    <m/>
  </r>
  <r>
    <x v="2"/>
    <x v="0"/>
    <x v="11"/>
    <n v="3871"/>
    <n v="1"/>
    <s v="Blue"/>
    <n v="1"/>
    <x v="8"/>
    <n v="5737"/>
    <n v="5737"/>
    <n v="0"/>
    <n v="0"/>
    <m/>
  </r>
  <r>
    <x v="2"/>
    <x v="0"/>
    <x v="11"/>
    <n v="3832"/>
    <n v="0"/>
    <s v="Violet"/>
    <n v="1"/>
    <x v="8"/>
    <n v="8670"/>
    <n v="8670"/>
    <n v="0"/>
    <n v="0"/>
    <m/>
  </r>
  <r>
    <x v="2"/>
    <x v="0"/>
    <x v="11"/>
    <n v="3887"/>
    <n v="0"/>
    <s v="Blue"/>
    <n v="1"/>
    <x v="8"/>
    <n v="13770"/>
    <n v="13770"/>
    <n v="0"/>
    <n v="0"/>
    <m/>
  </r>
  <r>
    <x v="2"/>
    <x v="0"/>
    <x v="11"/>
    <n v="4114"/>
    <n v="3"/>
    <s v="Blue"/>
    <n v="1"/>
    <x v="8"/>
    <n v="6460"/>
    <n v="6460"/>
    <n v="0"/>
    <n v="0"/>
    <m/>
  </r>
  <r>
    <x v="2"/>
    <x v="0"/>
    <x v="11"/>
    <n v="4755"/>
    <n v="0"/>
    <s v="Blue"/>
    <n v="1"/>
    <x v="9"/>
    <n v="27103"/>
    <n v="27103"/>
    <n v="0"/>
    <n v="0"/>
    <m/>
  </r>
  <r>
    <x v="2"/>
    <x v="0"/>
    <x v="11"/>
    <n v="4329"/>
    <n v="2"/>
    <s v="Blue"/>
    <n v="1"/>
    <x v="8"/>
    <n v="6800"/>
    <n v="6800"/>
    <n v="0"/>
    <n v="0"/>
    <m/>
  </r>
  <r>
    <x v="2"/>
    <x v="0"/>
    <x v="11"/>
    <n v="4139"/>
    <n v="0"/>
    <s v="Blue"/>
    <n v="1"/>
    <x v="7"/>
    <n v="2067"/>
    <n v="2067"/>
    <n v="0"/>
    <n v="0"/>
    <m/>
  </r>
  <r>
    <x v="2"/>
    <x v="0"/>
    <x v="11"/>
    <n v="3838"/>
    <n v="0"/>
    <s v="Blue"/>
    <n v="1"/>
    <x v="8"/>
    <n v="5737"/>
    <n v="5737"/>
    <n v="0"/>
    <n v="0"/>
    <m/>
  </r>
  <r>
    <x v="2"/>
    <x v="0"/>
    <x v="11"/>
    <n v="4090"/>
    <n v="2"/>
    <s v="Scroll"/>
    <n v="4"/>
    <x v="2"/>
    <n v="0"/>
    <n v="8000"/>
    <n v="0"/>
    <n v="3200"/>
    <m/>
  </r>
  <r>
    <x v="2"/>
    <x v="0"/>
    <x v="11"/>
    <n v="4048"/>
    <n v="0"/>
    <s v="Violet"/>
    <n v="1"/>
    <x v="8"/>
    <n v="8075"/>
    <n v="8075"/>
    <n v="0"/>
    <n v="0"/>
    <m/>
  </r>
  <r>
    <x v="2"/>
    <x v="0"/>
    <x v="11"/>
    <n v="4066"/>
    <n v="1"/>
    <s v="Blue"/>
    <n v="1"/>
    <x v="7"/>
    <n v="8268"/>
    <n v="8268"/>
    <n v="0"/>
    <n v="0"/>
    <m/>
  </r>
  <r>
    <x v="2"/>
    <x v="0"/>
    <x v="11"/>
    <n v="4202"/>
    <n v="2"/>
    <s v="Blue"/>
    <n v="1"/>
    <x v="8"/>
    <n v="4590"/>
    <n v="4590"/>
    <n v="0"/>
    <n v="0"/>
    <m/>
  </r>
  <r>
    <x v="2"/>
    <x v="0"/>
    <x v="11"/>
    <n v="4359"/>
    <n v="1"/>
    <s v="Violet"/>
    <n v="1"/>
    <x v="8"/>
    <n v="9180"/>
    <n v="9180"/>
    <n v="0"/>
    <n v="0"/>
    <m/>
  </r>
  <r>
    <x v="2"/>
    <x v="0"/>
    <x v="11"/>
    <n v="3858"/>
    <n v="0"/>
    <s v="Blue"/>
    <n v="1"/>
    <x v="8"/>
    <n v="5100"/>
    <n v="5100"/>
    <n v="0"/>
    <n v="0"/>
    <m/>
  </r>
  <r>
    <x v="2"/>
    <x v="0"/>
    <x v="11"/>
    <n v="3946"/>
    <n v="0"/>
    <s v="Violet"/>
    <n v="1"/>
    <x v="9"/>
    <n v="14265"/>
    <n v="14265"/>
    <n v="0"/>
    <n v="0"/>
    <m/>
  </r>
  <r>
    <x v="2"/>
    <x v="0"/>
    <x v="11"/>
    <n v="4023"/>
    <n v="0"/>
    <s v="Violet"/>
    <n v="1"/>
    <x v="8"/>
    <n v="15300"/>
    <n v="15300"/>
    <n v="0"/>
    <n v="0"/>
    <m/>
  </r>
  <r>
    <x v="2"/>
    <x v="0"/>
    <x v="11"/>
    <n v="4021"/>
    <n v="0"/>
    <s v="MystScroll"/>
    <n v="1"/>
    <x v="2"/>
    <n v="0"/>
    <n v="120000"/>
    <n v="0"/>
    <n v="0"/>
    <m/>
  </r>
  <r>
    <x v="14"/>
    <x v="0"/>
    <x v="10"/>
    <n v="3980"/>
    <n v="0"/>
    <s v="Violet"/>
    <n v="1"/>
    <x v="8"/>
    <n v="8160"/>
    <n v="8160"/>
    <n v="0"/>
    <n v="0"/>
    <m/>
  </r>
  <r>
    <x v="14"/>
    <x v="0"/>
    <x v="10"/>
    <n v="4393"/>
    <n v="0"/>
    <s v="Blue"/>
    <n v="1"/>
    <x v="8"/>
    <n v="10200"/>
    <n v="10200"/>
    <n v="0"/>
    <n v="0"/>
    <m/>
  </r>
  <r>
    <x v="14"/>
    <x v="0"/>
    <x v="10"/>
    <n v="4309"/>
    <n v="1"/>
    <s v="Blue"/>
    <n v="1"/>
    <x v="8"/>
    <n v="7650"/>
    <n v="7650"/>
    <n v="0"/>
    <n v="0"/>
    <m/>
  </r>
  <r>
    <x v="14"/>
    <x v="0"/>
    <x v="10"/>
    <n v="4290"/>
    <n v="1"/>
    <s v="Scroll"/>
    <n v="5"/>
    <x v="2"/>
    <n v="0"/>
    <n v="10000"/>
    <n v="0"/>
    <n v="4000"/>
    <m/>
  </r>
  <r>
    <x v="2"/>
    <x v="0"/>
    <x v="11"/>
    <n v="4144"/>
    <n v="1"/>
    <s v="Blue"/>
    <n v="1"/>
    <x v="8"/>
    <n v="5057"/>
    <n v="5057"/>
    <n v="0"/>
    <n v="0"/>
    <m/>
  </r>
  <r>
    <x v="2"/>
    <x v="0"/>
    <x v="11"/>
    <n v="4074"/>
    <n v="0"/>
    <s v="Scroll"/>
    <n v="4"/>
    <x v="2"/>
    <n v="0"/>
    <n v="8000"/>
    <n v="0"/>
    <n v="3200"/>
    <m/>
  </r>
  <r>
    <x v="2"/>
    <x v="0"/>
    <x v="11"/>
    <n v="4032"/>
    <n v="0"/>
    <s v="Scroll"/>
    <n v="4"/>
    <x v="2"/>
    <n v="0"/>
    <n v="8000"/>
    <n v="0"/>
    <n v="3200"/>
    <m/>
  </r>
  <r>
    <x v="2"/>
    <x v="0"/>
    <x v="11"/>
    <n v="4157"/>
    <n v="3"/>
    <s v="Blue"/>
    <n v="1"/>
    <x v="8"/>
    <n v="5652"/>
    <n v="5652"/>
    <n v="0"/>
    <n v="0"/>
    <m/>
  </r>
  <r>
    <x v="2"/>
    <x v="0"/>
    <x v="11"/>
    <n v="4353"/>
    <n v="1"/>
    <s v="Rainb"/>
    <n v="1"/>
    <x v="1"/>
    <n v="0"/>
    <n v="0"/>
    <n v="11500"/>
    <n v="35822"/>
    <m/>
  </r>
  <r>
    <x v="2"/>
    <x v="0"/>
    <x v="11"/>
    <n v="4047"/>
    <n v="1"/>
    <s v="Blue"/>
    <n v="1"/>
    <x v="8"/>
    <n v="5100"/>
    <n v="5100"/>
    <n v="0"/>
    <n v="0"/>
    <m/>
  </r>
  <r>
    <x v="2"/>
    <x v="0"/>
    <x v="11"/>
    <n v="3847"/>
    <n v="0"/>
    <s v="Blue"/>
    <n v="1"/>
    <x v="7"/>
    <n v="5880"/>
    <n v="5880"/>
    <n v="0"/>
    <n v="0"/>
    <m/>
  </r>
  <r>
    <x v="2"/>
    <x v="0"/>
    <x v="11"/>
    <n v="3857"/>
    <n v="2"/>
    <s v="Blue"/>
    <n v="1"/>
    <x v="8"/>
    <n v="5100"/>
    <n v="5100"/>
    <n v="0"/>
    <n v="0"/>
    <m/>
  </r>
  <r>
    <x v="2"/>
    <x v="0"/>
    <x v="11"/>
    <n v="3902"/>
    <n v="0"/>
    <s v="Blue"/>
    <n v="1"/>
    <x v="7"/>
    <n v="2756"/>
    <n v="2756"/>
    <n v="0"/>
    <n v="0"/>
    <m/>
  </r>
  <r>
    <x v="2"/>
    <x v="0"/>
    <x v="11"/>
    <n v="3922"/>
    <n v="3"/>
    <s v="Blue"/>
    <n v="1"/>
    <x v="8"/>
    <n v="7267"/>
    <n v="7267"/>
    <n v="0"/>
    <n v="0"/>
    <m/>
  </r>
  <r>
    <x v="2"/>
    <x v="0"/>
    <x v="11"/>
    <n v="3822"/>
    <n v="0"/>
    <s v="Blue"/>
    <n v="1"/>
    <x v="8"/>
    <n v="5355"/>
    <n v="5355"/>
    <n v="0"/>
    <n v="0"/>
    <m/>
  </r>
  <r>
    <x v="2"/>
    <x v="0"/>
    <x v="11"/>
    <n v="4255"/>
    <n v="3"/>
    <s v="Blue"/>
    <n v="1"/>
    <x v="8"/>
    <n v="4760"/>
    <n v="4760"/>
    <n v="0"/>
    <n v="0"/>
    <m/>
  </r>
  <r>
    <x v="2"/>
    <x v="0"/>
    <x v="11"/>
    <n v="4271"/>
    <n v="0"/>
    <s v="Blue"/>
    <n v="1"/>
    <x v="7"/>
    <n v="2894"/>
    <n v="2894"/>
    <n v="0"/>
    <n v="0"/>
    <m/>
  </r>
  <r>
    <x v="2"/>
    <x v="0"/>
    <x v="11"/>
    <n v="4220"/>
    <n v="0"/>
    <s v="Blue"/>
    <n v="1"/>
    <x v="7"/>
    <n v="2756"/>
    <n v="2756"/>
    <n v="0"/>
    <n v="0"/>
    <m/>
  </r>
  <r>
    <x v="2"/>
    <x v="0"/>
    <x v="11"/>
    <n v="4125"/>
    <n v="3"/>
    <s v="Blue"/>
    <n v="1"/>
    <x v="7"/>
    <n v="2480"/>
    <n v="2480"/>
    <n v="0"/>
    <n v="0"/>
    <m/>
  </r>
  <r>
    <x v="2"/>
    <x v="0"/>
    <x v="11"/>
    <n v="3847"/>
    <n v="0"/>
    <s v="Rainb"/>
    <n v="1"/>
    <x v="1"/>
    <n v="0"/>
    <n v="0"/>
    <n v="11500"/>
    <n v="35822"/>
    <m/>
  </r>
  <r>
    <x v="2"/>
    <x v="0"/>
    <x v="11"/>
    <n v="4181"/>
    <n v="1"/>
    <s v="Blue"/>
    <n v="1"/>
    <x v="8"/>
    <n v="5440"/>
    <n v="5440"/>
    <n v="0"/>
    <n v="0"/>
    <m/>
  </r>
  <r>
    <x v="2"/>
    <x v="0"/>
    <x v="11"/>
    <n v="3847"/>
    <n v="0"/>
    <s v="Scroll"/>
    <n v="4"/>
    <x v="2"/>
    <n v="0"/>
    <n v="8000"/>
    <n v="0"/>
    <n v="3200"/>
    <m/>
  </r>
  <r>
    <x v="2"/>
    <x v="0"/>
    <x v="11"/>
    <n v="4162"/>
    <n v="2"/>
    <s v="Blue"/>
    <n v="1"/>
    <x v="8"/>
    <n v="4335"/>
    <n v="4335"/>
    <n v="0"/>
    <n v="0"/>
    <m/>
  </r>
  <r>
    <x v="2"/>
    <x v="0"/>
    <x v="11"/>
    <n v="3389"/>
    <n v="0"/>
    <s v="Violet"/>
    <n v="1"/>
    <x v="8"/>
    <n v="6075"/>
    <n v="6075"/>
    <n v="0"/>
    <n v="0"/>
    <m/>
  </r>
  <r>
    <x v="2"/>
    <x v="0"/>
    <x v="11"/>
    <n v="3666"/>
    <n v="1"/>
    <s v="Blue"/>
    <n v="1"/>
    <x v="7"/>
    <n v="2756"/>
    <n v="2756"/>
    <n v="0"/>
    <n v="0"/>
    <m/>
  </r>
  <r>
    <x v="2"/>
    <x v="0"/>
    <x v="11"/>
    <n v="3605"/>
    <n v="1"/>
    <s v="Violet"/>
    <n v="1"/>
    <x v="8"/>
    <n v="5737"/>
    <n v="5737"/>
    <n v="0"/>
    <n v="0"/>
    <m/>
  </r>
  <r>
    <x v="2"/>
    <x v="0"/>
    <x v="11"/>
    <n v="3793"/>
    <n v="2"/>
    <s v="Scroll"/>
    <n v="4"/>
    <x v="2"/>
    <n v="0"/>
    <n v="8000"/>
    <n v="0"/>
    <n v="3200"/>
    <m/>
  </r>
  <r>
    <x v="2"/>
    <x v="0"/>
    <x v="11"/>
    <n v="4423"/>
    <n v="0"/>
    <s v="Blue"/>
    <n v="1"/>
    <x v="8"/>
    <n v="8075"/>
    <n v="8075"/>
    <n v="0"/>
    <n v="0"/>
    <m/>
  </r>
  <r>
    <x v="2"/>
    <x v="0"/>
    <x v="11"/>
    <n v="4020"/>
    <n v="1"/>
    <s v="SumStone"/>
    <n v="3"/>
    <x v="5"/>
    <n v="0"/>
    <n v="0"/>
    <n v="2587.5"/>
    <n v="2686.6499999999996"/>
    <m/>
  </r>
  <r>
    <x v="2"/>
    <x v="0"/>
    <x v="11"/>
    <n v="3900"/>
    <n v="1"/>
    <s v="Violet"/>
    <n v="1"/>
    <x v="7"/>
    <n v="3307"/>
    <n v="3307"/>
    <n v="0"/>
    <n v="0"/>
    <m/>
  </r>
  <r>
    <x v="2"/>
    <x v="0"/>
    <x v="11"/>
    <n v="4316"/>
    <n v="1"/>
    <s v="Blue"/>
    <n v="1"/>
    <x v="8"/>
    <n v="14535"/>
    <n v="14535"/>
    <n v="0"/>
    <n v="0"/>
    <m/>
  </r>
  <r>
    <x v="2"/>
    <x v="0"/>
    <x v="11"/>
    <n v="3854"/>
    <n v="0"/>
    <s v="Blue"/>
    <n v="1"/>
    <x v="7"/>
    <n v="2940"/>
    <n v="2940"/>
    <n v="0"/>
    <n v="0"/>
    <m/>
  </r>
  <r>
    <x v="2"/>
    <x v="0"/>
    <x v="11"/>
    <n v="4559"/>
    <n v="1"/>
    <s v="Blue"/>
    <n v="1"/>
    <x v="8"/>
    <n v="6120"/>
    <n v="6120"/>
    <n v="0"/>
    <n v="0"/>
    <m/>
  </r>
  <r>
    <x v="2"/>
    <x v="0"/>
    <x v="11"/>
    <n v="4127"/>
    <n v="1"/>
    <s v="Blue"/>
    <n v="1"/>
    <x v="7"/>
    <n v="5512"/>
    <n v="5512"/>
    <n v="0"/>
    <n v="0"/>
    <m/>
  </r>
  <r>
    <x v="2"/>
    <x v="0"/>
    <x v="11"/>
    <n v="4449"/>
    <n v="1"/>
    <s v="Scroll"/>
    <n v="5"/>
    <x v="2"/>
    <n v="0"/>
    <n v="10000"/>
    <n v="0"/>
    <n v="4000"/>
    <m/>
  </r>
  <r>
    <x v="2"/>
    <x v="0"/>
    <x v="11"/>
    <n v="4660"/>
    <n v="3"/>
    <s v="Blue"/>
    <n v="1"/>
    <x v="8"/>
    <n v="6120"/>
    <n v="6120"/>
    <n v="0"/>
    <n v="0"/>
    <m/>
  </r>
  <r>
    <x v="2"/>
    <x v="0"/>
    <x v="11"/>
    <n v="4104"/>
    <n v="1"/>
    <s v="Rainb"/>
    <n v="1"/>
    <x v="5"/>
    <n v="0"/>
    <n v="0"/>
    <n v="34500"/>
    <n v="118004"/>
    <m/>
  </r>
  <r>
    <x v="2"/>
    <x v="0"/>
    <x v="11"/>
    <n v="4042"/>
    <n v="1"/>
    <s v="Blue"/>
    <n v="1"/>
    <x v="7"/>
    <n v="6615"/>
    <n v="6615"/>
    <n v="0"/>
    <n v="0"/>
    <m/>
  </r>
  <r>
    <x v="2"/>
    <x v="0"/>
    <x v="11"/>
    <n v="3926"/>
    <n v="2"/>
    <s v="Blue"/>
    <n v="1"/>
    <x v="8"/>
    <n v="6502"/>
    <n v="6502"/>
    <n v="0"/>
    <n v="0"/>
    <m/>
  </r>
  <r>
    <x v="2"/>
    <x v="0"/>
    <x v="11"/>
    <n v="3945"/>
    <n v="2"/>
    <s v="Scroll"/>
    <n v="4"/>
    <x v="2"/>
    <n v="0"/>
    <n v="8000"/>
    <n v="0"/>
    <n v="3200"/>
    <m/>
  </r>
  <r>
    <x v="2"/>
    <x v="0"/>
    <x v="11"/>
    <n v="4195"/>
    <n v="3"/>
    <s v="SumStone"/>
    <n v="3"/>
    <x v="5"/>
    <n v="0"/>
    <n v="0"/>
    <n v="2587.5"/>
    <n v="2686.6499999999996"/>
    <m/>
  </r>
  <r>
    <x v="2"/>
    <x v="0"/>
    <x v="11"/>
    <n v="4313"/>
    <n v="3"/>
    <s v="Violet"/>
    <n v="1"/>
    <x v="7"/>
    <n v="4961"/>
    <n v="4961"/>
    <n v="0"/>
    <n v="0"/>
    <m/>
  </r>
  <r>
    <x v="2"/>
    <x v="0"/>
    <x v="11"/>
    <n v="3617"/>
    <n v="1"/>
    <s v="Blue"/>
    <n v="1"/>
    <x v="8"/>
    <n v="13770"/>
    <n v="13770"/>
    <n v="0"/>
    <n v="0"/>
    <m/>
  </r>
  <r>
    <x v="14"/>
    <x v="0"/>
    <x v="6"/>
    <n v="3713"/>
    <n v="1"/>
    <s v="Blue"/>
    <n v="1"/>
    <x v="7"/>
    <n v="7350"/>
    <n v="7350"/>
    <n v="0"/>
    <n v="0"/>
    <m/>
  </r>
  <r>
    <x v="14"/>
    <x v="0"/>
    <x v="6"/>
    <n v="3997"/>
    <n v="1"/>
    <s v="Blue"/>
    <n v="1"/>
    <x v="7"/>
    <n v="3445"/>
    <n v="3445"/>
    <n v="0"/>
    <n v="0"/>
    <m/>
  </r>
  <r>
    <x v="14"/>
    <x v="0"/>
    <x v="6"/>
    <n v="3898"/>
    <n v="0"/>
    <s v="Blue"/>
    <n v="1"/>
    <x v="7"/>
    <n v="3491"/>
    <n v="3491"/>
    <n v="0"/>
    <n v="0"/>
    <m/>
  </r>
  <r>
    <x v="14"/>
    <x v="0"/>
    <x v="7"/>
    <n v="3967"/>
    <n v="1"/>
    <s v="Scroll"/>
    <n v="4"/>
    <x v="2"/>
    <n v="0"/>
    <n v="8000"/>
    <n v="0"/>
    <n v="3200"/>
    <m/>
  </r>
  <r>
    <x v="14"/>
    <x v="0"/>
    <x v="7"/>
    <n v="3757"/>
    <n v="0"/>
    <s v="Blue"/>
    <n v="1"/>
    <x v="7"/>
    <n v="2940"/>
    <n v="2940"/>
    <n v="0"/>
    <n v="0"/>
    <m/>
  </r>
  <r>
    <x v="14"/>
    <x v="0"/>
    <x v="7"/>
    <n v="3610"/>
    <n v="2"/>
    <s v="Scroll"/>
    <n v="5"/>
    <x v="2"/>
    <m/>
    <n v="10000"/>
    <n v="0"/>
    <n v="4000"/>
    <m/>
  </r>
  <r>
    <x v="14"/>
    <x v="0"/>
    <x v="7"/>
    <n v="4254"/>
    <n v="0"/>
    <s v="Rainb"/>
    <n v="1"/>
    <x v="1"/>
    <n v="0"/>
    <n v="0"/>
    <n v="11500"/>
    <n v="35822"/>
    <m/>
  </r>
  <r>
    <x v="14"/>
    <x v="0"/>
    <x v="7"/>
    <n v="3927"/>
    <n v="1"/>
    <s v="Orange"/>
    <n v="1"/>
    <x v="8"/>
    <n v="16150"/>
    <n v="16150"/>
    <n v="0"/>
    <n v="0"/>
    <m/>
  </r>
  <r>
    <x v="14"/>
    <x v="0"/>
    <x v="7"/>
    <n v="3878"/>
    <n v="0"/>
    <s v="Blue"/>
    <n v="1"/>
    <x v="8"/>
    <n v="7225"/>
    <n v="7225"/>
    <n v="0"/>
    <n v="0"/>
    <m/>
  </r>
  <r>
    <x v="14"/>
    <x v="0"/>
    <x v="7"/>
    <n v="3941"/>
    <n v="0"/>
    <s v="Scroll"/>
    <n v="5"/>
    <x v="2"/>
    <n v="0"/>
    <n v="10000"/>
    <n v="0"/>
    <n v="4000"/>
    <m/>
  </r>
  <r>
    <x v="14"/>
    <x v="0"/>
    <x v="7"/>
    <n v="4409"/>
    <n v="0"/>
    <s v="Blue"/>
    <n v="1"/>
    <x v="7"/>
    <n v="4364"/>
    <n v="4364"/>
    <n v="0"/>
    <n v="0"/>
    <m/>
  </r>
  <r>
    <x v="14"/>
    <x v="0"/>
    <x v="7"/>
    <n v="4062"/>
    <n v="4"/>
    <s v="Scroll"/>
    <n v="5"/>
    <x v="2"/>
    <n v="0"/>
    <n v="10000"/>
    <n v="0"/>
    <n v="4000"/>
    <m/>
  </r>
  <r>
    <x v="14"/>
    <x v="0"/>
    <x v="7"/>
    <n v="3764"/>
    <n v="0"/>
    <s v="Blue"/>
    <n v="1"/>
    <x v="8"/>
    <n v="12920"/>
    <n v="12920"/>
    <n v="0"/>
    <n v="0"/>
    <m/>
  </r>
  <r>
    <x v="14"/>
    <x v="0"/>
    <x v="7"/>
    <n v="3972"/>
    <n v="3"/>
    <s v="Blue"/>
    <n v="1"/>
    <x v="8"/>
    <n v="12920"/>
    <n v="12920"/>
    <n v="0"/>
    <n v="0"/>
    <m/>
  </r>
  <r>
    <x v="14"/>
    <x v="0"/>
    <x v="7"/>
    <n v="3793"/>
    <n v="1"/>
    <s v="Blue"/>
    <n v="1"/>
    <x v="7"/>
    <n v="6615"/>
    <n v="6615"/>
    <n v="0"/>
    <n v="0"/>
    <m/>
  </r>
  <r>
    <x v="14"/>
    <x v="0"/>
    <x v="7"/>
    <n v="3869"/>
    <n v="0"/>
    <s v="Scroll"/>
    <n v="4"/>
    <x v="2"/>
    <n v="0"/>
    <n v="8000"/>
    <n v="0"/>
    <n v="3200"/>
    <m/>
  </r>
  <r>
    <x v="14"/>
    <x v="0"/>
    <x v="7"/>
    <n v="3629"/>
    <n v="0"/>
    <s v="Violet"/>
    <n v="1"/>
    <x v="7"/>
    <n v="4134"/>
    <n v="4134"/>
    <n v="0"/>
    <n v="0"/>
    <m/>
  </r>
  <r>
    <x v="2"/>
    <x v="0"/>
    <x v="11"/>
    <n v="4330"/>
    <n v="2"/>
    <s v="Blue"/>
    <n v="1"/>
    <x v="8"/>
    <n v="8500"/>
    <n v="8500"/>
    <n v="0"/>
    <n v="0"/>
    <m/>
  </r>
  <r>
    <x v="2"/>
    <x v="0"/>
    <x v="11"/>
    <n v="3405"/>
    <n v="2"/>
    <s v="Blue"/>
    <n v="1"/>
    <x v="7"/>
    <n v="4134"/>
    <n v="4134"/>
    <n v="0"/>
    <n v="0"/>
    <m/>
  </r>
  <r>
    <x v="2"/>
    <x v="0"/>
    <x v="11"/>
    <n v="4212"/>
    <n v="0"/>
    <s v="Orange"/>
    <n v="1"/>
    <x v="7"/>
    <n v="12154"/>
    <n v="12154"/>
    <n v="0"/>
    <n v="0"/>
    <m/>
  </r>
  <r>
    <x v="2"/>
    <x v="0"/>
    <x v="11"/>
    <n v="3954"/>
    <n v="1"/>
    <s v="Blue"/>
    <n v="1"/>
    <x v="8"/>
    <n v="8524"/>
    <n v="8524"/>
    <n v="0"/>
    <n v="0"/>
    <m/>
  </r>
  <r>
    <x v="2"/>
    <x v="0"/>
    <x v="11"/>
    <n v="4287"/>
    <n v="0"/>
    <s v="Violet"/>
    <n v="1"/>
    <x v="7"/>
    <n v="5512"/>
    <n v="5512"/>
    <n v="0"/>
    <n v="0"/>
    <m/>
  </r>
  <r>
    <x v="2"/>
    <x v="0"/>
    <x v="11"/>
    <n v="4017"/>
    <n v="0"/>
    <s v="Violet"/>
    <n v="1"/>
    <x v="8"/>
    <n v="8160"/>
    <n v="8160"/>
    <n v="0"/>
    <n v="0"/>
    <m/>
  </r>
  <r>
    <x v="14"/>
    <x v="0"/>
    <x v="7"/>
    <n v="3963"/>
    <n v="4"/>
    <s v="Blue"/>
    <n v="1"/>
    <x v="8"/>
    <n v="6375"/>
    <n v="6375"/>
    <n v="0"/>
    <n v="0"/>
    <m/>
  </r>
  <r>
    <x v="14"/>
    <x v="0"/>
    <x v="7"/>
    <n v="3833"/>
    <n v="0"/>
    <s v="Scroll"/>
    <n v="4"/>
    <x v="2"/>
    <n v="0"/>
    <n v="8000"/>
    <n v="0"/>
    <n v="3200"/>
    <m/>
  </r>
  <r>
    <x v="14"/>
    <x v="0"/>
    <x v="7"/>
    <n v="3798"/>
    <n v="0"/>
    <s v="Blue"/>
    <n v="1"/>
    <x v="7"/>
    <n v="4134"/>
    <n v="4134"/>
    <n v="0"/>
    <n v="0"/>
    <m/>
  </r>
  <r>
    <x v="14"/>
    <x v="0"/>
    <x v="7"/>
    <n v="3703"/>
    <n v="0"/>
    <s v="Blue"/>
    <n v="1"/>
    <x v="7"/>
    <n v="3123"/>
    <n v="3123"/>
    <n v="0"/>
    <n v="0"/>
    <m/>
  </r>
  <r>
    <x v="2"/>
    <x v="0"/>
    <x v="11"/>
    <n v="4015"/>
    <n v="3"/>
    <s v="Scroll"/>
    <n v="5"/>
    <x v="2"/>
    <n v="0"/>
    <n v="10000"/>
    <n v="0"/>
    <n v="4000"/>
    <m/>
  </r>
  <r>
    <x v="2"/>
    <x v="0"/>
    <x v="11"/>
    <n v="3736"/>
    <n v="0"/>
    <s v="Blue"/>
    <n v="1"/>
    <x v="8"/>
    <n v="5100"/>
    <n v="5100"/>
    <n v="0"/>
    <n v="0"/>
    <m/>
  </r>
  <r>
    <x v="2"/>
    <x v="0"/>
    <x v="11"/>
    <n v="3629"/>
    <n v="0"/>
    <s v="Violet"/>
    <n v="1"/>
    <x v="8"/>
    <n v="8160"/>
    <n v="8160"/>
    <n v="0"/>
    <n v="0"/>
    <m/>
  </r>
  <r>
    <x v="2"/>
    <x v="0"/>
    <x v="11"/>
    <n v="4069"/>
    <n v="0"/>
    <s v="Blue"/>
    <n v="1"/>
    <x v="8"/>
    <n v="8500"/>
    <n v="8500"/>
    <n v="0"/>
    <n v="0"/>
    <m/>
  </r>
  <r>
    <x v="2"/>
    <x v="0"/>
    <x v="11"/>
    <n v="3900"/>
    <n v="1"/>
    <s v="Blue"/>
    <n v="1"/>
    <x v="7"/>
    <n v="2411"/>
    <n v="2411"/>
    <n v="0"/>
    <n v="0"/>
    <m/>
  </r>
  <r>
    <x v="2"/>
    <x v="0"/>
    <x v="11"/>
    <n v="3744"/>
    <n v="0"/>
    <s v="Blue"/>
    <n v="1"/>
    <x v="7"/>
    <n v="3215"/>
    <n v="3215"/>
    <n v="0"/>
    <n v="0"/>
    <m/>
  </r>
  <r>
    <x v="2"/>
    <x v="0"/>
    <x v="11"/>
    <n v="4648"/>
    <n v="1"/>
    <s v="Rainb"/>
    <n v="1"/>
    <x v="1"/>
    <n v="0"/>
    <n v="0"/>
    <n v="11500"/>
    <n v="35822"/>
    <m/>
  </r>
  <r>
    <x v="2"/>
    <x v="0"/>
    <x v="11"/>
    <n v="4164"/>
    <n v="0"/>
    <s v="Scroll"/>
    <n v="5"/>
    <x v="2"/>
    <n v="0"/>
    <n v="10000"/>
    <n v="0"/>
    <n v="4000"/>
    <m/>
  </r>
  <r>
    <x v="2"/>
    <x v="0"/>
    <x v="11"/>
    <n v="3725"/>
    <n v="0"/>
    <s v="Blue"/>
    <n v="1"/>
    <x v="9"/>
    <n v="8876"/>
    <n v="8876"/>
    <n v="0"/>
    <n v="0"/>
    <m/>
  </r>
  <r>
    <x v="2"/>
    <x v="0"/>
    <x v="11"/>
    <n v="4116"/>
    <n v="1"/>
    <s v="Blue"/>
    <n v="1"/>
    <x v="7"/>
    <n v="2940"/>
    <n v="2940"/>
    <n v="0"/>
    <n v="0"/>
    <m/>
  </r>
  <r>
    <x v="2"/>
    <x v="0"/>
    <x v="11"/>
    <n v="3438"/>
    <n v="0"/>
    <s v="Blue"/>
    <n v="1"/>
    <x v="8"/>
    <n v="3825"/>
    <n v="3825"/>
    <n v="0"/>
    <n v="0"/>
    <m/>
  </r>
  <r>
    <x v="2"/>
    <x v="0"/>
    <x v="11"/>
    <n v="4013"/>
    <n v="0"/>
    <s v="Blue"/>
    <n v="1"/>
    <x v="9"/>
    <n v="8321"/>
    <n v="8321"/>
    <n v="0"/>
    <n v="0"/>
    <m/>
  </r>
  <r>
    <x v="2"/>
    <x v="0"/>
    <x v="11"/>
    <n v="4287"/>
    <n v="1"/>
    <s v="Orange"/>
    <n v="1"/>
    <x v="7"/>
    <n v="5971"/>
    <n v="5971"/>
    <n v="0"/>
    <n v="0"/>
    <m/>
  </r>
  <r>
    <x v="2"/>
    <x v="0"/>
    <x v="11"/>
    <n v="3423"/>
    <n v="0"/>
    <s v="Blue"/>
    <n v="1"/>
    <x v="8"/>
    <n v="6502"/>
    <n v="6502"/>
    <n v="0"/>
    <n v="0"/>
    <m/>
  </r>
  <r>
    <x v="2"/>
    <x v="0"/>
    <x v="11"/>
    <n v="3869"/>
    <n v="0"/>
    <s v="Blue"/>
    <n v="1"/>
    <x v="8"/>
    <n v="10880"/>
    <n v="10880"/>
    <n v="0"/>
    <n v="0"/>
    <m/>
  </r>
  <r>
    <x v="2"/>
    <x v="0"/>
    <x v="11"/>
    <n v="4067"/>
    <n v="1"/>
    <s v="Violet"/>
    <n v="1"/>
    <x v="8"/>
    <n v="7267"/>
    <n v="7267"/>
    <n v="0"/>
    <n v="0"/>
    <m/>
  </r>
  <r>
    <x v="2"/>
    <x v="0"/>
    <x v="11"/>
    <n v="4317"/>
    <n v="1"/>
    <s v="Blue"/>
    <n v="1"/>
    <x v="7"/>
    <n v="2067"/>
    <n v="2067"/>
    <n v="0"/>
    <n v="0"/>
    <m/>
  </r>
  <r>
    <x v="2"/>
    <x v="0"/>
    <x v="11"/>
    <n v="3502"/>
    <n v="1"/>
    <s v="Blue"/>
    <n v="1"/>
    <x v="7"/>
    <n v="2411"/>
    <n v="2411"/>
    <n v="0"/>
    <n v="0"/>
    <m/>
  </r>
  <r>
    <x v="2"/>
    <x v="0"/>
    <x v="11"/>
    <n v="4182"/>
    <n v="0"/>
    <s v="Scroll"/>
    <n v="4"/>
    <x v="2"/>
    <n v="0"/>
    <n v="8000"/>
    <n v="0"/>
    <n v="3200"/>
    <m/>
  </r>
  <r>
    <x v="2"/>
    <x v="0"/>
    <x v="11"/>
    <n v="3429"/>
    <n v="0"/>
    <s v="Blue"/>
    <n v="1"/>
    <x v="8"/>
    <n v="10880"/>
    <n v="10880"/>
    <n v="0"/>
    <n v="0"/>
    <m/>
  </r>
  <r>
    <x v="2"/>
    <x v="0"/>
    <x v="11"/>
    <n v="4311"/>
    <n v="1"/>
    <s v="Blue"/>
    <n v="1"/>
    <x v="8"/>
    <n v="8075"/>
    <n v="8075"/>
    <n v="0"/>
    <n v="0"/>
    <m/>
  </r>
  <r>
    <x v="2"/>
    <x v="0"/>
    <x v="11"/>
    <n v="3883"/>
    <n v="0"/>
    <s v="Violet"/>
    <n v="1"/>
    <x v="8"/>
    <n v="6885"/>
    <n v="6885"/>
    <n v="0"/>
    <n v="0"/>
    <m/>
  </r>
  <r>
    <x v="2"/>
    <x v="0"/>
    <x v="11"/>
    <n v="961"/>
    <n v="0"/>
    <n v="0"/>
    <n v="0"/>
    <x v="10"/>
    <n v="0"/>
    <n v="0"/>
    <n v="0"/>
    <n v="0"/>
    <s v="Y"/>
  </r>
  <r>
    <x v="2"/>
    <x v="0"/>
    <x v="11"/>
    <n v="4397"/>
    <n v="3"/>
    <s v="Blue"/>
    <n v="1"/>
    <x v="7"/>
    <n v="3514"/>
    <n v="3514"/>
    <n v="0"/>
    <n v="0"/>
    <m/>
  </r>
  <r>
    <x v="2"/>
    <x v="0"/>
    <x v="11"/>
    <n v="3818"/>
    <n v="2"/>
    <s v="Blue"/>
    <n v="1"/>
    <x v="7"/>
    <n v="3675"/>
    <n v="3675"/>
    <n v="0"/>
    <n v="0"/>
    <m/>
  </r>
  <r>
    <x v="2"/>
    <x v="0"/>
    <x v="11"/>
    <n v="4006"/>
    <n v="2"/>
    <s v="Blue"/>
    <n v="1"/>
    <x v="9"/>
    <n v="12680"/>
    <n v="12680"/>
    <n v="0"/>
    <n v="0"/>
    <m/>
  </r>
  <r>
    <x v="2"/>
    <x v="0"/>
    <x v="11"/>
    <n v="4249"/>
    <n v="2"/>
    <s v="Blue"/>
    <n v="1"/>
    <x v="8"/>
    <n v="6120"/>
    <n v="6120"/>
    <n v="0"/>
    <n v="0"/>
    <m/>
  </r>
  <r>
    <x v="2"/>
    <x v="0"/>
    <x v="11"/>
    <n v="3495"/>
    <n v="1"/>
    <s v="Blue"/>
    <n v="1"/>
    <x v="8"/>
    <n v="3825"/>
    <n v="3825"/>
    <n v="0"/>
    <n v="0"/>
    <m/>
  </r>
  <r>
    <x v="2"/>
    <x v="0"/>
    <x v="11"/>
    <n v="4286"/>
    <n v="1"/>
    <s v="Blue"/>
    <n v="1"/>
    <x v="8"/>
    <n v="4335"/>
    <n v="4335"/>
    <n v="0"/>
    <n v="0"/>
    <m/>
  </r>
  <r>
    <x v="2"/>
    <x v="0"/>
    <x v="11"/>
    <n v="4231"/>
    <n v="0"/>
    <s v="Blue"/>
    <n v="1"/>
    <x v="7"/>
    <n v="6892"/>
    <n v="6892"/>
    <n v="0"/>
    <n v="0"/>
    <m/>
  </r>
  <r>
    <x v="2"/>
    <x v="0"/>
    <x v="11"/>
    <n v="4019"/>
    <n v="0"/>
    <s v="Blue"/>
    <n v="1"/>
    <x v="7"/>
    <n v="2756"/>
    <n v="2756"/>
    <n v="0"/>
    <n v="0"/>
    <m/>
  </r>
  <r>
    <x v="2"/>
    <x v="0"/>
    <x v="11"/>
    <n v="4094"/>
    <n v="3"/>
    <s v="Scroll"/>
    <n v="5"/>
    <x v="2"/>
    <n v="0"/>
    <n v="10000"/>
    <n v="0"/>
    <n v="4000"/>
    <m/>
  </r>
  <r>
    <x v="2"/>
    <x v="0"/>
    <x v="11"/>
    <n v="4074"/>
    <n v="1"/>
    <s v="Violet"/>
    <n v="1"/>
    <x v="7"/>
    <n v="2940"/>
    <n v="2940"/>
    <n v="0"/>
    <n v="0"/>
    <m/>
  </r>
  <r>
    <x v="2"/>
    <x v="0"/>
    <x v="11"/>
    <n v="4218"/>
    <n v="2"/>
    <s v="Blue"/>
    <n v="1"/>
    <x v="9"/>
    <n v="22824"/>
    <n v="22824"/>
    <n v="0"/>
    <n v="0"/>
    <m/>
  </r>
  <r>
    <x v="2"/>
    <x v="0"/>
    <x v="11"/>
    <n v="3925"/>
    <n v="1"/>
    <s v="Violet"/>
    <n v="1"/>
    <x v="8"/>
    <n v="15300"/>
    <n v="15300"/>
    <n v="0"/>
    <n v="0"/>
    <m/>
  </r>
  <r>
    <x v="2"/>
    <x v="0"/>
    <x v="11"/>
    <n v="4086"/>
    <n v="4"/>
    <s v="Blue"/>
    <n v="1"/>
    <x v="8"/>
    <n v="5652"/>
    <n v="5652"/>
    <n v="0"/>
    <n v="0"/>
    <m/>
  </r>
  <r>
    <x v="2"/>
    <x v="0"/>
    <x v="11"/>
    <n v="4019"/>
    <n v="1"/>
    <s v="Blue"/>
    <n v="1"/>
    <x v="9"/>
    <n v="8510"/>
    <n v="8510"/>
    <n v="0"/>
    <n v="0"/>
    <m/>
  </r>
  <r>
    <x v="2"/>
    <x v="0"/>
    <x v="11"/>
    <n v="4281"/>
    <n v="2"/>
    <s v="Scroll"/>
    <n v="5"/>
    <x v="2"/>
    <n v="0"/>
    <n v="10000"/>
    <n v="0"/>
    <n v="4000"/>
    <m/>
  </r>
  <r>
    <x v="2"/>
    <x v="0"/>
    <x v="11"/>
    <n v="3978"/>
    <n v="1"/>
    <s v="Blue"/>
    <n v="1"/>
    <x v="8"/>
    <n v="5652"/>
    <n v="5652"/>
    <n v="0"/>
    <n v="0"/>
    <m/>
  </r>
  <r>
    <x v="2"/>
    <x v="0"/>
    <x v="11"/>
    <n v="4032"/>
    <n v="2"/>
    <s v="Blue"/>
    <n v="1"/>
    <x v="8"/>
    <n v="6120"/>
    <n v="6120"/>
    <n v="0"/>
    <n v="0"/>
    <m/>
  </r>
  <r>
    <x v="2"/>
    <x v="0"/>
    <x v="11"/>
    <n v="3957"/>
    <n v="0"/>
    <s v="Violet"/>
    <n v="1"/>
    <x v="8"/>
    <n v="6120"/>
    <n v="6120"/>
    <n v="0"/>
    <n v="0"/>
    <m/>
  </r>
  <r>
    <x v="2"/>
    <x v="0"/>
    <x v="11"/>
    <n v="3863"/>
    <n v="1"/>
    <s v="Orange"/>
    <n v="1"/>
    <x v="8"/>
    <n v="10200"/>
    <n v="10200"/>
    <n v="0"/>
    <n v="0"/>
    <m/>
  </r>
  <r>
    <x v="2"/>
    <x v="0"/>
    <x v="11"/>
    <n v="3842"/>
    <n v="0"/>
    <s v="Blue"/>
    <n v="1"/>
    <x v="8"/>
    <n v="5737"/>
    <n v="5737"/>
    <n v="0"/>
    <n v="0"/>
    <m/>
  </r>
  <r>
    <x v="2"/>
    <x v="0"/>
    <x v="11"/>
    <n v="4207"/>
    <n v="3"/>
    <s v="Violet"/>
    <n v="1"/>
    <x v="9"/>
    <n v="27103"/>
    <n v="27103"/>
    <n v="0"/>
    <n v="0"/>
    <m/>
  </r>
  <r>
    <x v="2"/>
    <x v="0"/>
    <x v="11"/>
    <n v="3865"/>
    <n v="0"/>
    <s v="Violet"/>
    <n v="1"/>
    <x v="7"/>
    <n v="4295"/>
    <n v="4295"/>
    <n v="0"/>
    <n v="0"/>
    <m/>
  </r>
  <r>
    <x v="2"/>
    <x v="0"/>
    <x v="11"/>
    <n v="4382"/>
    <n v="2"/>
    <s v="Blue"/>
    <n v="1"/>
    <x v="8"/>
    <n v="3825"/>
    <n v="3825"/>
    <n v="0"/>
    <n v="0"/>
    <m/>
  </r>
  <r>
    <x v="2"/>
    <x v="0"/>
    <x v="11"/>
    <n v="4218"/>
    <n v="2"/>
    <s v="Violet"/>
    <n v="1"/>
    <x v="8"/>
    <n v="3507"/>
    <n v="3507"/>
    <n v="0"/>
    <n v="0"/>
    <m/>
  </r>
  <r>
    <x v="2"/>
    <x v="0"/>
    <x v="11"/>
    <n v="3737"/>
    <n v="1"/>
    <s v="Scroll"/>
    <n v="5"/>
    <x v="2"/>
    <n v="0"/>
    <n v="10000"/>
    <n v="0"/>
    <n v="4000"/>
    <m/>
  </r>
  <r>
    <x v="2"/>
    <x v="0"/>
    <x v="11"/>
    <n v="3979"/>
    <n v="2"/>
    <s v="Violet"/>
    <n v="1"/>
    <x v="7"/>
    <n v="4547"/>
    <n v="4547"/>
    <n v="0"/>
    <n v="0"/>
    <m/>
  </r>
  <r>
    <x v="2"/>
    <x v="0"/>
    <x v="11"/>
    <n v="3965"/>
    <n v="0"/>
    <s v="Blue"/>
    <n v="1"/>
    <x v="7"/>
    <n v="2573"/>
    <n v="2573"/>
    <n v="0"/>
    <n v="0"/>
    <m/>
  </r>
  <r>
    <x v="2"/>
    <x v="0"/>
    <x v="11"/>
    <n v="3790"/>
    <n v="1"/>
    <s v="Scroll"/>
    <n v="4"/>
    <x v="2"/>
    <n v="0"/>
    <n v="8000"/>
    <n v="0"/>
    <n v="3200"/>
    <m/>
  </r>
  <r>
    <x v="2"/>
    <x v="0"/>
    <x v="11"/>
    <n v="4142"/>
    <n v="1"/>
    <s v="Blue"/>
    <n v="1"/>
    <x v="7"/>
    <n v="2411"/>
    <n v="2411"/>
    <n v="0"/>
    <n v="0"/>
    <m/>
  </r>
  <r>
    <x v="2"/>
    <x v="0"/>
    <x v="11"/>
    <n v="3754"/>
    <n v="0"/>
    <s v="Rainb"/>
    <n v="1"/>
    <x v="1"/>
    <n v="0"/>
    <n v="0"/>
    <n v="11500"/>
    <n v="35822"/>
    <m/>
  </r>
  <r>
    <x v="2"/>
    <x v="0"/>
    <x v="11"/>
    <n v="4313"/>
    <n v="1"/>
    <s v="Blue"/>
    <n v="1"/>
    <x v="8"/>
    <n v="11560"/>
    <n v="11560"/>
    <n v="0"/>
    <n v="0"/>
    <m/>
  </r>
  <r>
    <x v="14"/>
    <x v="0"/>
    <x v="11"/>
    <n v="4211"/>
    <n v="0"/>
    <s v="Orange"/>
    <n v="1"/>
    <x v="8"/>
    <n v="10880"/>
    <n v="10880"/>
    <n v="0"/>
    <n v="0"/>
    <m/>
  </r>
  <r>
    <x v="14"/>
    <x v="0"/>
    <x v="11"/>
    <n v="4311"/>
    <n v="0"/>
    <s v="Scroll"/>
    <n v="5"/>
    <x v="2"/>
    <n v="0"/>
    <n v="10000"/>
    <n v="0"/>
    <n v="4000"/>
    <m/>
  </r>
  <r>
    <x v="14"/>
    <x v="0"/>
    <x v="11"/>
    <n v="4245"/>
    <n v="0"/>
    <s v="Scroll"/>
    <n v="4"/>
    <x v="2"/>
    <n v="0"/>
    <n v="8000"/>
    <n v="0"/>
    <n v="3200"/>
    <m/>
  </r>
  <r>
    <x v="14"/>
    <x v="0"/>
    <x v="11"/>
    <n v="4436"/>
    <n v="1"/>
    <s v="Blue"/>
    <n v="1"/>
    <x v="8"/>
    <n v="8925"/>
    <n v="8925"/>
    <n v="0"/>
    <n v="0"/>
    <m/>
  </r>
  <r>
    <x v="14"/>
    <x v="0"/>
    <x v="11"/>
    <n v="4301"/>
    <n v="0"/>
    <s v="Scroll"/>
    <n v="5"/>
    <x v="2"/>
    <n v="0"/>
    <n v="10000"/>
    <n v="0"/>
    <n v="4000"/>
    <m/>
  </r>
  <r>
    <x v="14"/>
    <x v="0"/>
    <x v="11"/>
    <n v="4084"/>
    <n v="0"/>
    <s v="Scroll"/>
    <n v="4"/>
    <x v="2"/>
    <n v="0"/>
    <n v="8000"/>
    <n v="0"/>
    <n v="3200"/>
    <m/>
  </r>
  <r>
    <x v="14"/>
    <x v="0"/>
    <x v="11"/>
    <n v="4184"/>
    <n v="1"/>
    <s v="Violet"/>
    <n v="1"/>
    <x v="8"/>
    <n v="13580"/>
    <n v="13580"/>
    <n v="0"/>
    <n v="0"/>
    <m/>
  </r>
  <r>
    <x v="14"/>
    <x v="0"/>
    <x v="11"/>
    <n v="4874"/>
    <n v="1"/>
    <s v="Rainb"/>
    <n v="1"/>
    <x v="1"/>
    <n v="0"/>
    <n v="0"/>
    <n v="11500"/>
    <n v="35822"/>
    <m/>
  </r>
  <r>
    <x v="14"/>
    <x v="0"/>
    <x v="11"/>
    <n v="4504"/>
    <n v="3"/>
    <s v="SumStone"/>
    <n v="3"/>
    <x v="5"/>
    <n v="0"/>
    <n v="0"/>
    <n v="2587.5"/>
    <n v="2686.6499999999996"/>
    <m/>
  </r>
  <r>
    <x v="14"/>
    <x v="0"/>
    <x v="11"/>
    <n v="4678"/>
    <n v="0"/>
    <s v="Blue"/>
    <n v="1"/>
    <x v="7"/>
    <n v="2940"/>
    <n v="2940"/>
    <n v="0"/>
    <n v="0"/>
    <m/>
  </r>
  <r>
    <x v="14"/>
    <x v="0"/>
    <x v="11"/>
    <n v="4384"/>
    <n v="3"/>
    <s v="Blue"/>
    <n v="1"/>
    <x v="8"/>
    <n v="6120"/>
    <n v="6120"/>
    <n v="0"/>
    <n v="0"/>
    <m/>
  </r>
  <r>
    <x v="14"/>
    <x v="0"/>
    <x v="11"/>
    <n v="4926"/>
    <n v="2"/>
    <s v="Blue"/>
    <n v="1"/>
    <x v="9"/>
    <n v="22190"/>
    <n v="22190"/>
    <n v="0"/>
    <n v="0"/>
    <m/>
  </r>
  <r>
    <x v="14"/>
    <x v="0"/>
    <x v="11"/>
    <n v="4473"/>
    <n v="4"/>
    <s v="Scroll"/>
    <n v="4"/>
    <x v="2"/>
    <n v="0"/>
    <n v="8000"/>
    <n v="0"/>
    <n v="3200"/>
    <m/>
  </r>
  <r>
    <x v="14"/>
    <x v="0"/>
    <x v="11"/>
    <n v="4685"/>
    <n v="0"/>
    <s v="Blue"/>
    <n v="1"/>
    <x v="7"/>
    <n v="3904"/>
    <n v="3904"/>
    <n v="0"/>
    <n v="0"/>
    <m/>
  </r>
  <r>
    <x v="14"/>
    <x v="0"/>
    <x v="11"/>
    <n v="5046"/>
    <n v="1"/>
    <s v="Blue"/>
    <n v="1"/>
    <x v="8"/>
    <n v="10710"/>
    <n v="10710"/>
    <n v="0"/>
    <n v="0"/>
    <m/>
  </r>
  <r>
    <x v="14"/>
    <x v="0"/>
    <x v="10"/>
    <n v="3976"/>
    <n v="1"/>
    <s v="Scroll"/>
    <n v="4"/>
    <x v="2"/>
    <n v="0"/>
    <n v="8000"/>
    <n v="0"/>
    <n v="3200"/>
    <m/>
  </r>
  <r>
    <x v="14"/>
    <x v="0"/>
    <x v="10"/>
    <n v="3952"/>
    <n v="1"/>
    <s v="Scroll"/>
    <n v="4"/>
    <x v="2"/>
    <n v="0"/>
    <n v="8000"/>
    <n v="0"/>
    <n v="3200"/>
    <m/>
  </r>
  <r>
    <x v="14"/>
    <x v="0"/>
    <x v="10"/>
    <n v="4003"/>
    <n v="1"/>
    <s v="Blue"/>
    <n v="1"/>
    <x v="7"/>
    <n v="6615"/>
    <n v="6615"/>
    <n v="0"/>
    <n v="0"/>
    <m/>
  </r>
  <r>
    <x v="14"/>
    <x v="0"/>
    <x v="10"/>
    <n v="4086"/>
    <n v="0"/>
    <s v="Orange"/>
    <n v="1"/>
    <x v="8"/>
    <n v="15300"/>
    <n v="15300"/>
    <n v="0"/>
    <n v="0"/>
    <m/>
  </r>
  <r>
    <x v="14"/>
    <x v="0"/>
    <x v="10"/>
    <n v="4099"/>
    <n v="0"/>
    <s v="Blue"/>
    <n v="1"/>
    <x v="7"/>
    <n v="6982"/>
    <n v="6982"/>
    <n v="0"/>
    <n v="0"/>
    <m/>
  </r>
  <r>
    <x v="14"/>
    <x v="0"/>
    <x v="10"/>
    <n v="3929"/>
    <n v="3"/>
    <s v="Blue"/>
    <n v="1"/>
    <x v="7"/>
    <n v="7028"/>
    <n v="7028"/>
    <n v="0"/>
    <n v="0"/>
    <m/>
  </r>
  <r>
    <x v="14"/>
    <x v="0"/>
    <x v="10"/>
    <n v="4239"/>
    <n v="1"/>
    <s v="Blue"/>
    <n v="1"/>
    <x v="7"/>
    <n v="7855"/>
    <n v="7855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4064"/>
    <n v="1"/>
    <s v="Scroll"/>
    <n v="5"/>
    <x v="2"/>
    <n v="0"/>
    <n v="10000"/>
    <n v="0"/>
    <n v="4000"/>
    <m/>
  </r>
  <r>
    <x v="14"/>
    <x v="0"/>
    <x v="10"/>
    <n v="4083"/>
    <n v="0"/>
    <s v="Blue"/>
    <n v="1"/>
    <x v="7"/>
    <n v="6615"/>
    <n v="6615"/>
    <n v="0"/>
    <n v="0"/>
    <m/>
  </r>
  <r>
    <x v="14"/>
    <x v="0"/>
    <x v="10"/>
    <n v="3906"/>
    <n v="1"/>
    <s v="Blue"/>
    <n v="1"/>
    <x v="8"/>
    <n v="13005"/>
    <n v="13005"/>
    <n v="0"/>
    <n v="0"/>
    <m/>
  </r>
  <r>
    <x v="14"/>
    <x v="0"/>
    <x v="10"/>
    <n v="4056"/>
    <n v="0"/>
    <s v="Blue"/>
    <n v="1"/>
    <x v="7"/>
    <n v="6615"/>
    <n v="6615"/>
    <n v="0"/>
    <n v="0"/>
    <m/>
  </r>
  <r>
    <x v="14"/>
    <x v="0"/>
    <x v="10"/>
    <n v="4209"/>
    <n v="1"/>
    <s v="SumStone"/>
    <n v="3"/>
    <x v="5"/>
    <n v="0"/>
    <n v="0"/>
    <n v="2587.5"/>
    <n v="2686.6499999999996"/>
    <m/>
  </r>
  <r>
    <x v="14"/>
    <x v="0"/>
    <x v="10"/>
    <n v="3820"/>
    <n v="1"/>
    <s v="Blue"/>
    <n v="1"/>
    <x v="7"/>
    <n v="3445"/>
    <n v="3445"/>
    <n v="0"/>
    <n v="0"/>
    <m/>
  </r>
  <r>
    <x v="14"/>
    <x v="0"/>
    <x v="10"/>
    <n v="3866"/>
    <n v="1"/>
    <s v="Blue"/>
    <n v="1"/>
    <x v="8"/>
    <n v="12340"/>
    <n v="12340"/>
    <n v="0"/>
    <n v="0"/>
    <m/>
  </r>
  <r>
    <x v="14"/>
    <x v="0"/>
    <x v="10"/>
    <n v="3662"/>
    <n v="2"/>
    <s v="Scroll"/>
    <n v="4"/>
    <x v="2"/>
    <n v="0"/>
    <n v="8000"/>
    <n v="0"/>
    <n v="3200"/>
    <m/>
  </r>
  <r>
    <x v="14"/>
    <x v="0"/>
    <x v="10"/>
    <n v="4037"/>
    <n v="2"/>
    <s v="Blue"/>
    <n v="1"/>
    <x v="8"/>
    <n v="5440"/>
    <n v="5440"/>
    <n v="0"/>
    <n v="0"/>
    <m/>
  </r>
  <r>
    <x v="14"/>
    <x v="0"/>
    <x v="10"/>
    <n v="4030"/>
    <n v="0"/>
    <s v="Blue"/>
    <n v="1"/>
    <x v="7"/>
    <n v="5788"/>
    <n v="5788"/>
    <n v="0"/>
    <n v="0"/>
    <m/>
  </r>
  <r>
    <x v="14"/>
    <x v="0"/>
    <x v="10"/>
    <n v="4230"/>
    <n v="0"/>
    <s v="Scroll"/>
    <n v="5"/>
    <x v="2"/>
    <n v="0"/>
    <n v="10000"/>
    <n v="0"/>
    <n v="4000"/>
    <m/>
  </r>
  <r>
    <x v="14"/>
    <x v="0"/>
    <x v="10"/>
    <n v="4242"/>
    <n v="1"/>
    <s v="Rainb"/>
    <n v="1"/>
    <x v="1"/>
    <n v="0"/>
    <n v="0"/>
    <n v="11500"/>
    <n v="35822"/>
    <m/>
  </r>
  <r>
    <x v="14"/>
    <x v="0"/>
    <x v="10"/>
    <n v="3742"/>
    <n v="1"/>
    <s v="Blue"/>
    <n v="1"/>
    <x v="9"/>
    <n v="20288"/>
    <n v="20288"/>
    <n v="0"/>
    <n v="0"/>
    <m/>
  </r>
  <r>
    <x v="14"/>
    <x v="0"/>
    <x v="10"/>
    <n v="4004"/>
    <n v="1"/>
    <s v="Blue"/>
    <n v="1"/>
    <x v="7"/>
    <n v="3123"/>
    <n v="3123"/>
    <n v="0"/>
    <n v="0"/>
    <m/>
  </r>
  <r>
    <x v="14"/>
    <x v="0"/>
    <x v="10"/>
    <n v="3972"/>
    <n v="1"/>
    <s v="Violet"/>
    <n v="1"/>
    <x v="7"/>
    <n v="7809"/>
    <n v="7809"/>
    <n v="0"/>
    <n v="0"/>
    <m/>
  </r>
  <r>
    <x v="14"/>
    <x v="0"/>
    <x v="10"/>
    <n v="3789"/>
    <n v="3"/>
    <s v="Blue"/>
    <n v="1"/>
    <x v="8"/>
    <n v="12240"/>
    <n v="12240"/>
    <n v="0"/>
    <n v="0"/>
    <m/>
  </r>
  <r>
    <x v="14"/>
    <x v="0"/>
    <x v="10"/>
    <n v="3881"/>
    <n v="1"/>
    <s v="Violet"/>
    <n v="1"/>
    <x v="8"/>
    <n v="8160"/>
    <n v="8160"/>
    <n v="0"/>
    <n v="0"/>
    <m/>
  </r>
  <r>
    <x v="14"/>
    <x v="0"/>
    <x v="10"/>
    <n v="4062"/>
    <n v="1"/>
    <s v="Violet"/>
    <n v="1"/>
    <x v="7"/>
    <n v="4410"/>
    <n v="4410"/>
    <n v="0"/>
    <n v="0"/>
    <m/>
  </r>
  <r>
    <x v="14"/>
    <x v="0"/>
    <x v="10"/>
    <n v="3897"/>
    <n v="1"/>
    <s v="Blue"/>
    <n v="1"/>
    <x v="8"/>
    <n v="5100"/>
    <n v="5100"/>
    <n v="0"/>
    <n v="0"/>
    <m/>
  </r>
  <r>
    <x v="14"/>
    <x v="0"/>
    <x v="10"/>
    <n v="4552"/>
    <n v="1"/>
    <s v="Blue"/>
    <n v="1"/>
    <x v="7"/>
    <n v="3491"/>
    <n v="3491"/>
    <n v="0"/>
    <n v="0"/>
    <m/>
  </r>
  <r>
    <x v="14"/>
    <x v="0"/>
    <x v="10"/>
    <n v="3972"/>
    <n v="0"/>
    <s v="Scroll"/>
    <n v="5"/>
    <x v="2"/>
    <n v="0"/>
    <n v="10000"/>
    <n v="0"/>
    <n v="4000"/>
    <m/>
  </r>
  <r>
    <x v="14"/>
    <x v="0"/>
    <x v="10"/>
    <n v="3822"/>
    <n v="0"/>
    <s v="Blue"/>
    <n v="1"/>
    <x v="8"/>
    <n v="12240"/>
    <n v="12240"/>
    <n v="0"/>
    <n v="0"/>
    <m/>
  </r>
  <r>
    <x v="14"/>
    <x v="0"/>
    <x v="10"/>
    <n v="4179"/>
    <n v="2"/>
    <s v="Blue"/>
    <n v="1"/>
    <x v="9"/>
    <n v="14265"/>
    <n v="14265"/>
    <n v="0"/>
    <n v="0"/>
    <m/>
  </r>
  <r>
    <x v="14"/>
    <x v="0"/>
    <x v="10"/>
    <n v="4975"/>
    <n v="1"/>
    <s v="Blue"/>
    <n v="1"/>
    <x v="8"/>
    <n v="7650"/>
    <n v="7650"/>
    <n v="0"/>
    <n v="0"/>
    <m/>
  </r>
  <r>
    <x v="14"/>
    <x v="0"/>
    <x v="10"/>
    <n v="4786"/>
    <n v="0"/>
    <s v="Orange"/>
    <n v="1"/>
    <x v="8"/>
    <n v="12920"/>
    <n v="12920"/>
    <n v="0"/>
    <n v="0"/>
    <m/>
  </r>
  <r>
    <x v="14"/>
    <x v="0"/>
    <x v="10"/>
    <n v="3843"/>
    <n v="1"/>
    <s v="Rainb"/>
    <n v="1"/>
    <x v="1"/>
    <n v="0"/>
    <n v="0"/>
    <n v="11500"/>
    <n v="35822"/>
    <m/>
  </r>
  <r>
    <x v="14"/>
    <x v="0"/>
    <x v="10"/>
    <n v="4162"/>
    <n v="1"/>
    <s v="Blue"/>
    <n v="1"/>
    <x v="8"/>
    <n v="5780"/>
    <n v="5780"/>
    <n v="0"/>
    <n v="0"/>
    <m/>
  </r>
  <r>
    <x v="14"/>
    <x v="0"/>
    <x v="10"/>
    <n v="3879"/>
    <n v="1"/>
    <s v="Blue"/>
    <n v="1"/>
    <x v="7"/>
    <n v="7350"/>
    <n v="7350"/>
    <n v="0"/>
    <n v="0"/>
    <m/>
  </r>
  <r>
    <x v="14"/>
    <x v="0"/>
    <x v="10"/>
    <n v="3611"/>
    <n v="0"/>
    <s v="SumStone"/>
    <n v="3"/>
    <x v="5"/>
    <n v="0"/>
    <n v="0"/>
    <n v="2587.5"/>
    <n v="2686.6499999999996"/>
    <m/>
  </r>
  <r>
    <x v="14"/>
    <x v="0"/>
    <x v="10"/>
    <n v="4220"/>
    <n v="1"/>
    <s v="Blue"/>
    <n v="1"/>
    <x v="8"/>
    <n v="11560"/>
    <n v="11560"/>
    <n v="0"/>
    <n v="0"/>
    <m/>
  </r>
  <r>
    <x v="14"/>
    <x v="0"/>
    <x v="10"/>
    <n v="3765"/>
    <n v="0"/>
    <s v="Blue"/>
    <n v="1"/>
    <x v="7"/>
    <n v="3904"/>
    <n v="3904"/>
    <n v="0"/>
    <n v="0"/>
    <m/>
  </r>
  <r>
    <x v="14"/>
    <x v="0"/>
    <x v="10"/>
    <n v="4073"/>
    <n v="3"/>
    <s v="Scroll"/>
    <n v="4"/>
    <x v="2"/>
    <n v="0"/>
    <n v="8000"/>
    <n v="0"/>
    <n v="3200"/>
    <m/>
  </r>
  <r>
    <x v="14"/>
    <x v="0"/>
    <x v="10"/>
    <n v="3957"/>
    <n v="0"/>
    <s v="Violet"/>
    <n v="1"/>
    <x v="8"/>
    <n v="6375"/>
    <n v="6375"/>
    <n v="0"/>
    <n v="0"/>
    <m/>
  </r>
  <r>
    <x v="14"/>
    <x v="0"/>
    <x v="10"/>
    <n v="3704"/>
    <n v="2"/>
    <s v="Blue"/>
    <n v="1"/>
    <x v="8"/>
    <n v="11560"/>
    <n v="11560"/>
    <n v="0"/>
    <n v="0"/>
    <m/>
  </r>
  <r>
    <x v="14"/>
    <x v="0"/>
    <x v="10"/>
    <n v="4168"/>
    <n v="1"/>
    <s v="Rainb"/>
    <n v="1"/>
    <x v="1"/>
    <n v="0"/>
    <n v="0"/>
    <n v="11500"/>
    <n v="35822"/>
    <m/>
  </r>
  <r>
    <x v="14"/>
    <x v="0"/>
    <x v="10"/>
    <n v="4443"/>
    <n v="2"/>
    <s v="Blue"/>
    <n v="1"/>
    <x v="8"/>
    <n v="11560"/>
    <n v="11560"/>
    <n v="0"/>
    <n v="0"/>
    <m/>
  </r>
  <r>
    <x v="14"/>
    <x v="0"/>
    <x v="10"/>
    <n v="4007"/>
    <n v="0"/>
    <s v="Blue"/>
    <n v="1"/>
    <x v="8"/>
    <n v="12240"/>
    <n v="12240"/>
    <n v="0"/>
    <n v="0"/>
    <m/>
  </r>
  <r>
    <x v="14"/>
    <x v="0"/>
    <x v="10"/>
    <n v="4304"/>
    <n v="2"/>
    <s v="Blue"/>
    <n v="1"/>
    <x v="9"/>
    <n v="20288"/>
    <n v="20288"/>
    <n v="0"/>
    <n v="0"/>
    <m/>
  </r>
  <r>
    <x v="14"/>
    <x v="0"/>
    <x v="10"/>
    <n v="3825"/>
    <n v="1"/>
    <s v="Violet"/>
    <n v="1"/>
    <x v="9"/>
    <n v="17118"/>
    <n v="17118"/>
    <n v="0"/>
    <n v="0"/>
    <m/>
  </r>
  <r>
    <x v="14"/>
    <x v="0"/>
    <x v="10"/>
    <n v="3952"/>
    <n v="0"/>
    <s v="Blue"/>
    <n v="1"/>
    <x v="7"/>
    <n v="3445"/>
    <n v="3445"/>
    <n v="0"/>
    <n v="0"/>
    <m/>
  </r>
  <r>
    <x v="14"/>
    <x v="0"/>
    <x v="10"/>
    <n v="3837"/>
    <n v="0"/>
    <s v="Blue"/>
    <n v="1"/>
    <x v="9"/>
    <n v="18861"/>
    <n v="18861"/>
    <n v="0"/>
    <n v="0"/>
    <m/>
  </r>
  <r>
    <x v="14"/>
    <x v="0"/>
    <x v="10"/>
    <n v="3964"/>
    <n v="2"/>
    <s v="Blue"/>
    <n v="1"/>
    <x v="8"/>
    <n v="8075"/>
    <n v="8075"/>
    <n v="0"/>
    <n v="0"/>
    <m/>
  </r>
  <r>
    <x v="14"/>
    <x v="0"/>
    <x v="10"/>
    <n v="3954"/>
    <n v="1"/>
    <s v="Blue"/>
    <n v="1"/>
    <x v="8"/>
    <n v="5440"/>
    <n v="5440"/>
    <n v="0"/>
    <n v="0"/>
    <m/>
  </r>
  <r>
    <x v="14"/>
    <x v="0"/>
    <x v="10"/>
    <n v="3909"/>
    <n v="0"/>
    <s v="Scroll"/>
    <n v="5"/>
    <x v="2"/>
    <n v="0"/>
    <n v="10000"/>
    <n v="0"/>
    <n v="4000"/>
    <m/>
  </r>
  <r>
    <x v="14"/>
    <x v="0"/>
    <x v="10"/>
    <n v="3708"/>
    <n v="2"/>
    <s v="Scroll"/>
    <n v="5"/>
    <x v="2"/>
    <n v="0"/>
    <n v="10000"/>
    <n v="0"/>
    <n v="4000"/>
    <m/>
  </r>
  <r>
    <x v="14"/>
    <x v="0"/>
    <x v="10"/>
    <n v="3596"/>
    <n v="3"/>
    <s v="Blue"/>
    <n v="1"/>
    <x v="9"/>
    <n v="10144"/>
    <n v="10144"/>
    <n v="0"/>
    <n v="0"/>
    <m/>
  </r>
  <r>
    <x v="14"/>
    <x v="0"/>
    <x v="10"/>
    <n v="3997"/>
    <n v="2"/>
    <s v="Rainb"/>
    <n v="1"/>
    <x v="1"/>
    <n v="0"/>
    <n v="0"/>
    <n v="11500"/>
    <n v="35822"/>
    <m/>
  </r>
  <r>
    <x v="14"/>
    <x v="0"/>
    <x v="10"/>
    <n v="4264"/>
    <n v="0"/>
    <s v="Scroll"/>
    <n v="4"/>
    <x v="2"/>
    <n v="0"/>
    <n v="8000"/>
    <n v="0"/>
    <n v="3200"/>
    <m/>
  </r>
  <r>
    <x v="14"/>
    <x v="0"/>
    <x v="10"/>
    <n v="4199"/>
    <n v="3"/>
    <s v="Blue"/>
    <n v="1"/>
    <x v="8"/>
    <n v="5440"/>
    <n v="5440"/>
    <n v="0"/>
    <n v="0"/>
    <m/>
  </r>
  <r>
    <x v="14"/>
    <x v="0"/>
    <x v="10"/>
    <n v="4060"/>
    <n v="2"/>
    <s v="Scroll"/>
    <n v="4"/>
    <x v="2"/>
    <n v="0"/>
    <n v="8000"/>
    <n v="0"/>
    <n v="3200"/>
    <m/>
  </r>
  <r>
    <x v="14"/>
    <x v="0"/>
    <x v="10"/>
    <n v="3943"/>
    <n v="3"/>
    <s v="Scroll"/>
    <n v="4"/>
    <x v="2"/>
    <n v="0"/>
    <n v="8000"/>
    <n v="0"/>
    <n v="3200"/>
    <m/>
  </r>
  <r>
    <x v="14"/>
    <x v="0"/>
    <x v="10"/>
    <n v="4141"/>
    <n v="1"/>
    <s v="Scroll"/>
    <n v="4"/>
    <x v="2"/>
    <n v="0"/>
    <n v="8000"/>
    <n v="0"/>
    <n v="3200"/>
    <m/>
  </r>
  <r>
    <x v="14"/>
    <x v="0"/>
    <x v="10"/>
    <n v="4075"/>
    <n v="0"/>
    <s v="Scroll"/>
    <n v="4"/>
    <x v="2"/>
    <n v="0"/>
    <n v="8000"/>
    <n v="0"/>
    <n v="3200"/>
    <m/>
  </r>
  <r>
    <x v="14"/>
    <x v="0"/>
    <x v="10"/>
    <n v="4269"/>
    <n v="1"/>
    <s v="Blue"/>
    <n v="1"/>
    <x v="7"/>
    <n v="6431"/>
    <n v="6431"/>
    <n v="0"/>
    <n v="0"/>
    <m/>
  </r>
  <r>
    <x v="14"/>
    <x v="0"/>
    <x v="10"/>
    <n v="3888"/>
    <n v="2"/>
    <s v="Scroll"/>
    <n v="5"/>
    <x v="2"/>
    <n v="0"/>
    <n v="10000"/>
    <n v="0"/>
    <n v="4000"/>
    <m/>
  </r>
  <r>
    <x v="14"/>
    <x v="0"/>
    <x v="10"/>
    <n v="3672"/>
    <n v="1"/>
    <s v="Blue"/>
    <n v="1"/>
    <x v="7"/>
    <n v="6120"/>
    <n v="6120"/>
    <n v="0"/>
    <n v="0"/>
    <m/>
  </r>
  <r>
    <x v="14"/>
    <x v="0"/>
    <x v="10"/>
    <n v="3924"/>
    <n v="1"/>
    <s v="Blue"/>
    <n v="1"/>
    <x v="8"/>
    <n v="12920"/>
    <n v="12920"/>
    <n v="0"/>
    <n v="0"/>
    <m/>
  </r>
  <r>
    <x v="14"/>
    <x v="0"/>
    <x v="10"/>
    <n v="4086"/>
    <n v="1"/>
    <s v="Blue"/>
    <n v="1"/>
    <x v="7"/>
    <n v="6120"/>
    <n v="6120"/>
    <n v="0"/>
    <n v="0"/>
    <m/>
  </r>
  <r>
    <x v="14"/>
    <x v="0"/>
    <x v="10"/>
    <n v="3956"/>
    <n v="1"/>
    <s v="Scroll"/>
    <n v="4"/>
    <x v="2"/>
    <n v="0"/>
    <n v="8000"/>
    <n v="0"/>
    <n v="3200"/>
    <m/>
  </r>
  <r>
    <x v="14"/>
    <x v="0"/>
    <x v="10"/>
    <n v="4121"/>
    <n v="2"/>
    <s v="Violet"/>
    <n v="1"/>
    <x v="9"/>
    <n v="27103"/>
    <n v="27103"/>
    <n v="0"/>
    <n v="0"/>
    <m/>
  </r>
  <r>
    <x v="14"/>
    <x v="0"/>
    <x v="10"/>
    <n v="3864"/>
    <n v="1"/>
    <s v="Scroll"/>
    <n v="4"/>
    <x v="2"/>
    <n v="0"/>
    <n v="8000"/>
    <n v="0"/>
    <n v="3200"/>
    <m/>
  </r>
  <r>
    <x v="14"/>
    <x v="0"/>
    <x v="10"/>
    <n v="4144"/>
    <n v="2"/>
    <s v="Blue"/>
    <n v="1"/>
    <x v="7"/>
    <n v="3445"/>
    <n v="3445"/>
    <n v="0"/>
    <n v="0"/>
    <m/>
  </r>
  <r>
    <x v="14"/>
    <x v="0"/>
    <x v="10"/>
    <n v="3884"/>
    <n v="1"/>
    <s v="Blue"/>
    <n v="1"/>
    <x v="7"/>
    <n v="3675"/>
    <n v="3675"/>
    <n v="0"/>
    <n v="0"/>
    <m/>
  </r>
  <r>
    <x v="14"/>
    <x v="0"/>
    <x v="10"/>
    <n v="4186"/>
    <n v="0"/>
    <s v="Violet"/>
    <n v="1"/>
    <x v="8"/>
    <n v="17000"/>
    <n v="17000"/>
    <n v="0"/>
    <n v="0"/>
    <m/>
  </r>
  <r>
    <x v="14"/>
    <x v="0"/>
    <x v="10"/>
    <n v="3886"/>
    <n v="0"/>
    <s v="Scroll"/>
    <n v="5"/>
    <x v="2"/>
    <n v="0"/>
    <n v="10000"/>
    <n v="0"/>
    <n v="4000"/>
    <m/>
  </r>
  <r>
    <x v="14"/>
    <x v="0"/>
    <x v="10"/>
    <n v="4242"/>
    <n v="2"/>
    <s v="Blue"/>
    <n v="1"/>
    <x v="7"/>
    <n v="4364"/>
    <n v="4364"/>
    <n v="0"/>
    <n v="0"/>
    <m/>
  </r>
  <r>
    <x v="14"/>
    <x v="0"/>
    <x v="10"/>
    <n v="4062"/>
    <n v="1"/>
    <s v="Blue"/>
    <n v="1"/>
    <x v="7"/>
    <n v="2940"/>
    <n v="2940"/>
    <n v="0"/>
    <n v="0"/>
    <m/>
  </r>
  <r>
    <x v="14"/>
    <x v="0"/>
    <x v="10"/>
    <n v="4025"/>
    <n v="1"/>
    <s v="Blue"/>
    <n v="1"/>
    <x v="8"/>
    <n v="6800"/>
    <n v="6800"/>
    <n v="0"/>
    <n v="0"/>
    <m/>
  </r>
  <r>
    <x v="14"/>
    <x v="0"/>
    <x v="10"/>
    <n v="4416"/>
    <n v="3"/>
    <s v="Blue"/>
    <n v="1"/>
    <x v="7"/>
    <n v="6615"/>
    <n v="6615"/>
    <n v="0"/>
    <n v="0"/>
    <m/>
  </r>
  <r>
    <x v="14"/>
    <x v="0"/>
    <x v="10"/>
    <n v="3856"/>
    <n v="2"/>
    <s v="Violet"/>
    <n v="1"/>
    <x v="7"/>
    <n v="6615"/>
    <n v="6615"/>
    <n v="0"/>
    <n v="0"/>
    <m/>
  </r>
  <r>
    <x v="14"/>
    <x v="0"/>
    <x v="10"/>
    <n v="4170"/>
    <n v="2"/>
    <s v="Scroll"/>
    <n v="4"/>
    <x v="2"/>
    <n v="0"/>
    <n v="8000"/>
    <n v="0"/>
    <n v="3200"/>
    <m/>
  </r>
  <r>
    <x v="14"/>
    <x v="0"/>
    <x v="10"/>
    <n v="4152"/>
    <n v="1"/>
    <s v="Blue"/>
    <n v="1"/>
    <x v="7"/>
    <n v="6247"/>
    <n v="6247"/>
    <n v="0"/>
    <n v="0"/>
    <m/>
  </r>
  <r>
    <x v="14"/>
    <x v="0"/>
    <x v="10"/>
    <n v="3678"/>
    <n v="0"/>
    <s v="Violet"/>
    <n v="1"/>
    <x v="8"/>
    <n v="10200"/>
    <n v="10200"/>
    <n v="0"/>
    <n v="0"/>
    <m/>
  </r>
  <r>
    <x v="14"/>
    <x v="0"/>
    <x v="10"/>
    <n v="4310"/>
    <n v="2"/>
    <s v="Blue"/>
    <n v="1"/>
    <x v="7"/>
    <n v="5100"/>
    <n v="5100"/>
    <n v="0"/>
    <n v="0"/>
    <m/>
  </r>
  <r>
    <x v="14"/>
    <x v="0"/>
    <x v="10"/>
    <n v="3697"/>
    <n v="0"/>
    <s v="Blue"/>
    <n v="1"/>
    <x v="7"/>
    <n v="2940"/>
    <n v="2940"/>
    <n v="0"/>
    <n v="0"/>
    <m/>
  </r>
  <r>
    <x v="14"/>
    <x v="0"/>
    <x v="10"/>
    <n v="4208"/>
    <n v="1"/>
    <s v="Blue"/>
    <n v="1"/>
    <x v="7"/>
    <n v="5788"/>
    <n v="5788"/>
    <n v="0"/>
    <n v="0"/>
    <m/>
  </r>
  <r>
    <x v="14"/>
    <x v="0"/>
    <x v="10"/>
    <n v="4465"/>
    <n v="2"/>
    <s v="Blue"/>
    <n v="1"/>
    <x v="7"/>
    <n v="4134"/>
    <n v="4134"/>
    <n v="0"/>
    <n v="0"/>
    <m/>
  </r>
  <r>
    <x v="14"/>
    <x v="0"/>
    <x v="10"/>
    <n v="3829"/>
    <n v="2"/>
    <s v="Blue"/>
    <n v="1"/>
    <x v="7"/>
    <n v="6982"/>
    <n v="6982"/>
    <n v="0"/>
    <n v="0"/>
    <m/>
  </r>
  <r>
    <x v="14"/>
    <x v="0"/>
    <x v="10"/>
    <n v="4194"/>
    <n v="0"/>
    <s v="Blue"/>
    <n v="1"/>
    <x v="7"/>
    <n v="3307"/>
    <n v="3307"/>
    <n v="0"/>
    <n v="0"/>
    <m/>
  </r>
  <r>
    <x v="14"/>
    <x v="0"/>
    <x v="10"/>
    <n v="3953"/>
    <n v="0"/>
    <s v="Blue"/>
    <n v="1"/>
    <x v="8"/>
    <n v="6800"/>
    <n v="6800"/>
    <n v="0"/>
    <n v="0"/>
    <m/>
  </r>
  <r>
    <x v="14"/>
    <x v="0"/>
    <x v="10"/>
    <n v="3831"/>
    <n v="0"/>
    <s v="Blue"/>
    <n v="1"/>
    <x v="8"/>
    <n v="5780"/>
    <n v="5780"/>
    <n v="0"/>
    <n v="0"/>
    <m/>
  </r>
  <r>
    <x v="14"/>
    <x v="0"/>
    <x v="10"/>
    <n v="3852"/>
    <n v="0"/>
    <s v="Blue"/>
    <n v="1"/>
    <x v="9"/>
    <n v="17752"/>
    <n v="17752"/>
    <n v="0"/>
    <n v="0"/>
    <m/>
  </r>
  <r>
    <x v="14"/>
    <x v="0"/>
    <x v="10"/>
    <n v="4081"/>
    <n v="2"/>
    <s v="Scroll"/>
    <n v="4"/>
    <x v="2"/>
    <n v="0"/>
    <n v="8000"/>
    <n v="0"/>
    <n v="3200"/>
    <m/>
  </r>
  <r>
    <x v="14"/>
    <x v="0"/>
    <x v="10"/>
    <n v="4016"/>
    <n v="1"/>
    <s v="Blue"/>
    <n v="1"/>
    <x v="7"/>
    <n v="6100"/>
    <n v="6100"/>
    <n v="0"/>
    <n v="0"/>
    <m/>
  </r>
  <r>
    <x v="14"/>
    <x v="0"/>
    <x v="10"/>
    <n v="4213"/>
    <n v="0"/>
    <s v="Blue"/>
    <n v="1"/>
    <x v="8"/>
    <n v="8075"/>
    <n v="8075"/>
    <n v="0"/>
    <n v="0"/>
    <m/>
  </r>
  <r>
    <x v="14"/>
    <x v="0"/>
    <x v="10"/>
    <n v="3708"/>
    <n v="1"/>
    <s v="Violet"/>
    <n v="1"/>
    <x v="7"/>
    <n v="4961"/>
    <n v="4961"/>
    <n v="0"/>
    <n v="0"/>
    <m/>
  </r>
  <r>
    <x v="14"/>
    <x v="0"/>
    <x v="11"/>
    <n v="4889"/>
    <n v="2"/>
    <s v="Blue"/>
    <n v="1"/>
    <x v="8"/>
    <n v="15300"/>
    <n v="15300"/>
    <n v="0"/>
    <n v="0"/>
    <m/>
  </r>
  <r>
    <x v="14"/>
    <x v="0"/>
    <x v="10"/>
    <n v="4352"/>
    <n v="1"/>
    <s v="Blue"/>
    <n v="1"/>
    <x v="9"/>
    <n v="15850"/>
    <n v="15850"/>
    <n v="0"/>
    <n v="0"/>
    <m/>
  </r>
  <r>
    <x v="14"/>
    <x v="0"/>
    <x v="10"/>
    <n v="4128"/>
    <n v="0"/>
    <s v="Blue"/>
    <n v="1"/>
    <x v="8"/>
    <n v="10710"/>
    <n v="10710"/>
    <n v="0"/>
    <n v="0"/>
    <m/>
  </r>
  <r>
    <x v="14"/>
    <x v="0"/>
    <x v="10"/>
    <n v="4086"/>
    <n v="1"/>
    <s v="Blue"/>
    <n v="1"/>
    <x v="7"/>
    <n v="1593"/>
    <n v="1593"/>
    <n v="0"/>
    <n v="0"/>
    <m/>
  </r>
  <r>
    <x v="14"/>
    <x v="0"/>
    <x v="10"/>
    <n v="3994"/>
    <n v="1"/>
    <s v="Scroll"/>
    <n v="5"/>
    <x v="2"/>
    <n v="0"/>
    <n v="10000"/>
    <n v="0"/>
    <n v="4000"/>
    <m/>
  </r>
  <r>
    <x v="14"/>
    <x v="0"/>
    <x v="10"/>
    <n v="3963"/>
    <n v="1"/>
    <s v="Blue"/>
    <n v="1"/>
    <x v="8"/>
    <n v="5440"/>
    <n v="5440"/>
    <n v="0"/>
    <n v="0"/>
    <m/>
  </r>
  <r>
    <x v="14"/>
    <x v="0"/>
    <x v="10"/>
    <n v="4372"/>
    <n v="1"/>
    <s v="Blue"/>
    <n v="1"/>
    <x v="7"/>
    <n v="2756"/>
    <n v="2756"/>
    <n v="0"/>
    <n v="0"/>
    <m/>
  </r>
  <r>
    <x v="14"/>
    <x v="0"/>
    <x v="10"/>
    <n v="4374"/>
    <n v="1"/>
    <s v="Scroll"/>
    <n v="5"/>
    <x v="2"/>
    <n v="0"/>
    <n v="10000"/>
    <n v="0"/>
    <n v="4000"/>
    <m/>
  </r>
  <r>
    <x v="14"/>
    <x v="0"/>
    <x v="10"/>
    <n v="3694"/>
    <n v="1"/>
    <s v="Blue"/>
    <n v="1"/>
    <x v="8"/>
    <n v="10115"/>
    <n v="10115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4"/>
    <x v="0"/>
    <x v="10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  <r>
    <x v="15"/>
    <x v="3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O10:X25" firstHeaderRow="1" firstDataRow="2" firstDataCol="1"/>
  <pivotFields count="13">
    <pivotField axis="axisRow" showAll="0">
      <items count="18">
        <item h="1" x="5"/>
        <item x="14"/>
        <item h="1" x="1"/>
        <item h="1" m="1" x="16"/>
        <item x="2"/>
        <item h="1" x="7"/>
        <item h="1" x="9"/>
        <item h="1" x="6"/>
        <item h="1" x="3"/>
        <item h="1" x="8"/>
        <item h="1" x="11"/>
        <item h="1" x="12"/>
        <item h="1" x="4"/>
        <item h="1" x="10"/>
        <item h="1" x="0"/>
        <item h="1" x="13"/>
        <item h="1" x="15"/>
        <item t="default"/>
      </items>
    </pivotField>
    <pivotField dataField="1" showAll="0"/>
    <pivotField axis="axisRow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2"/>
        <item x="13"/>
        <item t="default"/>
      </items>
    </pivotField>
    <pivotField showAll="0"/>
    <pivotField showAll="0"/>
    <pivotField showAll="0"/>
    <pivotField showAll="0"/>
    <pivotField axis="axisCol" showAll="0">
      <items count="13">
        <item x="10"/>
        <item m="1" x="11"/>
        <item x="2"/>
        <item x="1"/>
        <item x="5"/>
        <item x="7"/>
        <item x="8"/>
        <item x="9"/>
        <item x="6"/>
        <item x="3"/>
        <item x="4"/>
        <item x="0"/>
        <item t="default"/>
      </items>
    </pivotField>
    <pivotField showAll="0"/>
    <pivotField showAll="0"/>
    <pivotField showAll="0"/>
    <pivotField showAll="0"/>
    <pivotField showAll="0"/>
  </pivotFields>
  <rowFields count="2">
    <field x="0"/>
    <field x="2"/>
  </rowFields>
  <rowItems count="14">
    <i>
      <x v="1"/>
    </i>
    <i r="1">
      <x v="6"/>
    </i>
    <i r="1">
      <x v="7"/>
    </i>
    <i r="1">
      <x v="8"/>
    </i>
    <i r="1">
      <x v="9"/>
    </i>
    <i>
      <x v="4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t="grand">
      <x/>
    </i>
  </rowItems>
  <colFields count="1">
    <field x="7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11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14"/>
        <item h="1" x="1"/>
        <item h="1" m="1" x="16"/>
        <item h="1" x="2"/>
        <item x="7"/>
        <item x="6"/>
        <item x="3"/>
        <item x="8"/>
        <item h="1" x="4"/>
        <item h="1" x="0"/>
        <item h="1" x="15"/>
        <item x="9"/>
        <item h="1" x="10"/>
        <item h="1" x="11"/>
        <item h="1" x="12"/>
        <item h="1" x="13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m="1" x="16"/>
        <item x="3"/>
        <item h="1" x="4"/>
        <item h="1" x="0"/>
        <item h="1" x="15"/>
        <item x="6"/>
        <item h="1" x="2"/>
        <item x="7"/>
        <item h="1" x="14"/>
        <item x="8"/>
        <item x="9"/>
        <item h="1" x="10"/>
        <item h="1" x="11"/>
        <item h="1" x="12"/>
        <item h="1" x="13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2">
        <item x="6"/>
        <item x="3"/>
        <item h="1" x="0"/>
        <item h="1" x="1"/>
        <item h="1" x="2"/>
        <item h="1" x="5"/>
        <item h="1" x="7"/>
        <item h="1" x="8"/>
        <item h="1" m="1" x="11"/>
        <item x="4"/>
        <item h="1" x="9"/>
        <item h="1" x="10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8" firstHeaderRow="1" firstDataRow="2" firstDataCol="1"/>
  <pivotFields count="13">
    <pivotField axis="axisRow" showAll="0">
      <items count="18">
        <item x="5"/>
        <item x="1"/>
        <item m="1" x="16"/>
        <item x="3"/>
        <item x="4"/>
        <item x="0"/>
        <item h="1" x="15"/>
        <item h="1" x="6"/>
        <item x="2"/>
        <item h="1" x="7"/>
        <item h="1" x="14"/>
        <item h="1" x="8"/>
        <item h="1" x="9"/>
        <item h="1" x="10"/>
        <item h="1" x="11"/>
        <item h="1" x="12"/>
        <item h="1" x="13"/>
        <item t="default"/>
      </items>
    </pivotField>
    <pivotField axis="axisRow" showAll="0">
      <items count="5">
        <item x="1"/>
        <item x="2"/>
        <item x="0"/>
        <item x="3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4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2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6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5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20" name="Tabela20" displayName="Tabela20" ref="A1:G20" totalsRowShown="0">
  <autoFilter ref="A1:G20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21">
      <calculatedColumnFormula>MAXA(-(4*M1-Tabela6[[#This Row],[Done]]),0)</calculatedColumnFormula>
    </tableColumn>
    <tableColumn id="4" name="XP to gain" dataDxfId="120"/>
    <tableColumn id="6" name="Mana Cost" dataDxfId="119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8"/>
    <tableColumn id="5" name="Kolumna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7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DropAnalityka" displayName="DropAnalityka" ref="A1:M1997" totalsRowShown="0">
  <autoFilter ref="A1:M1997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6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5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4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2" name="LocFeatures" displayName="LocFeatures" ref="A1:W94" totalsRowShown="0">
  <autoFilter ref="A1:W94"/>
  <sortState ref="A2:V94">
    <sortCondition ref="A2:A94"/>
    <sortCondition ref="B2:B94"/>
    <sortCondition ref="C2:C94"/>
  </sortState>
  <tableColumns count="23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3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2">
      <calculatedColumnFormula>4*LocFeatures[[#This Row],[XP Gain per member]]</calculatedColumnFormula>
    </tableColumn>
    <tableColumn id="11" name="XP Train Gain"/>
    <tableColumn id="22" name="XP drop" dataDxfId="111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10">
      <calculatedColumnFormula>LocFeatures[[#This Row],[XP Train Gain]]/(LocFeatures[[#This Row],[E. Cost]]-LocFeatures[[#This Row],[Energy gain]])</calculatedColumnFormula>
    </tableColumn>
    <tableColumn id="14" name="Kolumna1" dataDxfId="109">
      <calculatedColumnFormula>LocFeatures[[#This Row],[XP drop]]/(LocFeatures[[#This Row],[E. Cost]]-LocFeatures[[#This Row],[Energy gain]])</calculatedColumnFormula>
    </tableColumn>
    <tableColumn id="13" name="XP/Energy"/>
    <tableColumn id="15" name="Próbka" dataDxfId="108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7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1" name="Tabela11" displayName="Tabela11" ref="Q3:W6" totalsRowShown="0" headerRowDxfId="104" tableBorderDxfId="103">
  <autoFilter ref="Q3:W6"/>
  <tableColumns count="7">
    <tableColumn id="1" name="Kolumna1">
      <calculatedColumnFormula>G5</calculatedColumnFormula>
    </tableColumn>
    <tableColumn id="2" name="4" dataDxfId="102"/>
    <tableColumn id="3" name="5" dataDxfId="101"/>
    <tableColumn id="4" name="7" dataDxfId="100"/>
    <tableColumn id="5" name="8" dataDxfId="99"/>
    <tableColumn id="6" name="9" dataDxfId="98"/>
    <tableColumn id="7" name="10" dataDxfId="97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2" name="Tabela12" displayName="Tabela12" ref="X1:AB5" totalsRowShown="0" headerRowDxfId="96">
  <autoFilter ref="X1:AB5"/>
  <tableColumns count="5">
    <tableColumn id="1" name="Set Name" dataDxfId="95"/>
    <tableColumn id="2" name="Attack" dataDxfId="94"/>
    <tableColumn id="3" name="Crit.Dmg" dataDxfId="93"/>
    <tableColumn id="4" name="Crit.Cha" dataDxfId="92"/>
    <tableColumn id="5" name="Speed" dataDxfId="91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74" totalsRowShown="0" headerRowDxfId="90" dataDxfId="89" tableBorderDxfId="88">
  <autoFilter ref="A1:U74"/>
  <tableColumns count="21">
    <tableColumn id="1" name="Set" dataDxfId="87"/>
    <tableColumn id="2" name="Runes" dataDxfId="86"/>
    <tableColumn id="3" name="Fatal Nbr" dataDxfId="85"/>
    <tableColumn id="4" name="Rage Nbr" dataDxfId="84"/>
    <tableColumn id="5" name="Blade Nbr" dataDxfId="83"/>
    <tableColumn id="6" name="Atk Mult" dataDxfId="82"/>
    <tableColumn id="7" name="CritD" dataDxfId="81"/>
    <tableColumn id="8" name="Atk % from subs" dataDxfId="80"/>
    <tableColumn id="9" name="Crit D % from subs" dataDxfId="79"/>
    <tableColumn id="10" name="% of Crit C from subs" dataDxfId="78"/>
    <tableColumn id="11" name="Nbr of Atk rune" dataDxfId="77"/>
    <tableColumn id="12" name="Nbr of Crit D rune" dataDxfId="76"/>
    <tableColumn id="13" name="Nbr of Crit C rune" dataDxfId="75"/>
    <tableColumn id="14" name="Atk" dataDxfId="74"/>
    <tableColumn id="15" name="Dmg" dataDxfId="73"/>
    <tableColumn id="16" name="DmgC" dataDxfId="72"/>
    <tableColumn id="17" name="Crit Chance Basic" dataDxfId="71"/>
    <tableColumn id="18" name="Final Crit Chance" dataDxfId="70"/>
    <tableColumn id="19" name="AvgDmg" dataDxfId="69"/>
    <tableColumn id="20" name="AvgDmg Basic" dataDxfId="68"/>
    <tableColumn id="21" name="% change to basic" dataDxfId="67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3" totalsRowShown="0" headerRowDxfId="66">
  <autoFilter ref="W20:AF43"/>
  <tableColumns count="10">
    <tableColumn id="1" name="Crit C" dataDxfId="65"/>
    <tableColumn id="2" name="Crit D" dataDxfId="64"/>
    <tableColumn id="3" name="Atk " dataDxfId="63"/>
    <tableColumn id="4" name="Set1" dataDxfId="62"/>
    <tableColumn id="5" name="Set2" dataDxfId="61"/>
    <tableColumn id="6" name="Rune1" dataDxfId="60"/>
    <tableColumn id="7" name="NBR R1"/>
    <tableColumn id="8" name="Rune2" dataDxfId="59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21" name="Tabela21" displayName="Tabela21" ref="AJ2:AU1190" totalsRowShown="0" headerRowDxfId="58">
  <autoFilter ref="AJ2:AU1190"/>
  <tableColumns count="12">
    <tableColumn id="1" name="Att stones" dataDxfId="57"/>
    <tableColumn id="2" name="Crid D stone" dataDxfId="56"/>
    <tableColumn id="3" name="Crit C stone" dataDxfId="55"/>
    <tableColumn id="11" name="Kolumna1" dataDxfId="54">
      <calculatedColumnFormula>Tabela21[[#This Row],[Att subs]]+Tabela21[[#This Row],[Crit D subs]]</calculatedColumnFormula>
    </tableColumn>
    <tableColumn id="4" name="Att subs" dataDxfId="53"/>
    <tableColumn id="5" name="Crit D subs" dataDxfId="52"/>
    <tableColumn id="6" name="Crit C subs" dataDxfId="51"/>
    <tableColumn id="7" name="Fatal + Blade" dataDxfId="50">
      <calculatedColumnFormula>$AG$3*(1+$AJ3*$Y$2+$AN3+0.35)*(MAXA(1-$AI$3-$AL3*$AA$3-$AP3-0.12,0)+MINA($AI$3+$AL3*$AA$3+$AP3+0.12,1)*(1+$AH$3+$AO3+$AK3*$Z$4))</calculatedColumnFormula>
    </tableColumn>
    <tableColumn id="8" name="Rage + Blade" dataDxfId="49">
      <calculatedColumnFormula>$AG$3*(1+$AJ3*$Y$2+$AN3)*(MAXA(1-$AI$3-$AL3*$AA$3-$AP3-0.12,0)+MINA($AI$3+$AL3*$AA$3+$AP3+0.12,1)*(1+$AH$3+$AO3+$AK3*$Z$4+0.4))</calculatedColumnFormula>
    </tableColumn>
    <tableColumn id="9" name="3x Blade" dataDxfId="48">
      <calculatedColumnFormula>$AG$3*(1+$AJ3*$Y$2+$AN3)*(MAXA(1-$AI$3-$AL3*$AA$3-$AP3-0.36,0)+MINA($AI$3+$AL3*$AA$3+$AP3+0.36,1)*(1+$AH$3+$AO3+$AK3*$Z$4))</calculatedColumnFormula>
    </tableColumn>
    <tableColumn id="10" name="DobSk Fatal+balde" dataDxfId="47">
      <calculatedColumnFormula>$AG$3*(1+$AJ3*$Y$2+$AN3)*(MAXA(1-$AI$3-$AL3*$AA$3-$AP3-0.36,0)+2*MINA($AI$3+$AL3*$AA$3+$AP3+0.36,1)*(1+$AH$3+$AO3+$AK3*$Z$4))</calculatedColumnFormula>
    </tableColumn>
    <tableColumn id="12" name="DobSk Fatal+balde2" dataDxfId="46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5">
      <calculatedColumnFormula>FLOOR((J$17+J$18*(Tabela1318[[#This Row],[Type]]-1))*1.2,1)</calculatedColumnFormula>
    </tableColumn>
    <tableColumn id="9" name="Att" dataDxfId="44">
      <calculatedColumnFormula>FLOOR((K$17+K$18*(Tabela1318[[#This Row],[Type]]-1))*1.2,1)</calculatedColumnFormula>
    </tableColumn>
    <tableColumn id="10" name="Def" dataDxfId="43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2"/>
    <tableColumn id="5" name="HP"/>
    <tableColumn id="6" name="Acc%"/>
    <tableColumn id="7" name="SPD"/>
    <tableColumn id="8" name="Crit Rate%" dataDxfId="41"/>
    <tableColumn id="9" name="Crit DMG%" dataDxfId="40"/>
    <tableColumn id="10" name="Att%" dataDxfId="39"/>
    <tableColumn id="16" name="Att"/>
    <tableColumn id="11" name="Def%" dataDxfId="38"/>
    <tableColumn id="14" name="Def"/>
    <tableColumn id="12" name="Res%" dataDxfId="37"/>
    <tableColumn id="13" name="Enchant2"/>
    <tableColumn id="19" name="GO to 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6" name="Tabela16" displayName="Tabela16" ref="A6:R38" totalsRowShown="0" headerRowDxfId="29">
  <autoFilter ref="A6:R38"/>
  <tableColumns count="18">
    <tableColumn id="1" name="Scenario"/>
    <tableColumn id="2" name="XP" dataDxfId="28">
      <calculatedColumnFormula>(2*$J7+$K7)/($R7-$Q7)*O7</calculatedColumnFormula>
    </tableColumn>
    <tableColumn id="3" name="Gold" dataDxfId="27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6"/>
    <tableColumn id="11" name="Ene normal" dataDxfId="25"/>
    <tableColumn id="12" name="Location" dataDxfId="24"/>
    <tableColumn id="13" name="LVL" dataDxfId="23"/>
    <tableColumn id="14" name="Stage" dataDxfId="22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8" name="Tabela2" displayName="Tabela2" ref="A1:T327" totalsRowShown="0" headerRowDxfId="21" dataDxfId="20">
  <autoFilter ref="A1:T327"/>
  <sortState ref="A2:T327">
    <sortCondition descending="1" ref="T2:T327"/>
  </sortState>
  <tableColumns count="20">
    <tableColumn id="1" name="LP" dataDxfId="19" dataCellStyle="Normalny 2"/>
    <tableColumn id="16" name="Awakened2" dataDxfId="18" dataCellStyle="Normalny 2"/>
    <tableColumn id="2" name="Name" dataDxfId="17"/>
    <tableColumn id="3" name="Stars" dataDxfId="16"/>
    <tableColumn id="4" name="Attribute" dataDxfId="15"/>
    <tableColumn id="5" name="G" dataDxfId="14"/>
    <tableColumn id="6" name="D" dataDxfId="13"/>
    <tableColumn id="7" name="N" dataDxfId="12"/>
    <tableColumn id="8" name="AO" dataDxfId="11"/>
    <tableColumn id="9" name="AD" dataDxfId="10"/>
    <tableColumn id="10" name="HM" dataDxfId="9"/>
    <tableColumn id="11" name="GWO" dataDxfId="8"/>
    <tableColumn id="12" name="GWD" dataDxfId="7"/>
    <tableColumn id="13" name="Fusion" dataDxfId="6"/>
    <tableColumn id="15" name="Possesion" dataDxfId="5" dataCellStyle="Normalny 2"/>
    <tableColumn id="20" name="Try to Get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5.bin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2"/>
  <sheetViews>
    <sheetView workbookViewId="0">
      <selection activeCell="P22" sqref="P22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3" max="13" width="12.5" bestFit="1" customWidth="1"/>
    <col min="14" max="14" width="16.25" bestFit="1" customWidth="1"/>
    <col min="15" max="15" width="11.875" bestFit="1" customWidth="1"/>
    <col min="16" max="16" width="11.375" bestFit="1" customWidth="1"/>
    <col min="17" max="17" width="11.875" bestFit="1" customWidth="1"/>
    <col min="18" max="18" width="11.375" bestFit="1" customWidth="1"/>
  </cols>
  <sheetData>
    <row r="1" spans="1:18">
      <c r="A1" t="s">
        <v>154</v>
      </c>
      <c r="B1" t="s">
        <v>202</v>
      </c>
      <c r="C1" t="s">
        <v>785</v>
      </c>
      <c r="D1" t="s">
        <v>775</v>
      </c>
      <c r="E1" t="s">
        <v>789</v>
      </c>
      <c r="F1" t="s">
        <v>792</v>
      </c>
      <c r="G1" t="s">
        <v>790</v>
      </c>
      <c r="J1" t="s">
        <v>794</v>
      </c>
    </row>
    <row r="2" spans="1:18">
      <c r="A2" t="s">
        <v>791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$G$22/30*J2</f>
        <v>6270</v>
      </c>
      <c r="N2" t="s">
        <v>847</v>
      </c>
      <c r="O2">
        <v>20</v>
      </c>
      <c r="P2">
        <v>70</v>
      </c>
      <c r="Q2">
        <v>750</v>
      </c>
    </row>
    <row r="3" spans="1:18">
      <c r="A3" t="s">
        <v>791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20" si="0">F3*E3</f>
        <v>90</v>
      </c>
      <c r="J3">
        <v>80</v>
      </c>
      <c r="K3">
        <f>$G$22/30*J3</f>
        <v>6600</v>
      </c>
      <c r="L3">
        <f>(K3-K2)/J2*30/G22</f>
        <v>5.2631578947368425E-2</v>
      </c>
      <c r="N3" t="s">
        <v>848</v>
      </c>
      <c r="O3" s="15">
        <v>0.05</v>
      </c>
    </row>
    <row r="4" spans="1:18">
      <c r="A4" t="s">
        <v>791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147</v>
      </c>
      <c r="O4">
        <v>0</v>
      </c>
      <c r="P4">
        <v>30</v>
      </c>
    </row>
    <row r="5" spans="1:18">
      <c r="A5" t="s">
        <v>791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8">
      <c r="A6" t="s">
        <v>791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849</v>
      </c>
      <c r="O6">
        <f>O4/$J$2*30</f>
        <v>0</v>
      </c>
      <c r="P6">
        <f>P4/$J$2*30</f>
        <v>11.842105263157896</v>
      </c>
    </row>
    <row r="7" spans="1:18">
      <c r="A7" t="s">
        <v>791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850</v>
      </c>
      <c r="O7">
        <v>20</v>
      </c>
      <c r="P7">
        <v>117.75</v>
      </c>
      <c r="Q7">
        <v>199</v>
      </c>
    </row>
    <row r="8" spans="1:18">
      <c r="A8" t="s">
        <v>791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851</v>
      </c>
      <c r="O8">
        <v>15</v>
      </c>
      <c r="P8">
        <v>15</v>
      </c>
      <c r="Q8">
        <v>1</v>
      </c>
    </row>
    <row r="9" spans="1:18">
      <c r="A9" t="s">
        <v>791</v>
      </c>
      <c r="B9">
        <v>8</v>
      </c>
      <c r="C9">
        <v>48</v>
      </c>
      <c r="D9">
        <v>2</v>
      </c>
      <c r="E9">
        <v>2</v>
      </c>
      <c r="F9">
        <v>30</v>
      </c>
      <c r="G9">
        <f t="shared" si="0"/>
        <v>60</v>
      </c>
      <c r="N9" t="s">
        <v>852</v>
      </c>
      <c r="O9">
        <f>(O2+O6)*O8/O7</f>
        <v>15</v>
      </c>
      <c r="P9">
        <f>(P2+P6)*P8/P7</f>
        <v>10.425745893395909</v>
      </c>
      <c r="Q9">
        <f>(Q11+Q2)/Q7</f>
        <v>13.229545304116078</v>
      </c>
    </row>
    <row r="10" spans="1:18">
      <c r="A10" t="s">
        <v>791</v>
      </c>
      <c r="B10">
        <v>9</v>
      </c>
      <c r="C10">
        <v>60</v>
      </c>
      <c r="D10">
        <v>3</v>
      </c>
      <c r="E10">
        <v>1.5</v>
      </c>
      <c r="F10">
        <v>30</v>
      </c>
      <c r="G10">
        <f t="shared" si="0"/>
        <v>45</v>
      </c>
      <c r="N10" t="s">
        <v>877</v>
      </c>
      <c r="O10" s="50">
        <f>O12/O7*(1+O3)</f>
        <v>72855.677045454562</v>
      </c>
      <c r="P10" s="50">
        <f>P12/P7*(1+P3)</f>
        <v>48226.969889982633</v>
      </c>
      <c r="Q10" s="50">
        <f>Q12/Q7*(1+Q3)</f>
        <v>17433.75856555505</v>
      </c>
    </row>
    <row r="11" spans="1:18">
      <c r="A11" t="s">
        <v>784</v>
      </c>
      <c r="C11">
        <v>24</v>
      </c>
      <c r="D11">
        <v>10</v>
      </c>
      <c r="E11">
        <v>10</v>
      </c>
      <c r="F11">
        <v>30</v>
      </c>
      <c r="G11">
        <f t="shared" si="0"/>
        <v>300</v>
      </c>
      <c r="N11" t="s">
        <v>875</v>
      </c>
      <c r="Q11">
        <f>3*'EXP lvls'!S15</f>
        <v>1882.6795155190996</v>
      </c>
    </row>
    <row r="12" spans="1:18">
      <c r="A12" t="s">
        <v>786</v>
      </c>
      <c r="C12">
        <f t="shared" ref="C12:C17" si="1">24*30</f>
        <v>720</v>
      </c>
      <c r="D12">
        <v>100</v>
      </c>
      <c r="E12">
        <v>100</v>
      </c>
      <c r="F12">
        <v>1</v>
      </c>
      <c r="G12">
        <f t="shared" si="0"/>
        <v>100</v>
      </c>
      <c r="N12" t="s">
        <v>876</v>
      </c>
      <c r="O12" s="50">
        <f>'Location features'!$N$14*(76*O2/30+O4)*O8</f>
        <v>1387727.1818181819</v>
      </c>
      <c r="P12" s="50">
        <f>'Location features'!$N$14*(76*P2/30+P4)*P8</f>
        <v>5678725.7045454551</v>
      </c>
      <c r="Q12" s="50">
        <f>'Location features'!$N$14*76*Q2/30*Q8</f>
        <v>3469317.9545454551</v>
      </c>
    </row>
    <row r="13" spans="1:18">
      <c r="A13" t="s">
        <v>821</v>
      </c>
      <c r="B13">
        <v>5.15</v>
      </c>
      <c r="C13">
        <f t="shared" si="1"/>
        <v>720</v>
      </c>
      <c r="D13">
        <v>10</v>
      </c>
      <c r="E13">
        <v>10</v>
      </c>
      <c r="F13">
        <v>2</v>
      </c>
      <c r="G13">
        <f t="shared" si="0"/>
        <v>20</v>
      </c>
      <c r="N13" t="s">
        <v>889</v>
      </c>
      <c r="O13">
        <f>O8*(O2+O6)</f>
        <v>300</v>
      </c>
      <c r="P13">
        <f>P8*(P2+P6)</f>
        <v>1227.6315789473683</v>
      </c>
      <c r="Q13">
        <f>Q8*(Q2+Q6)</f>
        <v>750</v>
      </c>
    </row>
    <row r="14" spans="1:18">
      <c r="A14" t="s">
        <v>786</v>
      </c>
      <c r="B14">
        <v>25.35</v>
      </c>
      <c r="C14">
        <f t="shared" si="1"/>
        <v>720</v>
      </c>
      <c r="D14">
        <v>20</v>
      </c>
      <c r="E14">
        <v>20</v>
      </c>
      <c r="F14">
        <v>2</v>
      </c>
      <c r="G14">
        <f>F14*E14</f>
        <v>40</v>
      </c>
    </row>
    <row r="15" spans="1:18">
      <c r="A15" t="s">
        <v>786</v>
      </c>
      <c r="B15">
        <v>45.55</v>
      </c>
      <c r="C15">
        <f t="shared" si="1"/>
        <v>720</v>
      </c>
      <c r="D15">
        <v>30</v>
      </c>
      <c r="E15">
        <v>30</v>
      </c>
      <c r="F15">
        <v>2</v>
      </c>
      <c r="G15">
        <f>F15*E15</f>
        <v>60</v>
      </c>
      <c r="N15" s="204" t="s">
        <v>888</v>
      </c>
      <c r="O15" s="205"/>
      <c r="P15" s="206"/>
      <c r="Q15" t="s">
        <v>886</v>
      </c>
      <c r="R15" t="s">
        <v>887</v>
      </c>
    </row>
    <row r="16" spans="1:18" ht="15">
      <c r="A16" t="s">
        <v>786</v>
      </c>
      <c r="B16">
        <v>65.75</v>
      </c>
      <c r="C16">
        <f t="shared" si="1"/>
        <v>720</v>
      </c>
      <c r="D16">
        <v>40</v>
      </c>
      <c r="E16">
        <v>40</v>
      </c>
      <c r="F16">
        <v>2</v>
      </c>
      <c r="G16">
        <f>F16*E16</f>
        <v>80</v>
      </c>
      <c r="N16" s="197" t="s">
        <v>878</v>
      </c>
      <c r="O16" s="6" t="s">
        <v>880</v>
      </c>
      <c r="P16" s="198" t="s">
        <v>885</v>
      </c>
    </row>
    <row r="17" spans="1:18" ht="15">
      <c r="A17" t="s">
        <v>786</v>
      </c>
      <c r="B17">
        <v>80</v>
      </c>
      <c r="C17">
        <f t="shared" si="1"/>
        <v>720</v>
      </c>
      <c r="D17">
        <v>300</v>
      </c>
      <c r="E17">
        <v>300</v>
      </c>
      <c r="F17">
        <v>1</v>
      </c>
      <c r="G17">
        <f>F17*E17</f>
        <v>300</v>
      </c>
      <c r="N17" s="197" t="s">
        <v>879</v>
      </c>
      <c r="O17" s="6" t="s">
        <v>881</v>
      </c>
      <c r="P17" s="198"/>
    </row>
    <row r="18" spans="1:18" ht="15">
      <c r="A18" t="s">
        <v>890</v>
      </c>
      <c r="B18" t="s">
        <v>891</v>
      </c>
      <c r="C18">
        <f>24*7</f>
        <v>168</v>
      </c>
      <c r="D18">
        <v>100</v>
      </c>
      <c r="E18">
        <v>100</v>
      </c>
      <c r="F18">
        <v>4</v>
      </c>
      <c r="G18">
        <f>F18*E18</f>
        <v>400</v>
      </c>
      <c r="M18" t="s">
        <v>280</v>
      </c>
      <c r="N18" s="197">
        <f>(1660)/2.5/3*('Location features'!D10-'Location features'!J10)*3</f>
        <v>2030.1609195402302</v>
      </c>
      <c r="O18" s="6">
        <f>950*3+150</f>
        <v>3000</v>
      </c>
      <c r="P18" s="199">
        <f>SUM(N18,O18)</f>
        <v>5030.1609195402307</v>
      </c>
      <c r="Q18" s="50">
        <f>P18</f>
        <v>5030.1609195402307</v>
      </c>
      <c r="R18">
        <f>76*R19/30</f>
        <v>1900</v>
      </c>
    </row>
    <row r="19" spans="1:18" ht="15">
      <c r="A19" t="s">
        <v>787</v>
      </c>
      <c r="C19">
        <f>C12</f>
        <v>720</v>
      </c>
      <c r="D19">
        <v>100</v>
      </c>
      <c r="E19">
        <v>100</v>
      </c>
      <c r="F19">
        <v>1</v>
      </c>
      <c r="G19">
        <f t="shared" si="0"/>
        <v>100</v>
      </c>
      <c r="M19" t="s">
        <v>883</v>
      </c>
      <c r="N19" s="197">
        <f>N18/76*30</f>
        <v>801.37931034482767</v>
      </c>
      <c r="O19" s="6">
        <f>O18/76*30</f>
        <v>1184.2105263157894</v>
      </c>
      <c r="P19" s="199">
        <f>SUM(N19,O19)</f>
        <v>1985.589836660617</v>
      </c>
      <c r="Q19" s="50">
        <f>P19</f>
        <v>1985.589836660617</v>
      </c>
      <c r="R19">
        <v>750</v>
      </c>
    </row>
    <row r="20" spans="1:18" ht="15">
      <c r="A20" t="s">
        <v>788</v>
      </c>
      <c r="C20">
        <f>24*7</f>
        <v>168</v>
      </c>
      <c r="D20">
        <v>100</v>
      </c>
      <c r="E20">
        <v>100</v>
      </c>
      <c r="F20">
        <v>4</v>
      </c>
      <c r="G20">
        <f t="shared" si="0"/>
        <v>400</v>
      </c>
      <c r="M20" t="s">
        <v>882</v>
      </c>
      <c r="N20" s="200">
        <f>N18*'Location features'!N10</f>
        <v>3296576.8275862075</v>
      </c>
      <c r="O20" s="39">
        <f>O18*'Location features'!N21</f>
        <v>2767478.4172661868</v>
      </c>
      <c r="P20" s="199">
        <f>SUM(N20,O20)</f>
        <v>6064055.2448523939</v>
      </c>
      <c r="Q20" s="1">
        <f>'Location features'!$N$14*Crystals!Q18</f>
        <v>9184856.6275862083</v>
      </c>
      <c r="R20" s="1">
        <f>'Location features'!$N$14*Crystals!R18</f>
        <v>3469317.9545454551</v>
      </c>
    </row>
    <row r="21" spans="1:18" ht="15">
      <c r="M21" t="s">
        <v>884</v>
      </c>
      <c r="N21" s="201">
        <f>N18*'Location features'!P10</f>
        <v>493206.98850574717</v>
      </c>
      <c r="O21" s="202">
        <v>0</v>
      </c>
      <c r="P21" s="203">
        <f>SUM(N21,O21)</f>
        <v>493206.98850574717</v>
      </c>
      <c r="Q21" s="1">
        <f>Q18*'Location features'!$P$14</f>
        <v>2492899.355478928</v>
      </c>
      <c r="R21" s="1">
        <f>R18*'Location features'!$P$14</f>
        <v>941621.71969696973</v>
      </c>
    </row>
    <row r="22" spans="1:18" ht="15">
      <c r="F22" s="36" t="s">
        <v>793</v>
      </c>
      <c r="G22" s="36">
        <f>SUM(Tabela20[Cryst/Month])</f>
        <v>2475</v>
      </c>
      <c r="M22" t="s">
        <v>72</v>
      </c>
      <c r="P22">
        <f>(O7+P7)*P19/(15*(O2+P2+P6))</f>
        <v>179.04513350559864</v>
      </c>
      <c r="R22">
        <v>200</v>
      </c>
    </row>
  </sheetData>
  <mergeCells count="1">
    <mergeCell ref="N15:P15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workbookViewId="0">
      <selection activeCell="M6" sqref="M6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19" max="19" width="18.625" bestFit="1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71</v>
      </c>
      <c r="T1" t="s">
        <v>72</v>
      </c>
      <c r="U1" t="s">
        <v>73</v>
      </c>
      <c r="V1" t="s">
        <v>14</v>
      </c>
      <c r="W1" t="s">
        <v>75</v>
      </c>
      <c r="X1" t="s">
        <v>141</v>
      </c>
      <c r="Y1" t="s">
        <v>74</v>
      </c>
      <c r="Z1" t="s">
        <v>76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116</v>
      </c>
      <c r="N2" t="s">
        <v>117</v>
      </c>
      <c r="O2" t="s">
        <v>328</v>
      </c>
      <c r="P2" t="s">
        <v>120</v>
      </c>
      <c r="Q2" t="s">
        <v>826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118</v>
      </c>
      <c r="M3">
        <f>5-Tabela6[[#This Row],[Done]]</f>
        <v>4</v>
      </c>
      <c r="N3">
        <v>1</v>
      </c>
      <c r="O3" s="43">
        <v>0</v>
      </c>
      <c r="P3" s="1">
        <v>0</v>
      </c>
      <c r="Q3" s="1">
        <f>Tabela6[[#This Row],[Missing]]*22300</f>
        <v>89200</v>
      </c>
      <c r="R3">
        <v>2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80</v>
      </c>
      <c r="M4">
        <f>MAXA(M3-Tabela6[[#This Row],[Done]],0)</f>
        <v>4</v>
      </c>
      <c r="N4">
        <v>0</v>
      </c>
      <c r="O4" s="43">
        <f>MAXA(Tabela6[[#This Row],[Done]]-M3,0)</f>
        <v>0</v>
      </c>
      <c r="P4" s="1">
        <f>M4*$B$5</f>
        <v>759000</v>
      </c>
      <c r="Q4" s="1">
        <f>Tabela6[[#This Row],[Missing]]*9600</f>
        <v>38400</v>
      </c>
      <c r="R4">
        <v>0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79</v>
      </c>
      <c r="M5">
        <f>MAXA(4*M3-Tabela6[[#This Row],[Done]],0)</f>
        <v>0</v>
      </c>
      <c r="N5">
        <v>16</v>
      </c>
      <c r="O5" s="43">
        <f>MAXA(-(4*M3-Tabela6[[#This Row],[Done]])-M4,0)</f>
        <v>0</v>
      </c>
      <c r="P5" s="1"/>
      <c r="Q5" s="1">
        <f>Tabela6[[#This Row],[Missing]]*9600</f>
        <v>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77</v>
      </c>
      <c r="M6">
        <f>MAXA(M5+M4-O5-Tabela6[[#This Row],[Done]],0)</f>
        <v>4</v>
      </c>
      <c r="N6">
        <v>0</v>
      </c>
      <c r="O6" s="43">
        <f>MAXA(-(M5+M4-O5-Tabela6[[#This Row],[Done]]),0)</f>
        <v>0</v>
      </c>
      <c r="P6" s="1">
        <f>M6*$B$4</f>
        <v>328728</v>
      </c>
      <c r="Q6" s="1">
        <f>Tabela6[[#This Row],[Missing]]*4000</f>
        <v>16000</v>
      </c>
      <c r="R6">
        <v>11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78</v>
      </c>
      <c r="M7">
        <f>MAXA(3*(M5+M4-O5)-Tabela6[[#This Row],[Done]],0)</f>
        <v>12</v>
      </c>
      <c r="N7">
        <v>0</v>
      </c>
      <c r="O7" s="43">
        <f>MAXA(-3*(M4+M5-O5)+Tabela6[[#This Row],[Done]],0)</f>
        <v>0</v>
      </c>
      <c r="P7" s="1"/>
      <c r="Q7" s="1">
        <f>Tabela6[[#This Row],[Missing]]*4000</f>
        <v>48000</v>
      </c>
      <c r="R7">
        <v>6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119</v>
      </c>
      <c r="M8">
        <f>MAXA(M7+M6-O7-Tabela6[[#This Row],[Done]],0)</f>
        <v>16</v>
      </c>
      <c r="N8">
        <v>0</v>
      </c>
      <c r="O8" s="43">
        <f>MAXA(-(M7+M6-O7-Tabela6[[#This Row],[Done]]),0)</f>
        <v>0</v>
      </c>
      <c r="P8" s="1">
        <f>M8*$B$3</f>
        <v>573152</v>
      </c>
      <c r="Q8" s="1">
        <f>Tabela6[[#This Row],[Missing]]*4000</f>
        <v>64000</v>
      </c>
      <c r="R8">
        <v>9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122</v>
      </c>
      <c r="M9" s="6">
        <f>MAXA(2*(M7+M6-O7)-Tabela6[[#This Row],[Done]],0)</f>
        <v>32</v>
      </c>
      <c r="N9">
        <v>0</v>
      </c>
      <c r="O9" s="43">
        <f>MAXA(-(2*M7+M8-Tabela6[[#This Row],[Done]]),0)</f>
        <v>0</v>
      </c>
      <c r="P9" s="39"/>
      <c r="Q9" s="39">
        <f>Tabela6[[#This Row],[Missing]]*11000</f>
        <v>352000</v>
      </c>
      <c r="R9">
        <v>20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161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162</v>
      </c>
      <c r="M11" s="6">
        <f>MAXA(2*M10-Tabela6[[#This Row],[Done]],0)</f>
        <v>0</v>
      </c>
      <c r="N11">
        <v>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121</v>
      </c>
      <c r="P12" s="38">
        <f>SUM(Tabela6[XP to gain])</f>
        <v>1660880</v>
      </c>
      <c r="Q12" s="38">
        <f>SUM(Q3:Q9)</f>
        <v>607600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116</v>
      </c>
      <c r="N14" t="s">
        <v>117</v>
      </c>
      <c r="O14" t="s">
        <v>120</v>
      </c>
      <c r="P14" t="s">
        <v>35</v>
      </c>
      <c r="S14" t="s">
        <v>874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118</v>
      </c>
      <c r="M15">
        <v>1</v>
      </c>
      <c r="N15">
        <v>0</v>
      </c>
      <c r="O15" s="1">
        <v>0</v>
      </c>
      <c r="S15">
        <f>(1190/2.5/3*('Location features'!D9-'Location features'!J9)+Fusion!U97)/76*30</f>
        <v>627.55983850636653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80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79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77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78</v>
      </c>
      <c r="M19">
        <f>3*(M17+M16)-Tabela66[[#This Row],[Done]]</f>
        <v>15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119</v>
      </c>
      <c r="M20">
        <f>MAXA(M19+M18-Tabela66[[#This Row],[Done]],0)</f>
        <v>19</v>
      </c>
      <c r="N20">
        <v>0</v>
      </c>
      <c r="O20" s="1">
        <f>M20*$B$3</f>
        <v>680618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122</v>
      </c>
      <c r="M21" s="6">
        <f>2*(M19+M18)-Tabela66[[#This Row],[Done]]</f>
        <v>38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161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162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121</v>
      </c>
      <c r="O24" s="38">
        <f>SUM(Tabela66[XP to gain])</f>
        <v>1199096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224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116</v>
      </c>
      <c r="N27" t="s">
        <v>117</v>
      </c>
      <c r="O27" t="s">
        <v>120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329</v>
      </c>
      <c r="M28">
        <v>0</v>
      </c>
      <c r="N28">
        <v>3</v>
      </c>
      <c r="O28" s="1">
        <f>Tabela610[[#This Row],[Missing]]*$B$6</f>
        <v>0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80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79</v>
      </c>
      <c r="M30">
        <v>1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77</v>
      </c>
      <c r="M31">
        <f>MAXA(M30-Tabela610[[#This Row],[Done]],0)</f>
        <v>1</v>
      </c>
      <c r="N31">
        <f>O6</f>
        <v>0</v>
      </c>
      <c r="O31" s="1">
        <f>M31*$B$4</f>
        <v>82182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78</v>
      </c>
      <c r="M32">
        <f>MAXA(3*M30-Tabela610[[#This Row],[Done]],0)</f>
        <v>3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119</v>
      </c>
      <c r="M33">
        <v>4</v>
      </c>
      <c r="N33">
        <f>O8</f>
        <v>0</v>
      </c>
      <c r="O33" s="1">
        <f>M33*$B$3</f>
        <v>143288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122</v>
      </c>
      <c r="M34" s="6">
        <v>8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161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162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121</v>
      </c>
      <c r="O37" s="38">
        <f>SUM(Tabela610[XP to gain])</f>
        <v>225470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workbookViewId="0">
      <selection activeCell="L2" sqref="L2"/>
    </sheetView>
  </sheetViews>
  <sheetFormatPr defaultRowHeight="14.25"/>
  <cols>
    <col min="2" max="2" width="4.125" bestFit="1" customWidth="1"/>
    <col min="3" max="3" width="5.5" bestFit="1" customWidth="1"/>
    <col min="4" max="4" width="5.75" bestFit="1" customWidth="1"/>
    <col min="5" max="5" width="17.75" bestFit="1" customWidth="1"/>
    <col min="6" max="6" width="14.375" bestFit="1" customWidth="1"/>
    <col min="7" max="7" width="11.125" bestFit="1" customWidth="1"/>
    <col min="8" max="9" width="10.875" bestFit="1" customWidth="1"/>
    <col min="13" max="13" width="10" bestFit="1" customWidth="1"/>
  </cols>
  <sheetData>
    <row r="1" spans="1:15">
      <c r="A1" t="s">
        <v>867</v>
      </c>
      <c r="B1" t="s">
        <v>862</v>
      </c>
      <c r="C1" t="s">
        <v>340</v>
      </c>
      <c r="D1" t="s">
        <v>857</v>
      </c>
      <c r="E1" t="s">
        <v>864</v>
      </c>
      <c r="F1" t="s">
        <v>865</v>
      </c>
      <c r="G1" t="s">
        <v>871</v>
      </c>
      <c r="H1" t="s">
        <v>872</v>
      </c>
      <c r="I1" t="s">
        <v>866</v>
      </c>
      <c r="K1" t="s">
        <v>870</v>
      </c>
      <c r="L1" t="s">
        <v>873</v>
      </c>
      <c r="M1" t="s">
        <v>868</v>
      </c>
      <c r="N1" t="s">
        <v>863</v>
      </c>
      <c r="O1" t="s">
        <v>869</v>
      </c>
    </row>
    <row r="2" spans="1:15">
      <c r="A2" t="s">
        <v>858</v>
      </c>
      <c r="B2">
        <v>1</v>
      </c>
      <c r="C2" s="15">
        <f>$M$2+N2+0.35</f>
        <v>1.65</v>
      </c>
      <c r="D2">
        <f>$K$2+$L$2</f>
        <v>131</v>
      </c>
      <c r="E2" s="19">
        <f>(265+1.25*$D2)/100*(1+$C2)</f>
        <v>11.361875</v>
      </c>
      <c r="F2" s="17">
        <f>E2</f>
        <v>11.361875</v>
      </c>
      <c r="G2" s="17">
        <f>E2+E6</f>
        <v>19.776874999999997</v>
      </c>
      <c r="H2" s="17">
        <f>F2+F6</f>
        <v>19.776874999999997</v>
      </c>
      <c r="I2" s="19">
        <f>(265+1.25*$D2*1.33)/100*(1+$C2)</f>
        <v>12.793868750000001</v>
      </c>
      <c r="K2">
        <v>100</v>
      </c>
      <c r="L2">
        <v>31</v>
      </c>
      <c r="M2" s="15">
        <v>0.93</v>
      </c>
      <c r="N2" s="15">
        <v>0.37</v>
      </c>
      <c r="O2">
        <v>39</v>
      </c>
    </row>
    <row r="3" spans="1:15">
      <c r="A3" s="2" t="s">
        <v>859</v>
      </c>
      <c r="B3" s="2">
        <v>1</v>
      </c>
      <c r="C3" s="144">
        <f>C2-N2</f>
        <v>1.2799999999999998</v>
      </c>
      <c r="D3" s="2">
        <f>D2+$O$2</f>
        <v>170</v>
      </c>
      <c r="E3" s="195">
        <f t="shared" ref="E3:E5" si="0">(265+1.25*$D3)/100*(1+$C3)</f>
        <v>10.887</v>
      </c>
      <c r="F3" s="196">
        <f t="shared" ref="F3:F9" si="1">E3*D3/$D$2</f>
        <v>14.128167938931297</v>
      </c>
      <c r="G3" s="196">
        <f t="shared" ref="G3:G5" si="2">E3+E7</f>
        <v>17.414999999999999</v>
      </c>
      <c r="H3" s="196">
        <f>F3+F7</f>
        <v>22.599618320610684</v>
      </c>
      <c r="I3" s="195">
        <f>(265+1.25*$D3*1.33)/100*(1+$C3)</f>
        <v>12.485849999999999</v>
      </c>
      <c r="K3">
        <v>100</v>
      </c>
      <c r="L3">
        <v>31</v>
      </c>
      <c r="M3" s="15">
        <v>0.93</v>
      </c>
      <c r="N3" s="15">
        <v>0.63</v>
      </c>
      <c r="O3">
        <v>39</v>
      </c>
    </row>
    <row r="4" spans="1:15">
      <c r="A4" t="s">
        <v>860</v>
      </c>
      <c r="B4">
        <v>1</v>
      </c>
      <c r="C4" s="15">
        <f>$M$2+N2</f>
        <v>1.3</v>
      </c>
      <c r="D4">
        <f>D2+20</f>
        <v>151</v>
      </c>
      <c r="E4" s="19">
        <f t="shared" si="0"/>
        <v>10.436249999999998</v>
      </c>
      <c r="F4" s="17">
        <f t="shared" si="1"/>
        <v>12.029570610687021</v>
      </c>
      <c r="G4" s="17">
        <f t="shared" si="2"/>
        <v>17.066249999999997</v>
      </c>
      <c r="H4" s="17">
        <f>F4+F8</f>
        <v>19.671784351145035</v>
      </c>
      <c r="I4" s="19">
        <f>(265+1.25*$D4*1.33)/100*(1+$C4)</f>
        <v>11.868862499999999</v>
      </c>
    </row>
    <row r="5" spans="1:15">
      <c r="A5" t="s">
        <v>861</v>
      </c>
      <c r="B5">
        <v>1</v>
      </c>
      <c r="C5" s="15">
        <f>$M$2</f>
        <v>0.93</v>
      </c>
      <c r="D5">
        <f>D4+$O$2</f>
        <v>190</v>
      </c>
      <c r="E5" s="19">
        <f t="shared" si="0"/>
        <v>9.6982500000000016</v>
      </c>
      <c r="F5" s="17">
        <f t="shared" si="1"/>
        <v>14.066164122137407</v>
      </c>
      <c r="G5" s="17">
        <f t="shared" si="2"/>
        <v>14.441250000000002</v>
      </c>
      <c r="H5" s="17">
        <f>F5+F9</f>
        <v>20.945324427480919</v>
      </c>
      <c r="I5" s="19">
        <f>(265+1.25*$D5*1.33)/100*(1+$C5)</f>
        <v>11.2108875</v>
      </c>
    </row>
    <row r="6" spans="1:15">
      <c r="A6" t="s">
        <v>858</v>
      </c>
      <c r="B6">
        <v>2</v>
      </c>
      <c r="C6" s="15">
        <f t="shared" ref="C6:D9" si="3">C2</f>
        <v>1.65</v>
      </c>
      <c r="D6">
        <f t="shared" si="3"/>
        <v>131</v>
      </c>
      <c r="E6" s="19">
        <f>1.7*3*C6</f>
        <v>8.4149999999999991</v>
      </c>
      <c r="F6" s="17">
        <f t="shared" si="1"/>
        <v>8.4149999999999991</v>
      </c>
      <c r="G6" s="17"/>
    </row>
    <row r="7" spans="1:15">
      <c r="A7" t="s">
        <v>859</v>
      </c>
      <c r="B7">
        <v>2</v>
      </c>
      <c r="C7" s="15">
        <f t="shared" si="3"/>
        <v>1.2799999999999998</v>
      </c>
      <c r="D7">
        <f t="shared" si="3"/>
        <v>170</v>
      </c>
      <c r="E7" s="19">
        <f>1.7*3*C7</f>
        <v>6.5279999999999987</v>
      </c>
      <c r="F7" s="17">
        <f t="shared" si="1"/>
        <v>8.4714503816793876</v>
      </c>
      <c r="G7" s="17"/>
    </row>
    <row r="8" spans="1:15">
      <c r="A8" t="s">
        <v>860</v>
      </c>
      <c r="B8">
        <v>2</v>
      </c>
      <c r="C8" s="15">
        <f t="shared" si="3"/>
        <v>1.3</v>
      </c>
      <c r="D8">
        <f t="shared" si="3"/>
        <v>151</v>
      </c>
      <c r="E8" s="19">
        <f>1.7*3*C8</f>
        <v>6.63</v>
      </c>
      <c r="F8" s="17">
        <f t="shared" si="1"/>
        <v>7.6422137404580148</v>
      </c>
      <c r="G8" s="17"/>
    </row>
    <row r="9" spans="1:15">
      <c r="A9" t="s">
        <v>861</v>
      </c>
      <c r="B9">
        <v>2</v>
      </c>
      <c r="C9" s="15">
        <f t="shared" si="3"/>
        <v>0.93</v>
      </c>
      <c r="D9">
        <f t="shared" si="3"/>
        <v>190</v>
      </c>
      <c r="E9" s="19">
        <f>1.7*3*C9</f>
        <v>4.7430000000000003</v>
      </c>
      <c r="F9" s="17">
        <f t="shared" si="1"/>
        <v>6.879160305343512</v>
      </c>
      <c r="G9" s="17"/>
    </row>
    <row r="11" spans="1:15">
      <c r="F11" s="1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997"/>
  <sheetViews>
    <sheetView zoomScale="85" zoomScaleNormal="85" workbookViewId="0">
      <pane ySplit="1" topLeftCell="A1405" activePane="bottomLeft" state="frozen"/>
      <selection pane="bottomLeft" activeCell="E1453" sqref="E1453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5" max="15" width="17.125" customWidth="1"/>
    <col min="16" max="16" width="16.75" customWidth="1"/>
    <col min="17" max="19" width="3.125" customWidth="1"/>
    <col min="20" max="21" width="4.125" customWidth="1"/>
    <col min="22" max="22" width="3.125" customWidth="1"/>
    <col min="23" max="23" width="7.125" customWidth="1"/>
    <col min="24" max="24" width="14.125" customWidth="1"/>
    <col min="25" max="25" width="2.75" customWidth="1"/>
    <col min="26" max="26" width="13" customWidth="1"/>
    <col min="27" max="27" width="6.5" customWidth="1"/>
    <col min="28" max="28" width="10.125" customWidth="1"/>
    <col min="29" max="29" width="7.75" customWidth="1"/>
    <col min="30" max="30" width="2.75" customWidth="1"/>
    <col min="31" max="31" width="11.5" customWidth="1"/>
    <col min="32" max="32" width="7.75" customWidth="1"/>
    <col min="33" max="33" width="2.75" customWidth="1"/>
    <col min="34" max="34" width="11.5" customWidth="1"/>
    <col min="35" max="35" width="11.75" customWidth="1"/>
    <col min="36" max="36" width="15.625" customWidth="1"/>
    <col min="37" max="37" width="14.5" customWidth="1"/>
    <col min="38" max="38" width="18.25" customWidth="1"/>
    <col min="39" max="39" width="7.625" customWidth="1"/>
    <col min="40" max="41" width="3.125" customWidth="1"/>
    <col min="42" max="42" width="2.75" customWidth="1"/>
    <col min="43" max="43" width="11.25" customWidth="1"/>
    <col min="44" max="44" width="8.875" customWidth="1"/>
    <col min="45" max="45" width="12.625" customWidth="1"/>
    <col min="46" max="46" width="3.75" customWidth="1"/>
    <col min="47" max="47" width="7.375" customWidth="1"/>
    <col min="48" max="48" width="14.125" bestFit="1" customWidth="1"/>
  </cols>
  <sheetData>
    <row r="1" spans="1:24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56</v>
      </c>
      <c r="H1" t="s">
        <v>202</v>
      </c>
      <c r="I1" t="s">
        <v>175</v>
      </c>
      <c r="J1" t="s">
        <v>174</v>
      </c>
      <c r="K1" t="s">
        <v>181</v>
      </c>
      <c r="L1" t="s">
        <v>179</v>
      </c>
      <c r="M1" t="s">
        <v>261</v>
      </c>
      <c r="O1" t="s">
        <v>11</v>
      </c>
      <c r="P1" t="s">
        <v>202</v>
      </c>
      <c r="Q1" t="s">
        <v>174</v>
      </c>
      <c r="R1" t="s">
        <v>181</v>
      </c>
      <c r="S1" t="s">
        <v>179</v>
      </c>
      <c r="T1" t="s">
        <v>289</v>
      </c>
    </row>
    <row r="2" spans="1:24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57</v>
      </c>
      <c r="P2" t="s">
        <v>12</v>
      </c>
      <c r="Q2" s="1"/>
      <c r="R2">
        <v>11500</v>
      </c>
      <c r="S2">
        <v>15120</v>
      </c>
      <c r="T2">
        <v>0</v>
      </c>
    </row>
    <row r="3" spans="1:24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57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4">
      <c r="A4" t="s">
        <v>8</v>
      </c>
      <c r="B4" t="s">
        <v>9</v>
      </c>
      <c r="C4">
        <v>3</v>
      </c>
      <c r="D4">
        <v>1668</v>
      </c>
      <c r="E4">
        <v>1</v>
      </c>
      <c r="F4" t="s">
        <v>57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58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4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58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4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50">
        <f>(11500-300*5)/5</f>
        <v>2000</v>
      </c>
      <c r="S6">
        <v>800</v>
      </c>
      <c r="T6">
        <v>800</v>
      </c>
    </row>
    <row r="7" spans="1:24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288</v>
      </c>
      <c r="P7" t="s">
        <v>17</v>
      </c>
      <c r="Q7" s="50">
        <v>120000</v>
      </c>
      <c r="R7">
        <v>0</v>
      </c>
      <c r="S7">
        <v>0</v>
      </c>
      <c r="T7">
        <v>0</v>
      </c>
    </row>
    <row r="8" spans="1:24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205</v>
      </c>
      <c r="P8" t="s">
        <v>26</v>
      </c>
      <c r="Q8" s="1"/>
      <c r="R8">
        <f>R3/40</f>
        <v>862.5</v>
      </c>
      <c r="T8">
        <f>T3/40</f>
        <v>895.55</v>
      </c>
    </row>
    <row r="9" spans="1:24">
      <c r="A9" t="s">
        <v>8</v>
      </c>
      <c r="B9" t="s">
        <v>9</v>
      </c>
      <c r="C9">
        <v>3</v>
      </c>
      <c r="D9">
        <v>1401</v>
      </c>
      <c r="E9">
        <v>0</v>
      </c>
      <c r="F9" t="s">
        <v>57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4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  <c r="O10" s="11" t="s">
        <v>260</v>
      </c>
      <c r="P10" s="11" t="s">
        <v>142</v>
      </c>
    </row>
    <row r="11" spans="1:24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  <c r="O11" s="11" t="s">
        <v>64</v>
      </c>
      <c r="P11">
        <v>0</v>
      </c>
      <c r="Q11" t="s">
        <v>17</v>
      </c>
      <c r="R11" t="s">
        <v>12</v>
      </c>
      <c r="S11" t="s">
        <v>26</v>
      </c>
      <c r="T11" t="s">
        <v>27</v>
      </c>
      <c r="U11" t="s">
        <v>28</v>
      </c>
      <c r="V11" t="s">
        <v>29</v>
      </c>
      <c r="W11" t="s">
        <v>65</v>
      </c>
      <c r="X11" t="s">
        <v>66</v>
      </c>
    </row>
    <row r="12" spans="1:24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57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  <c r="O12" s="12" t="s">
        <v>178</v>
      </c>
      <c r="P12" s="43"/>
      <c r="Q12" s="43">
        <v>35</v>
      </c>
      <c r="R12" s="43">
        <v>6</v>
      </c>
      <c r="S12" s="43">
        <v>3</v>
      </c>
      <c r="T12" s="43">
        <v>46</v>
      </c>
      <c r="U12" s="43">
        <v>43</v>
      </c>
      <c r="V12" s="43">
        <v>10</v>
      </c>
      <c r="W12" s="43">
        <v>4</v>
      </c>
      <c r="X12" s="43">
        <v>147</v>
      </c>
    </row>
    <row r="13" spans="1:24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  <c r="O13" s="13">
        <v>7</v>
      </c>
      <c r="P13" s="43"/>
      <c r="Q13" s="43"/>
      <c r="R13" s="43"/>
      <c r="S13" s="43"/>
      <c r="T13" s="43">
        <v>3</v>
      </c>
      <c r="U13" s="43"/>
      <c r="V13" s="43"/>
      <c r="W13" s="43"/>
      <c r="X13" s="43">
        <v>3</v>
      </c>
    </row>
    <row r="14" spans="1:24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  <c r="O14" s="13">
        <v>8</v>
      </c>
      <c r="P14" s="43"/>
      <c r="Q14" s="43">
        <v>6</v>
      </c>
      <c r="R14" s="43">
        <v>1</v>
      </c>
      <c r="S14" s="43"/>
      <c r="T14" s="43">
        <v>6</v>
      </c>
      <c r="U14" s="43">
        <v>5</v>
      </c>
      <c r="V14" s="43"/>
      <c r="W14" s="43"/>
      <c r="X14" s="43">
        <v>18</v>
      </c>
    </row>
    <row r="15" spans="1:24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  <c r="O15" s="13">
        <v>9</v>
      </c>
      <c r="P15" s="43"/>
      <c r="Q15" s="43">
        <v>24</v>
      </c>
      <c r="R15" s="43">
        <v>4</v>
      </c>
      <c r="S15" s="43">
        <v>2</v>
      </c>
      <c r="T15" s="43">
        <v>35</v>
      </c>
      <c r="U15" s="43">
        <v>32</v>
      </c>
      <c r="V15" s="43">
        <v>9</v>
      </c>
      <c r="W15" s="43">
        <v>4</v>
      </c>
      <c r="X15" s="43">
        <v>110</v>
      </c>
    </row>
    <row r="16" spans="1:24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  <c r="O16" s="13">
        <v>10</v>
      </c>
      <c r="P16" s="43"/>
      <c r="Q16" s="43">
        <v>5</v>
      </c>
      <c r="R16" s="43">
        <v>1</v>
      </c>
      <c r="S16" s="43">
        <v>1</v>
      </c>
      <c r="T16" s="43">
        <v>2</v>
      </c>
      <c r="U16" s="43">
        <v>6</v>
      </c>
      <c r="V16" s="43">
        <v>1</v>
      </c>
      <c r="W16" s="43"/>
      <c r="X16" s="43">
        <v>16</v>
      </c>
    </row>
    <row r="17" spans="1:24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57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  <c r="O17" s="12" t="s">
        <v>172</v>
      </c>
      <c r="P17" s="43">
        <v>1</v>
      </c>
      <c r="Q17" s="43">
        <v>60</v>
      </c>
      <c r="R17" s="43">
        <v>11</v>
      </c>
      <c r="S17" s="43">
        <v>7</v>
      </c>
      <c r="T17" s="43">
        <v>86</v>
      </c>
      <c r="U17" s="43">
        <v>105</v>
      </c>
      <c r="V17" s="43">
        <v>12</v>
      </c>
      <c r="W17" s="43">
        <v>21</v>
      </c>
      <c r="X17" s="43">
        <v>303</v>
      </c>
    </row>
    <row r="18" spans="1:24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  <c r="O18" s="13">
        <v>3</v>
      </c>
      <c r="P18" s="43"/>
      <c r="Q18" s="43"/>
      <c r="R18" s="43"/>
      <c r="S18" s="43"/>
      <c r="T18" s="43"/>
      <c r="U18" s="43"/>
      <c r="V18" s="43"/>
      <c r="W18" s="43">
        <v>1</v>
      </c>
      <c r="X18" s="43">
        <v>1</v>
      </c>
    </row>
    <row r="19" spans="1:24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  <c r="O19" s="13">
        <v>4</v>
      </c>
      <c r="P19" s="43"/>
      <c r="Q19" s="43"/>
      <c r="R19" s="43"/>
      <c r="S19" s="43"/>
      <c r="T19" s="43"/>
      <c r="U19" s="43"/>
      <c r="V19" s="43"/>
      <c r="W19" s="43">
        <v>1</v>
      </c>
      <c r="X19" s="43">
        <v>1</v>
      </c>
    </row>
    <row r="20" spans="1:24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  <c r="O20" s="13">
        <v>5</v>
      </c>
      <c r="P20" s="43"/>
      <c r="Q20" s="43">
        <v>5</v>
      </c>
      <c r="R20" s="43"/>
      <c r="S20" s="43"/>
      <c r="T20" s="43"/>
      <c r="U20" s="43"/>
      <c r="V20" s="43"/>
      <c r="W20" s="43">
        <v>11</v>
      </c>
      <c r="X20" s="43">
        <v>16</v>
      </c>
    </row>
    <row r="21" spans="1:24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  <c r="O21" s="13">
        <v>6</v>
      </c>
      <c r="P21" s="43"/>
      <c r="Q21" s="43">
        <v>3</v>
      </c>
      <c r="R21" s="43">
        <v>1</v>
      </c>
      <c r="S21" s="43"/>
      <c r="T21" s="43">
        <v>1</v>
      </c>
      <c r="U21" s="43"/>
      <c r="V21" s="43"/>
      <c r="W21" s="43">
        <v>6</v>
      </c>
      <c r="X21" s="43">
        <v>11</v>
      </c>
    </row>
    <row r="22" spans="1:24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57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  <c r="O22" s="13">
        <v>7</v>
      </c>
      <c r="P22" s="43"/>
      <c r="Q22" s="43">
        <v>17</v>
      </c>
      <c r="R22" s="43">
        <v>1</v>
      </c>
      <c r="S22" s="43">
        <v>3</v>
      </c>
      <c r="T22" s="43">
        <v>23</v>
      </c>
      <c r="U22" s="43">
        <v>5</v>
      </c>
      <c r="V22" s="43"/>
      <c r="W22" s="43">
        <v>1</v>
      </c>
      <c r="X22" s="43">
        <v>50</v>
      </c>
    </row>
    <row r="23" spans="1:24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  <c r="O23" s="13">
        <v>8</v>
      </c>
      <c r="P23" s="43"/>
      <c r="Q23" s="43">
        <v>8</v>
      </c>
      <c r="R23" s="43"/>
      <c r="S23" s="43"/>
      <c r="T23" s="43">
        <v>17</v>
      </c>
      <c r="U23" s="43">
        <v>11</v>
      </c>
      <c r="V23" s="43"/>
      <c r="W23" s="43">
        <v>1</v>
      </c>
      <c r="X23" s="43">
        <v>37</v>
      </c>
    </row>
    <row r="24" spans="1:24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  <c r="O24" s="13">
        <v>10</v>
      </c>
      <c r="P24" s="43">
        <v>1</v>
      </c>
      <c r="Q24" s="43">
        <v>27</v>
      </c>
      <c r="R24" s="43">
        <v>9</v>
      </c>
      <c r="S24" s="43">
        <v>4</v>
      </c>
      <c r="T24" s="43">
        <v>45</v>
      </c>
      <c r="U24" s="43">
        <v>89</v>
      </c>
      <c r="V24" s="43">
        <v>12</v>
      </c>
      <c r="W24" s="43"/>
      <c r="X24" s="43">
        <v>187</v>
      </c>
    </row>
    <row r="25" spans="1:24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  <c r="O25" s="12" t="s">
        <v>66</v>
      </c>
      <c r="P25" s="43">
        <v>1</v>
      </c>
      <c r="Q25" s="43">
        <v>95</v>
      </c>
      <c r="R25" s="43">
        <v>17</v>
      </c>
      <c r="S25" s="43">
        <v>10</v>
      </c>
      <c r="T25" s="43">
        <v>132</v>
      </c>
      <c r="U25" s="43">
        <v>148</v>
      </c>
      <c r="V25" s="43">
        <v>22</v>
      </c>
      <c r="W25" s="43">
        <v>25</v>
      </c>
      <c r="X25" s="43">
        <v>450</v>
      </c>
    </row>
    <row r="26" spans="1:24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24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24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24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24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24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24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57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57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172</v>
      </c>
      <c r="B119" t="s">
        <v>9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36</v>
      </c>
      <c r="B120" t="s">
        <v>9</v>
      </c>
      <c r="C120">
        <v>5</v>
      </c>
      <c r="D120">
        <v>1712</v>
      </c>
      <c r="E120">
        <v>2</v>
      </c>
      <c r="F120" t="s">
        <v>252</v>
      </c>
      <c r="G120">
        <v>2</v>
      </c>
      <c r="H120" t="s">
        <v>270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57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58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57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57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57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57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36</v>
      </c>
      <c r="B170" t="s">
        <v>9</v>
      </c>
      <c r="C170">
        <v>4</v>
      </c>
      <c r="D170">
        <v>1346</v>
      </c>
      <c r="E170">
        <v>1</v>
      </c>
      <c r="F170" t="s">
        <v>252</v>
      </c>
      <c r="G170">
        <v>2</v>
      </c>
      <c r="H170" t="s">
        <v>270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36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36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36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36</v>
      </c>
      <c r="B174" t="s">
        <v>9</v>
      </c>
      <c r="C174">
        <v>4</v>
      </c>
      <c r="D174">
        <v>1365</v>
      </c>
      <c r="E174">
        <v>1</v>
      </c>
      <c r="F174" t="s">
        <v>252</v>
      </c>
      <c r="G174">
        <v>1</v>
      </c>
      <c r="H174" t="s">
        <v>292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36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36</v>
      </c>
      <c r="B176" t="s">
        <v>9</v>
      </c>
      <c r="C176">
        <v>4</v>
      </c>
      <c r="D176">
        <v>1209</v>
      </c>
      <c r="E176">
        <v>1</v>
      </c>
      <c r="F176" t="s">
        <v>249</v>
      </c>
      <c r="G176">
        <v>2</v>
      </c>
      <c r="H176" t="s">
        <v>270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59</v>
      </c>
      <c r="B178" t="s">
        <v>32</v>
      </c>
      <c r="C178">
        <v>2</v>
      </c>
      <c r="D178">
        <v>1192</v>
      </c>
      <c r="E178">
        <v>1</v>
      </c>
      <c r="F178" t="s">
        <v>58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57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57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60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60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60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60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60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60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60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60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60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60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60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60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60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60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60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60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60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60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60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60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60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60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60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60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60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60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60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60</v>
      </c>
      <c r="B215" t="s">
        <v>9</v>
      </c>
      <c r="C215">
        <v>1</v>
      </c>
      <c r="D215">
        <v>1404</v>
      </c>
      <c r="E215">
        <v>0</v>
      </c>
      <c r="F215" t="s">
        <v>57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60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60</v>
      </c>
      <c r="B217" t="s">
        <v>9</v>
      </c>
      <c r="C217">
        <v>1</v>
      </c>
      <c r="D217">
        <v>1391</v>
      </c>
      <c r="E217">
        <v>2</v>
      </c>
      <c r="F217" t="s">
        <v>57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60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60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60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60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60</v>
      </c>
      <c r="B222" t="s">
        <v>9</v>
      </c>
      <c r="C222">
        <v>1</v>
      </c>
      <c r="D222">
        <v>1376</v>
      </c>
      <c r="E222">
        <v>1</v>
      </c>
      <c r="F222" t="s">
        <v>57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60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60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60</v>
      </c>
      <c r="B225" t="s">
        <v>9</v>
      </c>
      <c r="C225">
        <v>1</v>
      </c>
      <c r="D225">
        <v>1130</v>
      </c>
      <c r="E225">
        <v>2</v>
      </c>
      <c r="F225" t="s">
        <v>57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60</v>
      </c>
      <c r="B226" t="s">
        <v>9</v>
      </c>
      <c r="C226">
        <v>1</v>
      </c>
      <c r="D226">
        <v>2414</v>
      </c>
      <c r="E226">
        <v>0</v>
      </c>
      <c r="F226" t="s">
        <v>57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60</v>
      </c>
      <c r="B227" t="s">
        <v>9</v>
      </c>
      <c r="C227">
        <v>1</v>
      </c>
      <c r="D227">
        <v>1779</v>
      </c>
      <c r="E227">
        <v>1</v>
      </c>
      <c r="F227" t="s">
        <v>57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60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60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60</v>
      </c>
      <c r="B230" t="s">
        <v>9</v>
      </c>
      <c r="C230">
        <v>1</v>
      </c>
      <c r="D230">
        <v>2068</v>
      </c>
      <c r="E230">
        <v>2</v>
      </c>
      <c r="F230" t="s">
        <v>57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60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60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60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60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60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60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60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60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60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60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60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60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60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60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60</v>
      </c>
      <c r="B245" t="s">
        <v>9</v>
      </c>
      <c r="C245">
        <v>1</v>
      </c>
      <c r="D245">
        <v>1455</v>
      </c>
      <c r="E245">
        <v>0</v>
      </c>
      <c r="F245" t="s">
        <v>57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60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60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60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60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60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60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60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60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60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60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60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60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60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60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60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60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60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60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60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60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60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60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60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60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60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60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60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60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60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60</v>
      </c>
      <c r="B277" t="s">
        <v>9</v>
      </c>
      <c r="C277">
        <v>1</v>
      </c>
      <c r="D277">
        <v>1054</v>
      </c>
      <c r="E277">
        <v>0</v>
      </c>
      <c r="F277" t="s">
        <v>57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60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60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60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60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36</v>
      </c>
      <c r="B284" t="s">
        <v>9</v>
      </c>
      <c r="C284">
        <v>5</v>
      </c>
      <c r="D284">
        <v>1500</v>
      </c>
      <c r="E284">
        <v>0</v>
      </c>
      <c r="F284" t="s">
        <v>252</v>
      </c>
      <c r="G284">
        <v>4</v>
      </c>
      <c r="H284" t="s">
        <v>270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139</v>
      </c>
      <c r="B285" t="s">
        <v>9</v>
      </c>
      <c r="C285">
        <v>5</v>
      </c>
      <c r="D285">
        <v>1500</v>
      </c>
      <c r="E285">
        <v>0</v>
      </c>
      <c r="F285" t="s">
        <v>272</v>
      </c>
      <c r="G285">
        <v>3</v>
      </c>
      <c r="H285" t="s">
        <v>270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139</v>
      </c>
      <c r="B286" t="s">
        <v>9</v>
      </c>
      <c r="C286">
        <v>5</v>
      </c>
      <c r="D286">
        <v>1782</v>
      </c>
      <c r="E286">
        <v>0</v>
      </c>
      <c r="F286" t="s">
        <v>272</v>
      </c>
      <c r="G286">
        <v>2</v>
      </c>
      <c r="H286" t="s">
        <v>270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139</v>
      </c>
      <c r="B287" t="s">
        <v>9</v>
      </c>
      <c r="C287">
        <v>5</v>
      </c>
      <c r="D287">
        <v>1666</v>
      </c>
      <c r="E287">
        <v>1</v>
      </c>
      <c r="F287" t="s">
        <v>272</v>
      </c>
      <c r="G287">
        <v>1</v>
      </c>
      <c r="H287" t="s">
        <v>292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139</v>
      </c>
      <c r="B288" t="s">
        <v>9</v>
      </c>
      <c r="C288">
        <v>5</v>
      </c>
      <c r="D288">
        <v>1556</v>
      </c>
      <c r="E288">
        <v>0</v>
      </c>
      <c r="F288" t="s">
        <v>272</v>
      </c>
      <c r="G288">
        <v>2</v>
      </c>
      <c r="H288" t="s">
        <v>270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139</v>
      </c>
      <c r="B289" t="s">
        <v>9</v>
      </c>
      <c r="C289">
        <v>5</v>
      </c>
      <c r="D289">
        <v>2860</v>
      </c>
      <c r="E289">
        <v>0</v>
      </c>
      <c r="F289" t="s">
        <v>272</v>
      </c>
      <c r="G289">
        <v>1</v>
      </c>
      <c r="H289" t="s">
        <v>292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139</v>
      </c>
      <c r="B290" t="s">
        <v>9</v>
      </c>
      <c r="C290">
        <v>5</v>
      </c>
      <c r="D290">
        <v>2986</v>
      </c>
      <c r="E290">
        <v>0</v>
      </c>
      <c r="F290" t="s">
        <v>272</v>
      </c>
      <c r="G290">
        <v>2</v>
      </c>
      <c r="H290" t="s">
        <v>270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139</v>
      </c>
      <c r="B291" t="s">
        <v>9</v>
      </c>
      <c r="C291">
        <v>5</v>
      </c>
      <c r="D291">
        <v>3172</v>
      </c>
      <c r="E291">
        <v>1</v>
      </c>
      <c r="F291" t="s">
        <v>140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139</v>
      </c>
      <c r="B292" t="s">
        <v>9</v>
      </c>
      <c r="C292">
        <v>5</v>
      </c>
      <c r="D292">
        <v>1420</v>
      </c>
      <c r="E292">
        <v>0</v>
      </c>
      <c r="F292" t="s">
        <v>272</v>
      </c>
      <c r="G292">
        <v>2</v>
      </c>
      <c r="H292" t="s">
        <v>292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139</v>
      </c>
      <c r="B293" t="s">
        <v>9</v>
      </c>
      <c r="C293">
        <v>5</v>
      </c>
      <c r="D293">
        <v>1352</v>
      </c>
      <c r="E293">
        <v>0</v>
      </c>
      <c r="F293" t="s">
        <v>272</v>
      </c>
      <c r="G293">
        <v>1</v>
      </c>
      <c r="H293" t="s">
        <v>292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139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139</v>
      </c>
      <c r="B295" t="s">
        <v>9</v>
      </c>
      <c r="C295">
        <v>5</v>
      </c>
      <c r="D295">
        <v>1428</v>
      </c>
      <c r="E295">
        <v>1</v>
      </c>
      <c r="F295" t="s">
        <v>205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139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139</v>
      </c>
      <c r="B297" t="s">
        <v>9</v>
      </c>
      <c r="C297">
        <v>5</v>
      </c>
      <c r="D297">
        <v>1559</v>
      </c>
      <c r="E297">
        <v>0</v>
      </c>
      <c r="F297" t="s">
        <v>272</v>
      </c>
      <c r="G297">
        <v>1</v>
      </c>
      <c r="H297" t="s">
        <v>292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139</v>
      </c>
      <c r="B298" t="s">
        <v>9</v>
      </c>
      <c r="C298">
        <v>5</v>
      </c>
      <c r="D298">
        <v>1600</v>
      </c>
      <c r="E298">
        <v>0</v>
      </c>
      <c r="F298" t="s">
        <v>272</v>
      </c>
      <c r="G298">
        <v>3</v>
      </c>
      <c r="H298" t="s">
        <v>292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139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139</v>
      </c>
      <c r="B300" t="s">
        <v>9</v>
      </c>
      <c r="C300">
        <v>5</v>
      </c>
      <c r="D300">
        <v>1389</v>
      </c>
      <c r="E300">
        <v>0</v>
      </c>
      <c r="F300" t="s">
        <v>272</v>
      </c>
      <c r="G300">
        <v>4</v>
      </c>
      <c r="H300" t="s">
        <v>270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57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143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57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58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57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57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172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36</v>
      </c>
      <c r="B335" t="s">
        <v>9</v>
      </c>
      <c r="C335">
        <v>5</v>
      </c>
      <c r="D335">
        <v>1000</v>
      </c>
      <c r="E335">
        <v>0</v>
      </c>
      <c r="F335" t="s">
        <v>252</v>
      </c>
      <c r="G335">
        <v>1</v>
      </c>
      <c r="H335" t="s">
        <v>292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173</v>
      </c>
      <c r="B336" t="s">
        <v>9</v>
      </c>
      <c r="C336">
        <v>5</v>
      </c>
      <c r="D336">
        <v>1000</v>
      </c>
      <c r="E336">
        <v>0</v>
      </c>
      <c r="F336" t="s">
        <v>251</v>
      </c>
      <c r="G336">
        <v>5</v>
      </c>
      <c r="H336" t="s">
        <v>270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143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172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172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172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172</v>
      </c>
      <c r="B370" t="s">
        <v>9</v>
      </c>
      <c r="C370">
        <v>5</v>
      </c>
      <c r="D370">
        <v>2547</v>
      </c>
      <c r="E370">
        <v>2</v>
      </c>
      <c r="F370" t="s">
        <v>143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172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172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172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172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172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172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172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172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172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172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172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172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57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8</v>
      </c>
      <c r="B438" t="s">
        <v>32</v>
      </c>
      <c r="C438">
        <v>3</v>
      </c>
      <c r="D438">
        <v>2271</v>
      </c>
      <c r="E438">
        <v>1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1066</v>
      </c>
      <c r="E439">
        <v>0</v>
      </c>
      <c r="F439" t="s">
        <v>58</v>
      </c>
      <c r="G439">
        <v>1</v>
      </c>
      <c r="H439" t="s">
        <v>12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11500</v>
      </c>
      <c r="L439" s="43">
        <f>IFERROR(SUMIFS(Tabela10[Exp Gain only 2*+],Tabela10[Drop],DropAnalityka[[#This Row],[Drop]],Tabela10[Grade],DropAnalityka[[#This Row],[Grade]])*DropAnalityka[[#This Row],[Quality/Quantity]],0)</f>
        <v>35822</v>
      </c>
    </row>
    <row r="440" spans="1:12">
      <c r="A440" t="s">
        <v>8</v>
      </c>
      <c r="B440" t="s">
        <v>32</v>
      </c>
      <c r="C440">
        <v>3</v>
      </c>
      <c r="D440">
        <v>1217</v>
      </c>
      <c r="E440">
        <v>0</v>
      </c>
      <c r="I440">
        <v>1159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0" s="43">
        <f>IFERROR(SUMIFS(Tabela10[Fod Worth],Tabela10[Drop],DropAnalityka[[#This Row],[Drop]],Tabela10[Grade],DropAnalityka[[#This Row],[Grade]])*DropAnalityka[[#This Row],[Quality/Quantity]],0)</f>
        <v>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1369</v>
      </c>
      <c r="E441">
        <v>0</v>
      </c>
      <c r="F441" t="s">
        <v>57</v>
      </c>
      <c r="G441">
        <v>1</v>
      </c>
      <c r="H441" t="s">
        <v>26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1" s="43">
        <f>IFERROR(SUMIFS(Tabela10[Fod Worth],Tabela10[Drop],DropAnalityka[[#This Row],[Drop]],Tabela10[Grade],DropAnalityka[[#This Row],[Grade]])*DropAnalityka[[#This Row],[Quality/Quantity]],0)</f>
        <v>34500</v>
      </c>
      <c r="L441" s="43">
        <f>IFERROR(SUMIFS(Tabela10[Exp Gain only 2*+],Tabela10[Drop],DropAnalityka[[#This Row],[Drop]],Tabela10[Grade],DropAnalityka[[#This Row],[Grade]])*DropAnalityka[[#This Row],[Quality/Quantity]],0)</f>
        <v>35822</v>
      </c>
    </row>
    <row r="442" spans="1:12">
      <c r="A442" t="s">
        <v>8</v>
      </c>
      <c r="B442" t="s">
        <v>32</v>
      </c>
      <c r="C442">
        <v>3</v>
      </c>
      <c r="D442">
        <v>1200</v>
      </c>
      <c r="E442">
        <v>1</v>
      </c>
      <c r="I442">
        <v>1546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2" s="43">
        <f>IFERROR(SUMIFS(Tabela10[Fod Worth],Tabela10[Drop],DropAnalityka[[#This Row],[Drop]],Tabela10[Grade],DropAnalityka[[#This Row],[Grade]])*DropAnalityka[[#This Row],[Quality/Quantity]],0)</f>
        <v>0</v>
      </c>
      <c r="L442" s="43">
        <f>IFERROR(SUMIFS(Tabela10[Exp Gain only 2*+],Tabela10[Drop],DropAnalityka[[#This Row],[Drop]],Tabela10[Grade],DropAnalityka[[#This Row],[Grade]])*DropAnalityka[[#This Row],[Quality/Quantity]],0)</f>
        <v>0</v>
      </c>
    </row>
    <row r="443" spans="1:12">
      <c r="A443" t="s">
        <v>8</v>
      </c>
      <c r="B443" t="s">
        <v>32</v>
      </c>
      <c r="C443">
        <v>3</v>
      </c>
      <c r="D443">
        <v>2084</v>
      </c>
      <c r="E443">
        <v>1</v>
      </c>
      <c r="I443">
        <v>1159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1041</v>
      </c>
      <c r="E444">
        <v>2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1173</v>
      </c>
      <c r="E445">
        <v>0</v>
      </c>
      <c r="F445" t="s">
        <v>34</v>
      </c>
      <c r="G445">
        <v>3</v>
      </c>
      <c r="H445" t="s">
        <v>17</v>
      </c>
      <c r="I445">
        <v>0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2400</v>
      </c>
    </row>
    <row r="446" spans="1:12">
      <c r="A446" t="s">
        <v>8</v>
      </c>
      <c r="B446" t="s">
        <v>32</v>
      </c>
      <c r="C446">
        <v>3</v>
      </c>
      <c r="D446">
        <v>1203</v>
      </c>
      <c r="E446">
        <v>0</v>
      </c>
      <c r="I446">
        <v>1159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0</v>
      </c>
    </row>
    <row r="447" spans="1:12">
      <c r="A447" t="s">
        <v>8</v>
      </c>
      <c r="B447" t="s">
        <v>32</v>
      </c>
      <c r="C447">
        <v>3</v>
      </c>
      <c r="D447">
        <v>1265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1133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967</v>
      </c>
      <c r="E449">
        <v>1</v>
      </c>
      <c r="F449" t="s">
        <v>57</v>
      </c>
      <c r="G449">
        <v>1</v>
      </c>
      <c r="H449" t="s">
        <v>17</v>
      </c>
      <c r="I449">
        <v>0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2246</v>
      </c>
      <c r="E450">
        <v>1</v>
      </c>
      <c r="I450">
        <v>2067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1423</v>
      </c>
      <c r="E451">
        <v>2</v>
      </c>
      <c r="I451">
        <v>1159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1858</v>
      </c>
      <c r="E452">
        <v>0</v>
      </c>
      <c r="I452">
        <v>2067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1423</v>
      </c>
      <c r="E453">
        <v>1</v>
      </c>
      <c r="I453">
        <v>1546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2042</v>
      </c>
      <c r="E454">
        <v>1</v>
      </c>
      <c r="I454">
        <v>1159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2001</v>
      </c>
      <c r="E455">
        <v>1</v>
      </c>
      <c r="F455" t="s">
        <v>57</v>
      </c>
      <c r="G455">
        <v>1</v>
      </c>
      <c r="H455" t="s">
        <v>17</v>
      </c>
      <c r="I455">
        <v>0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1540</v>
      </c>
      <c r="E456">
        <v>0</v>
      </c>
      <c r="F456" t="s">
        <v>57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1699</v>
      </c>
      <c r="E457">
        <v>1</v>
      </c>
      <c r="I457">
        <v>2067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1916</v>
      </c>
      <c r="E458">
        <v>1</v>
      </c>
      <c r="I458">
        <v>1159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2501</v>
      </c>
      <c r="E459">
        <v>0</v>
      </c>
      <c r="I459">
        <v>2067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1812</v>
      </c>
      <c r="E460">
        <v>1</v>
      </c>
      <c r="F460" t="s">
        <v>34</v>
      </c>
      <c r="G460">
        <v>3</v>
      </c>
      <c r="H460" t="s">
        <v>17</v>
      </c>
      <c r="I460">
        <v>0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2400</v>
      </c>
    </row>
    <row r="461" spans="1:12">
      <c r="A461" t="s">
        <v>8</v>
      </c>
      <c r="B461" t="s">
        <v>32</v>
      </c>
      <c r="C461">
        <v>3</v>
      </c>
      <c r="D461">
        <v>1215</v>
      </c>
      <c r="E461">
        <v>0</v>
      </c>
      <c r="I461">
        <v>1159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0</v>
      </c>
    </row>
    <row r="462" spans="1:12">
      <c r="A462" t="s">
        <v>8</v>
      </c>
      <c r="B462" t="s">
        <v>32</v>
      </c>
      <c r="C462">
        <v>3</v>
      </c>
      <c r="D462">
        <v>422</v>
      </c>
      <c r="E462">
        <v>1</v>
      </c>
      <c r="I462">
        <v>2756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1105</v>
      </c>
      <c r="E463">
        <v>0</v>
      </c>
      <c r="F463" t="s">
        <v>57</v>
      </c>
      <c r="G463">
        <v>1</v>
      </c>
      <c r="H463" t="s">
        <v>12</v>
      </c>
      <c r="I463">
        <v>0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3" s="43">
        <f>IFERROR(SUMIFS(Tabela10[Fod Worth],Tabela10[Drop],DropAnalityka[[#This Row],[Drop]],Tabela10[Grade],DropAnalityka[[#This Row],[Grade]])*DropAnalityka[[#This Row],[Quality/Quantity]],0)</f>
        <v>11500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821</v>
      </c>
      <c r="E464">
        <v>1</v>
      </c>
      <c r="I464">
        <v>1159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4" s="43">
        <f>IFERROR(SUMIFS(Tabela10[Fod Worth],Tabela10[Drop],DropAnalityka[[#This Row],[Drop]],Tabela10[Grade],DropAnalityka[[#This Row],[Grade]])*DropAnalityka[[#This Row],[Quality/Quantity]],0)</f>
        <v>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1748</v>
      </c>
      <c r="E465">
        <v>1</v>
      </c>
      <c r="F465" t="s">
        <v>143</v>
      </c>
      <c r="I465">
        <v>0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1840</v>
      </c>
      <c r="E466">
        <v>0</v>
      </c>
      <c r="F466" t="s">
        <v>143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1395</v>
      </c>
      <c r="E467">
        <v>2</v>
      </c>
      <c r="I467">
        <v>1159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1292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1574</v>
      </c>
      <c r="E469">
        <v>0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1388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3326</v>
      </c>
      <c r="E471">
        <v>0</v>
      </c>
      <c r="F471" t="s">
        <v>34</v>
      </c>
      <c r="G471">
        <v>3</v>
      </c>
      <c r="H471" t="s">
        <v>17</v>
      </c>
      <c r="I471">
        <v>0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2400</v>
      </c>
    </row>
    <row r="472" spans="1:12">
      <c r="A472" t="s">
        <v>8</v>
      </c>
      <c r="B472" t="s">
        <v>32</v>
      </c>
      <c r="C472">
        <v>3</v>
      </c>
      <c r="D472">
        <v>999</v>
      </c>
      <c r="E472">
        <v>1</v>
      </c>
      <c r="F472" t="s">
        <v>143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0</v>
      </c>
    </row>
    <row r="473" spans="1:12">
      <c r="A473" t="s">
        <v>8</v>
      </c>
      <c r="B473" t="s">
        <v>32</v>
      </c>
      <c r="C473">
        <v>3</v>
      </c>
      <c r="D473">
        <v>1225</v>
      </c>
      <c r="E473">
        <v>0</v>
      </c>
      <c r="I473">
        <v>2411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1362</v>
      </c>
      <c r="E474">
        <v>2</v>
      </c>
      <c r="F474" t="s">
        <v>57</v>
      </c>
      <c r="G474">
        <v>1</v>
      </c>
      <c r="H474" t="s">
        <v>17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1149</v>
      </c>
      <c r="E475">
        <v>2</v>
      </c>
      <c r="I475">
        <v>1159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1186</v>
      </c>
      <c r="E476">
        <v>1</v>
      </c>
      <c r="I476">
        <v>2067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1366</v>
      </c>
      <c r="E477">
        <v>1</v>
      </c>
      <c r="I477">
        <v>2411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2407</v>
      </c>
      <c r="E478">
        <v>4</v>
      </c>
      <c r="F478" t="s">
        <v>57</v>
      </c>
      <c r="G478">
        <v>1</v>
      </c>
      <c r="H478" t="s">
        <v>12</v>
      </c>
      <c r="I478">
        <v>0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8" s="43">
        <f>IFERROR(SUMIFS(Tabela10[Fod Worth],Tabela10[Drop],DropAnalityka[[#This Row],[Drop]],Tabela10[Grade],DropAnalityka[[#This Row],[Grade]])*DropAnalityka[[#This Row],[Quality/Quantity]],0)</f>
        <v>11500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2050</v>
      </c>
      <c r="E479">
        <v>1</v>
      </c>
      <c r="I479">
        <v>2067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9" s="43">
        <f>IFERROR(SUMIFS(Tabela10[Fod Worth],Tabela10[Drop],DropAnalityka[[#This Row],[Drop]],Tabela10[Grade],DropAnalityka[[#This Row],[Grade]])*DropAnalityka[[#This Row],[Quality/Quantity]],0)</f>
        <v>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2063</v>
      </c>
      <c r="E480">
        <v>1</v>
      </c>
      <c r="F480" t="s">
        <v>57</v>
      </c>
      <c r="G480">
        <v>1</v>
      </c>
      <c r="H480" t="s">
        <v>17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1086</v>
      </c>
      <c r="E481">
        <v>0</v>
      </c>
      <c r="I481">
        <v>1546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1248</v>
      </c>
      <c r="E482">
        <v>2</v>
      </c>
      <c r="F482" t="s">
        <v>34</v>
      </c>
      <c r="G482">
        <v>3</v>
      </c>
      <c r="H482" t="s">
        <v>17</v>
      </c>
      <c r="I482">
        <v>0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2400</v>
      </c>
    </row>
    <row r="483" spans="1:12">
      <c r="A483" t="s">
        <v>8</v>
      </c>
      <c r="B483" t="s">
        <v>32</v>
      </c>
      <c r="C483">
        <v>3</v>
      </c>
      <c r="D483">
        <v>1342</v>
      </c>
      <c r="E483">
        <v>1</v>
      </c>
      <c r="F483" t="s">
        <v>143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0</v>
      </c>
    </row>
    <row r="484" spans="1:12">
      <c r="A484" t="s">
        <v>8</v>
      </c>
      <c r="B484" t="s">
        <v>32</v>
      </c>
      <c r="C484">
        <v>3</v>
      </c>
      <c r="D484">
        <v>2048</v>
      </c>
      <c r="E484">
        <v>0</v>
      </c>
      <c r="I484">
        <v>1159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2152</v>
      </c>
      <c r="E485">
        <v>2</v>
      </c>
      <c r="F485" t="s">
        <v>57</v>
      </c>
      <c r="G485">
        <v>1</v>
      </c>
      <c r="H485" t="s">
        <v>17</v>
      </c>
      <c r="I485">
        <v>0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1171</v>
      </c>
      <c r="E486">
        <v>1</v>
      </c>
      <c r="I486">
        <v>2067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2951</v>
      </c>
      <c r="E487">
        <v>2</v>
      </c>
      <c r="I487">
        <v>2411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1340</v>
      </c>
      <c r="E488">
        <v>0</v>
      </c>
      <c r="I488">
        <v>1159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1120</v>
      </c>
      <c r="E489">
        <v>1</v>
      </c>
      <c r="I489">
        <v>1546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805</v>
      </c>
      <c r="E490">
        <v>1</v>
      </c>
      <c r="I490">
        <v>2067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1611</v>
      </c>
      <c r="E491">
        <v>3</v>
      </c>
      <c r="I491">
        <v>1159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1332</v>
      </c>
      <c r="E492">
        <v>0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1613</v>
      </c>
      <c r="E493">
        <v>1</v>
      </c>
      <c r="I493">
        <v>2411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1375</v>
      </c>
      <c r="E494">
        <v>1</v>
      </c>
      <c r="I494">
        <v>1159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1277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1167</v>
      </c>
      <c r="E496">
        <v>0</v>
      </c>
      <c r="I496">
        <v>2067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1156</v>
      </c>
      <c r="E497">
        <v>2</v>
      </c>
      <c r="I497">
        <v>1352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1404</v>
      </c>
      <c r="E498">
        <v>0</v>
      </c>
      <c r="F498" t="s">
        <v>57</v>
      </c>
      <c r="G498">
        <v>1</v>
      </c>
      <c r="H498" t="s">
        <v>26</v>
      </c>
      <c r="I498">
        <v>0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8" s="43">
        <f>IFERROR(SUMIFS(Tabela10[Fod Worth],Tabela10[Drop],DropAnalityka[[#This Row],[Drop]],Tabela10[Grade],DropAnalityka[[#This Row],[Grade]])*DropAnalityka[[#This Row],[Quality/Quantity]],0)</f>
        <v>34500</v>
      </c>
      <c r="L498" s="43">
        <f>IFERROR(SUMIFS(Tabela10[Exp Gain only 2*+],Tabela10[Drop],DropAnalityka[[#This Row],[Drop]],Tabela10[Grade],DropAnalityka[[#This Row],[Grade]])*DropAnalityka[[#This Row],[Quality/Quantity]],0)</f>
        <v>35822</v>
      </c>
    </row>
    <row r="499" spans="1:12">
      <c r="A499" t="s">
        <v>8</v>
      </c>
      <c r="B499" t="s">
        <v>32</v>
      </c>
      <c r="C499">
        <v>3</v>
      </c>
      <c r="D499">
        <v>1462</v>
      </c>
      <c r="E499">
        <v>0</v>
      </c>
      <c r="I499">
        <v>1159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9" s="43">
        <f>IFERROR(SUMIFS(Tabela10[Fod Worth],Tabela10[Drop],DropAnalityka[[#This Row],[Drop]],Tabela10[Grade],DropAnalityka[[#This Row],[Grade]])*DropAnalityka[[#This Row],[Quality/Quantity]],0)</f>
        <v>0</v>
      </c>
      <c r="L499" s="43">
        <f>IFERROR(SUMIFS(Tabela10[Exp Gain only 2*+],Tabela10[Drop],DropAnalityka[[#This Row],[Drop]],Tabela10[Grade],DropAnalityka[[#This Row],[Grade]])*DropAnalityka[[#This Row],[Quality/Quantity]],0)</f>
        <v>0</v>
      </c>
    </row>
    <row r="500" spans="1:12">
      <c r="A500" t="s">
        <v>8</v>
      </c>
      <c r="B500" t="s">
        <v>32</v>
      </c>
      <c r="C500">
        <v>3</v>
      </c>
      <c r="D500">
        <v>1957</v>
      </c>
      <c r="E500">
        <v>2</v>
      </c>
      <c r="F500" t="s">
        <v>143</v>
      </c>
      <c r="I500">
        <v>0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1051</v>
      </c>
      <c r="E501">
        <v>0</v>
      </c>
      <c r="I501">
        <v>2411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1187</v>
      </c>
      <c r="E502">
        <v>2</v>
      </c>
      <c r="I502">
        <v>1159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1798</v>
      </c>
      <c r="E503">
        <v>2</v>
      </c>
      <c r="F503" t="s">
        <v>34</v>
      </c>
      <c r="G503">
        <v>3</v>
      </c>
      <c r="H503" t="s">
        <v>17</v>
      </c>
      <c r="I503">
        <v>0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2400</v>
      </c>
    </row>
    <row r="504" spans="1:12">
      <c r="A504" t="s">
        <v>8</v>
      </c>
      <c r="B504" t="s">
        <v>32</v>
      </c>
      <c r="C504">
        <v>3</v>
      </c>
      <c r="D504">
        <v>1909</v>
      </c>
      <c r="E504">
        <v>3</v>
      </c>
      <c r="I504">
        <v>1159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0</v>
      </c>
    </row>
    <row r="505" spans="1:12">
      <c r="A505" t="s">
        <v>8</v>
      </c>
      <c r="B505" t="s">
        <v>32</v>
      </c>
      <c r="C505">
        <v>3</v>
      </c>
      <c r="D505">
        <v>829</v>
      </c>
      <c r="E505">
        <v>2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1201</v>
      </c>
      <c r="E506">
        <v>2</v>
      </c>
      <c r="F506" t="s">
        <v>34</v>
      </c>
      <c r="G506">
        <v>3</v>
      </c>
      <c r="H506" t="s">
        <v>17</v>
      </c>
      <c r="I506">
        <v>0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2400</v>
      </c>
    </row>
    <row r="507" spans="1:12">
      <c r="A507" t="s">
        <v>8</v>
      </c>
      <c r="B507" t="s">
        <v>32</v>
      </c>
      <c r="C507">
        <v>3</v>
      </c>
      <c r="D507">
        <v>1770</v>
      </c>
      <c r="E507">
        <v>0</v>
      </c>
      <c r="I507">
        <v>1159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0</v>
      </c>
    </row>
    <row r="508" spans="1:12">
      <c r="A508" t="s">
        <v>8</v>
      </c>
      <c r="B508" t="s">
        <v>32</v>
      </c>
      <c r="C508">
        <v>3</v>
      </c>
      <c r="D508">
        <v>1190</v>
      </c>
      <c r="E508">
        <v>0</v>
      </c>
      <c r="I508">
        <v>1739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60</v>
      </c>
      <c r="B509" t="s">
        <v>9</v>
      </c>
      <c r="C509">
        <v>1</v>
      </c>
      <c r="D509">
        <v>849</v>
      </c>
      <c r="E509">
        <v>2</v>
      </c>
      <c r="I509">
        <v>823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60</v>
      </c>
      <c r="B510" t="s">
        <v>9</v>
      </c>
      <c r="C510">
        <v>1</v>
      </c>
      <c r="D510">
        <v>1244</v>
      </c>
      <c r="E510">
        <v>2</v>
      </c>
      <c r="I510">
        <v>1976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60</v>
      </c>
      <c r="B511" t="s">
        <v>9</v>
      </c>
      <c r="C511">
        <v>1</v>
      </c>
      <c r="D511">
        <v>1902</v>
      </c>
      <c r="E511">
        <v>2</v>
      </c>
      <c r="F511" t="s">
        <v>34</v>
      </c>
      <c r="G511">
        <v>1</v>
      </c>
      <c r="H511" t="s">
        <v>17</v>
      </c>
      <c r="I511">
        <v>0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800</v>
      </c>
    </row>
    <row r="512" spans="1:12">
      <c r="A512" t="s">
        <v>60</v>
      </c>
      <c r="B512" t="s">
        <v>9</v>
      </c>
      <c r="C512">
        <v>1</v>
      </c>
      <c r="D512">
        <v>1295</v>
      </c>
      <c r="E512">
        <v>0</v>
      </c>
      <c r="I512">
        <v>1976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0</v>
      </c>
    </row>
    <row r="513" spans="1:12">
      <c r="A513" t="s">
        <v>60</v>
      </c>
      <c r="B513" t="s">
        <v>9</v>
      </c>
      <c r="C513">
        <v>1</v>
      </c>
      <c r="D513">
        <v>993</v>
      </c>
      <c r="E513">
        <v>0</v>
      </c>
      <c r="F513" t="s">
        <v>34</v>
      </c>
      <c r="G513">
        <v>1</v>
      </c>
      <c r="H513" t="s">
        <v>17</v>
      </c>
      <c r="I513">
        <v>0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800</v>
      </c>
    </row>
    <row r="514" spans="1:12">
      <c r="A514" t="s">
        <v>60</v>
      </c>
      <c r="B514" t="s">
        <v>9</v>
      </c>
      <c r="C514">
        <v>1</v>
      </c>
      <c r="D514">
        <v>1238</v>
      </c>
      <c r="E514">
        <v>0</v>
      </c>
      <c r="I514">
        <v>892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0</v>
      </c>
    </row>
    <row r="515" spans="1:12">
      <c r="A515" t="s">
        <v>60</v>
      </c>
      <c r="B515" t="s">
        <v>9</v>
      </c>
      <c r="C515">
        <v>1</v>
      </c>
      <c r="D515">
        <v>1277</v>
      </c>
      <c r="E515">
        <v>0</v>
      </c>
      <c r="F515" t="s">
        <v>34</v>
      </c>
      <c r="G515">
        <v>1</v>
      </c>
      <c r="H515" t="s">
        <v>17</v>
      </c>
      <c r="I515">
        <v>0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2000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800</v>
      </c>
    </row>
    <row r="516" spans="1:12">
      <c r="A516" t="s">
        <v>8</v>
      </c>
      <c r="B516" t="s">
        <v>30</v>
      </c>
      <c r="C516">
        <v>3</v>
      </c>
      <c r="D516">
        <v>2474</v>
      </c>
      <c r="E516">
        <v>3</v>
      </c>
      <c r="F516" t="s">
        <v>34</v>
      </c>
      <c r="G516">
        <v>2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1600</v>
      </c>
    </row>
    <row r="517" spans="1:12">
      <c r="A517" t="s">
        <v>8</v>
      </c>
      <c r="B517" t="s">
        <v>32</v>
      </c>
      <c r="C517">
        <v>3</v>
      </c>
      <c r="D517">
        <v>920</v>
      </c>
      <c r="E517">
        <v>2</v>
      </c>
      <c r="F517" t="s">
        <v>34</v>
      </c>
      <c r="G517">
        <v>3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2400</v>
      </c>
    </row>
    <row r="518" spans="1:12">
      <c r="A518" t="s">
        <v>8</v>
      </c>
      <c r="B518" t="s">
        <v>32</v>
      </c>
      <c r="C518">
        <v>3</v>
      </c>
      <c r="D518">
        <v>1475</v>
      </c>
      <c r="E518">
        <v>3</v>
      </c>
      <c r="I518">
        <v>2756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0</v>
      </c>
    </row>
    <row r="519" spans="1:12">
      <c r="A519" t="s">
        <v>8</v>
      </c>
      <c r="B519" t="s">
        <v>32</v>
      </c>
      <c r="C519">
        <v>3</v>
      </c>
      <c r="D519">
        <v>1500</v>
      </c>
      <c r="E519">
        <v>3</v>
      </c>
      <c r="F519" t="s">
        <v>57</v>
      </c>
      <c r="G519">
        <v>1</v>
      </c>
      <c r="H519" t="s">
        <v>26</v>
      </c>
      <c r="I519">
        <v>0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9" s="43">
        <f>IFERROR(SUMIFS(Tabela10[Fod Worth],Tabela10[Drop],DropAnalityka[[#This Row],[Drop]],Tabela10[Grade],DropAnalityka[[#This Row],[Grade]])*DropAnalityka[[#This Row],[Quality/Quantity]],0)</f>
        <v>34500</v>
      </c>
      <c r="L519" s="43">
        <f>IFERROR(SUMIFS(Tabela10[Exp Gain only 2*+],Tabela10[Drop],DropAnalityka[[#This Row],[Drop]],Tabela10[Grade],DropAnalityka[[#This Row],[Grade]])*DropAnalityka[[#This Row],[Quality/Quantity]],0)</f>
        <v>35822</v>
      </c>
    </row>
    <row r="520" spans="1:12">
      <c r="A520" t="s">
        <v>8</v>
      </c>
      <c r="B520" t="s">
        <v>32</v>
      </c>
      <c r="C520">
        <v>3</v>
      </c>
      <c r="D520">
        <v>2329</v>
      </c>
      <c r="E520">
        <v>2</v>
      </c>
      <c r="I520">
        <v>2067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0" s="43">
        <f>IFERROR(SUMIFS(Tabela10[Fod Worth],Tabela10[Drop],DropAnalityka[[#This Row],[Drop]],Tabela10[Grade],DropAnalityka[[#This Row],[Grade]])*DropAnalityka[[#This Row],[Quality/Quantity]],0)</f>
        <v>0</v>
      </c>
      <c r="L520" s="43">
        <f>IFERROR(SUMIFS(Tabela10[Exp Gain only 2*+],Tabela10[Drop],DropAnalityka[[#This Row],[Drop]],Tabela10[Grade],DropAnalityka[[#This Row],[Grade]])*DropAnalityka[[#This Row],[Quality/Quantity]],0)</f>
        <v>0</v>
      </c>
    </row>
    <row r="521" spans="1:12">
      <c r="A521" t="s">
        <v>36</v>
      </c>
      <c r="B521" t="s">
        <v>9</v>
      </c>
      <c r="C521">
        <v>7</v>
      </c>
      <c r="D521">
        <v>2340</v>
      </c>
      <c r="E521">
        <v>0</v>
      </c>
      <c r="F521" t="s">
        <v>252</v>
      </c>
      <c r="G521">
        <v>1</v>
      </c>
      <c r="H521" t="s">
        <v>292</v>
      </c>
      <c r="I521">
        <v>0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36</v>
      </c>
      <c r="B522" t="s">
        <v>9</v>
      </c>
      <c r="C522">
        <v>7</v>
      </c>
      <c r="D522">
        <v>2340</v>
      </c>
      <c r="E522">
        <v>0</v>
      </c>
      <c r="F522" t="s">
        <v>252</v>
      </c>
      <c r="G522">
        <v>1</v>
      </c>
      <c r="H522" t="s">
        <v>292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36</v>
      </c>
      <c r="B523" t="s">
        <v>9</v>
      </c>
      <c r="C523">
        <v>7</v>
      </c>
      <c r="D523">
        <v>2182</v>
      </c>
      <c r="E523">
        <v>0</v>
      </c>
      <c r="F523" t="s">
        <v>252</v>
      </c>
      <c r="G523">
        <v>4</v>
      </c>
      <c r="H523" t="s">
        <v>270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s="10" t="s">
        <v>172</v>
      </c>
      <c r="B524" t="s">
        <v>9</v>
      </c>
      <c r="C524">
        <v>6</v>
      </c>
      <c r="D524">
        <v>2090</v>
      </c>
      <c r="E524">
        <v>2</v>
      </c>
      <c r="I524">
        <v>1971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172</v>
      </c>
      <c r="B525" t="s">
        <v>9</v>
      </c>
      <c r="C525">
        <v>6</v>
      </c>
      <c r="D525">
        <v>2783</v>
      </c>
      <c r="E525">
        <v>2</v>
      </c>
      <c r="F525" t="s">
        <v>34</v>
      </c>
      <c r="G525">
        <v>3</v>
      </c>
      <c r="H525" t="s">
        <v>17</v>
      </c>
      <c r="I525">
        <v>0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2400</v>
      </c>
    </row>
    <row r="526" spans="1:12">
      <c r="A526" s="10" t="s">
        <v>172</v>
      </c>
      <c r="B526" t="s">
        <v>9</v>
      </c>
      <c r="C526">
        <v>6</v>
      </c>
      <c r="D526">
        <v>2090</v>
      </c>
      <c r="E526">
        <v>0</v>
      </c>
      <c r="I526">
        <v>12000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0</v>
      </c>
    </row>
    <row r="527" spans="1:12">
      <c r="A527" s="10" t="s">
        <v>172</v>
      </c>
      <c r="B527" t="s">
        <v>9</v>
      </c>
      <c r="C527">
        <v>6</v>
      </c>
      <c r="D527">
        <v>2367</v>
      </c>
      <c r="E527">
        <v>0</v>
      </c>
      <c r="F527" t="s">
        <v>58</v>
      </c>
      <c r="G527">
        <v>1</v>
      </c>
      <c r="H527" t="s">
        <v>12</v>
      </c>
      <c r="I527">
        <v>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7" s="43">
        <f>IFERROR(SUMIFS(Tabela10[Fod Worth],Tabela10[Drop],DropAnalityka[[#This Row],[Drop]],Tabela10[Grade],DropAnalityka[[#This Row],[Grade]])*DropAnalityka[[#This Row],[Quality/Quantity]],0)</f>
        <v>11500</v>
      </c>
      <c r="L527" s="43">
        <f>IFERROR(SUMIFS(Tabela10[Exp Gain only 2*+],Tabela10[Drop],DropAnalityka[[#This Row],[Drop]],Tabela10[Grade],DropAnalityka[[#This Row],[Grade]])*DropAnalityka[[#This Row],[Quality/Quantity]],0)</f>
        <v>35822</v>
      </c>
    </row>
    <row r="528" spans="1:12">
      <c r="A528" s="10" t="s">
        <v>172</v>
      </c>
      <c r="B528" t="s">
        <v>9</v>
      </c>
      <c r="C528">
        <v>6</v>
      </c>
      <c r="D528">
        <v>3236</v>
      </c>
      <c r="E528">
        <v>1</v>
      </c>
      <c r="I528">
        <v>1236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8" s="43">
        <f>IFERROR(SUMIFS(Tabela10[Fod Worth],Tabela10[Drop],DropAnalityka[[#This Row],[Drop]],Tabela10[Grade],DropAnalityka[[#This Row],[Grade]])*DropAnalityka[[#This Row],[Quality/Quantity]],0)</f>
        <v>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172</v>
      </c>
      <c r="B529" t="s">
        <v>9</v>
      </c>
      <c r="C529">
        <v>6</v>
      </c>
      <c r="D529">
        <v>2638</v>
      </c>
      <c r="E529">
        <v>0</v>
      </c>
      <c r="F529" t="s">
        <v>143</v>
      </c>
      <c r="I529">
        <v>0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172</v>
      </c>
      <c r="B530" t="s">
        <v>9</v>
      </c>
      <c r="C530">
        <v>6</v>
      </c>
      <c r="D530">
        <v>2603</v>
      </c>
      <c r="E530">
        <v>0</v>
      </c>
      <c r="F530" t="s">
        <v>34</v>
      </c>
      <c r="G530">
        <v>4</v>
      </c>
      <c r="H530" t="s">
        <v>17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3200</v>
      </c>
    </row>
    <row r="531" spans="1:12">
      <c r="A531" s="10" t="s">
        <v>172</v>
      </c>
      <c r="B531" t="s">
        <v>9</v>
      </c>
      <c r="C531">
        <v>6</v>
      </c>
      <c r="D531">
        <v>2600</v>
      </c>
      <c r="E531">
        <v>2</v>
      </c>
      <c r="I531">
        <v>3916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0</v>
      </c>
    </row>
    <row r="532" spans="1:12">
      <c r="A532" s="10" t="s">
        <v>172</v>
      </c>
      <c r="B532" t="s">
        <v>9</v>
      </c>
      <c r="C532">
        <v>6</v>
      </c>
      <c r="D532">
        <v>2913</v>
      </c>
      <c r="E532">
        <v>0</v>
      </c>
      <c r="I532">
        <v>3789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172</v>
      </c>
      <c r="B533" t="s">
        <v>9</v>
      </c>
      <c r="C533">
        <v>6</v>
      </c>
      <c r="D533">
        <v>2460</v>
      </c>
      <c r="E533">
        <v>1</v>
      </c>
      <c r="F533" t="s">
        <v>34</v>
      </c>
      <c r="G533">
        <v>4</v>
      </c>
      <c r="H533" t="s">
        <v>17</v>
      </c>
      <c r="I533">
        <v>0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3200</v>
      </c>
    </row>
    <row r="534" spans="1:12">
      <c r="A534" s="10" t="s">
        <v>207</v>
      </c>
      <c r="B534" t="s">
        <v>9</v>
      </c>
      <c r="C534">
        <v>8</v>
      </c>
      <c r="D534">
        <v>2498</v>
      </c>
      <c r="E534">
        <v>2</v>
      </c>
      <c r="F534" t="s">
        <v>249</v>
      </c>
      <c r="G534">
        <v>3</v>
      </c>
      <c r="H534" t="s">
        <v>270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0</v>
      </c>
    </row>
    <row r="535" spans="1:12">
      <c r="A535" s="10" t="s">
        <v>207</v>
      </c>
      <c r="B535" t="s">
        <v>9</v>
      </c>
      <c r="C535">
        <v>7</v>
      </c>
      <c r="D535">
        <v>2073</v>
      </c>
      <c r="E535">
        <v>0</v>
      </c>
      <c r="F535" t="s">
        <v>249</v>
      </c>
      <c r="G535">
        <v>1</v>
      </c>
      <c r="H535" t="s">
        <v>292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207</v>
      </c>
      <c r="B536" t="s">
        <v>9</v>
      </c>
      <c r="C536">
        <v>7</v>
      </c>
      <c r="D536">
        <v>2143</v>
      </c>
      <c r="E536">
        <v>0</v>
      </c>
      <c r="F536" t="s">
        <v>249</v>
      </c>
      <c r="G536">
        <v>3</v>
      </c>
      <c r="H536" t="s">
        <v>270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207</v>
      </c>
      <c r="B537" t="s">
        <v>9</v>
      </c>
      <c r="C537">
        <v>7</v>
      </c>
      <c r="D537">
        <v>1852</v>
      </c>
      <c r="E537">
        <v>1</v>
      </c>
      <c r="F537" t="s">
        <v>249</v>
      </c>
      <c r="G537">
        <v>1</v>
      </c>
      <c r="H537" t="s">
        <v>292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207</v>
      </c>
      <c r="B538" t="s">
        <v>9</v>
      </c>
      <c r="C538">
        <v>7</v>
      </c>
      <c r="D538">
        <v>2417</v>
      </c>
      <c r="E538">
        <v>0</v>
      </c>
      <c r="F538" t="s">
        <v>205</v>
      </c>
      <c r="G538">
        <v>1</v>
      </c>
      <c r="H538" t="s">
        <v>26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862.5</v>
      </c>
      <c r="L538" s="43">
        <f>IFERROR(SUMIFS(Tabela10[Exp Gain only 2*+],Tabela10[Drop],DropAnalityka[[#This Row],[Drop]],Tabela10[Grade],DropAnalityka[[#This Row],[Grade]])*DropAnalityka[[#This Row],[Quality/Quantity]],0)</f>
        <v>895.55</v>
      </c>
    </row>
    <row r="539" spans="1:12">
      <c r="A539" s="10" t="s">
        <v>207</v>
      </c>
      <c r="B539" t="s">
        <v>9</v>
      </c>
      <c r="C539">
        <v>8</v>
      </c>
      <c r="D539">
        <v>2146</v>
      </c>
      <c r="E539">
        <v>0</v>
      </c>
      <c r="F539" t="s">
        <v>249</v>
      </c>
      <c r="G539">
        <v>2</v>
      </c>
      <c r="H539" t="s">
        <v>292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0</v>
      </c>
      <c r="L539" s="43">
        <f>IFERROR(SUMIFS(Tabela10[Exp Gain only 2*+],Tabela10[Drop],DropAnalityka[[#This Row],[Drop]],Tabela10[Grade],DropAnalityka[[#This Row],[Grade]])*DropAnalityka[[#This Row],[Quality/Quantity]],0)</f>
        <v>0</v>
      </c>
    </row>
    <row r="540" spans="1:12">
      <c r="A540" s="10" t="s">
        <v>207</v>
      </c>
      <c r="B540" t="s">
        <v>9</v>
      </c>
      <c r="C540">
        <v>8</v>
      </c>
      <c r="D540">
        <v>2968</v>
      </c>
      <c r="E540">
        <v>0</v>
      </c>
      <c r="F540" t="s">
        <v>34</v>
      </c>
      <c r="G540">
        <v>4</v>
      </c>
      <c r="H540" t="s">
        <v>17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3200</v>
      </c>
    </row>
    <row r="541" spans="1:12">
      <c r="A541" s="10" t="s">
        <v>207</v>
      </c>
      <c r="B541" t="s">
        <v>9</v>
      </c>
      <c r="C541">
        <v>8</v>
      </c>
      <c r="D541">
        <v>2237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207</v>
      </c>
      <c r="B542" t="s">
        <v>9</v>
      </c>
      <c r="C542">
        <v>8</v>
      </c>
      <c r="D542">
        <v>2223</v>
      </c>
      <c r="E542">
        <v>1</v>
      </c>
      <c r="F542" t="s">
        <v>249</v>
      </c>
      <c r="G542">
        <v>5</v>
      </c>
      <c r="H542" t="s">
        <v>270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0</v>
      </c>
    </row>
    <row r="543" spans="1:12">
      <c r="A543" s="10" t="s">
        <v>207</v>
      </c>
      <c r="B543" t="s">
        <v>9</v>
      </c>
      <c r="C543">
        <v>8</v>
      </c>
      <c r="D543">
        <v>2246</v>
      </c>
      <c r="E543">
        <v>2</v>
      </c>
      <c r="F543" t="s">
        <v>34</v>
      </c>
      <c r="G543">
        <v>4</v>
      </c>
      <c r="H543" t="s">
        <v>17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3200</v>
      </c>
    </row>
    <row r="544" spans="1:12">
      <c r="A544" s="10" t="s">
        <v>207</v>
      </c>
      <c r="B544" t="s">
        <v>9</v>
      </c>
      <c r="C544">
        <v>8</v>
      </c>
      <c r="D544">
        <v>1945</v>
      </c>
      <c r="E544">
        <v>0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207</v>
      </c>
      <c r="B545" t="s">
        <v>9</v>
      </c>
      <c r="C545">
        <v>8</v>
      </c>
      <c r="D545">
        <v>2404</v>
      </c>
      <c r="E545">
        <v>1</v>
      </c>
      <c r="F545" t="s">
        <v>249</v>
      </c>
      <c r="G545">
        <v>4</v>
      </c>
      <c r="H545" t="s">
        <v>270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0</v>
      </c>
    </row>
    <row r="546" spans="1:12">
      <c r="A546" s="10" t="s">
        <v>207</v>
      </c>
      <c r="B546" t="s">
        <v>9</v>
      </c>
      <c r="C546">
        <v>8</v>
      </c>
      <c r="D546">
        <v>3017</v>
      </c>
      <c r="E546">
        <v>1</v>
      </c>
      <c r="F546" t="s">
        <v>249</v>
      </c>
      <c r="G546">
        <v>4</v>
      </c>
      <c r="H546" t="s">
        <v>270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207</v>
      </c>
      <c r="B547" t="s">
        <v>9</v>
      </c>
      <c r="C547">
        <v>8</v>
      </c>
      <c r="D547">
        <v>2175</v>
      </c>
      <c r="E547">
        <v>0</v>
      </c>
      <c r="F547" t="s">
        <v>143</v>
      </c>
      <c r="G547">
        <v>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207</v>
      </c>
      <c r="B548" t="s">
        <v>9</v>
      </c>
      <c r="C548">
        <v>8</v>
      </c>
      <c r="D548">
        <v>2276</v>
      </c>
      <c r="E548">
        <v>0</v>
      </c>
      <c r="F548" t="s">
        <v>249</v>
      </c>
      <c r="G548">
        <v>4</v>
      </c>
      <c r="H548" t="s">
        <v>270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207</v>
      </c>
      <c r="B549" t="s">
        <v>9</v>
      </c>
      <c r="C549">
        <v>8</v>
      </c>
      <c r="D549">
        <v>2576</v>
      </c>
      <c r="E549">
        <v>3</v>
      </c>
      <c r="F549" t="s">
        <v>249</v>
      </c>
      <c r="G549">
        <v>4</v>
      </c>
      <c r="H549" t="s">
        <v>270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207</v>
      </c>
      <c r="B550" t="s">
        <v>9</v>
      </c>
      <c r="C550">
        <v>8</v>
      </c>
      <c r="D550">
        <v>2058</v>
      </c>
      <c r="E550">
        <v>1</v>
      </c>
      <c r="F550" t="s">
        <v>249</v>
      </c>
      <c r="G550">
        <v>5</v>
      </c>
      <c r="H550" t="s">
        <v>270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207</v>
      </c>
      <c r="B551" t="s">
        <v>9</v>
      </c>
      <c r="C551">
        <v>8</v>
      </c>
      <c r="D551">
        <v>2086</v>
      </c>
      <c r="E551">
        <v>1</v>
      </c>
      <c r="F551" t="s">
        <v>34</v>
      </c>
      <c r="G551">
        <v>4</v>
      </c>
      <c r="H551" t="s">
        <v>17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3200</v>
      </c>
    </row>
    <row r="552" spans="1:12">
      <c r="A552" s="10" t="s">
        <v>207</v>
      </c>
      <c r="B552" t="s">
        <v>9</v>
      </c>
      <c r="C552">
        <v>8</v>
      </c>
      <c r="D552">
        <v>2586</v>
      </c>
      <c r="E552">
        <v>3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207</v>
      </c>
      <c r="B553" t="s">
        <v>9</v>
      </c>
      <c r="C553">
        <v>8</v>
      </c>
      <c r="D553">
        <v>2500</v>
      </c>
      <c r="E553">
        <v>1</v>
      </c>
      <c r="F553" t="s">
        <v>34</v>
      </c>
      <c r="G553">
        <v>5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4000</v>
      </c>
    </row>
    <row r="554" spans="1:12">
      <c r="A554" s="10" t="s">
        <v>207</v>
      </c>
      <c r="B554" t="s">
        <v>9</v>
      </c>
      <c r="C554">
        <v>8</v>
      </c>
      <c r="D554">
        <v>2526</v>
      </c>
      <c r="E554">
        <v>0</v>
      </c>
      <c r="F554" t="s">
        <v>249</v>
      </c>
      <c r="G554">
        <v>1</v>
      </c>
      <c r="H554" t="s">
        <v>271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0</v>
      </c>
    </row>
    <row r="555" spans="1:12">
      <c r="A555" s="10" t="s">
        <v>207</v>
      </c>
      <c r="B555" t="s">
        <v>9</v>
      </c>
      <c r="C555">
        <v>8</v>
      </c>
      <c r="D555">
        <v>2483</v>
      </c>
      <c r="E555">
        <v>3</v>
      </c>
      <c r="F555" t="s">
        <v>249</v>
      </c>
      <c r="G555">
        <v>1</v>
      </c>
      <c r="H555" t="s">
        <v>271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207</v>
      </c>
      <c r="B556" t="s">
        <v>9</v>
      </c>
      <c r="C556">
        <v>8</v>
      </c>
      <c r="D556">
        <v>2491</v>
      </c>
      <c r="E556">
        <v>0</v>
      </c>
      <c r="F556" t="s">
        <v>223</v>
      </c>
      <c r="G556" t="s">
        <v>290</v>
      </c>
      <c r="H556" t="s">
        <v>26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207</v>
      </c>
      <c r="B557" t="s">
        <v>9</v>
      </c>
      <c r="C557">
        <v>8</v>
      </c>
      <c r="D557">
        <v>2730</v>
      </c>
      <c r="E557">
        <v>0</v>
      </c>
      <c r="F557" t="s">
        <v>34</v>
      </c>
      <c r="G557">
        <v>4</v>
      </c>
      <c r="H557" t="s">
        <v>17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3200</v>
      </c>
    </row>
    <row r="558" spans="1:12">
      <c r="A558" s="10" t="s">
        <v>207</v>
      </c>
      <c r="B558" t="s">
        <v>9</v>
      </c>
      <c r="C558">
        <v>8</v>
      </c>
      <c r="D558">
        <v>2671</v>
      </c>
      <c r="E558">
        <v>2</v>
      </c>
      <c r="F558" t="s">
        <v>249</v>
      </c>
      <c r="G558">
        <v>4</v>
      </c>
      <c r="H558" t="s">
        <v>270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0</v>
      </c>
    </row>
    <row r="559" spans="1:12">
      <c r="A559" s="10" t="s">
        <v>207</v>
      </c>
      <c r="B559" t="s">
        <v>9</v>
      </c>
      <c r="C559">
        <v>8</v>
      </c>
      <c r="D559">
        <v>2186</v>
      </c>
      <c r="E559">
        <v>1</v>
      </c>
      <c r="F559" t="s">
        <v>206</v>
      </c>
      <c r="G559">
        <v>1</v>
      </c>
      <c r="H559" t="s">
        <v>17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207</v>
      </c>
      <c r="B560" t="s">
        <v>9</v>
      </c>
      <c r="C560">
        <v>8</v>
      </c>
      <c r="D560">
        <v>2316</v>
      </c>
      <c r="E560">
        <v>0</v>
      </c>
      <c r="F560" t="s">
        <v>249</v>
      </c>
      <c r="G560">
        <v>3</v>
      </c>
      <c r="H560" t="s">
        <v>270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207</v>
      </c>
      <c r="B561" t="s">
        <v>9</v>
      </c>
      <c r="C561">
        <v>8</v>
      </c>
      <c r="D561">
        <v>2046</v>
      </c>
      <c r="E561">
        <v>1</v>
      </c>
      <c r="F561" t="s">
        <v>249</v>
      </c>
      <c r="G561">
        <v>4</v>
      </c>
      <c r="H561" t="s">
        <v>270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207</v>
      </c>
      <c r="B562" t="s">
        <v>9</v>
      </c>
      <c r="C562">
        <v>8</v>
      </c>
      <c r="D562">
        <v>2303</v>
      </c>
      <c r="E562">
        <v>3</v>
      </c>
      <c r="F562" t="s">
        <v>249</v>
      </c>
      <c r="G562">
        <v>1</v>
      </c>
      <c r="H562" t="s">
        <v>292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207</v>
      </c>
      <c r="B563" t="s">
        <v>9</v>
      </c>
      <c r="C563">
        <v>8</v>
      </c>
      <c r="D563">
        <v>2396</v>
      </c>
      <c r="E563">
        <v>1</v>
      </c>
      <c r="F563" t="s">
        <v>249</v>
      </c>
      <c r="G563">
        <v>1</v>
      </c>
      <c r="H563" t="s">
        <v>292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207</v>
      </c>
      <c r="B564" t="s">
        <v>9</v>
      </c>
      <c r="C564">
        <v>8</v>
      </c>
      <c r="D564">
        <v>2325</v>
      </c>
      <c r="E564">
        <v>1</v>
      </c>
      <c r="F564" t="s">
        <v>249</v>
      </c>
      <c r="G564">
        <v>2</v>
      </c>
      <c r="H564" t="s">
        <v>271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207</v>
      </c>
      <c r="B565" t="s">
        <v>9</v>
      </c>
      <c r="C565">
        <v>8</v>
      </c>
      <c r="D565">
        <v>2398</v>
      </c>
      <c r="E565">
        <v>1</v>
      </c>
      <c r="F565" t="s">
        <v>249</v>
      </c>
      <c r="G565">
        <v>3</v>
      </c>
      <c r="H565" t="s">
        <v>270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207</v>
      </c>
      <c r="B566" t="s">
        <v>9</v>
      </c>
      <c r="C566">
        <v>8</v>
      </c>
      <c r="D566">
        <v>2668</v>
      </c>
      <c r="E566">
        <v>0</v>
      </c>
      <c r="F566" t="s">
        <v>249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36</v>
      </c>
      <c r="B567" t="s">
        <v>9</v>
      </c>
      <c r="C567">
        <v>7</v>
      </c>
      <c r="D567">
        <v>3002</v>
      </c>
      <c r="E567">
        <v>2</v>
      </c>
      <c r="F567" t="s">
        <v>252</v>
      </c>
      <c r="G567">
        <v>2</v>
      </c>
      <c r="H567" t="s">
        <v>292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36</v>
      </c>
      <c r="B568" t="s">
        <v>9</v>
      </c>
      <c r="C568">
        <v>7</v>
      </c>
      <c r="D568">
        <v>2021</v>
      </c>
      <c r="E568">
        <v>1</v>
      </c>
      <c r="F568" t="s">
        <v>252</v>
      </c>
      <c r="G568">
        <v>1</v>
      </c>
      <c r="H568" t="s">
        <v>292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36</v>
      </c>
      <c r="B569" t="s">
        <v>9</v>
      </c>
      <c r="C569">
        <v>7</v>
      </c>
      <c r="D569">
        <v>2168</v>
      </c>
      <c r="E569">
        <v>0</v>
      </c>
      <c r="F569" t="s">
        <v>252</v>
      </c>
      <c r="G569">
        <v>4</v>
      </c>
      <c r="H569" t="s">
        <v>270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36</v>
      </c>
      <c r="B570" t="s">
        <v>9</v>
      </c>
      <c r="C570">
        <v>7</v>
      </c>
      <c r="D570">
        <v>2540</v>
      </c>
      <c r="E570">
        <v>3</v>
      </c>
      <c r="F570" t="s">
        <v>252</v>
      </c>
      <c r="G570">
        <v>1</v>
      </c>
      <c r="H570" t="s">
        <v>292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36</v>
      </c>
      <c r="B571" t="s">
        <v>9</v>
      </c>
      <c r="C571">
        <v>7</v>
      </c>
      <c r="D571">
        <v>2251</v>
      </c>
      <c r="E571">
        <v>1</v>
      </c>
      <c r="F571" t="s">
        <v>252</v>
      </c>
      <c r="G571">
        <v>1</v>
      </c>
      <c r="H571" t="s">
        <v>292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36</v>
      </c>
      <c r="B572" t="s">
        <v>9</v>
      </c>
      <c r="C572">
        <v>7</v>
      </c>
      <c r="D572">
        <v>2591</v>
      </c>
      <c r="E572">
        <v>1</v>
      </c>
      <c r="F572" t="s">
        <v>252</v>
      </c>
      <c r="G572">
        <v>4</v>
      </c>
      <c r="H572" t="s">
        <v>270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36</v>
      </c>
      <c r="B573" t="s">
        <v>9</v>
      </c>
      <c r="C573">
        <v>7</v>
      </c>
      <c r="D573">
        <v>2238</v>
      </c>
      <c r="E573">
        <v>1</v>
      </c>
      <c r="F573" t="s">
        <v>252</v>
      </c>
      <c r="G573">
        <v>3</v>
      </c>
      <c r="H573" t="s">
        <v>292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36</v>
      </c>
      <c r="B574" t="s">
        <v>9</v>
      </c>
      <c r="C574">
        <v>7</v>
      </c>
      <c r="D574">
        <v>2506</v>
      </c>
      <c r="E574">
        <v>0</v>
      </c>
      <c r="F574" t="s">
        <v>252</v>
      </c>
      <c r="G574">
        <v>3</v>
      </c>
      <c r="H574" t="s">
        <v>292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36</v>
      </c>
      <c r="B575" t="s">
        <v>9</v>
      </c>
      <c r="C575">
        <v>7</v>
      </c>
      <c r="D575">
        <v>2339</v>
      </c>
      <c r="E575">
        <v>0</v>
      </c>
      <c r="F575" t="s">
        <v>252</v>
      </c>
      <c r="G575">
        <v>4</v>
      </c>
      <c r="H575" t="s">
        <v>270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36</v>
      </c>
      <c r="B576" t="s">
        <v>9</v>
      </c>
      <c r="C576">
        <v>7</v>
      </c>
      <c r="D576">
        <v>2207</v>
      </c>
      <c r="E576">
        <v>1</v>
      </c>
      <c r="F576" t="s">
        <v>252</v>
      </c>
      <c r="G576">
        <v>3</v>
      </c>
      <c r="H576" t="s">
        <v>270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36</v>
      </c>
      <c r="B577" t="s">
        <v>9</v>
      </c>
      <c r="C577">
        <v>7</v>
      </c>
      <c r="D577">
        <v>1988</v>
      </c>
      <c r="E577">
        <v>0</v>
      </c>
      <c r="F577" t="s">
        <v>249</v>
      </c>
      <c r="G577">
        <v>3</v>
      </c>
      <c r="H577" t="s">
        <v>270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36</v>
      </c>
      <c r="B578" t="s">
        <v>9</v>
      </c>
      <c r="C578">
        <v>7</v>
      </c>
      <c r="D578">
        <v>2659</v>
      </c>
      <c r="E578">
        <v>0</v>
      </c>
      <c r="F578" t="s">
        <v>252</v>
      </c>
      <c r="G578">
        <v>5</v>
      </c>
      <c r="H578" t="s">
        <v>270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36</v>
      </c>
      <c r="B579" t="s">
        <v>9</v>
      </c>
      <c r="C579">
        <v>7</v>
      </c>
      <c r="D579">
        <v>2237</v>
      </c>
      <c r="E579">
        <v>0</v>
      </c>
      <c r="F579" t="s">
        <v>34</v>
      </c>
      <c r="G579">
        <v>4</v>
      </c>
      <c r="H579" t="s">
        <v>17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3200</v>
      </c>
    </row>
    <row r="580" spans="1:12">
      <c r="A580" s="10" t="s">
        <v>36</v>
      </c>
      <c r="B580" t="s">
        <v>9</v>
      </c>
      <c r="C580">
        <v>7</v>
      </c>
      <c r="D580">
        <v>2137</v>
      </c>
      <c r="E580">
        <v>1</v>
      </c>
      <c r="F580" t="s">
        <v>143</v>
      </c>
      <c r="G580">
        <v>1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0</v>
      </c>
    </row>
    <row r="581" spans="1:12">
      <c r="A581" s="10" t="s">
        <v>36</v>
      </c>
      <c r="B581" t="s">
        <v>9</v>
      </c>
      <c r="C581">
        <v>7</v>
      </c>
      <c r="D581">
        <v>2588</v>
      </c>
      <c r="E581">
        <v>1</v>
      </c>
      <c r="F581" t="s">
        <v>252</v>
      </c>
      <c r="G581">
        <v>3</v>
      </c>
      <c r="H581" t="s">
        <v>270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36</v>
      </c>
      <c r="B582" t="s">
        <v>9</v>
      </c>
      <c r="C582">
        <v>7</v>
      </c>
      <c r="D582">
        <v>2248</v>
      </c>
      <c r="E582">
        <v>1</v>
      </c>
      <c r="F582" t="s">
        <v>252</v>
      </c>
      <c r="G582">
        <v>2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172</v>
      </c>
      <c r="B583" t="s">
        <v>9</v>
      </c>
      <c r="C583">
        <v>6</v>
      </c>
      <c r="D583">
        <v>2097</v>
      </c>
      <c r="E583">
        <v>2</v>
      </c>
      <c r="F583" t="s">
        <v>258</v>
      </c>
      <c r="G583">
        <v>1</v>
      </c>
      <c r="H583" t="s">
        <v>27</v>
      </c>
      <c r="I583">
        <v>3307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31</v>
      </c>
      <c r="B584" t="s">
        <v>30</v>
      </c>
      <c r="C584">
        <v>11</v>
      </c>
      <c r="D584">
        <v>707</v>
      </c>
      <c r="E584">
        <v>1</v>
      </c>
      <c r="I584">
        <v>1824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1504</v>
      </c>
      <c r="E585">
        <v>1</v>
      </c>
      <c r="F585" t="s">
        <v>57</v>
      </c>
      <c r="G585">
        <v>1</v>
      </c>
      <c r="H585" t="s">
        <v>12</v>
      </c>
      <c r="I585">
        <v>0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5" s="43">
        <f>IFERROR(SUMIFS(Tabela10[Fod Worth],Tabela10[Drop],DropAnalityka[[#This Row],[Drop]],Tabela10[Grade],DropAnalityka[[#This Row],[Grade]])*DropAnalityka[[#This Row],[Quality/Quantity]],0)</f>
        <v>11500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1442</v>
      </c>
      <c r="E586">
        <v>1</v>
      </c>
      <c r="F586" t="s">
        <v>57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1510</v>
      </c>
      <c r="E587">
        <v>0</v>
      </c>
      <c r="I587">
        <v>1824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7" s="43">
        <f>IFERROR(SUMIFS(Tabela10[Fod Worth],Tabela10[Drop],DropAnalityka[[#This Row],[Drop]],Tabela10[Grade],DropAnalityka[[#This Row],[Grade]])*DropAnalityka[[#This Row],[Quality/Quantity]],0)</f>
        <v>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1606</v>
      </c>
      <c r="E588">
        <v>0</v>
      </c>
      <c r="F588" t="s">
        <v>34</v>
      </c>
      <c r="G588">
        <v>2</v>
      </c>
      <c r="H588" t="s">
        <v>17</v>
      </c>
      <c r="I588">
        <v>0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1600</v>
      </c>
    </row>
    <row r="589" spans="1:12">
      <c r="A589" s="10" t="s">
        <v>31</v>
      </c>
      <c r="B589" t="s">
        <v>30</v>
      </c>
      <c r="C589">
        <v>11</v>
      </c>
      <c r="D589">
        <v>1532</v>
      </c>
      <c r="E589">
        <v>1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1918</v>
      </c>
      <c r="E590">
        <v>0</v>
      </c>
      <c r="I590">
        <v>1824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0</v>
      </c>
    </row>
    <row r="591" spans="1:12">
      <c r="A591" s="10" t="s">
        <v>31</v>
      </c>
      <c r="B591" t="s">
        <v>30</v>
      </c>
      <c r="C591">
        <v>11</v>
      </c>
      <c r="D591">
        <v>2175</v>
      </c>
      <c r="E591">
        <v>2</v>
      </c>
      <c r="F591" t="s">
        <v>34</v>
      </c>
      <c r="G591">
        <v>2</v>
      </c>
      <c r="H591" t="s">
        <v>17</v>
      </c>
      <c r="I591">
        <v>0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1600</v>
      </c>
    </row>
    <row r="592" spans="1:12">
      <c r="A592" s="10" t="s">
        <v>31</v>
      </c>
      <c r="B592" t="s">
        <v>30</v>
      </c>
      <c r="C592">
        <v>11</v>
      </c>
      <c r="D592">
        <v>1952</v>
      </c>
      <c r="E592">
        <v>2</v>
      </c>
      <c r="I592">
        <v>3182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0</v>
      </c>
    </row>
    <row r="593" spans="1:12">
      <c r="A593" s="10" t="s">
        <v>31</v>
      </c>
      <c r="B593" t="s">
        <v>30</v>
      </c>
      <c r="C593">
        <v>11</v>
      </c>
      <c r="D593">
        <v>2050</v>
      </c>
      <c r="E593">
        <v>0</v>
      </c>
      <c r="I593">
        <v>3427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1235</v>
      </c>
      <c r="E594">
        <v>0</v>
      </c>
      <c r="I594">
        <v>1824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1960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1632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1128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1864</v>
      </c>
      <c r="E598">
        <v>1</v>
      </c>
      <c r="F598" t="s">
        <v>34</v>
      </c>
      <c r="G598">
        <v>2</v>
      </c>
      <c r="H598" t="s">
        <v>17</v>
      </c>
      <c r="I598">
        <v>0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1600</v>
      </c>
    </row>
    <row r="599" spans="1:12">
      <c r="A599" s="10" t="s">
        <v>31</v>
      </c>
      <c r="B599" t="s">
        <v>30</v>
      </c>
      <c r="C599">
        <v>11</v>
      </c>
      <c r="D599">
        <v>1372</v>
      </c>
      <c r="E599">
        <v>0</v>
      </c>
      <c r="I599">
        <v>2280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0</v>
      </c>
    </row>
    <row r="600" spans="1:12">
      <c r="A600" s="10" t="s">
        <v>31</v>
      </c>
      <c r="B600" t="s">
        <v>30</v>
      </c>
      <c r="C600">
        <v>11</v>
      </c>
      <c r="D600">
        <v>1560</v>
      </c>
      <c r="E600">
        <v>3</v>
      </c>
      <c r="I600">
        <v>1824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971</v>
      </c>
      <c r="E601">
        <v>1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1750</v>
      </c>
      <c r="E602">
        <v>2</v>
      </c>
      <c r="I602">
        <v>2128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586</v>
      </c>
      <c r="E603">
        <v>1</v>
      </c>
      <c r="F603" t="s">
        <v>57</v>
      </c>
      <c r="G603">
        <v>1</v>
      </c>
      <c r="H603" t="s">
        <v>12</v>
      </c>
      <c r="I603">
        <v>0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3" s="43">
        <f>IFERROR(SUMIFS(Tabela10[Fod Worth],Tabela10[Drop],DropAnalityka[[#This Row],[Drop]],Tabela10[Grade],DropAnalityka[[#This Row],[Grade]])*DropAnalityka[[#This Row],[Quality/Quantity]],0)</f>
        <v>11500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1287</v>
      </c>
      <c r="E604">
        <v>4</v>
      </c>
      <c r="F604" t="s">
        <v>34</v>
      </c>
      <c r="G604">
        <v>2</v>
      </c>
      <c r="H604" t="s">
        <v>17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4" s="43">
        <f>IFERROR(SUMIFS(Tabela10[Fod Worth],Tabela10[Drop],DropAnalityka[[#This Row],[Drop]],Tabela10[Grade],DropAnalityka[[#This Row],[Grade]])*DropAnalityka[[#This Row],[Quality/Quantity]],0)</f>
        <v>0</v>
      </c>
      <c r="L604" s="43">
        <f>IFERROR(SUMIFS(Tabela10[Exp Gain only 2*+],Tabela10[Drop],DropAnalityka[[#This Row],[Drop]],Tabela10[Grade],DropAnalityka[[#This Row],[Grade]])*DropAnalityka[[#This Row],[Quality/Quantity]],0)</f>
        <v>1600</v>
      </c>
    </row>
    <row r="605" spans="1:12">
      <c r="A605" s="10" t="s">
        <v>31</v>
      </c>
      <c r="B605" t="s">
        <v>30</v>
      </c>
      <c r="C605">
        <v>11</v>
      </c>
      <c r="D605">
        <v>1485</v>
      </c>
      <c r="E605">
        <v>1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2328</v>
      </c>
      <c r="E606">
        <v>2</v>
      </c>
      <c r="I606">
        <v>1824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0</v>
      </c>
    </row>
    <row r="607" spans="1:12">
      <c r="A607" s="10" t="s">
        <v>31</v>
      </c>
      <c r="B607" t="s">
        <v>30</v>
      </c>
      <c r="C607">
        <v>11</v>
      </c>
      <c r="D607">
        <v>1784</v>
      </c>
      <c r="E607">
        <v>1</v>
      </c>
      <c r="F607" t="s">
        <v>34</v>
      </c>
      <c r="G607">
        <v>2</v>
      </c>
      <c r="H607" t="s">
        <v>17</v>
      </c>
      <c r="I607">
        <v>0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1600</v>
      </c>
    </row>
    <row r="608" spans="1:12">
      <c r="A608" s="10" t="s">
        <v>31</v>
      </c>
      <c r="B608" t="s">
        <v>30</v>
      </c>
      <c r="C608">
        <v>11</v>
      </c>
      <c r="D608">
        <v>2122</v>
      </c>
      <c r="E608">
        <v>2</v>
      </c>
      <c r="I608">
        <v>1976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0</v>
      </c>
    </row>
    <row r="609" spans="1:12">
      <c r="A609" s="10" t="s">
        <v>31</v>
      </c>
      <c r="B609" t="s">
        <v>30</v>
      </c>
      <c r="C609">
        <v>11</v>
      </c>
      <c r="D609">
        <v>1311</v>
      </c>
      <c r="E609">
        <v>0</v>
      </c>
      <c r="I609">
        <v>1824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1185</v>
      </c>
      <c r="E610">
        <v>0</v>
      </c>
      <c r="F610" t="s">
        <v>57</v>
      </c>
      <c r="G610">
        <v>1</v>
      </c>
      <c r="H610" t="s">
        <v>12</v>
      </c>
      <c r="I610">
        <v>0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0" s="43">
        <f>IFERROR(SUMIFS(Tabela10[Fod Worth],Tabela10[Drop],DropAnalityka[[#This Row],[Drop]],Tabela10[Grade],DropAnalityka[[#This Row],[Grade]])*DropAnalityka[[#This Row],[Quality/Quantity]],0)</f>
        <v>11500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1211</v>
      </c>
      <c r="E611">
        <v>1</v>
      </c>
      <c r="I611">
        <v>2937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1" s="43">
        <f>IFERROR(SUMIFS(Tabela10[Fod Worth],Tabela10[Drop],DropAnalityka[[#This Row],[Drop]],Tabela10[Grade],DropAnalityka[[#This Row],[Grade]])*DropAnalityka[[#This Row],[Quality/Quantity]],0)</f>
        <v>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1078</v>
      </c>
      <c r="E612">
        <v>1</v>
      </c>
      <c r="I612">
        <v>1824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1832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1974</v>
      </c>
      <c r="E614">
        <v>1</v>
      </c>
      <c r="I614">
        <v>3427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8</v>
      </c>
      <c r="B615" t="s">
        <v>32</v>
      </c>
      <c r="C615">
        <v>3</v>
      </c>
      <c r="D615">
        <v>1628</v>
      </c>
      <c r="E615">
        <v>2</v>
      </c>
      <c r="I615">
        <v>1159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1636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2219</v>
      </c>
      <c r="E617">
        <v>0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31</v>
      </c>
      <c r="B618" t="s">
        <v>30</v>
      </c>
      <c r="C618">
        <v>11</v>
      </c>
      <c r="D618">
        <v>2000</v>
      </c>
      <c r="E618">
        <v>2</v>
      </c>
      <c r="F618" t="s">
        <v>34</v>
      </c>
      <c r="G618">
        <v>2</v>
      </c>
      <c r="H618" t="s">
        <v>17</v>
      </c>
      <c r="I618">
        <v>0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1600</v>
      </c>
    </row>
    <row r="619" spans="1:12">
      <c r="A619" s="10" t="s">
        <v>31</v>
      </c>
      <c r="B619" t="s">
        <v>30</v>
      </c>
      <c r="C619">
        <v>11</v>
      </c>
      <c r="D619">
        <v>1918</v>
      </c>
      <c r="E619">
        <v>0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1961</v>
      </c>
      <c r="E620">
        <v>1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1686</v>
      </c>
      <c r="E621">
        <v>1</v>
      </c>
      <c r="I621">
        <v>1824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0</v>
      </c>
    </row>
    <row r="622" spans="1:12">
      <c r="A622" s="10" t="s">
        <v>31</v>
      </c>
      <c r="B622" t="s">
        <v>30</v>
      </c>
      <c r="C622">
        <v>11</v>
      </c>
      <c r="D622">
        <v>1336</v>
      </c>
      <c r="E622">
        <v>1</v>
      </c>
      <c r="I622">
        <v>1976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2019</v>
      </c>
      <c r="E623">
        <v>2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2327</v>
      </c>
      <c r="E624">
        <v>1</v>
      </c>
      <c r="I624">
        <v>1824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1196</v>
      </c>
      <c r="E625">
        <v>0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1637</v>
      </c>
      <c r="E626">
        <v>0</v>
      </c>
      <c r="I626">
        <v>2937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1391</v>
      </c>
      <c r="E627">
        <v>2</v>
      </c>
      <c r="I627">
        <v>1824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895</v>
      </c>
      <c r="E628">
        <v>0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1297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1906</v>
      </c>
      <c r="E630">
        <v>1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1554</v>
      </c>
      <c r="E631">
        <v>0</v>
      </c>
      <c r="I631">
        <v>2937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1561</v>
      </c>
      <c r="E632">
        <v>0</v>
      </c>
      <c r="I632">
        <v>3182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1059</v>
      </c>
      <c r="E633">
        <v>0</v>
      </c>
      <c r="I633">
        <v>2128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1954</v>
      </c>
      <c r="E634">
        <v>0</v>
      </c>
      <c r="F634" t="s">
        <v>34</v>
      </c>
      <c r="G634">
        <v>2</v>
      </c>
      <c r="H634" t="s">
        <v>17</v>
      </c>
      <c r="I634">
        <v>0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1600</v>
      </c>
    </row>
    <row r="635" spans="1:12">
      <c r="A635" t="s">
        <v>8</v>
      </c>
      <c r="B635" t="s">
        <v>32</v>
      </c>
      <c r="C635">
        <v>13</v>
      </c>
      <c r="D635">
        <v>1836</v>
      </c>
      <c r="E635">
        <v>1</v>
      </c>
      <c r="I635">
        <v>1352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0</v>
      </c>
    </row>
    <row r="636" spans="1:12">
      <c r="A636" t="s">
        <v>8</v>
      </c>
      <c r="B636" t="s">
        <v>32</v>
      </c>
      <c r="C636">
        <v>13</v>
      </c>
      <c r="D636">
        <v>1596</v>
      </c>
      <c r="E636">
        <v>1</v>
      </c>
      <c r="F636" t="s">
        <v>34</v>
      </c>
      <c r="G636">
        <v>3</v>
      </c>
      <c r="H636" t="s">
        <v>17</v>
      </c>
      <c r="I636">
        <v>0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2400</v>
      </c>
    </row>
    <row r="637" spans="1:12">
      <c r="A637" t="s">
        <v>8</v>
      </c>
      <c r="B637" t="s">
        <v>32</v>
      </c>
      <c r="C637">
        <v>13</v>
      </c>
      <c r="D637">
        <v>1249</v>
      </c>
      <c r="E637">
        <v>1</v>
      </c>
      <c r="I637">
        <v>1352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0</v>
      </c>
    </row>
    <row r="638" spans="1:12">
      <c r="A638" t="s">
        <v>8</v>
      </c>
      <c r="B638" t="s">
        <v>32</v>
      </c>
      <c r="C638">
        <v>13</v>
      </c>
      <c r="D638">
        <v>1211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1264</v>
      </c>
      <c r="E639">
        <v>2</v>
      </c>
      <c r="I639">
        <v>2411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2595</v>
      </c>
      <c r="E640">
        <v>0</v>
      </c>
      <c r="I640">
        <v>2067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1424</v>
      </c>
      <c r="E641">
        <v>2</v>
      </c>
      <c r="I641">
        <v>1159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1971</v>
      </c>
      <c r="E642">
        <v>1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2145</v>
      </c>
      <c r="E643">
        <v>0</v>
      </c>
      <c r="I643">
        <v>2067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2223</v>
      </c>
      <c r="E644">
        <v>0</v>
      </c>
      <c r="I644">
        <v>1546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2364</v>
      </c>
      <c r="E645">
        <v>1</v>
      </c>
      <c r="I645">
        <v>1159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781</v>
      </c>
      <c r="E646">
        <v>0</v>
      </c>
      <c r="I646">
        <v>2067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904</v>
      </c>
      <c r="E647">
        <v>2</v>
      </c>
      <c r="F647" t="s">
        <v>34</v>
      </c>
      <c r="G647">
        <v>3</v>
      </c>
      <c r="H647" t="s">
        <v>17</v>
      </c>
      <c r="I647">
        <v>0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2400</v>
      </c>
    </row>
    <row r="648" spans="1:13">
      <c r="A648" t="s">
        <v>8</v>
      </c>
      <c r="B648" t="s">
        <v>32</v>
      </c>
      <c r="C648">
        <v>13</v>
      </c>
      <c r="D648">
        <v>1500</v>
      </c>
      <c r="E648">
        <v>0</v>
      </c>
      <c r="I648">
        <v>1159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0</v>
      </c>
    </row>
    <row r="649" spans="1:13">
      <c r="A649" t="s">
        <v>8</v>
      </c>
      <c r="B649" t="s">
        <v>32</v>
      </c>
      <c r="C649">
        <v>13</v>
      </c>
      <c r="D649">
        <v>1071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1683</v>
      </c>
      <c r="E650">
        <v>2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1102</v>
      </c>
      <c r="E651">
        <v>0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1495</v>
      </c>
      <c r="E652">
        <v>1</v>
      </c>
      <c r="F652" t="s">
        <v>34</v>
      </c>
      <c r="G652">
        <v>3</v>
      </c>
      <c r="H652" t="s">
        <v>17</v>
      </c>
      <c r="I652">
        <v>0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2400</v>
      </c>
      <c r="M652">
        <v>92</v>
      </c>
    </row>
    <row r="653" spans="1:13">
      <c r="A653" t="s">
        <v>31</v>
      </c>
      <c r="B653" t="s">
        <v>30</v>
      </c>
      <c r="C653">
        <v>11</v>
      </c>
      <c r="D653">
        <v>946</v>
      </c>
      <c r="E653">
        <v>0</v>
      </c>
      <c r="I653">
        <v>1824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0</v>
      </c>
    </row>
    <row r="654" spans="1:13">
      <c r="A654" s="10" t="s">
        <v>36</v>
      </c>
      <c r="B654" t="s">
        <v>9</v>
      </c>
      <c r="C654">
        <v>7</v>
      </c>
      <c r="D654">
        <v>2381</v>
      </c>
      <c r="E654">
        <v>2</v>
      </c>
      <c r="F654" t="s">
        <v>252</v>
      </c>
      <c r="G654">
        <v>4</v>
      </c>
      <c r="H654" t="s">
        <v>270</v>
      </c>
      <c r="I654">
        <v>0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36</v>
      </c>
      <c r="B655" t="s">
        <v>9</v>
      </c>
      <c r="C655">
        <v>7</v>
      </c>
      <c r="D655">
        <v>2191</v>
      </c>
      <c r="E655">
        <v>1</v>
      </c>
      <c r="F655" t="s">
        <v>252</v>
      </c>
      <c r="G655">
        <v>1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36</v>
      </c>
      <c r="B656" t="s">
        <v>9</v>
      </c>
      <c r="C656">
        <v>7</v>
      </c>
      <c r="D656">
        <v>2209</v>
      </c>
      <c r="E656">
        <v>0</v>
      </c>
      <c r="F656" t="s">
        <v>252</v>
      </c>
      <c r="G656">
        <v>1</v>
      </c>
      <c r="H656" t="s">
        <v>292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36</v>
      </c>
      <c r="B657" t="s">
        <v>9</v>
      </c>
      <c r="C657">
        <v>7</v>
      </c>
      <c r="D657">
        <v>2202</v>
      </c>
      <c r="E657">
        <v>1</v>
      </c>
      <c r="F657" t="s">
        <v>249</v>
      </c>
      <c r="G657">
        <v>1</v>
      </c>
      <c r="H657" t="s">
        <v>292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36</v>
      </c>
      <c r="B658" t="s">
        <v>9</v>
      </c>
      <c r="C658">
        <v>7</v>
      </c>
      <c r="D658">
        <v>2118</v>
      </c>
      <c r="E658">
        <v>0</v>
      </c>
      <c r="F658" t="s">
        <v>34</v>
      </c>
      <c r="G658">
        <v>4</v>
      </c>
      <c r="H658" t="s">
        <v>17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3200</v>
      </c>
    </row>
    <row r="659" spans="1:12">
      <c r="A659" s="10" t="s">
        <v>36</v>
      </c>
      <c r="B659" t="s">
        <v>9</v>
      </c>
      <c r="C659">
        <v>7</v>
      </c>
      <c r="D659">
        <v>2413</v>
      </c>
      <c r="E659">
        <v>1</v>
      </c>
      <c r="F659" t="s">
        <v>252</v>
      </c>
      <c r="G659">
        <v>1</v>
      </c>
      <c r="H659" t="s">
        <v>292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0</v>
      </c>
    </row>
    <row r="660" spans="1:12">
      <c r="A660" s="10" t="s">
        <v>36</v>
      </c>
      <c r="B660" t="s">
        <v>9</v>
      </c>
      <c r="C660">
        <v>7</v>
      </c>
      <c r="D660">
        <v>2546</v>
      </c>
      <c r="E660">
        <v>2</v>
      </c>
      <c r="F660" t="s">
        <v>34</v>
      </c>
      <c r="G660">
        <v>4</v>
      </c>
      <c r="H660" t="s">
        <v>17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3200</v>
      </c>
    </row>
    <row r="661" spans="1:12">
      <c r="A661" s="10" t="s">
        <v>36</v>
      </c>
      <c r="B661" t="s">
        <v>9</v>
      </c>
      <c r="C661">
        <v>7</v>
      </c>
      <c r="D661">
        <v>1950</v>
      </c>
      <c r="E661">
        <v>0</v>
      </c>
      <c r="F661" t="s">
        <v>252</v>
      </c>
      <c r="G661">
        <v>1</v>
      </c>
      <c r="H661" t="s">
        <v>292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0</v>
      </c>
    </row>
    <row r="662" spans="1:12">
      <c r="A662" s="10" t="s">
        <v>36</v>
      </c>
      <c r="B662" t="s">
        <v>9</v>
      </c>
      <c r="C662">
        <v>7</v>
      </c>
      <c r="D662">
        <v>2444</v>
      </c>
      <c r="E662">
        <v>1</v>
      </c>
      <c r="F662" t="s">
        <v>252</v>
      </c>
      <c r="G662">
        <v>5</v>
      </c>
      <c r="H662" t="s">
        <v>270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36</v>
      </c>
      <c r="B663" t="s">
        <v>9</v>
      </c>
      <c r="C663">
        <v>7</v>
      </c>
      <c r="D663">
        <v>2293</v>
      </c>
      <c r="E663">
        <v>1</v>
      </c>
      <c r="F663" t="s">
        <v>252</v>
      </c>
      <c r="G663">
        <v>4</v>
      </c>
      <c r="H663" t="s">
        <v>270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36</v>
      </c>
      <c r="B664" t="s">
        <v>9</v>
      </c>
      <c r="C664">
        <v>7</v>
      </c>
      <c r="D664">
        <v>2100</v>
      </c>
      <c r="E664">
        <v>0</v>
      </c>
      <c r="F664" t="s">
        <v>252</v>
      </c>
      <c r="G664">
        <v>2</v>
      </c>
      <c r="H664" t="s">
        <v>292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36</v>
      </c>
      <c r="B665" t="s">
        <v>9</v>
      </c>
      <c r="C665">
        <v>7</v>
      </c>
      <c r="D665">
        <v>2235</v>
      </c>
      <c r="E665">
        <v>1</v>
      </c>
      <c r="F665" t="s">
        <v>252</v>
      </c>
      <c r="G665">
        <v>1</v>
      </c>
      <c r="H665" t="s">
        <v>292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36</v>
      </c>
      <c r="B666" t="s">
        <v>9</v>
      </c>
      <c r="C666">
        <v>7</v>
      </c>
      <c r="D666">
        <v>2213</v>
      </c>
      <c r="E666">
        <v>0</v>
      </c>
      <c r="F666" t="s">
        <v>252</v>
      </c>
      <c r="G666">
        <v>3</v>
      </c>
      <c r="H666" t="s">
        <v>270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36</v>
      </c>
      <c r="B667" t="s">
        <v>9</v>
      </c>
      <c r="C667">
        <v>7</v>
      </c>
      <c r="D667">
        <v>2376</v>
      </c>
      <c r="E667">
        <v>1</v>
      </c>
      <c r="F667" t="s">
        <v>250</v>
      </c>
      <c r="G667">
        <v>1</v>
      </c>
      <c r="H667" t="s">
        <v>292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36</v>
      </c>
      <c r="B668" t="s">
        <v>9</v>
      </c>
      <c r="C668">
        <v>7</v>
      </c>
      <c r="D668">
        <v>2190</v>
      </c>
      <c r="E668">
        <v>0</v>
      </c>
      <c r="F668" t="s">
        <v>250</v>
      </c>
      <c r="G668">
        <v>2</v>
      </c>
      <c r="H668" t="s">
        <v>292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36</v>
      </c>
      <c r="B669" t="s">
        <v>9</v>
      </c>
      <c r="C669">
        <v>7</v>
      </c>
      <c r="D669">
        <v>2435</v>
      </c>
      <c r="E669">
        <v>1</v>
      </c>
      <c r="F669" t="s">
        <v>252</v>
      </c>
      <c r="G669">
        <v>5</v>
      </c>
      <c r="H669" t="s">
        <v>270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36</v>
      </c>
      <c r="B670" t="s">
        <v>9</v>
      </c>
      <c r="C670">
        <v>7</v>
      </c>
      <c r="D670">
        <v>2777</v>
      </c>
      <c r="E670">
        <v>0</v>
      </c>
      <c r="F670" t="s">
        <v>58</v>
      </c>
      <c r="G670">
        <v>1</v>
      </c>
      <c r="H670" t="s">
        <v>12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11500</v>
      </c>
      <c r="L670" s="43">
        <f>IFERROR(SUMIFS(Tabela10[Exp Gain only 2*+],Tabela10[Drop],DropAnalityka[[#This Row],[Drop]],Tabela10[Grade],DropAnalityka[[#This Row],[Grade]])*DropAnalityka[[#This Row],[Quality/Quantity]],0)</f>
        <v>35822</v>
      </c>
    </row>
    <row r="671" spans="1:12">
      <c r="A671" s="10" t="s">
        <v>36</v>
      </c>
      <c r="B671" t="s">
        <v>9</v>
      </c>
      <c r="C671">
        <v>7</v>
      </c>
      <c r="D671">
        <v>2127</v>
      </c>
      <c r="E671">
        <v>0</v>
      </c>
      <c r="F671" t="s">
        <v>252</v>
      </c>
      <c r="G671">
        <v>3</v>
      </c>
      <c r="H671" t="s">
        <v>270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36</v>
      </c>
      <c r="B672" t="s">
        <v>9</v>
      </c>
      <c r="C672">
        <v>7</v>
      </c>
      <c r="D672">
        <v>2217</v>
      </c>
      <c r="E672">
        <v>1</v>
      </c>
      <c r="F672" t="s">
        <v>252</v>
      </c>
      <c r="G672">
        <v>4</v>
      </c>
      <c r="H672" t="s">
        <v>270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36</v>
      </c>
      <c r="B673" t="s">
        <v>9</v>
      </c>
      <c r="C673">
        <v>7</v>
      </c>
      <c r="D673">
        <v>2126</v>
      </c>
      <c r="E673">
        <v>0</v>
      </c>
      <c r="F673" t="s">
        <v>250</v>
      </c>
      <c r="G673">
        <v>3</v>
      </c>
      <c r="H673" t="s">
        <v>292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36</v>
      </c>
      <c r="B674" t="s">
        <v>9</v>
      </c>
      <c r="C674">
        <v>7</v>
      </c>
      <c r="D674">
        <v>2061</v>
      </c>
      <c r="E674">
        <v>0</v>
      </c>
      <c r="F674" t="s">
        <v>252</v>
      </c>
      <c r="G674">
        <v>5</v>
      </c>
      <c r="H674" t="s">
        <v>270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36</v>
      </c>
      <c r="B675" t="s">
        <v>9</v>
      </c>
      <c r="C675">
        <v>7</v>
      </c>
      <c r="D675">
        <v>1946</v>
      </c>
      <c r="E675">
        <v>0</v>
      </c>
      <c r="F675" t="s">
        <v>18</v>
      </c>
      <c r="G675">
        <v>2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36</v>
      </c>
      <c r="B676" t="s">
        <v>9</v>
      </c>
      <c r="C676">
        <v>7</v>
      </c>
      <c r="D676">
        <v>2497</v>
      </c>
      <c r="E676">
        <v>1</v>
      </c>
      <c r="F676" t="s">
        <v>252</v>
      </c>
      <c r="G676">
        <v>5</v>
      </c>
      <c r="H676" t="s">
        <v>270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36</v>
      </c>
      <c r="B677" t="s">
        <v>9</v>
      </c>
      <c r="C677">
        <v>7</v>
      </c>
      <c r="D677">
        <v>1941</v>
      </c>
      <c r="E677">
        <v>0</v>
      </c>
      <c r="F677" t="s">
        <v>250</v>
      </c>
      <c r="G677">
        <v>1</v>
      </c>
      <c r="H677" t="s">
        <v>292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t="s">
        <v>172</v>
      </c>
      <c r="B678" t="s">
        <v>9</v>
      </c>
      <c r="C678">
        <v>8</v>
      </c>
      <c r="D678">
        <v>3681</v>
      </c>
      <c r="E678">
        <v>1</v>
      </c>
      <c r="F678" t="s">
        <v>258</v>
      </c>
      <c r="G678">
        <v>1</v>
      </c>
      <c r="H678" t="s">
        <v>27</v>
      </c>
      <c r="I678">
        <v>3300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60</v>
      </c>
      <c r="B679" t="s">
        <v>30</v>
      </c>
      <c r="C679">
        <v>1</v>
      </c>
      <c r="D679">
        <v>830</v>
      </c>
      <c r="E679">
        <v>0</v>
      </c>
      <c r="I679">
        <v>1824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60</v>
      </c>
      <c r="B680" t="s">
        <v>30</v>
      </c>
      <c r="C680">
        <v>1</v>
      </c>
      <c r="D680">
        <v>1949</v>
      </c>
      <c r="E680">
        <v>4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60</v>
      </c>
      <c r="B681" t="s">
        <v>30</v>
      </c>
      <c r="C681">
        <v>1</v>
      </c>
      <c r="D681">
        <v>1975</v>
      </c>
      <c r="E681">
        <v>1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60</v>
      </c>
      <c r="B682" t="s">
        <v>30</v>
      </c>
      <c r="C682">
        <v>1</v>
      </c>
      <c r="D682">
        <v>1446</v>
      </c>
      <c r="E682">
        <v>0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60</v>
      </c>
      <c r="B683" t="s">
        <v>30</v>
      </c>
      <c r="C683">
        <v>1</v>
      </c>
      <c r="D683">
        <v>891</v>
      </c>
      <c r="E683">
        <v>2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60</v>
      </c>
      <c r="B684" t="s">
        <v>30</v>
      </c>
      <c r="C684">
        <v>1</v>
      </c>
      <c r="D684">
        <v>1724</v>
      </c>
      <c r="E684">
        <v>1</v>
      </c>
      <c r="I684">
        <v>2128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60</v>
      </c>
      <c r="B685" t="s">
        <v>30</v>
      </c>
      <c r="C685">
        <v>1</v>
      </c>
      <c r="D685">
        <v>1612</v>
      </c>
      <c r="E685">
        <v>1</v>
      </c>
      <c r="I685">
        <v>1824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60</v>
      </c>
      <c r="B686" t="s">
        <v>30</v>
      </c>
      <c r="C686">
        <v>1</v>
      </c>
      <c r="D686">
        <v>1367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60</v>
      </c>
      <c r="B687" t="s">
        <v>30</v>
      </c>
      <c r="C687">
        <v>1</v>
      </c>
      <c r="D687">
        <v>1529</v>
      </c>
      <c r="E687">
        <v>0</v>
      </c>
      <c r="I687">
        <v>2937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s="10" t="s">
        <v>36</v>
      </c>
      <c r="B688" t="s">
        <v>9</v>
      </c>
      <c r="C688">
        <v>7</v>
      </c>
      <c r="D688">
        <v>2489</v>
      </c>
      <c r="E688">
        <v>0</v>
      </c>
      <c r="F688" t="s">
        <v>34</v>
      </c>
      <c r="G688">
        <v>4</v>
      </c>
      <c r="H688" t="s">
        <v>17</v>
      </c>
      <c r="I688">
        <v>0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3200</v>
      </c>
    </row>
    <row r="689" spans="1:12">
      <c r="A689" s="10" t="s">
        <v>36</v>
      </c>
      <c r="B689" t="s">
        <v>9</v>
      </c>
      <c r="C689">
        <v>7</v>
      </c>
      <c r="D689">
        <v>2683</v>
      </c>
      <c r="E689">
        <v>0</v>
      </c>
      <c r="F689" t="s">
        <v>252</v>
      </c>
      <c r="G689">
        <v>1</v>
      </c>
      <c r="H689" t="s">
        <v>292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0</v>
      </c>
    </row>
    <row r="690" spans="1:12">
      <c r="A690" s="10" t="s">
        <v>36</v>
      </c>
      <c r="B690" t="s">
        <v>9</v>
      </c>
      <c r="C690">
        <v>7</v>
      </c>
      <c r="D690">
        <v>2361</v>
      </c>
      <c r="E690">
        <v>3</v>
      </c>
      <c r="F690" t="s">
        <v>252</v>
      </c>
      <c r="G690">
        <v>1</v>
      </c>
      <c r="H690" t="s">
        <v>271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36</v>
      </c>
      <c r="B691" t="s">
        <v>9</v>
      </c>
      <c r="C691">
        <v>7</v>
      </c>
      <c r="D691">
        <v>2012</v>
      </c>
      <c r="E691">
        <v>1</v>
      </c>
      <c r="F691" t="s">
        <v>252</v>
      </c>
      <c r="G691">
        <v>1</v>
      </c>
      <c r="H691" t="s">
        <v>292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36</v>
      </c>
      <c r="B692" t="s">
        <v>9</v>
      </c>
      <c r="C692">
        <v>7</v>
      </c>
      <c r="D692">
        <v>2525</v>
      </c>
      <c r="E692">
        <v>0</v>
      </c>
      <c r="F692" t="s">
        <v>250</v>
      </c>
      <c r="G692">
        <v>1</v>
      </c>
      <c r="H692" t="s">
        <v>292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36</v>
      </c>
      <c r="B693" t="s">
        <v>9</v>
      </c>
      <c r="C693">
        <v>7</v>
      </c>
      <c r="D693">
        <v>2271</v>
      </c>
      <c r="E693">
        <v>0</v>
      </c>
      <c r="F693" t="s">
        <v>252</v>
      </c>
      <c r="G693">
        <v>4</v>
      </c>
      <c r="H693" t="s">
        <v>270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36</v>
      </c>
      <c r="B694" t="s">
        <v>9</v>
      </c>
      <c r="C694">
        <v>7</v>
      </c>
      <c r="D694">
        <v>2602</v>
      </c>
      <c r="E694">
        <v>1</v>
      </c>
      <c r="F694" t="s">
        <v>18</v>
      </c>
      <c r="G694">
        <v>1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36</v>
      </c>
      <c r="B695" t="s">
        <v>9</v>
      </c>
      <c r="C695">
        <v>7</v>
      </c>
      <c r="D695">
        <v>2453</v>
      </c>
      <c r="E695">
        <v>0</v>
      </c>
      <c r="F695" t="s">
        <v>252</v>
      </c>
      <c r="G695">
        <v>1</v>
      </c>
      <c r="H695" t="s">
        <v>292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36</v>
      </c>
      <c r="B696" t="s">
        <v>9</v>
      </c>
      <c r="C696">
        <v>7</v>
      </c>
      <c r="D696">
        <v>2244</v>
      </c>
      <c r="E696">
        <v>0</v>
      </c>
      <c r="F696" t="s">
        <v>252</v>
      </c>
      <c r="G696">
        <v>5</v>
      </c>
      <c r="H696" t="s">
        <v>270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36</v>
      </c>
      <c r="B697" t="s">
        <v>9</v>
      </c>
      <c r="C697">
        <v>7</v>
      </c>
      <c r="D697">
        <v>2817</v>
      </c>
      <c r="E697">
        <v>0</v>
      </c>
      <c r="F697" t="s">
        <v>252</v>
      </c>
      <c r="G697">
        <v>1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36</v>
      </c>
      <c r="B698" t="s">
        <v>9</v>
      </c>
      <c r="C698">
        <v>7</v>
      </c>
      <c r="D698">
        <v>2234</v>
      </c>
      <c r="E698">
        <v>1</v>
      </c>
      <c r="F698" t="s">
        <v>252</v>
      </c>
      <c r="G698">
        <v>3</v>
      </c>
      <c r="H698" t="s">
        <v>270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36</v>
      </c>
      <c r="B699" t="s">
        <v>9</v>
      </c>
      <c r="C699">
        <v>7</v>
      </c>
      <c r="D699">
        <v>2463</v>
      </c>
      <c r="E699">
        <v>0</v>
      </c>
      <c r="F699" t="s">
        <v>34</v>
      </c>
      <c r="G699">
        <v>4</v>
      </c>
      <c r="H699" t="s">
        <v>17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3200</v>
      </c>
    </row>
    <row r="700" spans="1:12">
      <c r="A700" s="10" t="s">
        <v>36</v>
      </c>
      <c r="B700" t="s">
        <v>9</v>
      </c>
      <c r="C700">
        <v>7</v>
      </c>
      <c r="D700">
        <v>2474</v>
      </c>
      <c r="E700">
        <v>0</v>
      </c>
      <c r="F700" t="s">
        <v>252</v>
      </c>
      <c r="G700">
        <v>5</v>
      </c>
      <c r="H700" t="s">
        <v>270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0</v>
      </c>
    </row>
    <row r="701" spans="1:12">
      <c r="A701" s="10" t="s">
        <v>36</v>
      </c>
      <c r="B701" t="s">
        <v>9</v>
      </c>
      <c r="C701">
        <v>7</v>
      </c>
      <c r="D701">
        <v>2455</v>
      </c>
      <c r="E701">
        <v>0</v>
      </c>
      <c r="F701" t="s">
        <v>252</v>
      </c>
      <c r="G701">
        <v>1</v>
      </c>
      <c r="H701" t="s">
        <v>292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36</v>
      </c>
      <c r="B702" t="s">
        <v>9</v>
      </c>
      <c r="C702">
        <v>7</v>
      </c>
      <c r="D702">
        <v>2373</v>
      </c>
      <c r="E702">
        <v>1</v>
      </c>
      <c r="F702" t="s">
        <v>252</v>
      </c>
      <c r="G702">
        <v>1</v>
      </c>
      <c r="H702" t="s">
        <v>271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36</v>
      </c>
      <c r="B703" t="s">
        <v>9</v>
      </c>
      <c r="C703">
        <v>7</v>
      </c>
      <c r="D703">
        <v>2131</v>
      </c>
      <c r="E703">
        <v>1</v>
      </c>
      <c r="F703" t="s">
        <v>252</v>
      </c>
      <c r="G703">
        <v>1</v>
      </c>
      <c r="H703" t="s">
        <v>292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36</v>
      </c>
      <c r="B704" t="s">
        <v>9</v>
      </c>
      <c r="C704">
        <v>7</v>
      </c>
      <c r="D704">
        <v>2300</v>
      </c>
      <c r="E704">
        <v>0</v>
      </c>
      <c r="F704" t="s">
        <v>34</v>
      </c>
      <c r="G704">
        <v>4</v>
      </c>
      <c r="H704" t="s">
        <v>17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3200</v>
      </c>
    </row>
    <row r="705" spans="1:12">
      <c r="A705" s="10" t="s">
        <v>36</v>
      </c>
      <c r="B705" t="s">
        <v>9</v>
      </c>
      <c r="C705">
        <v>7</v>
      </c>
      <c r="D705">
        <v>2089</v>
      </c>
      <c r="E705">
        <v>0</v>
      </c>
      <c r="F705" t="s">
        <v>252</v>
      </c>
      <c r="G705">
        <v>3</v>
      </c>
      <c r="H705" t="s">
        <v>270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0</v>
      </c>
    </row>
    <row r="706" spans="1:12">
      <c r="A706" s="10" t="s">
        <v>36</v>
      </c>
      <c r="B706" t="s">
        <v>9</v>
      </c>
      <c r="C706">
        <v>7</v>
      </c>
      <c r="D706">
        <v>2291</v>
      </c>
      <c r="E706">
        <v>1</v>
      </c>
      <c r="F706" t="s">
        <v>252</v>
      </c>
      <c r="G706">
        <v>4</v>
      </c>
      <c r="H706" t="s">
        <v>270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t="s">
        <v>173</v>
      </c>
      <c r="B707" t="s">
        <v>9</v>
      </c>
      <c r="C707">
        <v>7</v>
      </c>
      <c r="D707">
        <v>2217</v>
      </c>
      <c r="E707">
        <v>0</v>
      </c>
      <c r="F707" t="s">
        <v>251</v>
      </c>
      <c r="G707">
        <v>2</v>
      </c>
      <c r="H707" t="s">
        <v>292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173</v>
      </c>
      <c r="B708" t="s">
        <v>9</v>
      </c>
      <c r="C708">
        <v>8</v>
      </c>
      <c r="D708">
        <v>2635</v>
      </c>
      <c r="E708">
        <v>0</v>
      </c>
      <c r="F708" t="s">
        <v>34</v>
      </c>
      <c r="G708">
        <v>5</v>
      </c>
      <c r="H708" t="s">
        <v>17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4000</v>
      </c>
    </row>
    <row r="709" spans="1:12">
      <c r="A709" t="s">
        <v>173</v>
      </c>
      <c r="B709" t="s">
        <v>9</v>
      </c>
      <c r="C709">
        <v>8</v>
      </c>
      <c r="D709">
        <v>2286</v>
      </c>
      <c r="E709">
        <v>0</v>
      </c>
      <c r="F709" t="s">
        <v>251</v>
      </c>
      <c r="G709">
        <v>2</v>
      </c>
      <c r="H709" t="s">
        <v>292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0</v>
      </c>
    </row>
    <row r="710" spans="1:12">
      <c r="A710" t="s">
        <v>173</v>
      </c>
      <c r="B710" t="s">
        <v>9</v>
      </c>
      <c r="C710">
        <v>8</v>
      </c>
      <c r="D710">
        <v>2828</v>
      </c>
      <c r="E710">
        <v>0</v>
      </c>
      <c r="F710" t="s">
        <v>251</v>
      </c>
      <c r="G710">
        <v>1</v>
      </c>
      <c r="H710" t="s">
        <v>292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173</v>
      </c>
      <c r="B711" t="s">
        <v>9</v>
      </c>
      <c r="C711">
        <v>9</v>
      </c>
      <c r="D711">
        <v>2917</v>
      </c>
      <c r="E711">
        <v>2</v>
      </c>
      <c r="F711" t="s">
        <v>251</v>
      </c>
      <c r="G711">
        <v>3</v>
      </c>
      <c r="H711" t="s">
        <v>292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173</v>
      </c>
      <c r="B712" t="s">
        <v>9</v>
      </c>
      <c r="C712">
        <v>10</v>
      </c>
      <c r="D712">
        <v>2771</v>
      </c>
      <c r="E712">
        <v>0</v>
      </c>
      <c r="F712" t="s">
        <v>251</v>
      </c>
      <c r="G712">
        <v>1</v>
      </c>
      <c r="H712" t="s">
        <v>292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173</v>
      </c>
      <c r="B713" t="s">
        <v>9</v>
      </c>
      <c r="C713">
        <v>10</v>
      </c>
      <c r="D713">
        <v>3158</v>
      </c>
      <c r="E713">
        <v>1</v>
      </c>
      <c r="F713" t="s">
        <v>251</v>
      </c>
      <c r="G713">
        <v>3</v>
      </c>
      <c r="H713" t="s">
        <v>271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173</v>
      </c>
      <c r="B714" t="s">
        <v>9</v>
      </c>
      <c r="C714">
        <v>10</v>
      </c>
      <c r="D714">
        <v>3080</v>
      </c>
      <c r="E714">
        <v>0</v>
      </c>
      <c r="F714" t="s">
        <v>251</v>
      </c>
      <c r="G714">
        <v>5</v>
      </c>
      <c r="H714" t="s">
        <v>270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173</v>
      </c>
      <c r="B715" t="s">
        <v>9</v>
      </c>
      <c r="C715">
        <v>10</v>
      </c>
      <c r="D715">
        <v>3091</v>
      </c>
      <c r="E715">
        <v>2</v>
      </c>
      <c r="F715" t="s">
        <v>251</v>
      </c>
      <c r="G715">
        <v>5</v>
      </c>
      <c r="H715" t="s">
        <v>270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36</v>
      </c>
      <c r="B716" t="s">
        <v>9</v>
      </c>
      <c r="C716">
        <v>9</v>
      </c>
      <c r="D716">
        <v>2945</v>
      </c>
      <c r="E716">
        <v>1</v>
      </c>
      <c r="F716" t="s">
        <v>252</v>
      </c>
      <c r="G716">
        <v>2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36</v>
      </c>
      <c r="B717" t="s">
        <v>9</v>
      </c>
      <c r="C717">
        <v>9</v>
      </c>
      <c r="D717">
        <v>2556</v>
      </c>
      <c r="E717">
        <v>1</v>
      </c>
      <c r="F717" t="s">
        <v>252</v>
      </c>
      <c r="G717">
        <v>1</v>
      </c>
      <c r="H717" t="s">
        <v>292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36</v>
      </c>
      <c r="B718" t="s">
        <v>9</v>
      </c>
      <c r="C718">
        <v>9</v>
      </c>
      <c r="D718">
        <v>2925</v>
      </c>
      <c r="E718">
        <v>0</v>
      </c>
      <c r="F718" t="s">
        <v>252</v>
      </c>
      <c r="G718">
        <v>5</v>
      </c>
      <c r="H718" t="s">
        <v>270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36</v>
      </c>
      <c r="B719" t="s">
        <v>9</v>
      </c>
      <c r="C719">
        <v>9</v>
      </c>
      <c r="D719">
        <v>2776</v>
      </c>
      <c r="E719">
        <v>1</v>
      </c>
      <c r="F719" t="s">
        <v>252</v>
      </c>
      <c r="G719">
        <v>5</v>
      </c>
      <c r="H719" t="s">
        <v>270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36</v>
      </c>
      <c r="B720" t="s">
        <v>9</v>
      </c>
      <c r="C720">
        <v>9</v>
      </c>
      <c r="D720">
        <v>2669</v>
      </c>
      <c r="E720">
        <v>0</v>
      </c>
      <c r="F720" t="s">
        <v>252</v>
      </c>
      <c r="G720">
        <v>1</v>
      </c>
      <c r="H720" t="s">
        <v>292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36</v>
      </c>
      <c r="B721" t="s">
        <v>9</v>
      </c>
      <c r="C721">
        <v>9</v>
      </c>
      <c r="D721">
        <v>2813</v>
      </c>
      <c r="E721">
        <v>1</v>
      </c>
      <c r="F721" t="s">
        <v>252</v>
      </c>
      <c r="G721">
        <v>5</v>
      </c>
      <c r="H721" t="s">
        <v>270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36</v>
      </c>
      <c r="B722" t="s">
        <v>9</v>
      </c>
      <c r="C722">
        <v>9</v>
      </c>
      <c r="D722">
        <v>2871</v>
      </c>
      <c r="E722">
        <v>0</v>
      </c>
      <c r="F722" t="s">
        <v>252</v>
      </c>
      <c r="G722">
        <v>2</v>
      </c>
      <c r="H722" t="s">
        <v>292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36</v>
      </c>
      <c r="B723" t="s">
        <v>9</v>
      </c>
      <c r="C723">
        <v>9</v>
      </c>
      <c r="D723">
        <v>2829</v>
      </c>
      <c r="E723">
        <v>0</v>
      </c>
      <c r="F723" t="s">
        <v>252</v>
      </c>
      <c r="G723">
        <v>3</v>
      </c>
      <c r="H723" t="s">
        <v>270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36</v>
      </c>
      <c r="B724" t="s">
        <v>9</v>
      </c>
      <c r="C724">
        <v>9</v>
      </c>
      <c r="D724">
        <v>2312</v>
      </c>
      <c r="E724">
        <v>1</v>
      </c>
      <c r="F724" t="s">
        <v>58</v>
      </c>
      <c r="G724">
        <v>1</v>
      </c>
      <c r="H724" t="s">
        <v>12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11500</v>
      </c>
      <c r="L724" s="43">
        <f>IFERROR(SUMIFS(Tabela10[Exp Gain only 2*+],Tabela10[Drop],DropAnalityka[[#This Row],[Drop]],Tabela10[Grade],DropAnalityka[[#This Row],[Grade]])*DropAnalityka[[#This Row],[Quality/Quantity]],0)</f>
        <v>35822</v>
      </c>
    </row>
    <row r="725" spans="1:13">
      <c r="A725" t="s">
        <v>172</v>
      </c>
      <c r="B725" t="s">
        <v>9</v>
      </c>
      <c r="C725">
        <v>8</v>
      </c>
      <c r="D725">
        <v>3502</v>
      </c>
      <c r="E725">
        <v>1</v>
      </c>
      <c r="F725" t="s">
        <v>258</v>
      </c>
      <c r="G725">
        <v>1</v>
      </c>
      <c r="H725" t="s">
        <v>28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36</v>
      </c>
      <c r="B726" t="s">
        <v>9</v>
      </c>
      <c r="C726">
        <v>9</v>
      </c>
      <c r="D726">
        <v>0</v>
      </c>
      <c r="E726">
        <v>0</v>
      </c>
      <c r="G726">
        <v>0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  <c r="M726" t="s">
        <v>204</v>
      </c>
    </row>
    <row r="727" spans="1:13">
      <c r="A727" t="s">
        <v>36</v>
      </c>
      <c r="B727" t="s">
        <v>9</v>
      </c>
      <c r="C727">
        <v>9</v>
      </c>
      <c r="D727">
        <v>2382</v>
      </c>
      <c r="E727">
        <v>0</v>
      </c>
      <c r="F727" t="s">
        <v>252</v>
      </c>
      <c r="G727">
        <v>1</v>
      </c>
      <c r="H727" t="s">
        <v>271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</row>
    <row r="728" spans="1:13">
      <c r="A728" t="s">
        <v>36</v>
      </c>
      <c r="B728" t="s">
        <v>9</v>
      </c>
      <c r="C728">
        <v>9</v>
      </c>
      <c r="D728">
        <v>2958</v>
      </c>
      <c r="E728">
        <v>0</v>
      </c>
      <c r="F728" t="s">
        <v>58</v>
      </c>
      <c r="G728">
        <v>1</v>
      </c>
      <c r="H728" t="s">
        <v>12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11500</v>
      </c>
      <c r="L728" s="43">
        <f>IFERROR(SUMIFS(Tabela10[Exp Gain only 2*+],Tabela10[Drop],DropAnalityka[[#This Row],[Drop]],Tabela10[Grade],DropAnalityka[[#This Row],[Grade]])*DropAnalityka[[#This Row],[Quality/Quantity]],0)</f>
        <v>35822</v>
      </c>
    </row>
    <row r="729" spans="1:13">
      <c r="A729" t="s">
        <v>36</v>
      </c>
      <c r="B729" t="s">
        <v>9</v>
      </c>
      <c r="C729">
        <v>9</v>
      </c>
      <c r="D729">
        <v>2545</v>
      </c>
      <c r="E729">
        <v>2</v>
      </c>
      <c r="F729" t="s">
        <v>252</v>
      </c>
      <c r="G729">
        <v>3</v>
      </c>
      <c r="H729" t="s">
        <v>292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36</v>
      </c>
      <c r="B730" t="s">
        <v>9</v>
      </c>
      <c r="C730">
        <v>9</v>
      </c>
      <c r="D730">
        <v>2649</v>
      </c>
      <c r="E730">
        <v>3</v>
      </c>
      <c r="F730" t="s">
        <v>249</v>
      </c>
      <c r="G730">
        <v>2</v>
      </c>
      <c r="H730" t="s">
        <v>292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36</v>
      </c>
      <c r="B731" t="s">
        <v>9</v>
      </c>
      <c r="C731">
        <v>9</v>
      </c>
      <c r="D731">
        <v>2432</v>
      </c>
      <c r="E731">
        <v>0</v>
      </c>
      <c r="F731" t="s">
        <v>249</v>
      </c>
      <c r="G731">
        <v>4</v>
      </c>
      <c r="H731" t="s">
        <v>270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36</v>
      </c>
      <c r="B732" t="s">
        <v>9</v>
      </c>
      <c r="C732">
        <v>9</v>
      </c>
      <c r="D732">
        <v>2881</v>
      </c>
      <c r="E732">
        <v>0</v>
      </c>
      <c r="F732" t="s">
        <v>252</v>
      </c>
      <c r="G732">
        <v>1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31</v>
      </c>
      <c r="B733" t="s">
        <v>30</v>
      </c>
      <c r="C733">
        <v>11</v>
      </c>
      <c r="D733">
        <v>1977</v>
      </c>
      <c r="E733">
        <v>0</v>
      </c>
      <c r="F733" t="s">
        <v>57</v>
      </c>
      <c r="G733">
        <v>1</v>
      </c>
      <c r="H733" t="s">
        <v>26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34500</v>
      </c>
      <c r="L733" s="43">
        <f>IFERROR(SUMIFS(Tabela10[Exp Gain only 2*+],Tabela10[Drop],DropAnalityka[[#This Row],[Drop]],Tabela10[Grade],DropAnalityka[[#This Row],[Grade]])*DropAnalityka[[#This Row],[Quality/Quantity]],0)</f>
        <v>35822</v>
      </c>
    </row>
    <row r="734" spans="1:13">
      <c r="A734" t="s">
        <v>31</v>
      </c>
      <c r="B734" t="s">
        <v>30</v>
      </c>
      <c r="C734">
        <v>11</v>
      </c>
      <c r="D734">
        <v>1544</v>
      </c>
      <c r="E734">
        <v>0</v>
      </c>
      <c r="I734">
        <v>1824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4" s="43">
        <f>IFERROR(SUMIFS(Tabela10[Fod Worth],Tabela10[Drop],DropAnalityka[[#This Row],[Drop]],Tabela10[Grade],DropAnalityka[[#This Row],[Grade]])*DropAnalityka[[#This Row],[Quality/Quantity]],0)</f>
        <v>0</v>
      </c>
      <c r="L734" s="43">
        <f>IFERROR(SUMIFS(Tabela10[Exp Gain only 2*+],Tabela10[Drop],DropAnalityka[[#This Row],[Drop]],Tabela10[Grade],DropAnalityka[[#This Row],[Grade]])*DropAnalityka[[#This Row],[Quality/Quantity]],0)</f>
        <v>0</v>
      </c>
    </row>
    <row r="735" spans="1:13">
      <c r="A735" t="s">
        <v>31</v>
      </c>
      <c r="B735" t="s">
        <v>30</v>
      </c>
      <c r="C735">
        <v>11</v>
      </c>
      <c r="D735">
        <v>1273</v>
      </c>
      <c r="E735">
        <v>1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1536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1739</v>
      </c>
      <c r="E737">
        <v>0</v>
      </c>
      <c r="F737" t="s">
        <v>34</v>
      </c>
      <c r="G737">
        <v>2</v>
      </c>
      <c r="H737" t="s">
        <v>17</v>
      </c>
      <c r="I737">
        <v>0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1600</v>
      </c>
    </row>
    <row r="738" spans="1:13">
      <c r="A738" t="s">
        <v>31</v>
      </c>
      <c r="B738" t="s">
        <v>30</v>
      </c>
      <c r="C738">
        <v>11</v>
      </c>
      <c r="D738" s="6">
        <v>620</v>
      </c>
      <c r="E738" s="6">
        <v>1</v>
      </c>
      <c r="F738" s="6"/>
      <c r="G738" s="6"/>
      <c r="H738" s="6"/>
      <c r="I738" s="6">
        <v>2937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0</v>
      </c>
    </row>
    <row r="739" spans="1:13">
      <c r="A739" t="s">
        <v>31</v>
      </c>
      <c r="B739" t="s">
        <v>30</v>
      </c>
      <c r="C739">
        <v>11</v>
      </c>
      <c r="D739">
        <v>1447</v>
      </c>
      <c r="E739">
        <v>4</v>
      </c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1494</v>
      </c>
      <c r="E740">
        <v>1</v>
      </c>
      <c r="I740">
        <v>1824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1163</v>
      </c>
      <c r="E741">
        <v>1</v>
      </c>
      <c r="I741">
        <v>2937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1028</v>
      </c>
      <c r="E742">
        <v>0</v>
      </c>
      <c r="I742">
        <v>1824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60</v>
      </c>
      <c r="B743" t="s">
        <v>30</v>
      </c>
      <c r="C743">
        <v>11</v>
      </c>
      <c r="D743">
        <v>1925</v>
      </c>
      <c r="E743">
        <v>1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60</v>
      </c>
      <c r="B744" t="s">
        <v>30</v>
      </c>
      <c r="C744">
        <v>11</v>
      </c>
      <c r="D744">
        <v>2937</v>
      </c>
      <c r="E744">
        <v>0</v>
      </c>
      <c r="F744" t="s">
        <v>58</v>
      </c>
      <c r="G744">
        <v>1</v>
      </c>
      <c r="H744" t="s">
        <v>12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4" s="43">
        <f>IFERROR(SUMIFS(Tabela10[Fod Worth],Tabela10[Drop],DropAnalityka[[#This Row],[Drop]],Tabela10[Grade],DropAnalityka[[#This Row],[Grade]])*DropAnalityka[[#This Row],[Quality/Quantity]],0)</f>
        <v>11500</v>
      </c>
      <c r="L744" s="43">
        <f>IFERROR(SUMIFS(Tabela10[Exp Gain only 2*+],Tabela10[Drop],DropAnalityka[[#This Row],[Drop]],Tabela10[Grade],DropAnalityka[[#This Row],[Grade]])*DropAnalityka[[#This Row],[Quality/Quantity]],0)</f>
        <v>35822</v>
      </c>
    </row>
    <row r="745" spans="1:13">
      <c r="A745" t="s">
        <v>60</v>
      </c>
      <c r="B745" t="s">
        <v>30</v>
      </c>
      <c r="C745">
        <v>11</v>
      </c>
      <c r="D745">
        <v>1819</v>
      </c>
      <c r="E745">
        <v>0</v>
      </c>
      <c r="F745" t="s">
        <v>57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60</v>
      </c>
      <c r="B746" t="s">
        <v>30</v>
      </c>
      <c r="C746">
        <v>11</v>
      </c>
      <c r="D746">
        <v>1020</v>
      </c>
      <c r="E746">
        <v>0</v>
      </c>
      <c r="I746">
        <v>2937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6" s="43">
        <f>IFERROR(SUMIFS(Tabela10[Fod Worth],Tabela10[Drop],DropAnalityka[[#This Row],[Drop]],Tabela10[Grade],DropAnalityka[[#This Row],[Grade]])*DropAnalityka[[#This Row],[Quality/Quantity]],0)</f>
        <v>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60</v>
      </c>
      <c r="B747" t="s">
        <v>30</v>
      </c>
      <c r="C747">
        <v>11</v>
      </c>
      <c r="D747">
        <v>968</v>
      </c>
      <c r="E747">
        <v>1</v>
      </c>
      <c r="I747">
        <v>2280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60</v>
      </c>
      <c r="B748" t="s">
        <v>30</v>
      </c>
      <c r="C748">
        <v>11</v>
      </c>
      <c r="D748">
        <v>2391</v>
      </c>
      <c r="E748">
        <v>1</v>
      </c>
      <c r="I748">
        <v>2937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60</v>
      </c>
      <c r="B749" t="s">
        <v>30</v>
      </c>
      <c r="C749">
        <v>11</v>
      </c>
      <c r="D749">
        <v>1248</v>
      </c>
      <c r="E749">
        <v>1</v>
      </c>
      <c r="I749">
        <v>1824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60</v>
      </c>
      <c r="B750" t="s">
        <v>30</v>
      </c>
      <c r="C750">
        <v>11</v>
      </c>
      <c r="D750">
        <v>616</v>
      </c>
      <c r="E750">
        <v>0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60</v>
      </c>
      <c r="B751" t="s">
        <v>30</v>
      </c>
      <c r="C751">
        <v>11</v>
      </c>
      <c r="D751" s="6">
        <v>864</v>
      </c>
      <c r="E751" s="6">
        <v>0</v>
      </c>
      <c r="F751" s="6"/>
      <c r="G751" s="6"/>
      <c r="H751" s="6"/>
      <c r="I751" s="6">
        <v>2937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1" s="69">
        <f>IFERROR(SUMIFS(Tabela10[Fod Worth],Tabela10[Drop],DropAnalityka[[#This Row],[Drop]],Tabela10[Grade],DropAnalityka[[#This Row],[Grade]])*DropAnalityka[[#This Row],[Quality/Quantity]],0)</f>
        <v>0</v>
      </c>
      <c r="L751" s="69">
        <f>IFERROR(SUMIFS(Tabela10[Exp Gain only 2*+],Tabela10[Drop],DropAnalityka[[#This Row],[Drop]],Tabela10[Grade],DropAnalityka[[#This Row],[Grade]])*DropAnalityka[[#This Row],[Quality/Quantity]],0)</f>
        <v>0</v>
      </c>
      <c r="M751" s="6"/>
    </row>
    <row r="752" spans="1:13">
      <c r="A752" t="s">
        <v>31</v>
      </c>
      <c r="B752" t="s">
        <v>30</v>
      </c>
      <c r="C752">
        <v>11</v>
      </c>
      <c r="D752">
        <v>1402</v>
      </c>
      <c r="E752">
        <v>1</v>
      </c>
      <c r="I752">
        <v>1824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2" s="43">
        <f>IFERROR(SUMIFS(Tabela10[Fod Worth],Tabela10[Drop],DropAnalityka[[#This Row],[Drop]],Tabela10[Grade],DropAnalityka[[#This Row],[Grade]])*DropAnalityka[[#This Row],[Quality/Quantity]],0)</f>
        <v>0</v>
      </c>
      <c r="L752" s="43">
        <f>IFERROR(SUMIFS(Tabela10[Exp Gain only 2*+],Tabela10[Drop],DropAnalityka[[#This Row],[Drop]],Tabela10[Grade],DropAnalityka[[#This Row],[Grade]])*DropAnalityka[[#This Row],[Quality/Quantity]],0)</f>
        <v>0</v>
      </c>
    </row>
    <row r="753" spans="1:13">
      <c r="A753" t="s">
        <v>31</v>
      </c>
      <c r="B753" t="s">
        <v>30</v>
      </c>
      <c r="C753">
        <v>11</v>
      </c>
      <c r="D753">
        <v>1500</v>
      </c>
      <c r="E753">
        <v>0</v>
      </c>
      <c r="I753">
        <v>2937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172</v>
      </c>
      <c r="B754" t="s">
        <v>9</v>
      </c>
      <c r="C754">
        <v>8</v>
      </c>
      <c r="D754">
        <v>3665</v>
      </c>
      <c r="E754">
        <v>1</v>
      </c>
      <c r="F754" t="s">
        <v>258</v>
      </c>
      <c r="G754">
        <v>1</v>
      </c>
      <c r="H754" t="s">
        <v>27</v>
      </c>
      <c r="I754">
        <v>3307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36</v>
      </c>
      <c r="B755" t="s">
        <v>9</v>
      </c>
      <c r="C755">
        <v>9</v>
      </c>
      <c r="D755">
        <v>2824</v>
      </c>
      <c r="E755">
        <v>1</v>
      </c>
      <c r="F755" t="s">
        <v>252</v>
      </c>
      <c r="G755">
        <v>1</v>
      </c>
      <c r="H755" t="s">
        <v>292</v>
      </c>
      <c r="I755">
        <v>0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36</v>
      </c>
      <c r="B756" t="s">
        <v>9</v>
      </c>
      <c r="C756">
        <v>9</v>
      </c>
      <c r="D756">
        <v>2951</v>
      </c>
      <c r="E756">
        <v>3</v>
      </c>
      <c r="F756" t="s">
        <v>252</v>
      </c>
      <c r="G756">
        <v>2</v>
      </c>
      <c r="H756" t="s">
        <v>292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36</v>
      </c>
      <c r="B757" t="s">
        <v>9</v>
      </c>
      <c r="C757">
        <v>9</v>
      </c>
      <c r="D757">
        <v>2543</v>
      </c>
      <c r="E757">
        <v>1</v>
      </c>
      <c r="F757" t="s">
        <v>252</v>
      </c>
      <c r="G757">
        <v>4</v>
      </c>
      <c r="H757" t="s">
        <v>270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36</v>
      </c>
      <c r="B758" t="s">
        <v>9</v>
      </c>
      <c r="C758">
        <v>9</v>
      </c>
      <c r="D758">
        <v>2872</v>
      </c>
      <c r="E758">
        <v>1</v>
      </c>
      <c r="F758" t="s">
        <v>252</v>
      </c>
      <c r="G758">
        <v>1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36</v>
      </c>
      <c r="B759" t="s">
        <v>9</v>
      </c>
      <c r="C759">
        <v>9</v>
      </c>
      <c r="D759">
        <v>2837</v>
      </c>
      <c r="E759">
        <v>1</v>
      </c>
      <c r="F759" t="s">
        <v>34</v>
      </c>
      <c r="G759">
        <v>4</v>
      </c>
      <c r="H759" t="s">
        <v>17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3200</v>
      </c>
    </row>
    <row r="760" spans="1:13">
      <c r="A760" t="s">
        <v>262</v>
      </c>
      <c r="B760" t="s">
        <v>9</v>
      </c>
      <c r="C760">
        <v>9</v>
      </c>
      <c r="D760">
        <v>2891</v>
      </c>
      <c r="E760">
        <v>0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262</v>
      </c>
      <c r="B761" t="s">
        <v>9</v>
      </c>
      <c r="C761">
        <v>9</v>
      </c>
      <c r="D761">
        <v>2801</v>
      </c>
      <c r="E761">
        <v>0</v>
      </c>
      <c r="F761" t="s">
        <v>18</v>
      </c>
      <c r="G761">
        <v>4</v>
      </c>
      <c r="H761" t="s">
        <v>270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0</v>
      </c>
    </row>
    <row r="762" spans="1:13">
      <c r="A762" t="s">
        <v>262</v>
      </c>
      <c r="B762" t="s">
        <v>9</v>
      </c>
      <c r="C762">
        <v>9</v>
      </c>
      <c r="D762">
        <v>2407</v>
      </c>
      <c r="E762">
        <v>0</v>
      </c>
      <c r="F762" t="s">
        <v>18</v>
      </c>
      <c r="G762">
        <v>1</v>
      </c>
      <c r="H762" t="s">
        <v>292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262</v>
      </c>
      <c r="B763" t="s">
        <v>9</v>
      </c>
      <c r="C763">
        <v>9</v>
      </c>
      <c r="D763">
        <v>2748</v>
      </c>
      <c r="E763">
        <v>0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262</v>
      </c>
      <c r="B764" t="s">
        <v>9</v>
      </c>
      <c r="C764">
        <v>9</v>
      </c>
      <c r="D764">
        <v>2679</v>
      </c>
      <c r="E764">
        <v>1</v>
      </c>
      <c r="F764" t="s">
        <v>58</v>
      </c>
      <c r="G764">
        <v>1</v>
      </c>
      <c r="H764" t="s">
        <v>12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11500</v>
      </c>
      <c r="L764" s="43">
        <f>IFERROR(SUMIFS(Tabela10[Exp Gain only 2*+],Tabela10[Drop],DropAnalityka[[#This Row],[Drop]],Tabela10[Grade],DropAnalityka[[#This Row],[Grade]])*DropAnalityka[[#This Row],[Quality/Quantity]],0)</f>
        <v>35822</v>
      </c>
    </row>
    <row r="765" spans="1:13">
      <c r="A765" t="s">
        <v>262</v>
      </c>
      <c r="B765" t="s">
        <v>9</v>
      </c>
      <c r="C765">
        <v>10</v>
      </c>
      <c r="D765">
        <v>2720</v>
      </c>
      <c r="E765">
        <v>0</v>
      </c>
      <c r="F765" t="s">
        <v>18</v>
      </c>
      <c r="G765">
        <v>1</v>
      </c>
      <c r="H765" t="s">
        <v>292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262</v>
      </c>
      <c r="B766" t="s">
        <v>9</v>
      </c>
      <c r="C766">
        <v>10</v>
      </c>
      <c r="D766">
        <v>0</v>
      </c>
      <c r="E766">
        <v>0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  <c r="M766" t="s">
        <v>204</v>
      </c>
    </row>
    <row r="767" spans="1:13">
      <c r="A767" t="s">
        <v>262</v>
      </c>
      <c r="B767" t="s">
        <v>9</v>
      </c>
      <c r="C767">
        <v>9</v>
      </c>
      <c r="D767">
        <v>2875</v>
      </c>
      <c r="E767">
        <v>0</v>
      </c>
      <c r="F767" t="s">
        <v>206</v>
      </c>
      <c r="G767">
        <v>1</v>
      </c>
      <c r="H767" t="s">
        <v>17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</row>
    <row r="768" spans="1:13">
      <c r="A768" t="s">
        <v>262</v>
      </c>
      <c r="B768" t="s">
        <v>9</v>
      </c>
      <c r="C768">
        <v>9</v>
      </c>
      <c r="D768">
        <v>2734</v>
      </c>
      <c r="E768">
        <v>0</v>
      </c>
      <c r="F768" t="s">
        <v>18</v>
      </c>
      <c r="G768">
        <v>3</v>
      </c>
      <c r="H768" t="s">
        <v>271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3">
      <c r="A769" t="s">
        <v>262</v>
      </c>
      <c r="B769" t="s">
        <v>9</v>
      </c>
      <c r="C769">
        <v>9</v>
      </c>
      <c r="D769">
        <v>3073</v>
      </c>
      <c r="E769">
        <v>0</v>
      </c>
      <c r="F769" t="s">
        <v>18</v>
      </c>
      <c r="G769">
        <v>2</v>
      </c>
      <c r="H769" t="s">
        <v>292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3">
      <c r="A770" t="s">
        <v>262</v>
      </c>
      <c r="B770" t="s">
        <v>9</v>
      </c>
      <c r="C770">
        <v>9</v>
      </c>
      <c r="D770">
        <v>2813</v>
      </c>
      <c r="E770">
        <v>0</v>
      </c>
      <c r="F770" t="s">
        <v>18</v>
      </c>
      <c r="G770">
        <v>2</v>
      </c>
      <c r="H770" t="s">
        <v>292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3">
      <c r="A771" t="s">
        <v>262</v>
      </c>
      <c r="B771" t="s">
        <v>9</v>
      </c>
      <c r="C771">
        <v>9</v>
      </c>
      <c r="D771">
        <v>2758</v>
      </c>
      <c r="E771">
        <v>0</v>
      </c>
      <c r="F771" t="s">
        <v>264</v>
      </c>
      <c r="G771">
        <v>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3">
      <c r="A772" t="s">
        <v>262</v>
      </c>
      <c r="B772" t="s">
        <v>9</v>
      </c>
      <c r="C772">
        <v>9</v>
      </c>
      <c r="D772">
        <v>2313</v>
      </c>
      <c r="E772">
        <v>1</v>
      </c>
      <c r="F772" t="s">
        <v>18</v>
      </c>
      <c r="G772">
        <v>3</v>
      </c>
      <c r="H772" t="s">
        <v>292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3">
      <c r="A773" t="s">
        <v>262</v>
      </c>
      <c r="B773" t="s">
        <v>9</v>
      </c>
      <c r="C773">
        <v>9</v>
      </c>
      <c r="D773">
        <v>2625</v>
      </c>
      <c r="E773">
        <v>1</v>
      </c>
      <c r="F773" t="s">
        <v>18</v>
      </c>
      <c r="G773">
        <v>3</v>
      </c>
      <c r="H773" t="s">
        <v>292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3">
      <c r="A774" t="s">
        <v>262</v>
      </c>
      <c r="B774" t="s">
        <v>9</v>
      </c>
      <c r="C774">
        <v>9</v>
      </c>
      <c r="D774">
        <v>2515</v>
      </c>
      <c r="E774">
        <v>0</v>
      </c>
      <c r="F774" t="s">
        <v>18</v>
      </c>
      <c r="G774">
        <v>1</v>
      </c>
      <c r="H774" t="s">
        <v>271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3">
      <c r="A775" t="s">
        <v>262</v>
      </c>
      <c r="B775" t="s">
        <v>9</v>
      </c>
      <c r="C775">
        <v>9</v>
      </c>
      <c r="D775">
        <v>2516</v>
      </c>
      <c r="E775">
        <v>1</v>
      </c>
      <c r="F775" t="s">
        <v>264</v>
      </c>
      <c r="G775">
        <v>1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3">
      <c r="A776" t="s">
        <v>262</v>
      </c>
      <c r="B776" t="s">
        <v>9</v>
      </c>
      <c r="C776">
        <v>9</v>
      </c>
      <c r="D776">
        <v>2850</v>
      </c>
      <c r="E776">
        <v>2</v>
      </c>
      <c r="F776" t="s">
        <v>263</v>
      </c>
      <c r="G776">
        <v>3</v>
      </c>
      <c r="H776" t="s">
        <v>270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3">
      <c r="A777" t="s">
        <v>36</v>
      </c>
      <c r="B777" t="s">
        <v>9</v>
      </c>
      <c r="C777">
        <v>9</v>
      </c>
      <c r="D777">
        <v>2559</v>
      </c>
      <c r="E777">
        <v>3</v>
      </c>
      <c r="F777" t="s">
        <v>252</v>
      </c>
      <c r="G777">
        <v>3</v>
      </c>
      <c r="H777" t="s">
        <v>292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3">
      <c r="A778" t="s">
        <v>172</v>
      </c>
      <c r="B778" t="s">
        <v>9</v>
      </c>
      <c r="C778">
        <v>8</v>
      </c>
      <c r="D778">
        <v>3425</v>
      </c>
      <c r="E778">
        <v>0</v>
      </c>
      <c r="F778" t="s">
        <v>265</v>
      </c>
      <c r="G778">
        <v>1</v>
      </c>
      <c r="H778" t="s">
        <v>27</v>
      </c>
      <c r="I778">
        <v>3445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3">
      <c r="A779" t="s">
        <v>262</v>
      </c>
      <c r="B779" t="s">
        <v>9</v>
      </c>
      <c r="C779">
        <v>9</v>
      </c>
      <c r="D779">
        <v>2517</v>
      </c>
      <c r="E779">
        <v>0</v>
      </c>
      <c r="F779" t="s">
        <v>264</v>
      </c>
      <c r="G779">
        <v>2</v>
      </c>
      <c r="I779">
        <v>0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3">
      <c r="A780" t="s">
        <v>262</v>
      </c>
      <c r="B780" t="s">
        <v>9</v>
      </c>
      <c r="C780">
        <v>9</v>
      </c>
      <c r="D780">
        <v>2615</v>
      </c>
      <c r="E780">
        <v>2</v>
      </c>
      <c r="F780" t="s">
        <v>18</v>
      </c>
      <c r="G780">
        <v>2</v>
      </c>
      <c r="H780" t="s">
        <v>271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3">
      <c r="A781" t="s">
        <v>262</v>
      </c>
      <c r="B781" t="s">
        <v>9</v>
      </c>
      <c r="C781">
        <v>9</v>
      </c>
      <c r="D781">
        <v>2798</v>
      </c>
      <c r="E781">
        <v>2</v>
      </c>
      <c r="F781" t="s">
        <v>58</v>
      </c>
      <c r="G781">
        <v>1</v>
      </c>
      <c r="H781" t="s">
        <v>12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11500</v>
      </c>
      <c r="L781" s="43">
        <f>IFERROR(SUMIFS(Tabela10[Exp Gain only 2*+],Tabela10[Drop],DropAnalityka[[#This Row],[Drop]],Tabela10[Grade],DropAnalityka[[#This Row],[Grade]])*DropAnalityka[[#This Row],[Quality/Quantity]],0)</f>
        <v>35822</v>
      </c>
    </row>
    <row r="782" spans="1:13">
      <c r="A782" t="s">
        <v>262</v>
      </c>
      <c r="B782" t="s">
        <v>9</v>
      </c>
      <c r="C782">
        <v>9</v>
      </c>
      <c r="D782">
        <v>2602</v>
      </c>
      <c r="E782">
        <v>0</v>
      </c>
      <c r="F782" t="s">
        <v>18</v>
      </c>
      <c r="G782">
        <v>3</v>
      </c>
      <c r="H782" t="s">
        <v>292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3">
      <c r="A783" t="s">
        <v>262</v>
      </c>
      <c r="B783" t="s">
        <v>9</v>
      </c>
      <c r="C783">
        <v>9</v>
      </c>
      <c r="D783">
        <v>2901</v>
      </c>
      <c r="E783">
        <v>1</v>
      </c>
      <c r="F783" t="s">
        <v>18</v>
      </c>
      <c r="G783">
        <v>1</v>
      </c>
      <c r="H783" t="s">
        <v>292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3">
      <c r="A784" t="s">
        <v>262</v>
      </c>
      <c r="B784" t="s">
        <v>9</v>
      </c>
      <c r="C784">
        <v>9</v>
      </c>
      <c r="D784">
        <v>540</v>
      </c>
      <c r="E784">
        <v>0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  <c r="M784" t="s">
        <v>204</v>
      </c>
    </row>
    <row r="785" spans="1:12">
      <c r="A785" t="s">
        <v>262</v>
      </c>
      <c r="B785" t="s">
        <v>9</v>
      </c>
      <c r="C785">
        <v>9</v>
      </c>
      <c r="D785">
        <v>3199</v>
      </c>
      <c r="E785">
        <v>0</v>
      </c>
      <c r="F785" t="s">
        <v>18</v>
      </c>
      <c r="G785">
        <v>1</v>
      </c>
      <c r="H785" t="s">
        <v>292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</row>
    <row r="786" spans="1:12">
      <c r="A786" t="s">
        <v>262</v>
      </c>
      <c r="B786" t="s">
        <v>9</v>
      </c>
      <c r="C786">
        <v>9</v>
      </c>
      <c r="D786">
        <v>2926</v>
      </c>
      <c r="E786">
        <v>1</v>
      </c>
      <c r="F786" t="s">
        <v>18</v>
      </c>
      <c r="G786">
        <v>1</v>
      </c>
      <c r="H786" t="s">
        <v>292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2">
      <c r="A787" t="s">
        <v>262</v>
      </c>
      <c r="B787" t="s">
        <v>9</v>
      </c>
      <c r="C787">
        <v>9</v>
      </c>
      <c r="D787">
        <v>2560</v>
      </c>
      <c r="E787">
        <v>1</v>
      </c>
      <c r="F787" t="s">
        <v>18</v>
      </c>
      <c r="G787">
        <v>4</v>
      </c>
      <c r="H787" t="s">
        <v>270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2">
      <c r="A788" t="s">
        <v>262</v>
      </c>
      <c r="B788" t="s">
        <v>9</v>
      </c>
      <c r="C788">
        <v>9</v>
      </c>
      <c r="D788">
        <v>2313</v>
      </c>
      <c r="E788">
        <v>1</v>
      </c>
      <c r="F788" t="s">
        <v>18</v>
      </c>
      <c r="G788">
        <v>4</v>
      </c>
      <c r="H788" t="s">
        <v>270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2">
      <c r="A789" t="s">
        <v>262</v>
      </c>
      <c r="B789" t="s">
        <v>9</v>
      </c>
      <c r="C789">
        <v>9</v>
      </c>
      <c r="D789">
        <v>3329</v>
      </c>
      <c r="E789">
        <v>2</v>
      </c>
      <c r="F789" t="s">
        <v>18</v>
      </c>
      <c r="G789">
        <v>3</v>
      </c>
      <c r="H789" t="s">
        <v>270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2">
      <c r="A790" t="s">
        <v>31</v>
      </c>
      <c r="B790" t="s">
        <v>30</v>
      </c>
      <c r="C790">
        <v>11</v>
      </c>
      <c r="D790">
        <v>1441</v>
      </c>
      <c r="E790">
        <v>1</v>
      </c>
      <c r="I790">
        <v>1824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2">
      <c r="A791" t="s">
        <v>31</v>
      </c>
      <c r="B791" t="s">
        <v>30</v>
      </c>
      <c r="C791">
        <v>11</v>
      </c>
      <c r="D791">
        <v>1339</v>
      </c>
      <c r="E791">
        <v>0</v>
      </c>
      <c r="I791">
        <v>2937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2">
      <c r="A792" t="s">
        <v>31</v>
      </c>
      <c r="B792" t="s">
        <v>30</v>
      </c>
      <c r="C792">
        <v>11</v>
      </c>
      <c r="D792">
        <v>1126</v>
      </c>
      <c r="E792">
        <v>0</v>
      </c>
      <c r="F792" t="s">
        <v>34</v>
      </c>
      <c r="G792">
        <v>2</v>
      </c>
      <c r="H792" t="s">
        <v>17</v>
      </c>
      <c r="I792">
        <v>0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1600</v>
      </c>
    </row>
    <row r="793" spans="1:12">
      <c r="A793" t="s">
        <v>31</v>
      </c>
      <c r="B793" t="s">
        <v>30</v>
      </c>
      <c r="C793">
        <v>11</v>
      </c>
      <c r="D793">
        <v>1647</v>
      </c>
      <c r="E793">
        <v>1</v>
      </c>
      <c r="I793">
        <v>2128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0</v>
      </c>
    </row>
    <row r="794" spans="1:12">
      <c r="A794" t="s">
        <v>31</v>
      </c>
      <c r="B794" t="s">
        <v>30</v>
      </c>
      <c r="C794">
        <v>11</v>
      </c>
      <c r="D794">
        <v>1802</v>
      </c>
      <c r="E794">
        <v>2</v>
      </c>
      <c r="I794">
        <v>1824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2">
      <c r="A795" t="s">
        <v>31</v>
      </c>
      <c r="B795" t="s">
        <v>30</v>
      </c>
      <c r="C795">
        <v>11</v>
      </c>
      <c r="D795">
        <v>1433</v>
      </c>
      <c r="E795">
        <v>1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2">
      <c r="A796" t="s">
        <v>31</v>
      </c>
      <c r="B796" t="s">
        <v>30</v>
      </c>
      <c r="C796">
        <v>11</v>
      </c>
      <c r="D796">
        <v>977</v>
      </c>
      <c r="E796">
        <v>1</v>
      </c>
      <c r="I796">
        <v>0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2">
      <c r="A797" t="s">
        <v>31</v>
      </c>
      <c r="B797" t="s">
        <v>30</v>
      </c>
      <c r="C797">
        <v>11</v>
      </c>
      <c r="D797">
        <v>1909</v>
      </c>
      <c r="E797">
        <v>2</v>
      </c>
      <c r="F797" t="s">
        <v>264</v>
      </c>
      <c r="G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2">
      <c r="A798" t="s">
        <v>31</v>
      </c>
      <c r="B798" t="s">
        <v>30</v>
      </c>
      <c r="C798">
        <v>11</v>
      </c>
      <c r="D798">
        <v>1110</v>
      </c>
      <c r="E798">
        <v>2</v>
      </c>
      <c r="F798" t="s">
        <v>34</v>
      </c>
      <c r="G798">
        <v>2</v>
      </c>
      <c r="H798" t="s">
        <v>17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1600</v>
      </c>
    </row>
    <row r="799" spans="1:12">
      <c r="A799" t="s">
        <v>31</v>
      </c>
      <c r="B799" t="s">
        <v>30</v>
      </c>
      <c r="C799">
        <v>11</v>
      </c>
      <c r="D799">
        <v>2608</v>
      </c>
      <c r="E799">
        <v>1</v>
      </c>
      <c r="I799">
        <v>1824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0</v>
      </c>
    </row>
    <row r="800" spans="1:12">
      <c r="A800" t="s">
        <v>31</v>
      </c>
      <c r="B800" t="s">
        <v>30</v>
      </c>
      <c r="C800">
        <v>11</v>
      </c>
      <c r="D800">
        <v>1725</v>
      </c>
      <c r="E800">
        <v>3</v>
      </c>
      <c r="F800" t="s">
        <v>34</v>
      </c>
      <c r="G800">
        <v>2</v>
      </c>
      <c r="H800" t="s">
        <v>17</v>
      </c>
      <c r="I800">
        <v>0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1600</v>
      </c>
    </row>
    <row r="801" spans="1:13">
      <c r="A801" t="s">
        <v>31</v>
      </c>
      <c r="B801" t="s">
        <v>30</v>
      </c>
      <c r="C801">
        <v>11</v>
      </c>
      <c r="D801" s="6">
        <v>2220</v>
      </c>
      <c r="E801" s="6">
        <v>2</v>
      </c>
      <c r="F801" s="6"/>
      <c r="G801" s="6"/>
      <c r="H801" s="6"/>
      <c r="I801" s="6">
        <v>3427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1" s="69">
        <f>IFERROR(SUMIFS(Tabela10[Fod Worth],Tabela10[Drop],DropAnalityka[[#This Row],[Drop]],Tabela10[Grade],DropAnalityka[[#This Row],[Grade]])*DropAnalityka[[#This Row],[Quality/Quantity]],0)</f>
        <v>0</v>
      </c>
      <c r="L801" s="69">
        <f>IFERROR(SUMIFS(Tabela10[Exp Gain only 2*+],Tabela10[Drop],DropAnalityka[[#This Row],[Drop]],Tabela10[Grade],DropAnalityka[[#This Row],[Grade]])*DropAnalityka[[#This Row],[Quality/Quantity]],0)</f>
        <v>0</v>
      </c>
      <c r="M801" s="6"/>
    </row>
    <row r="802" spans="1:13">
      <c r="A802" t="s">
        <v>60</v>
      </c>
      <c r="B802" t="s">
        <v>30</v>
      </c>
      <c r="C802">
        <v>11</v>
      </c>
      <c r="D802">
        <v>1644</v>
      </c>
      <c r="E802">
        <v>0</v>
      </c>
      <c r="I802">
        <v>2128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2" s="43">
        <f>IFERROR(SUMIFS(Tabela10[Fod Worth],Tabela10[Drop],DropAnalityka[[#This Row],[Drop]],Tabela10[Grade],DropAnalityka[[#This Row],[Grade]])*DropAnalityka[[#This Row],[Quality/Quantity]],0)</f>
        <v>0</v>
      </c>
      <c r="L802" s="43">
        <f>IFERROR(SUMIFS(Tabela10[Exp Gain only 2*+],Tabela10[Drop],DropAnalityka[[#This Row],[Drop]],Tabela10[Grade],DropAnalityka[[#This Row],[Grade]])*DropAnalityka[[#This Row],[Quality/Quantity]],0)</f>
        <v>0</v>
      </c>
    </row>
    <row r="803" spans="1:13">
      <c r="A803" t="s">
        <v>60</v>
      </c>
      <c r="B803" t="s">
        <v>30</v>
      </c>
      <c r="C803">
        <v>11</v>
      </c>
      <c r="D803">
        <v>1132</v>
      </c>
      <c r="E803">
        <v>0</v>
      </c>
      <c r="I803">
        <v>2937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60</v>
      </c>
      <c r="B804" t="s">
        <v>30</v>
      </c>
      <c r="C804">
        <v>11</v>
      </c>
      <c r="D804">
        <v>1791</v>
      </c>
      <c r="E804">
        <v>1</v>
      </c>
      <c r="I804">
        <v>2128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60</v>
      </c>
      <c r="B805" t="s">
        <v>30</v>
      </c>
      <c r="C805">
        <v>11</v>
      </c>
      <c r="D805">
        <v>1710</v>
      </c>
      <c r="E805">
        <v>3</v>
      </c>
      <c r="I805">
        <v>2937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60</v>
      </c>
      <c r="B806" t="s">
        <v>30</v>
      </c>
      <c r="C806">
        <v>11</v>
      </c>
      <c r="D806">
        <v>2253</v>
      </c>
      <c r="E806">
        <v>1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60</v>
      </c>
      <c r="B807" t="s">
        <v>30</v>
      </c>
      <c r="C807">
        <v>11</v>
      </c>
      <c r="D807">
        <v>1001</v>
      </c>
      <c r="E807">
        <v>0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60</v>
      </c>
      <c r="B808" t="s">
        <v>30</v>
      </c>
      <c r="C808">
        <v>11</v>
      </c>
      <c r="D808">
        <v>1203</v>
      </c>
      <c r="E808">
        <v>1</v>
      </c>
      <c r="F808" t="s">
        <v>34</v>
      </c>
      <c r="G808">
        <v>2</v>
      </c>
      <c r="H808" t="s">
        <v>17</v>
      </c>
      <c r="I808">
        <v>0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1600</v>
      </c>
    </row>
    <row r="809" spans="1:13">
      <c r="A809" t="s">
        <v>60</v>
      </c>
      <c r="B809" t="s">
        <v>30</v>
      </c>
      <c r="C809">
        <v>11</v>
      </c>
      <c r="D809">
        <v>1620</v>
      </c>
      <c r="E809">
        <v>2</v>
      </c>
      <c r="I809">
        <v>1824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0</v>
      </c>
    </row>
    <row r="810" spans="1:13">
      <c r="A810" t="s">
        <v>60</v>
      </c>
      <c r="B810" t="s">
        <v>30</v>
      </c>
      <c r="C810">
        <v>11</v>
      </c>
      <c r="D810">
        <v>1772</v>
      </c>
      <c r="E810">
        <v>1</v>
      </c>
      <c r="F810" t="s">
        <v>34</v>
      </c>
      <c r="G810">
        <v>2</v>
      </c>
      <c r="H810" t="s">
        <v>17</v>
      </c>
      <c r="I810">
        <v>0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1600</v>
      </c>
    </row>
    <row r="811" spans="1:13">
      <c r="A811" t="s">
        <v>262</v>
      </c>
      <c r="B811" t="s">
        <v>9</v>
      </c>
      <c r="C811">
        <v>9</v>
      </c>
      <c r="D811">
        <v>2634</v>
      </c>
      <c r="E811">
        <v>1</v>
      </c>
      <c r="F811" t="s">
        <v>18</v>
      </c>
      <c r="G811">
        <v>1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0</v>
      </c>
    </row>
    <row r="812" spans="1:13">
      <c r="A812" t="s">
        <v>172</v>
      </c>
      <c r="B812" t="s">
        <v>9</v>
      </c>
      <c r="C812">
        <v>8</v>
      </c>
      <c r="D812">
        <v>3118</v>
      </c>
      <c r="E812">
        <v>0</v>
      </c>
      <c r="F812" t="s">
        <v>258</v>
      </c>
      <c r="G812">
        <v>1</v>
      </c>
      <c r="H812" t="s">
        <v>28</v>
      </c>
      <c r="I812">
        <v>8500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172</v>
      </c>
      <c r="B813" t="s">
        <v>9</v>
      </c>
      <c r="C813">
        <v>8</v>
      </c>
      <c r="D813">
        <v>3166</v>
      </c>
      <c r="E813">
        <v>3</v>
      </c>
      <c r="F813" t="s">
        <v>34</v>
      </c>
      <c r="G813">
        <v>5</v>
      </c>
      <c r="H813" t="s">
        <v>17</v>
      </c>
      <c r="I813">
        <v>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4000</v>
      </c>
    </row>
    <row r="814" spans="1:13">
      <c r="A814" t="s">
        <v>172</v>
      </c>
      <c r="B814" t="s">
        <v>9</v>
      </c>
      <c r="C814">
        <v>8</v>
      </c>
      <c r="D814">
        <v>3825</v>
      </c>
      <c r="E814">
        <v>1</v>
      </c>
      <c r="F814" t="s">
        <v>264</v>
      </c>
      <c r="G814">
        <v>1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0</v>
      </c>
    </row>
    <row r="815" spans="1:13">
      <c r="A815" t="s">
        <v>172</v>
      </c>
      <c r="B815" t="s">
        <v>9</v>
      </c>
      <c r="C815">
        <v>8</v>
      </c>
      <c r="D815">
        <v>3553</v>
      </c>
      <c r="E815">
        <v>0</v>
      </c>
      <c r="F815" t="s">
        <v>258</v>
      </c>
      <c r="G815">
        <v>1</v>
      </c>
      <c r="H815" t="s">
        <v>28</v>
      </c>
      <c r="I815">
        <v>8500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172</v>
      </c>
      <c r="B816" t="s">
        <v>9</v>
      </c>
      <c r="C816">
        <v>8</v>
      </c>
      <c r="D816">
        <v>3574</v>
      </c>
      <c r="E816">
        <v>1</v>
      </c>
      <c r="F816" t="s">
        <v>266</v>
      </c>
      <c r="G816">
        <v>1</v>
      </c>
      <c r="H816" t="s">
        <v>27</v>
      </c>
      <c r="I816">
        <v>4134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172</v>
      </c>
      <c r="B817" t="s">
        <v>9</v>
      </c>
      <c r="C817">
        <v>8</v>
      </c>
      <c r="D817">
        <v>3456</v>
      </c>
      <c r="E817">
        <v>3</v>
      </c>
      <c r="F817" t="s">
        <v>258</v>
      </c>
      <c r="G817">
        <v>1</v>
      </c>
      <c r="H817" t="s">
        <v>27</v>
      </c>
      <c r="I817">
        <v>2411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172</v>
      </c>
      <c r="B818" t="s">
        <v>9</v>
      </c>
      <c r="C818">
        <v>8</v>
      </c>
      <c r="D818">
        <v>3185</v>
      </c>
      <c r="E818">
        <v>0</v>
      </c>
      <c r="F818" t="s">
        <v>258</v>
      </c>
      <c r="G818">
        <v>1</v>
      </c>
      <c r="H818" t="s">
        <v>28</v>
      </c>
      <c r="I818">
        <v>6502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172</v>
      </c>
      <c r="B819" t="s">
        <v>9</v>
      </c>
      <c r="C819">
        <v>8</v>
      </c>
      <c r="D819">
        <v>3742</v>
      </c>
      <c r="E819">
        <v>4</v>
      </c>
      <c r="F819" t="s">
        <v>258</v>
      </c>
      <c r="G819">
        <v>1</v>
      </c>
      <c r="H819" t="s">
        <v>27</v>
      </c>
      <c r="I819">
        <v>4593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207</v>
      </c>
      <c r="B820" t="s">
        <v>9</v>
      </c>
      <c r="C820">
        <v>9</v>
      </c>
      <c r="D820">
        <v>2924</v>
      </c>
      <c r="E820">
        <v>1</v>
      </c>
      <c r="F820" t="s">
        <v>249</v>
      </c>
      <c r="G820">
        <v>1</v>
      </c>
      <c r="H820" t="s">
        <v>292</v>
      </c>
      <c r="I820">
        <v>0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207</v>
      </c>
      <c r="B821" t="s">
        <v>9</v>
      </c>
      <c r="C821">
        <v>9</v>
      </c>
      <c r="D821">
        <v>3192</v>
      </c>
      <c r="E821">
        <v>2</v>
      </c>
      <c r="F821" t="s">
        <v>249</v>
      </c>
      <c r="G821">
        <v>2</v>
      </c>
      <c r="H821" t="s">
        <v>292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207</v>
      </c>
      <c r="B822" t="s">
        <v>9</v>
      </c>
      <c r="C822">
        <v>9</v>
      </c>
      <c r="D822">
        <v>2967</v>
      </c>
      <c r="E822">
        <v>1</v>
      </c>
      <c r="F822" t="s">
        <v>249</v>
      </c>
      <c r="G822">
        <v>2</v>
      </c>
      <c r="H822" t="s">
        <v>292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207</v>
      </c>
      <c r="B823" t="s">
        <v>9</v>
      </c>
      <c r="C823">
        <v>9</v>
      </c>
      <c r="D823">
        <v>2926</v>
      </c>
      <c r="E823">
        <v>0</v>
      </c>
      <c r="F823" t="s">
        <v>249</v>
      </c>
      <c r="G823">
        <v>3</v>
      </c>
      <c r="H823" t="s">
        <v>270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207</v>
      </c>
      <c r="B824" t="s">
        <v>9</v>
      </c>
      <c r="C824">
        <v>9</v>
      </c>
      <c r="D824">
        <v>2801</v>
      </c>
      <c r="E824">
        <v>1</v>
      </c>
      <c r="F824" t="s">
        <v>249</v>
      </c>
      <c r="G824">
        <v>3</v>
      </c>
      <c r="H824" t="s">
        <v>270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207</v>
      </c>
      <c r="B825" t="s">
        <v>9</v>
      </c>
      <c r="C825">
        <v>9</v>
      </c>
      <c r="D825">
        <v>2800</v>
      </c>
      <c r="E825">
        <v>0</v>
      </c>
      <c r="F825" t="s">
        <v>223</v>
      </c>
      <c r="G825" t="s">
        <v>267</v>
      </c>
      <c r="H825" t="s">
        <v>12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207</v>
      </c>
      <c r="B826" t="s">
        <v>9</v>
      </c>
      <c r="C826">
        <v>9</v>
      </c>
      <c r="D826">
        <v>2913</v>
      </c>
      <c r="E826">
        <v>0</v>
      </c>
      <c r="F826" t="s">
        <v>249</v>
      </c>
      <c r="G826">
        <v>1</v>
      </c>
      <c r="H826" t="s">
        <v>271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207</v>
      </c>
      <c r="B827" t="s">
        <v>9</v>
      </c>
      <c r="C827">
        <v>9</v>
      </c>
      <c r="D827">
        <v>2812</v>
      </c>
      <c r="E827">
        <v>1</v>
      </c>
      <c r="F827" t="s">
        <v>249</v>
      </c>
      <c r="G827">
        <v>1</v>
      </c>
      <c r="H827" t="s">
        <v>292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207</v>
      </c>
      <c r="B828" t="s">
        <v>9</v>
      </c>
      <c r="C828">
        <v>9</v>
      </c>
      <c r="D828">
        <v>2449</v>
      </c>
      <c r="E828">
        <v>0</v>
      </c>
      <c r="F828" t="s">
        <v>58</v>
      </c>
      <c r="G828">
        <v>1</v>
      </c>
      <c r="H828" t="s">
        <v>12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11500</v>
      </c>
      <c r="L828" s="43">
        <f>IFERROR(SUMIFS(Tabela10[Exp Gain only 2*+],Tabela10[Drop],DropAnalityka[[#This Row],[Drop]],Tabela10[Grade],DropAnalityka[[#This Row],[Grade]])*DropAnalityka[[#This Row],[Quality/Quantity]],0)</f>
        <v>35822</v>
      </c>
    </row>
    <row r="829" spans="1:12">
      <c r="A829" t="s">
        <v>207</v>
      </c>
      <c r="B829" t="s">
        <v>9</v>
      </c>
      <c r="C829">
        <v>9</v>
      </c>
      <c r="D829">
        <v>2754</v>
      </c>
      <c r="E829">
        <v>1</v>
      </c>
      <c r="F829" t="s">
        <v>288</v>
      </c>
      <c r="G829">
        <v>1</v>
      </c>
      <c r="H829" t="s">
        <v>17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29" s="43">
        <f>IFERROR(SUMIFS(Tabela10[Fod Worth],Tabela10[Drop],DropAnalityka[[#This Row],[Drop]],Tabela10[Grade],DropAnalityka[[#This Row],[Grade]])*DropAnalityka[[#This Row],[Quality/Quantity]],0)</f>
        <v>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207</v>
      </c>
      <c r="B830" t="s">
        <v>9</v>
      </c>
      <c r="C830">
        <v>9</v>
      </c>
      <c r="D830">
        <v>2824</v>
      </c>
      <c r="E830">
        <v>1</v>
      </c>
      <c r="F830" t="s">
        <v>223</v>
      </c>
      <c r="G830" t="s">
        <v>268</v>
      </c>
      <c r="H830" t="s">
        <v>12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207</v>
      </c>
      <c r="B831" t="s">
        <v>9</v>
      </c>
      <c r="C831">
        <v>9</v>
      </c>
      <c r="D831">
        <v>2980</v>
      </c>
      <c r="E831">
        <v>0</v>
      </c>
      <c r="F831" t="s">
        <v>249</v>
      </c>
      <c r="G831">
        <v>1</v>
      </c>
      <c r="H831" t="s">
        <v>292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207</v>
      </c>
      <c r="B832" t="s">
        <v>9</v>
      </c>
      <c r="C832">
        <v>9</v>
      </c>
      <c r="D832">
        <v>2957</v>
      </c>
      <c r="E832">
        <v>0</v>
      </c>
      <c r="F832" t="s">
        <v>206</v>
      </c>
      <c r="G832">
        <v>1</v>
      </c>
      <c r="H832" t="s">
        <v>17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207</v>
      </c>
      <c r="B833" t="s">
        <v>9</v>
      </c>
      <c r="C833">
        <v>9</v>
      </c>
      <c r="D833">
        <v>2417</v>
      </c>
      <c r="E833">
        <v>0</v>
      </c>
      <c r="F833" t="s">
        <v>34</v>
      </c>
      <c r="G833">
        <v>4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3200</v>
      </c>
    </row>
    <row r="834" spans="1:12">
      <c r="A834" t="s">
        <v>207</v>
      </c>
      <c r="B834" t="s">
        <v>9</v>
      </c>
      <c r="C834">
        <v>9</v>
      </c>
      <c r="D834">
        <v>2671</v>
      </c>
      <c r="E834">
        <v>0</v>
      </c>
      <c r="F834" t="s">
        <v>249</v>
      </c>
      <c r="G834">
        <v>5</v>
      </c>
      <c r="H834" t="s">
        <v>270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0</v>
      </c>
    </row>
    <row r="835" spans="1:12">
      <c r="A835" t="s">
        <v>207</v>
      </c>
      <c r="B835" t="s">
        <v>9</v>
      </c>
      <c r="C835">
        <v>9</v>
      </c>
      <c r="D835">
        <v>2947</v>
      </c>
      <c r="E835">
        <v>1</v>
      </c>
      <c r="F835" t="s">
        <v>249</v>
      </c>
      <c r="G835">
        <v>1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207</v>
      </c>
      <c r="B836" t="s">
        <v>9</v>
      </c>
      <c r="C836">
        <v>9</v>
      </c>
      <c r="D836">
        <v>3358</v>
      </c>
      <c r="E836">
        <v>1</v>
      </c>
      <c r="F836" t="s">
        <v>34</v>
      </c>
      <c r="G836">
        <v>4</v>
      </c>
      <c r="H836" t="s">
        <v>17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3200</v>
      </c>
    </row>
    <row r="837" spans="1:12">
      <c r="A837" t="s">
        <v>207</v>
      </c>
      <c r="B837" t="s">
        <v>9</v>
      </c>
      <c r="C837">
        <v>9</v>
      </c>
      <c r="D837">
        <v>2184</v>
      </c>
      <c r="E837">
        <v>0</v>
      </c>
      <c r="F837" t="s">
        <v>249</v>
      </c>
      <c r="G837">
        <v>4</v>
      </c>
      <c r="H837" t="s">
        <v>270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0</v>
      </c>
    </row>
    <row r="838" spans="1:12">
      <c r="A838" t="s">
        <v>207</v>
      </c>
      <c r="B838" t="s">
        <v>9</v>
      </c>
      <c r="C838">
        <v>9</v>
      </c>
      <c r="D838">
        <v>2654</v>
      </c>
      <c r="E838">
        <v>3</v>
      </c>
      <c r="F838" t="s">
        <v>249</v>
      </c>
      <c r="G838">
        <v>1</v>
      </c>
      <c r="H838" t="s">
        <v>292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207</v>
      </c>
      <c r="B839" t="s">
        <v>9</v>
      </c>
      <c r="C839">
        <v>9</v>
      </c>
      <c r="D839">
        <v>2592</v>
      </c>
      <c r="E839">
        <v>1</v>
      </c>
      <c r="F839" t="s">
        <v>249</v>
      </c>
      <c r="G839">
        <v>1</v>
      </c>
      <c r="H839" t="s">
        <v>292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207</v>
      </c>
      <c r="B840" t="s">
        <v>9</v>
      </c>
      <c r="C840">
        <v>9</v>
      </c>
      <c r="D840">
        <v>2625</v>
      </c>
      <c r="E840">
        <v>0</v>
      </c>
      <c r="F840" t="s">
        <v>249</v>
      </c>
      <c r="G840">
        <v>1</v>
      </c>
      <c r="H840" t="s">
        <v>271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207</v>
      </c>
      <c r="B841" t="s">
        <v>9</v>
      </c>
      <c r="C841">
        <v>9</v>
      </c>
      <c r="D841">
        <v>3029</v>
      </c>
      <c r="E841">
        <v>0</v>
      </c>
      <c r="F841" t="s">
        <v>249</v>
      </c>
      <c r="G841">
        <v>1</v>
      </c>
      <c r="H841" t="s">
        <v>292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207</v>
      </c>
      <c r="B842" t="s">
        <v>9</v>
      </c>
      <c r="C842">
        <v>9</v>
      </c>
      <c r="D842">
        <v>2865</v>
      </c>
      <c r="E842">
        <v>1</v>
      </c>
      <c r="F842" t="s">
        <v>249</v>
      </c>
      <c r="G842">
        <v>1</v>
      </c>
      <c r="H842" t="s">
        <v>292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207</v>
      </c>
      <c r="B843" t="s">
        <v>9</v>
      </c>
      <c r="C843">
        <v>9</v>
      </c>
      <c r="D843">
        <v>3075</v>
      </c>
      <c r="E843">
        <v>3</v>
      </c>
      <c r="F843" t="s">
        <v>249</v>
      </c>
      <c r="G843">
        <v>5</v>
      </c>
      <c r="H843" t="s">
        <v>270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207</v>
      </c>
      <c r="B844" t="s">
        <v>9</v>
      </c>
      <c r="C844">
        <v>9</v>
      </c>
      <c r="D844">
        <v>3767</v>
      </c>
      <c r="E844">
        <v>2</v>
      </c>
      <c r="F844" t="s">
        <v>249</v>
      </c>
      <c r="G844">
        <v>4</v>
      </c>
      <c r="H844" t="s">
        <v>270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207</v>
      </c>
      <c r="B845" t="s">
        <v>9</v>
      </c>
      <c r="C845">
        <v>9</v>
      </c>
      <c r="D845">
        <v>3007</v>
      </c>
      <c r="E845">
        <v>2</v>
      </c>
      <c r="F845" t="s">
        <v>249</v>
      </c>
      <c r="G845">
        <v>3</v>
      </c>
      <c r="H845" t="s">
        <v>292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207</v>
      </c>
      <c r="B846" t="s">
        <v>9</v>
      </c>
      <c r="C846">
        <v>9</v>
      </c>
      <c r="D846">
        <v>2942</v>
      </c>
      <c r="E846">
        <v>0</v>
      </c>
      <c r="F846" t="s">
        <v>249</v>
      </c>
      <c r="G846">
        <v>1</v>
      </c>
      <c r="H846" t="s">
        <v>292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207</v>
      </c>
      <c r="B847" t="s">
        <v>9</v>
      </c>
      <c r="C847">
        <v>9</v>
      </c>
      <c r="D847">
        <v>2701</v>
      </c>
      <c r="E847">
        <v>0</v>
      </c>
      <c r="F847" t="s">
        <v>249</v>
      </c>
      <c r="G847">
        <v>5</v>
      </c>
      <c r="H847" t="s">
        <v>270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207</v>
      </c>
      <c r="B848" t="s">
        <v>9</v>
      </c>
      <c r="C848">
        <v>9</v>
      </c>
      <c r="D848">
        <v>3320</v>
      </c>
      <c r="E848">
        <v>0</v>
      </c>
      <c r="F848" t="s">
        <v>249</v>
      </c>
      <c r="G848">
        <v>3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207</v>
      </c>
      <c r="B849" t="s">
        <v>9</v>
      </c>
      <c r="C849">
        <v>9</v>
      </c>
      <c r="D849">
        <v>2890</v>
      </c>
      <c r="E849">
        <v>2</v>
      </c>
      <c r="F849" t="s">
        <v>249</v>
      </c>
      <c r="G849">
        <v>3</v>
      </c>
      <c r="H849" t="s">
        <v>270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207</v>
      </c>
      <c r="B850" t="s">
        <v>9</v>
      </c>
      <c r="C850">
        <v>9</v>
      </c>
      <c r="D850">
        <v>3274</v>
      </c>
      <c r="E850">
        <v>1</v>
      </c>
      <c r="F850" t="s">
        <v>249</v>
      </c>
      <c r="G850">
        <v>2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207</v>
      </c>
      <c r="B851" t="s">
        <v>9</v>
      </c>
      <c r="C851">
        <v>9</v>
      </c>
      <c r="D851">
        <v>2847</v>
      </c>
      <c r="E851">
        <v>1</v>
      </c>
      <c r="F851" t="s">
        <v>249</v>
      </c>
      <c r="G851">
        <v>1</v>
      </c>
      <c r="H851" t="s">
        <v>271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207</v>
      </c>
      <c r="B852" t="s">
        <v>9</v>
      </c>
      <c r="C852">
        <v>9</v>
      </c>
      <c r="D852">
        <v>2602</v>
      </c>
      <c r="E852">
        <v>0</v>
      </c>
      <c r="F852" t="s">
        <v>249</v>
      </c>
      <c r="G852">
        <v>4</v>
      </c>
      <c r="H852" t="s">
        <v>270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207</v>
      </c>
      <c r="B853" t="s">
        <v>9</v>
      </c>
      <c r="C853">
        <v>9</v>
      </c>
      <c r="D853">
        <v>2901</v>
      </c>
      <c r="E853">
        <v>1</v>
      </c>
      <c r="F853" t="s">
        <v>223</v>
      </c>
      <c r="G853" t="s">
        <v>283</v>
      </c>
      <c r="H853" t="s">
        <v>26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207</v>
      </c>
      <c r="B854" t="s">
        <v>9</v>
      </c>
      <c r="C854">
        <v>9</v>
      </c>
      <c r="D854">
        <v>2768</v>
      </c>
      <c r="E854">
        <v>0</v>
      </c>
      <c r="F854" t="s">
        <v>249</v>
      </c>
      <c r="G854">
        <v>5</v>
      </c>
      <c r="H854" t="s">
        <v>270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207</v>
      </c>
      <c r="B855" t="s">
        <v>9</v>
      </c>
      <c r="C855">
        <v>9</v>
      </c>
      <c r="D855">
        <v>2401</v>
      </c>
      <c r="E855">
        <v>1</v>
      </c>
      <c r="F855" t="s">
        <v>249</v>
      </c>
      <c r="G855">
        <v>1</v>
      </c>
      <c r="H855" t="s">
        <v>292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207</v>
      </c>
      <c r="B856" t="s">
        <v>9</v>
      </c>
      <c r="C856">
        <v>9</v>
      </c>
      <c r="D856">
        <v>2915</v>
      </c>
      <c r="E856">
        <v>0</v>
      </c>
      <c r="F856" t="s">
        <v>205</v>
      </c>
      <c r="G856">
        <v>3</v>
      </c>
      <c r="H856" t="s">
        <v>26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2587.5</v>
      </c>
      <c r="L85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7" spans="1:12">
      <c r="A857" t="s">
        <v>207</v>
      </c>
      <c r="B857" t="s">
        <v>9</v>
      </c>
      <c r="C857">
        <v>9</v>
      </c>
      <c r="D857">
        <v>2978</v>
      </c>
      <c r="E857">
        <v>0</v>
      </c>
      <c r="F857" t="s">
        <v>249</v>
      </c>
      <c r="G857">
        <v>4</v>
      </c>
      <c r="H857" t="s">
        <v>270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0</v>
      </c>
      <c r="L857" s="43">
        <f>IFERROR(SUMIFS(Tabela10[Exp Gain only 2*+],Tabela10[Drop],DropAnalityka[[#This Row],[Drop]],Tabela10[Grade],DropAnalityka[[#This Row],[Grade]])*DropAnalityka[[#This Row],[Quality/Quantity]],0)</f>
        <v>0</v>
      </c>
    </row>
    <row r="858" spans="1:12">
      <c r="A858" t="s">
        <v>207</v>
      </c>
      <c r="B858" t="s">
        <v>9</v>
      </c>
      <c r="C858">
        <v>9</v>
      </c>
      <c r="D858">
        <v>2956</v>
      </c>
      <c r="E858">
        <v>0</v>
      </c>
      <c r="F858" t="s">
        <v>249</v>
      </c>
      <c r="G858">
        <v>5</v>
      </c>
      <c r="H858" t="s">
        <v>270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207</v>
      </c>
      <c r="B859" t="s">
        <v>9</v>
      </c>
      <c r="C859">
        <v>9</v>
      </c>
      <c r="D859">
        <v>2657</v>
      </c>
      <c r="E859">
        <v>1</v>
      </c>
      <c r="F859" t="s">
        <v>249</v>
      </c>
      <c r="G859">
        <v>5</v>
      </c>
      <c r="H859" t="s">
        <v>270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207</v>
      </c>
      <c r="B860" t="s">
        <v>9</v>
      </c>
      <c r="C860">
        <v>9</v>
      </c>
      <c r="D860">
        <v>2789</v>
      </c>
      <c r="E860">
        <v>0</v>
      </c>
      <c r="F860" t="s">
        <v>206</v>
      </c>
      <c r="G860">
        <v>1</v>
      </c>
      <c r="H860" t="s">
        <v>17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207</v>
      </c>
      <c r="B861" t="s">
        <v>9</v>
      </c>
      <c r="C861">
        <v>9</v>
      </c>
      <c r="D861">
        <v>2793</v>
      </c>
      <c r="E861">
        <v>1</v>
      </c>
      <c r="F861" t="s">
        <v>249</v>
      </c>
      <c r="G861">
        <v>5</v>
      </c>
      <c r="H861" t="s">
        <v>270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207</v>
      </c>
      <c r="B862" t="s">
        <v>9</v>
      </c>
      <c r="C862">
        <v>9</v>
      </c>
      <c r="D862">
        <v>2869</v>
      </c>
      <c r="E862">
        <v>2</v>
      </c>
      <c r="F862" t="s">
        <v>249</v>
      </c>
      <c r="G862">
        <v>4</v>
      </c>
      <c r="H862" t="s">
        <v>270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207</v>
      </c>
      <c r="B863" t="s">
        <v>9</v>
      </c>
      <c r="C863">
        <v>9</v>
      </c>
      <c r="D863">
        <v>2638</v>
      </c>
      <c r="E863">
        <v>1</v>
      </c>
      <c r="F863" t="s">
        <v>206</v>
      </c>
      <c r="G863">
        <v>1</v>
      </c>
      <c r="H863" t="s">
        <v>17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207</v>
      </c>
      <c r="B864" t="s">
        <v>9</v>
      </c>
      <c r="C864">
        <v>9</v>
      </c>
      <c r="D864">
        <v>2929</v>
      </c>
      <c r="E864">
        <v>1</v>
      </c>
      <c r="F864" t="s">
        <v>249</v>
      </c>
      <c r="G864">
        <v>1</v>
      </c>
      <c r="H864" t="s">
        <v>292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207</v>
      </c>
      <c r="B865" t="s">
        <v>9</v>
      </c>
      <c r="C865">
        <v>9</v>
      </c>
      <c r="D865">
        <v>2423</v>
      </c>
      <c r="E865">
        <v>1</v>
      </c>
      <c r="F865" t="s">
        <v>249</v>
      </c>
      <c r="G865">
        <v>3</v>
      </c>
      <c r="H865" t="s">
        <v>270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207</v>
      </c>
      <c r="B866" t="s">
        <v>9</v>
      </c>
      <c r="C866">
        <v>9</v>
      </c>
      <c r="D866">
        <v>2881</v>
      </c>
      <c r="E866">
        <v>0</v>
      </c>
      <c r="F866" t="s">
        <v>249</v>
      </c>
      <c r="G866">
        <v>5</v>
      </c>
      <c r="H866" t="s">
        <v>270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207</v>
      </c>
      <c r="B867" t="s">
        <v>9</v>
      </c>
      <c r="C867">
        <v>9</v>
      </c>
      <c r="D867">
        <v>3128</v>
      </c>
      <c r="E867">
        <v>1</v>
      </c>
      <c r="F867" t="s">
        <v>249</v>
      </c>
      <c r="G867">
        <v>4</v>
      </c>
      <c r="H867" t="s">
        <v>270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207</v>
      </c>
      <c r="B868" t="s">
        <v>9</v>
      </c>
      <c r="C868">
        <v>9</v>
      </c>
      <c r="D868">
        <v>3042</v>
      </c>
      <c r="E868">
        <v>0</v>
      </c>
      <c r="F868" t="s">
        <v>249</v>
      </c>
      <c r="G868">
        <v>3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207</v>
      </c>
      <c r="B869" t="s">
        <v>9</v>
      </c>
      <c r="C869">
        <v>9</v>
      </c>
      <c r="D869">
        <v>2846</v>
      </c>
      <c r="E869">
        <v>1</v>
      </c>
      <c r="F869" t="s">
        <v>249</v>
      </c>
      <c r="G869">
        <v>1</v>
      </c>
      <c r="H869" t="s">
        <v>271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207</v>
      </c>
      <c r="B870" t="s">
        <v>9</v>
      </c>
      <c r="C870">
        <v>9</v>
      </c>
      <c r="D870">
        <v>3112</v>
      </c>
      <c r="E870">
        <v>1</v>
      </c>
      <c r="F870" t="s">
        <v>249</v>
      </c>
      <c r="G870">
        <v>1</v>
      </c>
      <c r="H870" t="s">
        <v>271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207</v>
      </c>
      <c r="B871" t="s">
        <v>9</v>
      </c>
      <c r="C871">
        <v>9</v>
      </c>
      <c r="D871">
        <v>2928</v>
      </c>
      <c r="E871">
        <v>1</v>
      </c>
      <c r="F871" t="s">
        <v>249</v>
      </c>
      <c r="G871">
        <v>4</v>
      </c>
      <c r="H871" t="s">
        <v>270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207</v>
      </c>
      <c r="B872" t="s">
        <v>9</v>
      </c>
      <c r="C872">
        <v>9</v>
      </c>
      <c r="D872">
        <v>2702</v>
      </c>
      <c r="E872">
        <v>1</v>
      </c>
      <c r="F872" t="s">
        <v>249</v>
      </c>
      <c r="G872">
        <v>2</v>
      </c>
      <c r="H872" t="s">
        <v>292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223</v>
      </c>
      <c r="B873" t="s">
        <v>9</v>
      </c>
      <c r="C873" t="s">
        <v>26</v>
      </c>
      <c r="D873">
        <v>6071</v>
      </c>
      <c r="E873">
        <v>0</v>
      </c>
      <c r="F873" t="s">
        <v>205</v>
      </c>
      <c r="G873">
        <v>4</v>
      </c>
      <c r="H873" t="s">
        <v>26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3450</v>
      </c>
      <c r="L873" s="43">
        <f>IFERROR(SUMIFS(Tabela10[Exp Gain only 2*+],Tabela10[Drop],DropAnalityka[[#This Row],[Drop]],Tabela10[Grade],DropAnalityka[[#This Row],[Grade]])*DropAnalityka[[#This Row],[Quality/Quantity]],0)</f>
        <v>3582.2</v>
      </c>
    </row>
    <row r="874" spans="1:12">
      <c r="A874" t="s">
        <v>223</v>
      </c>
      <c r="B874" t="s">
        <v>9</v>
      </c>
      <c r="C874" t="s">
        <v>26</v>
      </c>
      <c r="D874">
        <v>5719</v>
      </c>
      <c r="E874">
        <v>0</v>
      </c>
      <c r="F874" t="s">
        <v>205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223</v>
      </c>
      <c r="B875" t="s">
        <v>9</v>
      </c>
      <c r="C875" t="s">
        <v>26</v>
      </c>
      <c r="D875">
        <v>5444</v>
      </c>
      <c r="E875">
        <v>0</v>
      </c>
      <c r="F875" t="s">
        <v>205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223</v>
      </c>
      <c r="B876" t="s">
        <v>9</v>
      </c>
      <c r="C876" t="s">
        <v>26</v>
      </c>
      <c r="D876">
        <v>5741</v>
      </c>
      <c r="E876">
        <v>0</v>
      </c>
      <c r="F876" t="s">
        <v>205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223</v>
      </c>
      <c r="B877" t="s">
        <v>9</v>
      </c>
      <c r="C877" t="s">
        <v>26</v>
      </c>
      <c r="D877">
        <v>6031</v>
      </c>
      <c r="E877">
        <v>0</v>
      </c>
      <c r="F877" t="s">
        <v>205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223</v>
      </c>
      <c r="B878" t="s">
        <v>9</v>
      </c>
      <c r="C878" t="s">
        <v>26</v>
      </c>
      <c r="D878">
        <v>5574</v>
      </c>
      <c r="E878">
        <v>0</v>
      </c>
      <c r="F878" t="s">
        <v>205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223</v>
      </c>
      <c r="B879" t="s">
        <v>9</v>
      </c>
      <c r="C879" t="s">
        <v>26</v>
      </c>
      <c r="D879">
        <v>6065</v>
      </c>
      <c r="E879">
        <v>0</v>
      </c>
      <c r="F879" t="s">
        <v>205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223</v>
      </c>
      <c r="B880" t="s">
        <v>9</v>
      </c>
      <c r="C880" t="s">
        <v>26</v>
      </c>
      <c r="D880">
        <v>5631</v>
      </c>
      <c r="E880">
        <v>0</v>
      </c>
      <c r="F880" t="s">
        <v>205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207</v>
      </c>
      <c r="B881" t="s">
        <v>9</v>
      </c>
      <c r="C881">
        <v>9</v>
      </c>
      <c r="D881">
        <v>2671</v>
      </c>
      <c r="E881">
        <v>0</v>
      </c>
      <c r="F881" t="s">
        <v>249</v>
      </c>
      <c r="G881">
        <v>1</v>
      </c>
      <c r="H881" t="s">
        <v>292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0</v>
      </c>
      <c r="L881" s="43">
        <f>IFERROR(SUMIFS(Tabela10[Exp Gain only 2*+],Tabela10[Drop],DropAnalityka[[#This Row],[Drop]],Tabela10[Grade],DropAnalityka[[#This Row],[Grade]])*DropAnalityka[[#This Row],[Quality/Quantity]],0)</f>
        <v>0</v>
      </c>
    </row>
    <row r="882" spans="1:12">
      <c r="A882" t="s">
        <v>207</v>
      </c>
      <c r="B882" t="s">
        <v>9</v>
      </c>
      <c r="C882">
        <v>9</v>
      </c>
      <c r="D882">
        <v>2940</v>
      </c>
      <c r="E882">
        <v>0</v>
      </c>
      <c r="F882" t="s">
        <v>249</v>
      </c>
      <c r="G882">
        <v>1</v>
      </c>
      <c r="H882" t="s">
        <v>271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207</v>
      </c>
      <c r="B883" t="s">
        <v>9</v>
      </c>
      <c r="C883">
        <v>9</v>
      </c>
      <c r="D883">
        <v>2643</v>
      </c>
      <c r="E883">
        <v>2</v>
      </c>
      <c r="F883" t="s">
        <v>249</v>
      </c>
      <c r="G883">
        <v>1</v>
      </c>
      <c r="H883" t="s">
        <v>271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207</v>
      </c>
      <c r="B884" t="s">
        <v>9</v>
      </c>
      <c r="C884">
        <v>9</v>
      </c>
      <c r="D884">
        <v>2968</v>
      </c>
      <c r="E884">
        <v>0</v>
      </c>
      <c r="F884" t="s">
        <v>249</v>
      </c>
      <c r="G884">
        <v>3</v>
      </c>
      <c r="H884" t="s">
        <v>292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207</v>
      </c>
      <c r="B885" t="s">
        <v>9</v>
      </c>
      <c r="C885">
        <v>9</v>
      </c>
      <c r="D885">
        <v>2502</v>
      </c>
      <c r="E885">
        <v>2</v>
      </c>
      <c r="F885" t="s">
        <v>249</v>
      </c>
      <c r="G885">
        <v>2</v>
      </c>
      <c r="H885" t="s">
        <v>292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207</v>
      </c>
      <c r="B886" t="s">
        <v>9</v>
      </c>
      <c r="C886">
        <v>9</v>
      </c>
      <c r="D886">
        <v>2719</v>
      </c>
      <c r="E886">
        <v>3</v>
      </c>
      <c r="F886" t="s">
        <v>223</v>
      </c>
      <c r="G886" t="s">
        <v>284</v>
      </c>
      <c r="H886" t="s">
        <v>26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207</v>
      </c>
      <c r="B887" t="s">
        <v>9</v>
      </c>
      <c r="C887">
        <v>9</v>
      </c>
      <c r="D887">
        <v>2733</v>
      </c>
      <c r="E887">
        <v>1</v>
      </c>
      <c r="F887" t="s">
        <v>249</v>
      </c>
      <c r="G887">
        <v>1</v>
      </c>
      <c r="H887" t="s">
        <v>292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207</v>
      </c>
      <c r="B888" t="s">
        <v>9</v>
      </c>
      <c r="C888">
        <v>9</v>
      </c>
      <c r="D888">
        <v>2917</v>
      </c>
      <c r="E888">
        <v>1</v>
      </c>
      <c r="F888" t="s">
        <v>249</v>
      </c>
      <c r="G888">
        <v>1</v>
      </c>
      <c r="H888" t="s">
        <v>292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207</v>
      </c>
      <c r="B889" t="s">
        <v>9</v>
      </c>
      <c r="C889">
        <v>9</v>
      </c>
      <c r="D889">
        <v>2662</v>
      </c>
      <c r="E889">
        <v>0</v>
      </c>
      <c r="F889" t="s">
        <v>249</v>
      </c>
      <c r="G889">
        <v>3</v>
      </c>
      <c r="H889" t="s">
        <v>271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207</v>
      </c>
      <c r="B890" t="s">
        <v>9</v>
      </c>
      <c r="C890">
        <v>9</v>
      </c>
      <c r="D890">
        <v>2980</v>
      </c>
      <c r="E890">
        <v>1</v>
      </c>
      <c r="F890" t="s">
        <v>249</v>
      </c>
      <c r="G890">
        <v>2</v>
      </c>
      <c r="H890" t="s">
        <v>292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207</v>
      </c>
      <c r="B891" t="s">
        <v>9</v>
      </c>
      <c r="C891">
        <v>9</v>
      </c>
      <c r="D891">
        <v>2778</v>
      </c>
      <c r="E891">
        <v>0</v>
      </c>
      <c r="F891" t="s">
        <v>58</v>
      </c>
      <c r="G891">
        <v>1</v>
      </c>
      <c r="H891" t="s">
        <v>26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34500</v>
      </c>
      <c r="L891" s="43">
        <f>IFERROR(SUMIFS(Tabela10[Exp Gain only 2*+],Tabela10[Drop],DropAnalityka[[#This Row],[Drop]],Tabela10[Grade],DropAnalityka[[#This Row],[Grade]])*DropAnalityka[[#This Row],[Quality/Quantity]],0)</f>
        <v>118004</v>
      </c>
    </row>
    <row r="892" spans="1:12">
      <c r="A892" t="s">
        <v>207</v>
      </c>
      <c r="B892" t="s">
        <v>9</v>
      </c>
      <c r="C892">
        <v>9</v>
      </c>
      <c r="D892">
        <v>2383</v>
      </c>
      <c r="E892">
        <v>0</v>
      </c>
      <c r="F892" t="s">
        <v>34</v>
      </c>
      <c r="G892">
        <v>5</v>
      </c>
      <c r="H892" t="s">
        <v>17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892" s="43">
        <f>IFERROR(SUMIFS(Tabela10[Fod Worth],Tabela10[Drop],DropAnalityka[[#This Row],[Drop]],Tabela10[Grade],DropAnalityka[[#This Row],[Grade]])*DropAnalityka[[#This Row],[Quality/Quantity]],0)</f>
        <v>0</v>
      </c>
      <c r="L892" s="43">
        <f>IFERROR(SUMIFS(Tabela10[Exp Gain only 2*+],Tabela10[Drop],DropAnalityka[[#This Row],[Drop]],Tabela10[Grade],DropAnalityka[[#This Row],[Grade]])*DropAnalityka[[#This Row],[Quality/Quantity]],0)</f>
        <v>4000</v>
      </c>
    </row>
    <row r="893" spans="1:12">
      <c r="A893" t="s">
        <v>207</v>
      </c>
      <c r="B893" t="s">
        <v>9</v>
      </c>
      <c r="C893">
        <v>9</v>
      </c>
      <c r="D893">
        <v>2705</v>
      </c>
      <c r="E893">
        <v>1</v>
      </c>
      <c r="F893" t="s">
        <v>249</v>
      </c>
      <c r="G893">
        <v>1</v>
      </c>
      <c r="H893" t="s">
        <v>271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0</v>
      </c>
    </row>
    <row r="894" spans="1:12">
      <c r="A894" t="s">
        <v>207</v>
      </c>
      <c r="B894" t="s">
        <v>9</v>
      </c>
      <c r="C894">
        <v>9</v>
      </c>
      <c r="D894">
        <v>2769</v>
      </c>
      <c r="E894">
        <v>1</v>
      </c>
      <c r="F894" t="s">
        <v>249</v>
      </c>
      <c r="G894">
        <v>1</v>
      </c>
      <c r="H894" t="s">
        <v>271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36</v>
      </c>
      <c r="B895" t="s">
        <v>9</v>
      </c>
      <c r="C895">
        <v>9</v>
      </c>
      <c r="D895">
        <v>2432</v>
      </c>
      <c r="E895">
        <v>1</v>
      </c>
      <c r="F895" t="s">
        <v>252</v>
      </c>
      <c r="G895">
        <v>5</v>
      </c>
      <c r="H895" t="s">
        <v>270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285</v>
      </c>
      <c r="B896" t="s">
        <v>9</v>
      </c>
      <c r="C896">
        <v>9</v>
      </c>
      <c r="D896">
        <v>2838</v>
      </c>
      <c r="E896">
        <v>0</v>
      </c>
      <c r="F896" t="s">
        <v>250</v>
      </c>
      <c r="G896">
        <v>4</v>
      </c>
      <c r="H896" t="s">
        <v>270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285</v>
      </c>
      <c r="B897" t="s">
        <v>9</v>
      </c>
      <c r="C897">
        <v>9</v>
      </c>
      <c r="D897">
        <v>2427</v>
      </c>
      <c r="E897">
        <v>1</v>
      </c>
      <c r="F897" t="s">
        <v>264</v>
      </c>
      <c r="G897">
        <v>3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285</v>
      </c>
      <c r="B898" t="s">
        <v>9</v>
      </c>
      <c r="C898">
        <v>9</v>
      </c>
      <c r="D898">
        <v>3047</v>
      </c>
      <c r="E898">
        <v>2</v>
      </c>
      <c r="F898" t="s">
        <v>250</v>
      </c>
      <c r="G898">
        <v>1</v>
      </c>
      <c r="H898" t="s">
        <v>292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285</v>
      </c>
      <c r="B899" t="s">
        <v>9</v>
      </c>
      <c r="C899">
        <v>9</v>
      </c>
      <c r="D899">
        <v>2866</v>
      </c>
      <c r="E899">
        <v>1</v>
      </c>
      <c r="F899" t="s">
        <v>206</v>
      </c>
      <c r="G899">
        <v>1</v>
      </c>
      <c r="H899" t="s">
        <v>17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285</v>
      </c>
      <c r="B900" t="s">
        <v>9</v>
      </c>
      <c r="C900">
        <v>9</v>
      </c>
      <c r="D900">
        <v>2763</v>
      </c>
      <c r="E900">
        <v>0</v>
      </c>
      <c r="F900" t="s">
        <v>264</v>
      </c>
      <c r="G900">
        <v>2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285</v>
      </c>
      <c r="B901" t="s">
        <v>9</v>
      </c>
      <c r="C901">
        <v>9</v>
      </c>
      <c r="D901">
        <v>3056</v>
      </c>
      <c r="E901">
        <v>1</v>
      </c>
      <c r="F901" t="s">
        <v>264</v>
      </c>
      <c r="G901">
        <v>1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285</v>
      </c>
      <c r="B902" t="s">
        <v>9</v>
      </c>
      <c r="C902">
        <v>9</v>
      </c>
      <c r="D902">
        <v>2719</v>
      </c>
      <c r="E902">
        <v>0</v>
      </c>
      <c r="F902" t="s">
        <v>250</v>
      </c>
      <c r="G902">
        <v>5</v>
      </c>
      <c r="H902" t="s">
        <v>270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285</v>
      </c>
      <c r="B903" t="s">
        <v>9</v>
      </c>
      <c r="C903">
        <v>9</v>
      </c>
      <c r="D903">
        <v>2911</v>
      </c>
      <c r="E903">
        <v>1</v>
      </c>
      <c r="F903" t="s">
        <v>250</v>
      </c>
      <c r="G903">
        <v>5</v>
      </c>
      <c r="H903" t="s">
        <v>270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285</v>
      </c>
      <c r="B904" t="s">
        <v>9</v>
      </c>
      <c r="C904">
        <v>9</v>
      </c>
      <c r="D904">
        <v>2858</v>
      </c>
      <c r="E904">
        <v>0</v>
      </c>
      <c r="F904" t="s">
        <v>250</v>
      </c>
      <c r="G904">
        <v>1</v>
      </c>
      <c r="H904" t="s">
        <v>292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285</v>
      </c>
      <c r="B905" t="s">
        <v>9</v>
      </c>
      <c r="C905">
        <v>9</v>
      </c>
      <c r="D905">
        <v>2965</v>
      </c>
      <c r="E905">
        <v>1</v>
      </c>
      <c r="F905" t="s">
        <v>250</v>
      </c>
      <c r="G905">
        <v>3</v>
      </c>
      <c r="H905" t="s">
        <v>292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285</v>
      </c>
      <c r="B906" t="s">
        <v>9</v>
      </c>
      <c r="C906">
        <v>9</v>
      </c>
      <c r="D906">
        <v>3486</v>
      </c>
      <c r="E906">
        <v>1</v>
      </c>
      <c r="F906" t="s">
        <v>206</v>
      </c>
      <c r="G906">
        <v>1</v>
      </c>
      <c r="H906" t="s">
        <v>17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285</v>
      </c>
      <c r="B907" t="s">
        <v>9</v>
      </c>
      <c r="C907">
        <v>9</v>
      </c>
      <c r="D907">
        <v>2992</v>
      </c>
      <c r="E907">
        <v>0</v>
      </c>
      <c r="F907" t="s">
        <v>58</v>
      </c>
      <c r="G907">
        <v>1</v>
      </c>
      <c r="H907" t="s">
        <v>26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34500</v>
      </c>
      <c r="L907" s="43">
        <f>IFERROR(SUMIFS(Tabela10[Exp Gain only 2*+],Tabela10[Drop],DropAnalityka[[#This Row],[Drop]],Tabela10[Grade],DropAnalityka[[#This Row],[Grade]])*DropAnalityka[[#This Row],[Quality/Quantity]],0)</f>
        <v>118004</v>
      </c>
    </row>
    <row r="908" spans="1:12">
      <c r="A908" t="s">
        <v>285</v>
      </c>
      <c r="B908" t="s">
        <v>9</v>
      </c>
      <c r="C908">
        <v>9</v>
      </c>
      <c r="D908">
        <v>2961</v>
      </c>
      <c r="E908">
        <v>1</v>
      </c>
      <c r="F908" t="s">
        <v>34</v>
      </c>
      <c r="G908">
        <v>5</v>
      </c>
      <c r="H908" t="s">
        <v>17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908" s="43">
        <f>IFERROR(SUMIFS(Tabela10[Fod Worth],Tabela10[Drop],DropAnalityka[[#This Row],[Drop]],Tabela10[Grade],DropAnalityka[[#This Row],[Grade]])*DropAnalityka[[#This Row],[Quality/Quantity]],0)</f>
        <v>0</v>
      </c>
      <c r="L908" s="43">
        <f>IFERROR(SUMIFS(Tabela10[Exp Gain only 2*+],Tabela10[Drop],DropAnalityka[[#This Row],[Drop]],Tabela10[Grade],DropAnalityka[[#This Row],[Grade]])*DropAnalityka[[#This Row],[Quality/Quantity]],0)</f>
        <v>4000</v>
      </c>
    </row>
    <row r="909" spans="1:12">
      <c r="A909" t="s">
        <v>285</v>
      </c>
      <c r="B909" t="s">
        <v>9</v>
      </c>
      <c r="C909">
        <v>9</v>
      </c>
      <c r="D909">
        <v>2744</v>
      </c>
      <c r="E909">
        <v>1</v>
      </c>
      <c r="F909" t="s">
        <v>250</v>
      </c>
      <c r="G909">
        <v>1</v>
      </c>
      <c r="H909" t="s">
        <v>271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0</v>
      </c>
    </row>
    <row r="910" spans="1:12">
      <c r="A910" t="s">
        <v>285</v>
      </c>
      <c r="B910" t="s">
        <v>9</v>
      </c>
      <c r="C910">
        <v>9</v>
      </c>
      <c r="D910">
        <v>2564</v>
      </c>
      <c r="E910">
        <v>0</v>
      </c>
      <c r="F910" t="s">
        <v>250</v>
      </c>
      <c r="G910">
        <v>5</v>
      </c>
      <c r="H910" t="s">
        <v>270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285</v>
      </c>
      <c r="B911" t="s">
        <v>9</v>
      </c>
      <c r="C911">
        <v>9</v>
      </c>
      <c r="D911">
        <v>2876</v>
      </c>
      <c r="E911">
        <v>2</v>
      </c>
      <c r="F911" t="s">
        <v>58</v>
      </c>
      <c r="G911">
        <v>1</v>
      </c>
      <c r="H911" t="s">
        <v>26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34500</v>
      </c>
      <c r="L911" s="43">
        <f>IFERROR(SUMIFS(Tabela10[Exp Gain only 2*+],Tabela10[Drop],DropAnalityka[[#This Row],[Drop]],Tabela10[Grade],DropAnalityka[[#This Row],[Grade]])*DropAnalityka[[#This Row],[Quality/Quantity]],0)</f>
        <v>118004</v>
      </c>
    </row>
    <row r="912" spans="1:12">
      <c r="A912" t="s">
        <v>285</v>
      </c>
      <c r="B912" t="s">
        <v>9</v>
      </c>
      <c r="C912">
        <v>9</v>
      </c>
      <c r="D912">
        <v>2779</v>
      </c>
      <c r="E912">
        <v>0</v>
      </c>
      <c r="F912" t="s">
        <v>264</v>
      </c>
      <c r="G912">
        <v>2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0</v>
      </c>
      <c r="L912" s="43">
        <f>IFERROR(SUMIFS(Tabela10[Exp Gain only 2*+],Tabela10[Drop],DropAnalityka[[#This Row],[Drop]],Tabela10[Grade],DropAnalityka[[#This Row],[Grade]])*DropAnalityka[[#This Row],[Quality/Quantity]],0)</f>
        <v>0</v>
      </c>
    </row>
    <row r="913" spans="1:12">
      <c r="A913" t="s">
        <v>36</v>
      </c>
      <c r="B913" t="s">
        <v>9</v>
      </c>
      <c r="C913">
        <v>9</v>
      </c>
      <c r="D913">
        <v>3024</v>
      </c>
      <c r="E913">
        <v>1</v>
      </c>
      <c r="F913" t="s">
        <v>252</v>
      </c>
      <c r="G913">
        <v>3</v>
      </c>
      <c r="H913" t="s">
        <v>292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285</v>
      </c>
      <c r="B914" t="s">
        <v>9</v>
      </c>
      <c r="C914">
        <v>9</v>
      </c>
      <c r="D914">
        <v>3032</v>
      </c>
      <c r="E914">
        <v>0</v>
      </c>
      <c r="F914" t="s">
        <v>250</v>
      </c>
      <c r="G914">
        <v>5</v>
      </c>
      <c r="H914" t="s">
        <v>270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285</v>
      </c>
      <c r="B915" t="s">
        <v>9</v>
      </c>
      <c r="C915">
        <v>9</v>
      </c>
      <c r="D915">
        <v>2865</v>
      </c>
      <c r="E915">
        <v>1</v>
      </c>
      <c r="F915" t="s">
        <v>58</v>
      </c>
      <c r="G915">
        <v>1</v>
      </c>
      <c r="H915" t="s">
        <v>26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34500</v>
      </c>
      <c r="L915" s="43">
        <f>IFERROR(SUMIFS(Tabela10[Exp Gain only 2*+],Tabela10[Drop],DropAnalityka[[#This Row],[Drop]],Tabela10[Grade],DropAnalityka[[#This Row],[Grade]])*DropAnalityka[[#This Row],[Quality/Quantity]],0)</f>
        <v>118004</v>
      </c>
    </row>
    <row r="916" spans="1:12">
      <c r="A916" t="s">
        <v>285</v>
      </c>
      <c r="B916" t="s">
        <v>9</v>
      </c>
      <c r="C916">
        <v>9</v>
      </c>
      <c r="D916">
        <v>2891</v>
      </c>
      <c r="E916">
        <v>2</v>
      </c>
      <c r="F916" t="s">
        <v>250</v>
      </c>
      <c r="G916">
        <v>1</v>
      </c>
      <c r="H916" t="s">
        <v>292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0</v>
      </c>
      <c r="L916" s="43">
        <f>IFERROR(SUMIFS(Tabela10[Exp Gain only 2*+],Tabela10[Drop],DropAnalityka[[#This Row],[Drop]],Tabela10[Grade],DropAnalityka[[#This Row],[Grade]])*DropAnalityka[[#This Row],[Quality/Quantity]],0)</f>
        <v>0</v>
      </c>
    </row>
    <row r="917" spans="1:12">
      <c r="A917" t="s">
        <v>285</v>
      </c>
      <c r="B917" t="s">
        <v>9</v>
      </c>
      <c r="C917">
        <v>9</v>
      </c>
      <c r="D917">
        <v>2799</v>
      </c>
      <c r="E917">
        <v>0</v>
      </c>
      <c r="F917" t="s">
        <v>250</v>
      </c>
      <c r="G917">
        <v>2</v>
      </c>
      <c r="H917" t="s">
        <v>292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285</v>
      </c>
      <c r="B918" t="s">
        <v>9</v>
      </c>
      <c r="C918">
        <v>9</v>
      </c>
      <c r="D918">
        <v>3197</v>
      </c>
      <c r="E918">
        <v>1</v>
      </c>
      <c r="F918" t="s">
        <v>250</v>
      </c>
      <c r="G918">
        <v>2</v>
      </c>
      <c r="H918" t="s">
        <v>292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285</v>
      </c>
      <c r="B919" t="s">
        <v>9</v>
      </c>
      <c r="C919">
        <v>9</v>
      </c>
      <c r="D919">
        <v>3013</v>
      </c>
      <c r="E919">
        <v>0</v>
      </c>
      <c r="F919" t="s">
        <v>250</v>
      </c>
      <c r="G919">
        <v>4</v>
      </c>
      <c r="H919" t="s">
        <v>270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285</v>
      </c>
      <c r="B920" t="s">
        <v>9</v>
      </c>
      <c r="C920">
        <v>9</v>
      </c>
      <c r="D920">
        <v>3393</v>
      </c>
      <c r="E920">
        <v>1</v>
      </c>
      <c r="F920" t="s">
        <v>250</v>
      </c>
      <c r="G920">
        <v>4</v>
      </c>
      <c r="H920" t="s">
        <v>270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285</v>
      </c>
      <c r="B921" t="s">
        <v>9</v>
      </c>
      <c r="C921">
        <v>9</v>
      </c>
      <c r="D921">
        <v>3290</v>
      </c>
      <c r="E921">
        <v>0</v>
      </c>
      <c r="F921" t="s">
        <v>288</v>
      </c>
      <c r="G921">
        <v>1</v>
      </c>
      <c r="H921" t="s">
        <v>17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32</v>
      </c>
      <c r="C922">
        <v>5</v>
      </c>
      <c r="D922">
        <v>1311</v>
      </c>
      <c r="E922">
        <v>0</v>
      </c>
      <c r="I922">
        <v>1236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285</v>
      </c>
      <c r="B923" t="s">
        <v>9</v>
      </c>
      <c r="C923">
        <v>9</v>
      </c>
      <c r="D923">
        <v>2551</v>
      </c>
      <c r="E923">
        <v>1</v>
      </c>
      <c r="F923" t="s">
        <v>223</v>
      </c>
      <c r="G923" t="s">
        <v>287</v>
      </c>
      <c r="H923" t="s">
        <v>12</v>
      </c>
      <c r="I923">
        <v>0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285</v>
      </c>
      <c r="B924" t="s">
        <v>9</v>
      </c>
      <c r="C924">
        <v>9</v>
      </c>
      <c r="D924">
        <v>2856</v>
      </c>
      <c r="E924">
        <v>0</v>
      </c>
      <c r="F924" t="s">
        <v>250</v>
      </c>
      <c r="G924">
        <v>1</v>
      </c>
      <c r="H924" t="s">
        <v>271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285</v>
      </c>
      <c r="B925" t="s">
        <v>9</v>
      </c>
      <c r="C925">
        <v>9</v>
      </c>
      <c r="D925">
        <v>2488</v>
      </c>
      <c r="E925">
        <v>1</v>
      </c>
      <c r="F925" t="s">
        <v>250</v>
      </c>
      <c r="G925">
        <v>3</v>
      </c>
      <c r="H925" t="s">
        <v>292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285</v>
      </c>
      <c r="B926" t="s">
        <v>9</v>
      </c>
      <c r="C926">
        <v>9</v>
      </c>
      <c r="D926">
        <v>2583</v>
      </c>
      <c r="E926">
        <v>0</v>
      </c>
      <c r="F926" t="s">
        <v>250</v>
      </c>
      <c r="G926">
        <v>5</v>
      </c>
      <c r="H926" t="s">
        <v>270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285</v>
      </c>
      <c r="B927" t="s">
        <v>9</v>
      </c>
      <c r="C927">
        <v>9</v>
      </c>
      <c r="D927">
        <v>2394</v>
      </c>
      <c r="E927">
        <v>0</v>
      </c>
      <c r="F927" t="s">
        <v>250</v>
      </c>
      <c r="G927">
        <v>4</v>
      </c>
      <c r="H927" t="s">
        <v>270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285</v>
      </c>
      <c r="B928" t="s">
        <v>9</v>
      </c>
      <c r="C928">
        <v>9</v>
      </c>
      <c r="D928">
        <v>2703</v>
      </c>
      <c r="E928">
        <v>0</v>
      </c>
      <c r="F928" t="s">
        <v>250</v>
      </c>
      <c r="G928">
        <v>1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285</v>
      </c>
      <c r="B929" t="s">
        <v>9</v>
      </c>
      <c r="C929">
        <v>9</v>
      </c>
      <c r="D929">
        <v>2880</v>
      </c>
      <c r="E929">
        <v>1</v>
      </c>
      <c r="F929" t="s">
        <v>250</v>
      </c>
      <c r="G929">
        <v>4</v>
      </c>
      <c r="H929" t="s">
        <v>270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285</v>
      </c>
      <c r="B930" t="s">
        <v>9</v>
      </c>
      <c r="C930">
        <v>9</v>
      </c>
      <c r="D930">
        <v>2802</v>
      </c>
      <c r="E930">
        <v>0</v>
      </c>
      <c r="F930" t="s">
        <v>250</v>
      </c>
      <c r="G930">
        <v>3</v>
      </c>
      <c r="H930" t="s">
        <v>292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285</v>
      </c>
      <c r="B931" t="s">
        <v>9</v>
      </c>
      <c r="C931">
        <v>9</v>
      </c>
      <c r="D931">
        <v>2784</v>
      </c>
      <c r="E931">
        <v>2</v>
      </c>
      <c r="F931" t="s">
        <v>264</v>
      </c>
      <c r="G931">
        <v>2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285</v>
      </c>
      <c r="B932" t="s">
        <v>9</v>
      </c>
      <c r="C932">
        <v>9</v>
      </c>
      <c r="D932">
        <v>2856</v>
      </c>
      <c r="E932">
        <v>0</v>
      </c>
      <c r="F932" t="s">
        <v>250</v>
      </c>
      <c r="G932">
        <v>3</v>
      </c>
      <c r="H932" t="s">
        <v>292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285</v>
      </c>
      <c r="B933" t="s">
        <v>9</v>
      </c>
      <c r="C933">
        <v>9</v>
      </c>
      <c r="D933">
        <v>3481</v>
      </c>
      <c r="E933">
        <v>0</v>
      </c>
      <c r="F933" t="s">
        <v>250</v>
      </c>
      <c r="G933">
        <v>4</v>
      </c>
      <c r="H933" t="s">
        <v>270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285</v>
      </c>
      <c r="B934" t="s">
        <v>9</v>
      </c>
      <c r="C934">
        <v>9</v>
      </c>
      <c r="D934">
        <v>2701</v>
      </c>
      <c r="E934">
        <v>0</v>
      </c>
      <c r="F934" t="s">
        <v>58</v>
      </c>
      <c r="G934" t="s">
        <v>12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285</v>
      </c>
      <c r="B935" t="s">
        <v>9</v>
      </c>
      <c r="C935">
        <v>9</v>
      </c>
      <c r="D935">
        <v>2809</v>
      </c>
      <c r="E935">
        <v>1</v>
      </c>
      <c r="F935" t="s">
        <v>206</v>
      </c>
      <c r="G935" t="s">
        <v>17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285</v>
      </c>
      <c r="B936" t="s">
        <v>9</v>
      </c>
      <c r="C936">
        <v>9</v>
      </c>
      <c r="D936">
        <v>2999</v>
      </c>
      <c r="E936">
        <v>0</v>
      </c>
      <c r="F936" t="s">
        <v>250</v>
      </c>
      <c r="G936">
        <v>5</v>
      </c>
      <c r="H936" t="s">
        <v>270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285</v>
      </c>
      <c r="B937" t="s">
        <v>9</v>
      </c>
      <c r="C937">
        <v>9</v>
      </c>
      <c r="D937">
        <v>2639</v>
      </c>
      <c r="E937">
        <v>1</v>
      </c>
      <c r="F937" t="s">
        <v>250</v>
      </c>
      <c r="G937">
        <v>2</v>
      </c>
      <c r="H937" t="s">
        <v>292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285</v>
      </c>
      <c r="B938" t="s">
        <v>9</v>
      </c>
      <c r="C938">
        <v>9</v>
      </c>
      <c r="D938">
        <v>2853</v>
      </c>
      <c r="E938">
        <v>0</v>
      </c>
      <c r="F938" t="s">
        <v>250</v>
      </c>
      <c r="G938">
        <v>2</v>
      </c>
      <c r="H938" t="s">
        <v>271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285</v>
      </c>
      <c r="B939" t="s">
        <v>9</v>
      </c>
      <c r="C939">
        <v>9</v>
      </c>
      <c r="D939">
        <v>3206</v>
      </c>
      <c r="E939">
        <v>1</v>
      </c>
      <c r="F939" t="s">
        <v>250</v>
      </c>
      <c r="G939">
        <v>4</v>
      </c>
      <c r="H939" t="s">
        <v>270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285</v>
      </c>
      <c r="B940" t="s">
        <v>9</v>
      </c>
      <c r="C940">
        <v>9</v>
      </c>
      <c r="D940">
        <v>3218</v>
      </c>
      <c r="E940">
        <v>0</v>
      </c>
      <c r="F940" t="s">
        <v>250</v>
      </c>
      <c r="G940">
        <v>3</v>
      </c>
      <c r="H940" t="s">
        <v>292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285</v>
      </c>
      <c r="B941" t="s">
        <v>9</v>
      </c>
      <c r="C941">
        <v>9</v>
      </c>
      <c r="D941">
        <v>2853</v>
      </c>
      <c r="E941">
        <v>2</v>
      </c>
      <c r="F941" t="s">
        <v>250</v>
      </c>
      <c r="G941">
        <v>3</v>
      </c>
      <c r="H941" t="s">
        <v>271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285</v>
      </c>
      <c r="B942" t="s">
        <v>9</v>
      </c>
      <c r="C942">
        <v>9</v>
      </c>
      <c r="D942">
        <v>2921</v>
      </c>
      <c r="E942">
        <v>0</v>
      </c>
      <c r="F942" t="s">
        <v>250</v>
      </c>
      <c r="G942">
        <v>1</v>
      </c>
      <c r="H942" t="s">
        <v>271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285</v>
      </c>
      <c r="B943" t="s">
        <v>9</v>
      </c>
      <c r="C943">
        <v>9</v>
      </c>
      <c r="D943">
        <v>2840</v>
      </c>
      <c r="E943">
        <v>0</v>
      </c>
      <c r="F943" t="s">
        <v>206</v>
      </c>
      <c r="G943" t="s">
        <v>17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285</v>
      </c>
      <c r="B944" t="s">
        <v>9</v>
      </c>
      <c r="C944">
        <v>9</v>
      </c>
      <c r="D944">
        <v>3444</v>
      </c>
      <c r="E944">
        <v>0</v>
      </c>
      <c r="F944" t="s">
        <v>264</v>
      </c>
      <c r="G944">
        <v>1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285</v>
      </c>
      <c r="B945" t="s">
        <v>9</v>
      </c>
      <c r="C945">
        <v>9</v>
      </c>
      <c r="D945">
        <v>2844</v>
      </c>
      <c r="E945">
        <v>0</v>
      </c>
      <c r="F945" t="s">
        <v>250</v>
      </c>
      <c r="G945">
        <v>2</v>
      </c>
      <c r="H945" t="s">
        <v>292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285</v>
      </c>
      <c r="B946" t="s">
        <v>9</v>
      </c>
      <c r="C946">
        <v>9</v>
      </c>
      <c r="D946">
        <v>2720</v>
      </c>
      <c r="E946">
        <v>0</v>
      </c>
      <c r="F946" t="s">
        <v>250</v>
      </c>
      <c r="G946">
        <v>4</v>
      </c>
      <c r="H946" t="s">
        <v>270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285</v>
      </c>
      <c r="B947" t="s">
        <v>9</v>
      </c>
      <c r="C947">
        <v>9</v>
      </c>
      <c r="D947">
        <v>2990</v>
      </c>
      <c r="E947">
        <v>1</v>
      </c>
      <c r="F947" t="s">
        <v>250</v>
      </c>
      <c r="G947">
        <v>4</v>
      </c>
      <c r="H947" t="s">
        <v>270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285</v>
      </c>
      <c r="B948" t="s">
        <v>9</v>
      </c>
      <c r="C948">
        <v>9</v>
      </c>
      <c r="D948">
        <v>2846</v>
      </c>
      <c r="E948">
        <v>4</v>
      </c>
      <c r="F948" t="s">
        <v>250</v>
      </c>
      <c r="G948">
        <v>1</v>
      </c>
      <c r="H948" t="s">
        <v>292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285</v>
      </c>
      <c r="B949" t="s">
        <v>9</v>
      </c>
      <c r="C949">
        <v>9</v>
      </c>
      <c r="D949">
        <v>2740</v>
      </c>
      <c r="E949">
        <v>1</v>
      </c>
      <c r="F949" t="s">
        <v>264</v>
      </c>
      <c r="G949">
        <v>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285</v>
      </c>
      <c r="B950" t="s">
        <v>9</v>
      </c>
      <c r="C950">
        <v>9</v>
      </c>
      <c r="D950">
        <v>2619</v>
      </c>
      <c r="E950">
        <v>2</v>
      </c>
      <c r="F950" t="s">
        <v>250</v>
      </c>
      <c r="G950">
        <v>1</v>
      </c>
      <c r="H950" t="s">
        <v>292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285</v>
      </c>
      <c r="B951" t="s">
        <v>9</v>
      </c>
      <c r="C951">
        <v>9</v>
      </c>
      <c r="D951">
        <v>3000</v>
      </c>
      <c r="E951">
        <v>1</v>
      </c>
      <c r="F951" t="s">
        <v>250</v>
      </c>
      <c r="G951">
        <v>2</v>
      </c>
      <c r="H951" t="s">
        <v>292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285</v>
      </c>
      <c r="B952" t="s">
        <v>9</v>
      </c>
      <c r="C952">
        <v>9</v>
      </c>
      <c r="D952">
        <v>2846</v>
      </c>
      <c r="E952">
        <v>3</v>
      </c>
      <c r="F952" t="s">
        <v>250</v>
      </c>
      <c r="G952">
        <v>4</v>
      </c>
      <c r="H952" t="s">
        <v>270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285</v>
      </c>
      <c r="B953" t="s">
        <v>9</v>
      </c>
      <c r="C953">
        <v>9</v>
      </c>
      <c r="D953">
        <v>2824</v>
      </c>
      <c r="E953">
        <v>2</v>
      </c>
      <c r="F953" t="s">
        <v>264</v>
      </c>
      <c r="G953">
        <v>3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285</v>
      </c>
      <c r="B954" t="s">
        <v>9</v>
      </c>
      <c r="C954">
        <v>9</v>
      </c>
      <c r="D954">
        <v>3201</v>
      </c>
      <c r="E954">
        <v>0</v>
      </c>
      <c r="F954" t="s">
        <v>250</v>
      </c>
      <c r="G954">
        <v>5</v>
      </c>
      <c r="H954" t="s">
        <v>270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285</v>
      </c>
      <c r="B955" t="s">
        <v>9</v>
      </c>
      <c r="C955">
        <v>9</v>
      </c>
      <c r="D955">
        <v>2638</v>
      </c>
      <c r="E955">
        <v>0</v>
      </c>
      <c r="F955" t="s">
        <v>250</v>
      </c>
      <c r="G955">
        <v>3</v>
      </c>
      <c r="H955" t="s">
        <v>270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285</v>
      </c>
      <c r="B956" t="s">
        <v>9</v>
      </c>
      <c r="C956">
        <v>9</v>
      </c>
      <c r="D956">
        <v>2887</v>
      </c>
      <c r="E956">
        <v>1</v>
      </c>
      <c r="F956" t="s">
        <v>34</v>
      </c>
      <c r="G956">
        <v>4</v>
      </c>
      <c r="H956" t="s">
        <v>17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3200</v>
      </c>
    </row>
    <row r="957" spans="1:12">
      <c r="A957" t="s">
        <v>285</v>
      </c>
      <c r="B957" t="s">
        <v>9</v>
      </c>
      <c r="C957">
        <v>9</v>
      </c>
      <c r="D957">
        <v>2399</v>
      </c>
      <c r="E957">
        <v>0</v>
      </c>
      <c r="F957" t="s">
        <v>250</v>
      </c>
      <c r="G957">
        <v>3</v>
      </c>
      <c r="H957" t="s">
        <v>271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0</v>
      </c>
    </row>
    <row r="958" spans="1:12">
      <c r="A958" t="s">
        <v>285</v>
      </c>
      <c r="B958" t="s">
        <v>9</v>
      </c>
      <c r="C958">
        <v>9</v>
      </c>
      <c r="D958">
        <v>3055</v>
      </c>
      <c r="E958">
        <v>1</v>
      </c>
      <c r="F958" t="s">
        <v>250</v>
      </c>
      <c r="G958">
        <v>1</v>
      </c>
      <c r="H958" t="s">
        <v>292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285</v>
      </c>
      <c r="B959" t="s">
        <v>9</v>
      </c>
      <c r="C959">
        <v>9</v>
      </c>
      <c r="D959">
        <v>2841</v>
      </c>
      <c r="E959">
        <v>0</v>
      </c>
      <c r="F959" t="s">
        <v>250</v>
      </c>
      <c r="G959">
        <v>5</v>
      </c>
      <c r="H959" t="s">
        <v>270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285</v>
      </c>
      <c r="B960" t="s">
        <v>9</v>
      </c>
      <c r="C960">
        <v>9</v>
      </c>
      <c r="D960">
        <v>2937</v>
      </c>
      <c r="E960">
        <v>0</v>
      </c>
      <c r="F960" t="s">
        <v>223</v>
      </c>
      <c r="G960" t="s">
        <v>12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285</v>
      </c>
      <c r="B961" t="s">
        <v>9</v>
      </c>
      <c r="C961">
        <v>9</v>
      </c>
      <c r="D961">
        <v>2426</v>
      </c>
      <c r="E961">
        <v>0</v>
      </c>
      <c r="F961" t="s">
        <v>250</v>
      </c>
      <c r="G961">
        <v>1</v>
      </c>
      <c r="H961" t="s">
        <v>271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285</v>
      </c>
      <c r="B962" t="s">
        <v>9</v>
      </c>
      <c r="C962">
        <v>9</v>
      </c>
      <c r="D962">
        <v>2552</v>
      </c>
      <c r="E962">
        <v>1</v>
      </c>
      <c r="F962" t="s">
        <v>250</v>
      </c>
      <c r="G962">
        <v>3</v>
      </c>
      <c r="H962" t="s">
        <v>292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285</v>
      </c>
      <c r="B963" t="s">
        <v>9</v>
      </c>
      <c r="C963">
        <v>9</v>
      </c>
      <c r="D963">
        <v>2771</v>
      </c>
      <c r="E963">
        <v>2</v>
      </c>
      <c r="F963" t="s">
        <v>250</v>
      </c>
      <c r="G963">
        <v>1</v>
      </c>
      <c r="H963" t="s">
        <v>292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285</v>
      </c>
      <c r="B964" t="s">
        <v>9</v>
      </c>
      <c r="C964">
        <v>9</v>
      </c>
      <c r="D964">
        <v>2652</v>
      </c>
      <c r="E964">
        <v>2</v>
      </c>
      <c r="F964" t="s">
        <v>250</v>
      </c>
      <c r="G964">
        <v>4</v>
      </c>
      <c r="H964" t="s">
        <v>270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285</v>
      </c>
      <c r="B965" t="s">
        <v>9</v>
      </c>
      <c r="C965">
        <v>9</v>
      </c>
      <c r="D965">
        <v>2708</v>
      </c>
      <c r="E965">
        <v>0</v>
      </c>
      <c r="F965" t="s">
        <v>250</v>
      </c>
      <c r="G965">
        <v>1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285</v>
      </c>
      <c r="B966" t="s">
        <v>9</v>
      </c>
      <c r="C966">
        <v>9</v>
      </c>
      <c r="D966">
        <v>2684</v>
      </c>
      <c r="E966">
        <v>1</v>
      </c>
      <c r="F966" t="s">
        <v>250</v>
      </c>
      <c r="G966">
        <v>1</v>
      </c>
      <c r="H966" t="s">
        <v>271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285</v>
      </c>
      <c r="B967" t="s">
        <v>9</v>
      </c>
      <c r="C967">
        <v>9</v>
      </c>
      <c r="D967">
        <v>3108</v>
      </c>
      <c r="E967">
        <v>3</v>
      </c>
      <c r="F967" t="s">
        <v>250</v>
      </c>
      <c r="G967">
        <v>4</v>
      </c>
      <c r="H967" t="s">
        <v>270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285</v>
      </c>
      <c r="B968" t="s">
        <v>9</v>
      </c>
      <c r="C968">
        <v>9</v>
      </c>
      <c r="D968">
        <v>2839</v>
      </c>
      <c r="E968">
        <v>1</v>
      </c>
      <c r="F968" t="s">
        <v>250</v>
      </c>
      <c r="G968">
        <v>1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60</v>
      </c>
      <c r="B969" t="s">
        <v>30</v>
      </c>
      <c r="C969">
        <v>11</v>
      </c>
      <c r="D969">
        <v>1670</v>
      </c>
      <c r="E969">
        <v>1</v>
      </c>
      <c r="I969">
        <v>1976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60</v>
      </c>
      <c r="B970" t="s">
        <v>30</v>
      </c>
      <c r="C970">
        <v>11</v>
      </c>
      <c r="D970">
        <v>2097</v>
      </c>
      <c r="E970">
        <v>1</v>
      </c>
      <c r="I970">
        <v>1824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60</v>
      </c>
      <c r="B971" t="s">
        <v>30</v>
      </c>
      <c r="C971">
        <v>11</v>
      </c>
      <c r="D971">
        <v>2652</v>
      </c>
      <c r="E971">
        <v>0</v>
      </c>
      <c r="I971">
        <v>1976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60</v>
      </c>
      <c r="B972" t="s">
        <v>30</v>
      </c>
      <c r="C972">
        <v>11</v>
      </c>
      <c r="D972">
        <v>1719</v>
      </c>
      <c r="E972">
        <v>2</v>
      </c>
      <c r="I972">
        <v>1824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60</v>
      </c>
      <c r="B973" t="s">
        <v>30</v>
      </c>
      <c r="C973">
        <v>11</v>
      </c>
      <c r="D973">
        <v>1304</v>
      </c>
      <c r="E973">
        <v>1</v>
      </c>
      <c r="F973" t="s">
        <v>34</v>
      </c>
      <c r="G973">
        <v>2</v>
      </c>
      <c r="H973" t="s">
        <v>17</v>
      </c>
      <c r="I973">
        <v>0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1600</v>
      </c>
    </row>
    <row r="974" spans="1:12">
      <c r="A974" t="s">
        <v>60</v>
      </c>
      <c r="B974" t="s">
        <v>30</v>
      </c>
      <c r="C974">
        <v>11</v>
      </c>
      <c r="D974">
        <v>1662</v>
      </c>
      <c r="E974">
        <v>2</v>
      </c>
      <c r="I974">
        <v>1976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0</v>
      </c>
    </row>
    <row r="975" spans="1:12">
      <c r="A975" t="s">
        <v>60</v>
      </c>
      <c r="B975" t="s">
        <v>30</v>
      </c>
      <c r="C975">
        <v>11</v>
      </c>
      <c r="D975">
        <v>1385</v>
      </c>
      <c r="E975">
        <v>0</v>
      </c>
      <c r="I975">
        <v>2937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60</v>
      </c>
      <c r="B976" t="s">
        <v>30</v>
      </c>
      <c r="C976">
        <v>11</v>
      </c>
      <c r="D976">
        <v>1707</v>
      </c>
      <c r="E976">
        <v>1</v>
      </c>
      <c r="I976">
        <v>1824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60</v>
      </c>
      <c r="B977" t="s">
        <v>30</v>
      </c>
      <c r="C977">
        <v>11</v>
      </c>
      <c r="D977">
        <v>1589</v>
      </c>
      <c r="E977">
        <v>1</v>
      </c>
      <c r="F977" t="s">
        <v>34</v>
      </c>
      <c r="G977">
        <v>2</v>
      </c>
      <c r="H977" t="s">
        <v>17</v>
      </c>
      <c r="I977">
        <v>0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1600</v>
      </c>
    </row>
    <row r="978" spans="1:12">
      <c r="A978" t="s">
        <v>60</v>
      </c>
      <c r="B978" t="s">
        <v>30</v>
      </c>
      <c r="C978">
        <v>11</v>
      </c>
      <c r="D978">
        <v>1796</v>
      </c>
      <c r="E978">
        <v>2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31</v>
      </c>
      <c r="B979" t="s">
        <v>30</v>
      </c>
      <c r="C979">
        <v>11</v>
      </c>
      <c r="D979">
        <v>2028</v>
      </c>
      <c r="E979">
        <v>0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1671</v>
      </c>
      <c r="E980">
        <v>0</v>
      </c>
      <c r="I980">
        <v>1824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0</v>
      </c>
    </row>
    <row r="981" spans="1:12">
      <c r="A981" t="s">
        <v>31</v>
      </c>
      <c r="B981" t="s">
        <v>30</v>
      </c>
      <c r="C981">
        <v>11</v>
      </c>
      <c r="D981">
        <v>777</v>
      </c>
      <c r="E981">
        <v>3</v>
      </c>
      <c r="I981">
        <v>2128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2328</v>
      </c>
      <c r="E982">
        <v>1</v>
      </c>
      <c r="F982" t="s">
        <v>34</v>
      </c>
      <c r="G982">
        <v>2</v>
      </c>
      <c r="H982" t="s">
        <v>17</v>
      </c>
      <c r="I982">
        <v>0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1600</v>
      </c>
    </row>
    <row r="983" spans="1:12">
      <c r="A983" t="s">
        <v>31</v>
      </c>
      <c r="B983" t="s">
        <v>30</v>
      </c>
      <c r="C983">
        <v>11</v>
      </c>
      <c r="D983">
        <v>1762</v>
      </c>
      <c r="E983">
        <v>2</v>
      </c>
      <c r="I983">
        <v>1976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0</v>
      </c>
    </row>
    <row r="984" spans="1:12">
      <c r="A984" t="s">
        <v>31</v>
      </c>
      <c r="B984" t="s">
        <v>30</v>
      </c>
      <c r="C984">
        <v>11</v>
      </c>
      <c r="D984">
        <v>1553</v>
      </c>
      <c r="E984">
        <v>1</v>
      </c>
      <c r="I984">
        <v>2937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1066</v>
      </c>
      <c r="E985">
        <v>1</v>
      </c>
      <c r="F985" t="s">
        <v>34</v>
      </c>
      <c r="G985">
        <v>2</v>
      </c>
      <c r="H985" t="s">
        <v>17</v>
      </c>
      <c r="I985">
        <v>0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1600</v>
      </c>
    </row>
    <row r="986" spans="1:12">
      <c r="A986" t="s">
        <v>31</v>
      </c>
      <c r="B986" t="s">
        <v>30</v>
      </c>
      <c r="C986">
        <v>11</v>
      </c>
      <c r="D986">
        <v>1654</v>
      </c>
      <c r="E986">
        <v>0</v>
      </c>
      <c r="I986">
        <v>2937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0</v>
      </c>
    </row>
    <row r="987" spans="1:12">
      <c r="A987" t="s">
        <v>60</v>
      </c>
      <c r="B987" t="s">
        <v>30</v>
      </c>
      <c r="C987">
        <v>11</v>
      </c>
      <c r="D987">
        <v>2758</v>
      </c>
      <c r="E987">
        <v>0</v>
      </c>
      <c r="F987" t="s">
        <v>34</v>
      </c>
      <c r="G987">
        <v>2</v>
      </c>
      <c r="H987" t="s">
        <v>17</v>
      </c>
      <c r="I987">
        <v>0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1600</v>
      </c>
    </row>
    <row r="988" spans="1:12">
      <c r="A988" t="s">
        <v>36</v>
      </c>
      <c r="B988" t="s">
        <v>9</v>
      </c>
      <c r="C988">
        <v>9</v>
      </c>
      <c r="D988">
        <v>3008</v>
      </c>
      <c r="E988">
        <v>1</v>
      </c>
      <c r="F988" t="s">
        <v>252</v>
      </c>
      <c r="G988">
        <v>5</v>
      </c>
      <c r="H988" t="s">
        <v>270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0</v>
      </c>
    </row>
    <row r="989" spans="1:12">
      <c r="A989" t="s">
        <v>172</v>
      </c>
      <c r="B989" t="s">
        <v>9</v>
      </c>
      <c r="C989">
        <v>7</v>
      </c>
      <c r="D989">
        <v>2997</v>
      </c>
      <c r="E989">
        <v>0</v>
      </c>
      <c r="F989" t="s">
        <v>34</v>
      </c>
      <c r="G989">
        <v>4</v>
      </c>
      <c r="H989" t="s">
        <v>17</v>
      </c>
      <c r="I989">
        <v>0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3200</v>
      </c>
    </row>
    <row r="990" spans="1:12">
      <c r="A990" t="s">
        <v>172</v>
      </c>
      <c r="B990" t="s">
        <v>9</v>
      </c>
      <c r="C990">
        <v>7</v>
      </c>
      <c r="D990">
        <v>3403</v>
      </c>
      <c r="E990">
        <v>3</v>
      </c>
      <c r="F990" t="s">
        <v>258</v>
      </c>
      <c r="G990">
        <v>1</v>
      </c>
      <c r="H990" t="s">
        <v>27</v>
      </c>
      <c r="I990">
        <v>3307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0</v>
      </c>
    </row>
    <row r="991" spans="1:12">
      <c r="A991" t="s">
        <v>172</v>
      </c>
      <c r="B991" t="s">
        <v>9</v>
      </c>
      <c r="C991">
        <v>7</v>
      </c>
      <c r="D991">
        <v>3941</v>
      </c>
      <c r="E991">
        <v>1</v>
      </c>
      <c r="F991" t="s">
        <v>34</v>
      </c>
      <c r="G991">
        <v>3</v>
      </c>
      <c r="H991" t="s">
        <v>17</v>
      </c>
      <c r="I991">
        <v>0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2400</v>
      </c>
    </row>
    <row r="992" spans="1:12">
      <c r="A992" t="s">
        <v>172</v>
      </c>
      <c r="B992" t="s">
        <v>9</v>
      </c>
      <c r="C992">
        <v>7</v>
      </c>
      <c r="D992">
        <v>2787</v>
      </c>
      <c r="E992">
        <v>1</v>
      </c>
      <c r="F992" t="s">
        <v>258</v>
      </c>
      <c r="G992">
        <v>1</v>
      </c>
      <c r="H992" t="s">
        <v>27</v>
      </c>
      <c r="I992">
        <v>5512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0</v>
      </c>
    </row>
    <row r="993" spans="1:12">
      <c r="A993" t="s">
        <v>172</v>
      </c>
      <c r="B993" t="s">
        <v>9</v>
      </c>
      <c r="C993">
        <v>7</v>
      </c>
      <c r="D993">
        <v>3709</v>
      </c>
      <c r="E993">
        <v>1</v>
      </c>
      <c r="F993" t="s">
        <v>34</v>
      </c>
      <c r="G993">
        <v>3</v>
      </c>
      <c r="H993" t="s">
        <v>17</v>
      </c>
      <c r="I993">
        <v>0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2400</v>
      </c>
    </row>
    <row r="994" spans="1:12">
      <c r="A994" t="s">
        <v>172</v>
      </c>
      <c r="B994" t="s">
        <v>9</v>
      </c>
      <c r="C994">
        <v>7</v>
      </c>
      <c r="D994">
        <v>3276</v>
      </c>
      <c r="E994">
        <v>4</v>
      </c>
      <c r="F994" t="s">
        <v>258</v>
      </c>
      <c r="G994">
        <v>1</v>
      </c>
      <c r="H994" t="s">
        <v>27</v>
      </c>
      <c r="I994">
        <v>2411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0</v>
      </c>
    </row>
    <row r="995" spans="1:12">
      <c r="A995" t="s">
        <v>172</v>
      </c>
      <c r="B995" t="s">
        <v>9</v>
      </c>
      <c r="C995">
        <v>7</v>
      </c>
      <c r="D995">
        <v>2942</v>
      </c>
      <c r="E995">
        <v>1</v>
      </c>
      <c r="F995" t="s">
        <v>34</v>
      </c>
      <c r="G995">
        <v>4</v>
      </c>
      <c r="H995" t="s">
        <v>17</v>
      </c>
      <c r="I995">
        <v>0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3200</v>
      </c>
    </row>
    <row r="996" spans="1:12">
      <c r="A996" t="s">
        <v>172</v>
      </c>
      <c r="B996" t="s">
        <v>9</v>
      </c>
      <c r="C996">
        <v>7</v>
      </c>
      <c r="D996">
        <v>3049</v>
      </c>
      <c r="E996">
        <v>1</v>
      </c>
      <c r="F996" t="s">
        <v>258</v>
      </c>
      <c r="G996">
        <v>1</v>
      </c>
      <c r="H996" t="s">
        <v>27</v>
      </c>
      <c r="I996">
        <v>3927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0</v>
      </c>
    </row>
    <row r="997" spans="1:12">
      <c r="A997" t="s">
        <v>172</v>
      </c>
      <c r="B997" t="s">
        <v>9</v>
      </c>
      <c r="C997">
        <v>7</v>
      </c>
      <c r="D997">
        <v>2793</v>
      </c>
      <c r="E997">
        <v>0</v>
      </c>
      <c r="F997" t="s">
        <v>291</v>
      </c>
      <c r="G997">
        <v>1</v>
      </c>
      <c r="H997" t="s">
        <v>26</v>
      </c>
      <c r="I997">
        <v>1971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172</v>
      </c>
      <c r="B998" t="s">
        <v>9</v>
      </c>
      <c r="C998">
        <v>7</v>
      </c>
      <c r="D998">
        <v>3111</v>
      </c>
      <c r="E998">
        <v>1</v>
      </c>
      <c r="F998" t="s">
        <v>291</v>
      </c>
      <c r="G998">
        <v>1</v>
      </c>
      <c r="H998" t="s">
        <v>27</v>
      </c>
      <c r="I998">
        <v>3720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172</v>
      </c>
      <c r="B999" t="s">
        <v>9</v>
      </c>
      <c r="C999">
        <v>7</v>
      </c>
      <c r="D999">
        <v>2990</v>
      </c>
      <c r="E999">
        <v>0</v>
      </c>
      <c r="F999" t="s">
        <v>258</v>
      </c>
      <c r="G999">
        <v>1</v>
      </c>
      <c r="H999" t="s">
        <v>27</v>
      </c>
      <c r="I999">
        <v>4134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172</v>
      </c>
      <c r="B1000" t="s">
        <v>9</v>
      </c>
      <c r="C1000">
        <v>7</v>
      </c>
      <c r="D1000">
        <v>3378</v>
      </c>
      <c r="E1000">
        <v>1</v>
      </c>
      <c r="F1000" t="s">
        <v>258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172</v>
      </c>
      <c r="B1001" t="s">
        <v>9</v>
      </c>
      <c r="C1001">
        <v>7</v>
      </c>
      <c r="D1001">
        <v>2940</v>
      </c>
      <c r="E1001">
        <v>3</v>
      </c>
      <c r="F1001" t="s">
        <v>291</v>
      </c>
      <c r="G1001">
        <v>1</v>
      </c>
      <c r="H1001" t="s">
        <v>27</v>
      </c>
      <c r="I1001">
        <v>4042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172</v>
      </c>
      <c r="B1002" t="s">
        <v>9</v>
      </c>
      <c r="C1002">
        <v>7</v>
      </c>
      <c r="D1002">
        <v>3698</v>
      </c>
      <c r="E1002">
        <v>3</v>
      </c>
      <c r="F1002" t="s">
        <v>258</v>
      </c>
      <c r="G1002">
        <v>1</v>
      </c>
      <c r="H1002" t="s">
        <v>28</v>
      </c>
      <c r="I1002">
        <v>8500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172</v>
      </c>
      <c r="B1003" t="s">
        <v>9</v>
      </c>
      <c r="C1003">
        <v>7</v>
      </c>
      <c r="D1003">
        <v>3224</v>
      </c>
      <c r="E1003">
        <v>0</v>
      </c>
      <c r="F1003" t="s">
        <v>34</v>
      </c>
      <c r="G1003">
        <v>3</v>
      </c>
      <c r="H1003" t="s">
        <v>17</v>
      </c>
      <c r="I1003">
        <v>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2400</v>
      </c>
    </row>
    <row r="1004" spans="1:12">
      <c r="A1004" t="s">
        <v>172</v>
      </c>
      <c r="B1004" t="s">
        <v>9</v>
      </c>
      <c r="C1004">
        <v>7</v>
      </c>
      <c r="D1004">
        <v>2991</v>
      </c>
      <c r="E1004">
        <v>3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172</v>
      </c>
      <c r="B1005" t="s">
        <v>9</v>
      </c>
      <c r="C1005">
        <v>7</v>
      </c>
      <c r="D1005">
        <v>3535</v>
      </c>
      <c r="E1005">
        <v>2</v>
      </c>
      <c r="F1005" t="s">
        <v>258</v>
      </c>
      <c r="G1005">
        <v>1</v>
      </c>
      <c r="H1005" t="s">
        <v>28</v>
      </c>
      <c r="I1005">
        <v>5057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0</v>
      </c>
    </row>
    <row r="1006" spans="1:12">
      <c r="A1006" t="s">
        <v>172</v>
      </c>
      <c r="B1006" t="s">
        <v>9</v>
      </c>
      <c r="C1006">
        <v>7</v>
      </c>
      <c r="D1006">
        <v>3010</v>
      </c>
      <c r="E1006">
        <v>1</v>
      </c>
      <c r="F1006" t="s">
        <v>258</v>
      </c>
      <c r="G1006">
        <v>1</v>
      </c>
      <c r="H1006" t="s">
        <v>28</v>
      </c>
      <c r="I1006">
        <v>6800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172</v>
      </c>
      <c r="B1007" t="s">
        <v>9</v>
      </c>
      <c r="C1007">
        <v>7</v>
      </c>
      <c r="D1007">
        <v>3005</v>
      </c>
      <c r="E1007">
        <v>2</v>
      </c>
      <c r="F1007" t="s">
        <v>258</v>
      </c>
      <c r="G1007">
        <v>1</v>
      </c>
      <c r="H1007" t="s">
        <v>27</v>
      </c>
      <c r="I1007">
        <v>7028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172</v>
      </c>
      <c r="B1008" t="s">
        <v>9</v>
      </c>
      <c r="C1008">
        <v>7</v>
      </c>
      <c r="D1008">
        <v>2684</v>
      </c>
      <c r="E1008">
        <v>1</v>
      </c>
      <c r="F1008" t="s">
        <v>34</v>
      </c>
      <c r="G1008">
        <v>4</v>
      </c>
      <c r="H1008" t="s">
        <v>17</v>
      </c>
      <c r="I1008">
        <v>0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3200</v>
      </c>
    </row>
    <row r="1009" spans="1:12">
      <c r="A1009" t="s">
        <v>172</v>
      </c>
      <c r="B1009" t="s">
        <v>9</v>
      </c>
      <c r="C1009">
        <v>7</v>
      </c>
      <c r="D1009">
        <v>3225</v>
      </c>
      <c r="E1009">
        <v>0</v>
      </c>
      <c r="F1009" t="s">
        <v>291</v>
      </c>
      <c r="G1009">
        <v>1</v>
      </c>
      <c r="H1009" t="s">
        <v>27</v>
      </c>
      <c r="I1009">
        <v>4295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0</v>
      </c>
    </row>
    <row r="1010" spans="1:12">
      <c r="A1010" t="s">
        <v>172</v>
      </c>
      <c r="B1010" t="s">
        <v>9</v>
      </c>
      <c r="C1010">
        <v>7</v>
      </c>
      <c r="D1010">
        <v>3020</v>
      </c>
      <c r="E1010">
        <v>1</v>
      </c>
      <c r="F1010" t="s">
        <v>258</v>
      </c>
      <c r="G1010">
        <v>1</v>
      </c>
      <c r="H1010" t="s">
        <v>27</v>
      </c>
      <c r="I1010">
        <v>4134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172</v>
      </c>
      <c r="B1011" t="s">
        <v>9</v>
      </c>
      <c r="C1011">
        <v>7</v>
      </c>
      <c r="D1011">
        <v>2530</v>
      </c>
      <c r="E1011">
        <v>1</v>
      </c>
      <c r="F1011" t="s">
        <v>258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172</v>
      </c>
      <c r="B1012" t="s">
        <v>9</v>
      </c>
      <c r="C1012">
        <v>7</v>
      </c>
      <c r="D1012">
        <v>3259</v>
      </c>
      <c r="E1012">
        <v>1</v>
      </c>
      <c r="F1012" t="s">
        <v>291</v>
      </c>
      <c r="G1012">
        <v>1</v>
      </c>
      <c r="H1012" t="s">
        <v>27</v>
      </c>
      <c r="I1012">
        <v>3675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172</v>
      </c>
      <c r="B1013" t="s">
        <v>9</v>
      </c>
      <c r="C1013">
        <v>7</v>
      </c>
      <c r="D1013">
        <v>2913</v>
      </c>
      <c r="E1013">
        <v>1</v>
      </c>
      <c r="F1013" t="s">
        <v>291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172</v>
      </c>
      <c r="B1014" t="s">
        <v>9</v>
      </c>
      <c r="C1014">
        <v>7</v>
      </c>
      <c r="D1014">
        <v>2901</v>
      </c>
      <c r="E1014">
        <v>0</v>
      </c>
      <c r="F1014" t="s">
        <v>291</v>
      </c>
      <c r="G1014">
        <v>1</v>
      </c>
      <c r="H1014" t="s">
        <v>26</v>
      </c>
      <c r="I1014">
        <v>2319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172</v>
      </c>
      <c r="B1015" t="s">
        <v>9</v>
      </c>
      <c r="C1015">
        <v>7</v>
      </c>
      <c r="D1015">
        <v>3437</v>
      </c>
      <c r="E1015">
        <v>2</v>
      </c>
      <c r="F1015" t="s">
        <v>258</v>
      </c>
      <c r="G1015">
        <v>1</v>
      </c>
      <c r="H1015" t="s">
        <v>27</v>
      </c>
      <c r="I1015">
        <v>2411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172</v>
      </c>
      <c r="B1016" t="s">
        <v>9</v>
      </c>
      <c r="C1016">
        <v>7</v>
      </c>
      <c r="D1016">
        <v>2966</v>
      </c>
      <c r="E1016">
        <v>2</v>
      </c>
      <c r="F1016" t="s">
        <v>205</v>
      </c>
      <c r="G1016">
        <v>2</v>
      </c>
      <c r="H1016" t="s">
        <v>26</v>
      </c>
      <c r="I1016">
        <v>0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6" s="43">
        <f>IFERROR(SUMIFS(Tabela10[Fod Worth],Tabela10[Drop],DropAnalityka[[#This Row],[Drop]],Tabela10[Grade],DropAnalityka[[#This Row],[Grade]])*DropAnalityka[[#This Row],[Quality/Quantity]],0)</f>
        <v>1725</v>
      </c>
      <c r="L1016" s="43">
        <f>IFERROR(SUMIFS(Tabela10[Exp Gain only 2*+],Tabela10[Drop],DropAnalityka[[#This Row],[Drop]],Tabela10[Grade],DropAnalityka[[#This Row],[Grade]])*DropAnalityka[[#This Row],[Quality/Quantity]],0)</f>
        <v>1791.1</v>
      </c>
    </row>
    <row r="1017" spans="1:12">
      <c r="A1017" t="s">
        <v>172</v>
      </c>
      <c r="B1017" t="s">
        <v>9</v>
      </c>
      <c r="C1017">
        <v>7</v>
      </c>
      <c r="D1017">
        <v>3352</v>
      </c>
      <c r="E1017">
        <v>1</v>
      </c>
      <c r="F1017" t="s">
        <v>291</v>
      </c>
      <c r="G1017">
        <v>1</v>
      </c>
      <c r="H1017" t="s">
        <v>27</v>
      </c>
      <c r="I1017">
        <v>6615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7" s="43">
        <f>IFERROR(SUMIFS(Tabela10[Fod Worth],Tabela10[Drop],DropAnalityka[[#This Row],[Drop]],Tabela10[Grade],DropAnalityka[[#This Row],[Grade]])*DropAnalityka[[#This Row],[Quality/Quantity]],0)</f>
        <v>0</v>
      </c>
      <c r="L1017" s="43">
        <f>IFERROR(SUMIFS(Tabela10[Exp Gain only 2*+],Tabela10[Drop],DropAnalityka[[#This Row],[Drop]],Tabela10[Grade],DropAnalityka[[#This Row],[Grade]])*DropAnalityka[[#This Row],[Quality/Quantity]],0)</f>
        <v>0</v>
      </c>
    </row>
    <row r="1018" spans="1:12">
      <c r="A1018" t="s">
        <v>172</v>
      </c>
      <c r="B1018" t="s">
        <v>9</v>
      </c>
      <c r="C1018">
        <v>7</v>
      </c>
      <c r="D1018">
        <v>2869</v>
      </c>
      <c r="E1018">
        <v>1</v>
      </c>
      <c r="F1018" t="s">
        <v>34</v>
      </c>
      <c r="G1018">
        <v>4</v>
      </c>
      <c r="H1018" t="s">
        <v>17</v>
      </c>
      <c r="I1018">
        <v>0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3200</v>
      </c>
    </row>
    <row r="1019" spans="1:12">
      <c r="A1019" t="s">
        <v>172</v>
      </c>
      <c r="B1019" t="s">
        <v>9</v>
      </c>
      <c r="C1019">
        <v>7</v>
      </c>
      <c r="D1019">
        <v>2535</v>
      </c>
      <c r="E1019">
        <v>1</v>
      </c>
      <c r="F1019" t="s">
        <v>258</v>
      </c>
      <c r="G1019">
        <v>1</v>
      </c>
      <c r="H1019" t="s">
        <v>27</v>
      </c>
      <c r="I1019">
        <v>3307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0</v>
      </c>
    </row>
    <row r="1020" spans="1:12">
      <c r="A1020" t="s">
        <v>172</v>
      </c>
      <c r="B1020" t="s">
        <v>9</v>
      </c>
      <c r="C1020">
        <v>7</v>
      </c>
      <c r="D1020">
        <v>3507</v>
      </c>
      <c r="E1020">
        <v>0</v>
      </c>
      <c r="F1020" t="s">
        <v>58</v>
      </c>
      <c r="G1020">
        <v>1</v>
      </c>
      <c r="H1020" t="s">
        <v>12</v>
      </c>
      <c r="I1020">
        <v>0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0" s="43">
        <f>IFERROR(SUMIFS(Tabela10[Fod Worth],Tabela10[Drop],DropAnalityka[[#This Row],[Drop]],Tabela10[Grade],DropAnalityka[[#This Row],[Grade]])*DropAnalityka[[#This Row],[Quality/Quantity]],0)</f>
        <v>11500</v>
      </c>
      <c r="L1020" s="43">
        <f>IFERROR(SUMIFS(Tabela10[Exp Gain only 2*+],Tabela10[Drop],DropAnalityka[[#This Row],[Drop]],Tabela10[Grade],DropAnalityka[[#This Row],[Grade]])*DropAnalityka[[#This Row],[Quality/Quantity]],0)</f>
        <v>35822</v>
      </c>
    </row>
    <row r="1021" spans="1:12">
      <c r="A1021" t="s">
        <v>172</v>
      </c>
      <c r="B1021" t="s">
        <v>9</v>
      </c>
      <c r="C1021">
        <v>7</v>
      </c>
      <c r="D1021">
        <v>2571</v>
      </c>
      <c r="E1021">
        <v>0</v>
      </c>
      <c r="F1021" t="s">
        <v>34</v>
      </c>
      <c r="G1021">
        <v>3</v>
      </c>
      <c r="H1021" t="s">
        <v>17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1" s="43">
        <f>IFERROR(SUMIFS(Tabela10[Fod Worth],Tabela10[Drop],DropAnalityka[[#This Row],[Drop]],Tabela10[Grade],DropAnalityka[[#This Row],[Grade]])*DropAnalityka[[#This Row],[Quality/Quantity]],0)</f>
        <v>0</v>
      </c>
      <c r="L1021" s="43">
        <f>IFERROR(SUMIFS(Tabela10[Exp Gain only 2*+],Tabela10[Drop],DropAnalityka[[#This Row],[Drop]],Tabela10[Grade],DropAnalityka[[#This Row],[Grade]])*DropAnalityka[[#This Row],[Quality/Quantity]],0)</f>
        <v>2400</v>
      </c>
    </row>
    <row r="1022" spans="1:12">
      <c r="A1022" t="s">
        <v>172</v>
      </c>
      <c r="B1022" t="s">
        <v>9</v>
      </c>
      <c r="C1022">
        <v>7</v>
      </c>
      <c r="D1022">
        <v>3364</v>
      </c>
      <c r="E1022">
        <v>1</v>
      </c>
      <c r="F1022" t="s">
        <v>258</v>
      </c>
      <c r="G1022">
        <v>1</v>
      </c>
      <c r="H1022" t="s">
        <v>27</v>
      </c>
      <c r="I1022">
        <v>2205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0</v>
      </c>
    </row>
    <row r="1023" spans="1:12">
      <c r="A1023" t="s">
        <v>172</v>
      </c>
      <c r="B1023" t="s">
        <v>9</v>
      </c>
      <c r="C1023">
        <v>7</v>
      </c>
      <c r="D1023">
        <v>3190</v>
      </c>
      <c r="E1023">
        <v>1</v>
      </c>
      <c r="F1023" t="s">
        <v>34</v>
      </c>
      <c r="G1023">
        <v>3</v>
      </c>
      <c r="H1023" t="s">
        <v>17</v>
      </c>
      <c r="I1023">
        <v>0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2400</v>
      </c>
    </row>
    <row r="1024" spans="1:12">
      <c r="A1024" t="s">
        <v>172</v>
      </c>
      <c r="B1024" t="s">
        <v>9</v>
      </c>
      <c r="C1024">
        <v>7</v>
      </c>
      <c r="D1024">
        <v>3129</v>
      </c>
      <c r="E1024">
        <v>0</v>
      </c>
      <c r="F1024" t="s">
        <v>34</v>
      </c>
      <c r="G1024">
        <v>4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3200</v>
      </c>
    </row>
    <row r="1025" spans="1:13">
      <c r="A1025" t="s">
        <v>172</v>
      </c>
      <c r="B1025" t="s">
        <v>9</v>
      </c>
      <c r="C1025">
        <v>7</v>
      </c>
      <c r="D1025">
        <v>3416</v>
      </c>
      <c r="E1025">
        <v>0</v>
      </c>
      <c r="F1025" t="s">
        <v>258</v>
      </c>
      <c r="G1025">
        <v>1</v>
      </c>
      <c r="H1025" t="s">
        <v>27</v>
      </c>
      <c r="I1025">
        <v>2894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0</v>
      </c>
    </row>
    <row r="1026" spans="1:13">
      <c r="A1026" t="s">
        <v>172</v>
      </c>
      <c r="B1026" t="s">
        <v>9</v>
      </c>
      <c r="C1026">
        <v>7</v>
      </c>
      <c r="D1026">
        <v>2949</v>
      </c>
      <c r="E1026">
        <v>2</v>
      </c>
      <c r="F1026" t="s">
        <v>258</v>
      </c>
      <c r="G1026">
        <v>1</v>
      </c>
      <c r="H1026" t="s">
        <v>28</v>
      </c>
      <c r="I1026">
        <v>5355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172</v>
      </c>
      <c r="B1027" t="s">
        <v>9</v>
      </c>
      <c r="C1027">
        <v>7</v>
      </c>
      <c r="D1027">
        <v>2714</v>
      </c>
      <c r="E1027">
        <v>2</v>
      </c>
      <c r="F1027" t="s">
        <v>34</v>
      </c>
      <c r="G1027">
        <v>3</v>
      </c>
      <c r="H1027" t="s">
        <v>17</v>
      </c>
      <c r="I1027">
        <v>0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2400</v>
      </c>
    </row>
    <row r="1028" spans="1:13">
      <c r="A1028" t="s">
        <v>172</v>
      </c>
      <c r="B1028" t="s">
        <v>9</v>
      </c>
      <c r="C1028">
        <v>7</v>
      </c>
      <c r="D1028">
        <v>2949</v>
      </c>
      <c r="E1028">
        <v>1</v>
      </c>
      <c r="F1028" t="s">
        <v>34</v>
      </c>
      <c r="G1028">
        <v>4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3200</v>
      </c>
    </row>
    <row r="1029" spans="1:13">
      <c r="A1029" t="s">
        <v>172</v>
      </c>
      <c r="B1029" t="s">
        <v>9</v>
      </c>
      <c r="C1029">
        <v>7</v>
      </c>
      <c r="D1029">
        <v>3175</v>
      </c>
      <c r="E1029">
        <v>0</v>
      </c>
      <c r="F1029" t="s">
        <v>34</v>
      </c>
      <c r="G1029">
        <v>3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2400</v>
      </c>
    </row>
    <row r="1030" spans="1:13">
      <c r="A1030" t="s">
        <v>172</v>
      </c>
      <c r="B1030" t="s">
        <v>9</v>
      </c>
      <c r="C1030">
        <v>7</v>
      </c>
      <c r="D1030">
        <v>3045</v>
      </c>
      <c r="E1030">
        <v>0</v>
      </c>
      <c r="F1030" t="s">
        <v>258</v>
      </c>
      <c r="G1030">
        <v>1</v>
      </c>
      <c r="H1030" t="s">
        <v>27</v>
      </c>
      <c r="I1030">
        <v>3514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0</v>
      </c>
    </row>
    <row r="1031" spans="1:13">
      <c r="A1031" t="s">
        <v>172</v>
      </c>
      <c r="B1031" t="s">
        <v>9</v>
      </c>
      <c r="C1031">
        <v>7</v>
      </c>
      <c r="D1031">
        <v>3609</v>
      </c>
      <c r="E1031">
        <v>1</v>
      </c>
      <c r="F1031" t="s">
        <v>34</v>
      </c>
      <c r="G1031">
        <v>3</v>
      </c>
      <c r="H1031" t="s">
        <v>17</v>
      </c>
      <c r="I1031">
        <v>0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2400</v>
      </c>
    </row>
    <row r="1032" spans="1:13">
      <c r="A1032" t="s">
        <v>172</v>
      </c>
      <c r="B1032" t="s">
        <v>9</v>
      </c>
      <c r="C1032">
        <v>7</v>
      </c>
      <c r="D1032">
        <v>2795</v>
      </c>
      <c r="E1032">
        <v>1</v>
      </c>
      <c r="F1032" t="s">
        <v>258</v>
      </c>
      <c r="G1032">
        <v>1</v>
      </c>
      <c r="H1032" t="s">
        <v>27</v>
      </c>
      <c r="I1032">
        <v>3675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0</v>
      </c>
    </row>
    <row r="1033" spans="1:13">
      <c r="A1033" t="s">
        <v>172</v>
      </c>
      <c r="B1033" t="s">
        <v>9</v>
      </c>
      <c r="C1033">
        <v>7</v>
      </c>
      <c r="D1033">
        <v>3324</v>
      </c>
      <c r="E1033">
        <v>0</v>
      </c>
      <c r="F1033" t="s">
        <v>258</v>
      </c>
      <c r="G1033">
        <v>1</v>
      </c>
      <c r="H1033" t="s">
        <v>27</v>
      </c>
      <c r="I1033">
        <v>2205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172</v>
      </c>
      <c r="B1034" t="s">
        <v>9</v>
      </c>
      <c r="C1034">
        <v>7</v>
      </c>
      <c r="D1034">
        <v>2600</v>
      </c>
      <c r="E1034">
        <v>0</v>
      </c>
      <c r="F1034" t="s">
        <v>34</v>
      </c>
      <c r="G1034">
        <v>3</v>
      </c>
      <c r="H1034" t="s">
        <v>17</v>
      </c>
      <c r="I1034">
        <v>0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2400</v>
      </c>
    </row>
    <row r="1035" spans="1:13">
      <c r="A1035" t="s">
        <v>172</v>
      </c>
      <c r="B1035" t="s">
        <v>9</v>
      </c>
      <c r="C1035">
        <v>7</v>
      </c>
      <c r="D1035">
        <v>2789</v>
      </c>
      <c r="E1035">
        <v>1</v>
      </c>
      <c r="F1035" t="s">
        <v>291</v>
      </c>
      <c r="G1035">
        <v>1</v>
      </c>
      <c r="H1035" t="s">
        <v>27</v>
      </c>
      <c r="I1035">
        <v>3675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0</v>
      </c>
    </row>
    <row r="1036" spans="1:13">
      <c r="A1036" t="s">
        <v>172</v>
      </c>
      <c r="B1036" t="s">
        <v>9</v>
      </c>
      <c r="C1036">
        <v>7</v>
      </c>
      <c r="D1036">
        <v>3263</v>
      </c>
      <c r="E1036">
        <v>1</v>
      </c>
      <c r="F1036" t="s">
        <v>291</v>
      </c>
      <c r="G1036">
        <v>1</v>
      </c>
      <c r="H1036" t="s">
        <v>28</v>
      </c>
      <c r="I1036">
        <v>13005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172</v>
      </c>
      <c r="B1037" t="s">
        <v>9</v>
      </c>
      <c r="C1037">
        <v>7</v>
      </c>
      <c r="D1037">
        <v>3037</v>
      </c>
      <c r="E1037">
        <v>2</v>
      </c>
      <c r="F1037" t="s">
        <v>34</v>
      </c>
      <c r="G1037">
        <v>3</v>
      </c>
      <c r="H1037" t="s">
        <v>17</v>
      </c>
      <c r="I1037">
        <v>0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6000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2400</v>
      </c>
    </row>
    <row r="1038" spans="1:13">
      <c r="A1038" t="s">
        <v>172</v>
      </c>
      <c r="B1038" t="s">
        <v>9</v>
      </c>
      <c r="C1038">
        <v>7</v>
      </c>
      <c r="D1038">
        <v>1028</v>
      </c>
      <c r="E1038">
        <v>2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0</v>
      </c>
      <c r="M1038" t="s">
        <v>204</v>
      </c>
    </row>
    <row r="1039" spans="1:13">
      <c r="A1039" t="s">
        <v>172</v>
      </c>
      <c r="B1039" t="s">
        <v>9</v>
      </c>
      <c r="C1039">
        <v>8</v>
      </c>
      <c r="D1039">
        <v>3555</v>
      </c>
      <c r="E1039">
        <v>0</v>
      </c>
      <c r="F1039" t="s">
        <v>34</v>
      </c>
      <c r="G1039">
        <v>5</v>
      </c>
      <c r="H1039" t="s">
        <v>17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4000</v>
      </c>
    </row>
    <row r="1040" spans="1:13">
      <c r="A1040" t="s">
        <v>172</v>
      </c>
      <c r="B1040" t="s">
        <v>9</v>
      </c>
      <c r="C1040">
        <v>8</v>
      </c>
      <c r="D1040">
        <v>3633</v>
      </c>
      <c r="E1040">
        <v>0</v>
      </c>
      <c r="F1040" t="s">
        <v>34</v>
      </c>
      <c r="G1040">
        <v>4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3200</v>
      </c>
    </row>
    <row r="1041" spans="1:12">
      <c r="A1041" t="s">
        <v>172</v>
      </c>
      <c r="B1041" t="s">
        <v>9</v>
      </c>
      <c r="C1041">
        <v>8</v>
      </c>
      <c r="D1041">
        <v>3251</v>
      </c>
      <c r="E1041">
        <v>1</v>
      </c>
      <c r="F1041" t="s">
        <v>291</v>
      </c>
      <c r="G1041">
        <v>1</v>
      </c>
      <c r="H1041" t="s">
        <v>27</v>
      </c>
      <c r="I1041">
        <v>4134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0</v>
      </c>
    </row>
    <row r="1042" spans="1:12">
      <c r="A1042" t="s">
        <v>172</v>
      </c>
      <c r="B1042" t="s">
        <v>9</v>
      </c>
      <c r="C1042">
        <v>8</v>
      </c>
      <c r="D1042">
        <v>3614</v>
      </c>
      <c r="E1042">
        <v>1</v>
      </c>
      <c r="F1042" t="s">
        <v>291</v>
      </c>
      <c r="G1042">
        <v>1</v>
      </c>
      <c r="H1042" t="s">
        <v>28</v>
      </c>
      <c r="I1042">
        <v>7947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172</v>
      </c>
      <c r="B1043" t="s">
        <v>9</v>
      </c>
      <c r="C1043">
        <v>8</v>
      </c>
      <c r="D1043">
        <v>3238</v>
      </c>
      <c r="E1043">
        <v>1</v>
      </c>
      <c r="F1043" t="s">
        <v>258</v>
      </c>
      <c r="G1043">
        <v>1</v>
      </c>
      <c r="H1043" t="s">
        <v>27</v>
      </c>
      <c r="I1043">
        <v>4134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172</v>
      </c>
      <c r="B1044" t="s">
        <v>9</v>
      </c>
      <c r="C1044">
        <v>8</v>
      </c>
      <c r="D1044">
        <v>3097</v>
      </c>
      <c r="E1044">
        <v>0</v>
      </c>
      <c r="F1044" t="s">
        <v>258</v>
      </c>
      <c r="G1044">
        <v>1</v>
      </c>
      <c r="H1044" t="s">
        <v>27</v>
      </c>
      <c r="I1044">
        <v>3054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172</v>
      </c>
      <c r="B1045" t="s">
        <v>9</v>
      </c>
      <c r="C1045">
        <v>8</v>
      </c>
      <c r="D1045">
        <v>2801</v>
      </c>
      <c r="E1045">
        <v>0</v>
      </c>
      <c r="F1045" t="s">
        <v>258</v>
      </c>
      <c r="G1045">
        <v>1</v>
      </c>
      <c r="H1045" t="s">
        <v>27</v>
      </c>
      <c r="I1045">
        <v>2618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172</v>
      </c>
      <c r="B1046" t="s">
        <v>9</v>
      </c>
      <c r="C1046">
        <v>8</v>
      </c>
      <c r="D1046">
        <v>3150</v>
      </c>
      <c r="E1046">
        <v>0</v>
      </c>
      <c r="F1046" t="s">
        <v>258</v>
      </c>
      <c r="G1046">
        <v>1</v>
      </c>
      <c r="H1046" t="s">
        <v>28</v>
      </c>
      <c r="I1046">
        <v>5440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172</v>
      </c>
      <c r="B1047" t="s">
        <v>9</v>
      </c>
      <c r="C1047">
        <v>8</v>
      </c>
      <c r="D1047">
        <v>3588</v>
      </c>
      <c r="E1047">
        <v>1</v>
      </c>
      <c r="F1047" t="s">
        <v>258</v>
      </c>
      <c r="G1047">
        <v>1</v>
      </c>
      <c r="H1047" t="s">
        <v>28</v>
      </c>
      <c r="I1047">
        <v>6800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172</v>
      </c>
      <c r="B1048" t="s">
        <v>9</v>
      </c>
      <c r="C1048">
        <v>8</v>
      </c>
      <c r="D1048">
        <v>3318</v>
      </c>
      <c r="E1048">
        <v>1</v>
      </c>
      <c r="F1048" t="s">
        <v>34</v>
      </c>
      <c r="G1048">
        <v>1</v>
      </c>
      <c r="H1048" t="s">
        <v>27</v>
      </c>
      <c r="I1048">
        <v>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172</v>
      </c>
      <c r="B1049" t="s">
        <v>9</v>
      </c>
      <c r="C1049">
        <v>8</v>
      </c>
      <c r="D1049">
        <v>3137</v>
      </c>
      <c r="E1049">
        <v>0</v>
      </c>
      <c r="F1049" t="s">
        <v>291</v>
      </c>
      <c r="G1049">
        <v>1</v>
      </c>
      <c r="H1049" t="s">
        <v>27</v>
      </c>
      <c r="I1049">
        <v>3491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172</v>
      </c>
      <c r="B1050" t="s">
        <v>9</v>
      </c>
      <c r="C1050">
        <v>8</v>
      </c>
      <c r="D1050">
        <v>3409</v>
      </c>
      <c r="E1050">
        <v>0</v>
      </c>
      <c r="F1050" t="s">
        <v>34</v>
      </c>
      <c r="G1050">
        <v>5</v>
      </c>
      <c r="H1050" t="s">
        <v>17</v>
      </c>
      <c r="I1050">
        <v>0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4000</v>
      </c>
    </row>
    <row r="1051" spans="1:12">
      <c r="A1051" t="s">
        <v>172</v>
      </c>
      <c r="B1051" t="s">
        <v>9</v>
      </c>
      <c r="C1051">
        <v>8</v>
      </c>
      <c r="D1051">
        <v>3479</v>
      </c>
      <c r="E1051">
        <v>1</v>
      </c>
      <c r="F1051" t="s">
        <v>258</v>
      </c>
      <c r="G1051">
        <v>1</v>
      </c>
      <c r="H1051" t="s">
        <v>27</v>
      </c>
      <c r="I1051">
        <v>2411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0</v>
      </c>
    </row>
    <row r="1052" spans="1:12">
      <c r="A1052" t="s">
        <v>172</v>
      </c>
      <c r="B1052" t="s">
        <v>9</v>
      </c>
      <c r="C1052">
        <v>8</v>
      </c>
      <c r="D1052">
        <v>3505</v>
      </c>
      <c r="E1052">
        <v>2</v>
      </c>
      <c r="F1052" t="s">
        <v>291</v>
      </c>
      <c r="G1052">
        <v>1</v>
      </c>
      <c r="H1052" t="s">
        <v>28</v>
      </c>
      <c r="I1052">
        <v>7650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172</v>
      </c>
      <c r="B1053" t="s">
        <v>9</v>
      </c>
      <c r="C1053">
        <v>8</v>
      </c>
      <c r="D1053">
        <v>3378</v>
      </c>
      <c r="E1053">
        <v>1</v>
      </c>
      <c r="F1053" t="s">
        <v>258</v>
      </c>
      <c r="G1053">
        <v>1</v>
      </c>
      <c r="H1053" t="s">
        <v>27</v>
      </c>
      <c r="I1053">
        <v>3675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172</v>
      </c>
      <c r="B1054" t="s">
        <v>9</v>
      </c>
      <c r="C1054">
        <v>8</v>
      </c>
      <c r="D1054">
        <v>3978</v>
      </c>
      <c r="E1054">
        <v>2</v>
      </c>
      <c r="F1054" t="s">
        <v>34</v>
      </c>
      <c r="G1054">
        <v>5</v>
      </c>
      <c r="H1054" t="s">
        <v>17</v>
      </c>
      <c r="I1054">
        <v>0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4000</v>
      </c>
    </row>
    <row r="1055" spans="1:12">
      <c r="A1055" t="s">
        <v>172</v>
      </c>
      <c r="B1055" t="s">
        <v>9</v>
      </c>
      <c r="C1055">
        <v>8</v>
      </c>
      <c r="D1055">
        <v>4035</v>
      </c>
      <c r="E1055">
        <v>0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172</v>
      </c>
      <c r="B1056" t="s">
        <v>9</v>
      </c>
      <c r="C1056">
        <v>8</v>
      </c>
      <c r="D1056">
        <v>3616</v>
      </c>
      <c r="E1056">
        <v>1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172</v>
      </c>
      <c r="B1057" t="s">
        <v>9</v>
      </c>
      <c r="C1057">
        <v>8</v>
      </c>
      <c r="D1057">
        <v>3217</v>
      </c>
      <c r="E1057">
        <v>0</v>
      </c>
      <c r="F1057" t="s">
        <v>258</v>
      </c>
      <c r="G1057">
        <v>1</v>
      </c>
      <c r="H1057" t="s">
        <v>28</v>
      </c>
      <c r="I1057">
        <v>5440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0</v>
      </c>
    </row>
    <row r="1058" spans="1:12">
      <c r="A1058" t="s">
        <v>172</v>
      </c>
      <c r="B1058" t="s">
        <v>9</v>
      </c>
      <c r="C1058">
        <v>8</v>
      </c>
      <c r="D1058">
        <v>3453</v>
      </c>
      <c r="E1058">
        <v>0</v>
      </c>
      <c r="F1058" t="s">
        <v>258</v>
      </c>
      <c r="G1058">
        <v>1</v>
      </c>
      <c r="H1058" t="s">
        <v>28</v>
      </c>
      <c r="I1058">
        <v>4080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172</v>
      </c>
      <c r="B1059" t="s">
        <v>9</v>
      </c>
      <c r="C1059">
        <v>8</v>
      </c>
      <c r="D1059">
        <v>3773</v>
      </c>
      <c r="E1059">
        <v>1</v>
      </c>
      <c r="F1059" t="s">
        <v>291</v>
      </c>
      <c r="G1059">
        <v>1</v>
      </c>
      <c r="H1059" t="s">
        <v>27</v>
      </c>
      <c r="I1059">
        <v>4547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172</v>
      </c>
      <c r="B1060" t="s">
        <v>9</v>
      </c>
      <c r="C1060">
        <v>8</v>
      </c>
      <c r="D1060">
        <v>3152</v>
      </c>
      <c r="E1060">
        <v>2</v>
      </c>
      <c r="F1060" t="s">
        <v>258</v>
      </c>
      <c r="G1060">
        <v>1</v>
      </c>
      <c r="H1060" t="s">
        <v>27</v>
      </c>
      <c r="I1060">
        <v>3100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172</v>
      </c>
      <c r="B1061" t="s">
        <v>9</v>
      </c>
      <c r="C1061">
        <v>8</v>
      </c>
      <c r="D1061">
        <v>3199</v>
      </c>
      <c r="E1061">
        <v>2</v>
      </c>
      <c r="F1061" t="s">
        <v>34</v>
      </c>
      <c r="G1061">
        <v>4</v>
      </c>
      <c r="H1061" t="s">
        <v>17</v>
      </c>
      <c r="I1061">
        <v>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3200</v>
      </c>
    </row>
    <row r="1062" spans="1:12">
      <c r="A1062" t="s">
        <v>172</v>
      </c>
      <c r="B1062" t="s">
        <v>9</v>
      </c>
      <c r="C1062">
        <v>8</v>
      </c>
      <c r="D1062">
        <v>3391</v>
      </c>
      <c r="E1062">
        <v>1</v>
      </c>
      <c r="F1062" t="s">
        <v>318</v>
      </c>
      <c r="G1062">
        <v>1</v>
      </c>
      <c r="H1062" t="s">
        <v>27</v>
      </c>
      <c r="I1062">
        <v>5512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0</v>
      </c>
    </row>
    <row r="1063" spans="1:12">
      <c r="A1063" t="s">
        <v>172</v>
      </c>
      <c r="B1063" t="s">
        <v>9</v>
      </c>
      <c r="C1063">
        <v>8</v>
      </c>
      <c r="D1063">
        <v>3826</v>
      </c>
      <c r="E1063">
        <v>0</v>
      </c>
      <c r="F1063" t="s">
        <v>258</v>
      </c>
      <c r="G1063">
        <v>1</v>
      </c>
      <c r="H1063" t="s">
        <v>28</v>
      </c>
      <c r="I1063">
        <v>6885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286</v>
      </c>
      <c r="B1064" t="s">
        <v>32</v>
      </c>
      <c r="C1064">
        <v>5</v>
      </c>
      <c r="D1064">
        <v>2208</v>
      </c>
      <c r="E1064">
        <v>2</v>
      </c>
      <c r="I1064">
        <v>1236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286</v>
      </c>
      <c r="B1065" t="s">
        <v>32</v>
      </c>
      <c r="C1065">
        <v>5</v>
      </c>
      <c r="D1065">
        <v>2585</v>
      </c>
      <c r="E1065">
        <v>2</v>
      </c>
      <c r="I1065">
        <v>2205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286</v>
      </c>
      <c r="B1066" t="s">
        <v>32</v>
      </c>
      <c r="C1066">
        <v>5</v>
      </c>
      <c r="D1066">
        <v>2501</v>
      </c>
      <c r="E1066">
        <v>0</v>
      </c>
      <c r="I1066">
        <v>1236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286</v>
      </c>
      <c r="B1067" t="s">
        <v>32</v>
      </c>
      <c r="C1067">
        <v>5</v>
      </c>
      <c r="D1067">
        <v>1564</v>
      </c>
      <c r="E1067">
        <v>1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286</v>
      </c>
      <c r="B1068" t="s">
        <v>32</v>
      </c>
      <c r="C1068">
        <v>5</v>
      </c>
      <c r="D1068">
        <v>1352</v>
      </c>
      <c r="E1068">
        <v>0</v>
      </c>
      <c r="I1068">
        <v>2205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286</v>
      </c>
      <c r="B1069" t="s">
        <v>32</v>
      </c>
      <c r="C1069">
        <v>5</v>
      </c>
      <c r="D1069">
        <v>828</v>
      </c>
      <c r="E1069">
        <v>0</v>
      </c>
      <c r="I1069">
        <v>1236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286</v>
      </c>
      <c r="B1070" t="s">
        <v>32</v>
      </c>
      <c r="C1070">
        <v>5</v>
      </c>
      <c r="D1070">
        <v>1020</v>
      </c>
      <c r="E1070">
        <v>1</v>
      </c>
      <c r="F1070" t="s">
        <v>264</v>
      </c>
      <c r="G1070">
        <v>2</v>
      </c>
      <c r="I1070">
        <v>0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286</v>
      </c>
      <c r="B1071" t="s">
        <v>32</v>
      </c>
      <c r="C1071">
        <v>5</v>
      </c>
      <c r="D1071">
        <v>1937</v>
      </c>
      <c r="E1071">
        <v>1</v>
      </c>
      <c r="F1071" t="s">
        <v>264</v>
      </c>
      <c r="G1071">
        <v>3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286</v>
      </c>
      <c r="B1072" t="s">
        <v>32</v>
      </c>
      <c r="C1072">
        <v>5</v>
      </c>
      <c r="D1072">
        <v>2126</v>
      </c>
      <c r="E1072">
        <v>1</v>
      </c>
      <c r="I1072">
        <v>1443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286</v>
      </c>
      <c r="B1073" t="s">
        <v>32</v>
      </c>
      <c r="C1073">
        <v>5</v>
      </c>
      <c r="D1073">
        <v>1860</v>
      </c>
      <c r="E1073">
        <v>1</v>
      </c>
      <c r="I1073">
        <v>1236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286</v>
      </c>
      <c r="B1074" t="s">
        <v>32</v>
      </c>
      <c r="C1074">
        <v>5</v>
      </c>
      <c r="D1074">
        <v>1824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286</v>
      </c>
      <c r="B1075" t="s">
        <v>32</v>
      </c>
      <c r="C1075">
        <v>5</v>
      </c>
      <c r="D1075">
        <v>1625</v>
      </c>
      <c r="E1075">
        <v>2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31</v>
      </c>
      <c r="B1076" t="s">
        <v>30</v>
      </c>
      <c r="C1076">
        <v>11</v>
      </c>
      <c r="D1076">
        <v>1233</v>
      </c>
      <c r="E1076">
        <v>2</v>
      </c>
      <c r="I1076">
        <v>1824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910</v>
      </c>
      <c r="E1077">
        <v>1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2073</v>
      </c>
      <c r="E1078">
        <v>0</v>
      </c>
      <c r="I1078">
        <v>1976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1466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1067</v>
      </c>
      <c r="E1080">
        <v>3</v>
      </c>
      <c r="F1080" t="s">
        <v>57</v>
      </c>
      <c r="G1080">
        <v>1</v>
      </c>
      <c r="H1080" t="s">
        <v>12</v>
      </c>
      <c r="I1080">
        <v>0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0" s="43">
        <f>IFERROR(SUMIFS(Tabela10[Fod Worth],Tabela10[Drop],DropAnalityka[[#This Row],[Drop]],Tabela10[Grade],DropAnalityka[[#This Row],[Grade]])*DropAnalityka[[#This Row],[Quality/Quantity]],0)</f>
        <v>11500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1973</v>
      </c>
      <c r="E1081">
        <v>1</v>
      </c>
      <c r="I1081">
        <v>2937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1" s="43">
        <f>IFERROR(SUMIFS(Tabela10[Fod Worth],Tabela10[Drop],DropAnalityka[[#This Row],[Drop]],Tabela10[Grade],DropAnalityka[[#This Row],[Grade]])*DropAnalityka[[#This Row],[Quality/Quantity]],0)</f>
        <v>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319</v>
      </c>
      <c r="B1082" t="s">
        <v>30</v>
      </c>
      <c r="C1082">
        <v>1</v>
      </c>
      <c r="D1082">
        <v>1544</v>
      </c>
      <c r="E1082">
        <v>0</v>
      </c>
      <c r="I1082">
        <v>1824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319</v>
      </c>
      <c r="B1083" t="s">
        <v>30</v>
      </c>
      <c r="C1083">
        <v>1</v>
      </c>
      <c r="D1083">
        <v>1180</v>
      </c>
      <c r="E1083">
        <v>0</v>
      </c>
      <c r="I1083">
        <v>1976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319</v>
      </c>
      <c r="B1084" t="s">
        <v>30</v>
      </c>
      <c r="C1084">
        <v>1</v>
      </c>
      <c r="D1084">
        <v>1734</v>
      </c>
      <c r="E1084">
        <v>4</v>
      </c>
      <c r="I1084">
        <v>1824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319</v>
      </c>
      <c r="B1085" t="s">
        <v>30</v>
      </c>
      <c r="C1085">
        <v>1</v>
      </c>
      <c r="D1085">
        <v>1594</v>
      </c>
      <c r="E1085">
        <v>0</v>
      </c>
      <c r="I1085">
        <v>2128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319</v>
      </c>
      <c r="B1086" t="s">
        <v>30</v>
      </c>
      <c r="C1086">
        <v>1</v>
      </c>
      <c r="D1086">
        <v>1672</v>
      </c>
      <c r="E1086">
        <v>0</v>
      </c>
      <c r="I1086">
        <v>1824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319</v>
      </c>
      <c r="B1087" t="s">
        <v>30</v>
      </c>
      <c r="C1087">
        <v>1</v>
      </c>
      <c r="D1087">
        <v>1879</v>
      </c>
      <c r="E1087">
        <v>1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319</v>
      </c>
      <c r="B1088" t="s">
        <v>30</v>
      </c>
      <c r="C1088">
        <v>1</v>
      </c>
      <c r="D1088">
        <v>1455</v>
      </c>
      <c r="E1088">
        <v>1</v>
      </c>
      <c r="I1088">
        <v>2280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319</v>
      </c>
      <c r="B1089" t="s">
        <v>30</v>
      </c>
      <c r="C1089">
        <v>1</v>
      </c>
      <c r="D1089">
        <v>1898</v>
      </c>
      <c r="E1089">
        <v>1</v>
      </c>
      <c r="I1089">
        <v>1824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286</v>
      </c>
      <c r="B1090" t="s">
        <v>32</v>
      </c>
      <c r="C1090">
        <v>5</v>
      </c>
      <c r="D1090">
        <v>1959</v>
      </c>
      <c r="E1090">
        <v>1</v>
      </c>
      <c r="I1090">
        <v>2205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286</v>
      </c>
      <c r="B1091" t="s">
        <v>32</v>
      </c>
      <c r="C1091">
        <v>5</v>
      </c>
      <c r="D1091">
        <v>1626</v>
      </c>
      <c r="E1091">
        <v>0</v>
      </c>
      <c r="I1091">
        <v>1236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286</v>
      </c>
      <c r="B1092" t="s">
        <v>32</v>
      </c>
      <c r="C1092">
        <v>5</v>
      </c>
      <c r="D1092">
        <v>2155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286</v>
      </c>
      <c r="B1093" t="s">
        <v>32</v>
      </c>
      <c r="C1093">
        <v>5</v>
      </c>
      <c r="D1093">
        <v>1844</v>
      </c>
      <c r="E1093">
        <v>1</v>
      </c>
      <c r="I1093">
        <v>2205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286</v>
      </c>
      <c r="B1094" t="s">
        <v>32</v>
      </c>
      <c r="C1094">
        <v>5</v>
      </c>
      <c r="D1094">
        <v>645</v>
      </c>
      <c r="E1094">
        <v>2</v>
      </c>
      <c r="F1094" t="s">
        <v>34</v>
      </c>
      <c r="G1094">
        <v>3</v>
      </c>
      <c r="I1094">
        <v>0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286</v>
      </c>
      <c r="B1095" t="s">
        <v>32</v>
      </c>
      <c r="C1095">
        <v>5</v>
      </c>
      <c r="D1095">
        <v>623</v>
      </c>
      <c r="E1095">
        <v>1</v>
      </c>
      <c r="I1095">
        <v>2205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286</v>
      </c>
      <c r="B1096" t="s">
        <v>32</v>
      </c>
      <c r="C1096">
        <v>5</v>
      </c>
      <c r="D1096">
        <v>1484</v>
      </c>
      <c r="E1096">
        <v>2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286</v>
      </c>
      <c r="B1097" t="s">
        <v>32</v>
      </c>
      <c r="C1097">
        <v>5</v>
      </c>
      <c r="D1097">
        <v>1281</v>
      </c>
      <c r="E1097">
        <v>0</v>
      </c>
      <c r="I1097">
        <v>2572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286</v>
      </c>
      <c r="B1098" t="s">
        <v>32</v>
      </c>
      <c r="C1098">
        <v>5</v>
      </c>
      <c r="D1098">
        <v>839</v>
      </c>
      <c r="E1098">
        <v>1</v>
      </c>
      <c r="I1098">
        <v>2940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286</v>
      </c>
      <c r="B1099" t="s">
        <v>32</v>
      </c>
      <c r="C1099">
        <v>5</v>
      </c>
      <c r="D1099">
        <v>1785</v>
      </c>
      <c r="E1099">
        <v>2</v>
      </c>
      <c r="I1099">
        <v>1824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286</v>
      </c>
      <c r="B1100" t="s">
        <v>32</v>
      </c>
      <c r="C1100">
        <v>5</v>
      </c>
      <c r="D1100">
        <v>1214</v>
      </c>
      <c r="E1100">
        <v>0</v>
      </c>
      <c r="I1100">
        <v>1236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286</v>
      </c>
      <c r="B1101" t="s">
        <v>32</v>
      </c>
      <c r="C1101">
        <v>5</v>
      </c>
      <c r="D1101">
        <v>1200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286</v>
      </c>
      <c r="B1102" t="s">
        <v>32</v>
      </c>
      <c r="C1102">
        <v>5</v>
      </c>
      <c r="D1102">
        <v>1357</v>
      </c>
      <c r="E1102">
        <v>2</v>
      </c>
      <c r="F1102" t="s">
        <v>57</v>
      </c>
      <c r="G1102">
        <v>1</v>
      </c>
      <c r="H1102" t="s">
        <v>17</v>
      </c>
      <c r="I1102">
        <v>0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286</v>
      </c>
      <c r="B1103" t="s">
        <v>32</v>
      </c>
      <c r="C1103">
        <v>5</v>
      </c>
      <c r="D1103">
        <v>2917</v>
      </c>
      <c r="E1103">
        <v>0</v>
      </c>
      <c r="I1103">
        <v>1236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60</v>
      </c>
      <c r="B1104" t="s">
        <v>30</v>
      </c>
      <c r="C1104">
        <v>11</v>
      </c>
      <c r="D1104">
        <v>1467</v>
      </c>
      <c r="E1104">
        <v>0</v>
      </c>
      <c r="F1104" t="s">
        <v>34</v>
      </c>
      <c r="G1104">
        <v>2</v>
      </c>
      <c r="H1104" t="s">
        <v>17</v>
      </c>
      <c r="I1104">
        <v>0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1600</v>
      </c>
    </row>
    <row r="1105" spans="1:12">
      <c r="A1105" t="s">
        <v>60</v>
      </c>
      <c r="B1105" t="s">
        <v>30</v>
      </c>
      <c r="C1105">
        <v>11</v>
      </c>
      <c r="D1105">
        <v>1868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4000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60</v>
      </c>
      <c r="B1106" t="s">
        <v>30</v>
      </c>
      <c r="C1106">
        <v>11</v>
      </c>
      <c r="D1106">
        <v>1204</v>
      </c>
      <c r="E1106">
        <v>1</v>
      </c>
      <c r="I1106">
        <v>1824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:12">
      <c r="A1107" t="s">
        <v>172</v>
      </c>
      <c r="B1107" t="s">
        <v>9</v>
      </c>
      <c r="C1107">
        <v>10</v>
      </c>
      <c r="D1107">
        <v>3766</v>
      </c>
      <c r="E1107">
        <v>0</v>
      </c>
      <c r="F1107" t="s">
        <v>258</v>
      </c>
      <c r="G1107">
        <v>1</v>
      </c>
      <c r="H1107" t="s">
        <v>28</v>
      </c>
      <c r="I1107">
        <v>10144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172</v>
      </c>
      <c r="B1108" t="s">
        <v>9</v>
      </c>
      <c r="C1108">
        <v>10</v>
      </c>
      <c r="D1108">
        <v>4343</v>
      </c>
      <c r="E1108">
        <v>0</v>
      </c>
      <c r="F1108" t="s">
        <v>291</v>
      </c>
      <c r="G1108">
        <v>1</v>
      </c>
      <c r="H1108" t="s">
        <v>27</v>
      </c>
      <c r="I1108">
        <v>3904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172</v>
      </c>
      <c r="B1109" t="s">
        <v>9</v>
      </c>
      <c r="C1109">
        <v>10</v>
      </c>
      <c r="D1109">
        <v>3715</v>
      </c>
      <c r="E1109">
        <v>1</v>
      </c>
      <c r="F1109" t="s">
        <v>34</v>
      </c>
      <c r="G1109">
        <v>4</v>
      </c>
      <c r="H1109" t="s">
        <v>17</v>
      </c>
      <c r="I1109">
        <v>0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3200</v>
      </c>
    </row>
    <row r="1110" spans="1:12">
      <c r="A1110" t="s">
        <v>172</v>
      </c>
      <c r="B1110" t="s">
        <v>9</v>
      </c>
      <c r="C1110">
        <v>10</v>
      </c>
      <c r="D1110">
        <v>3985</v>
      </c>
      <c r="E1110">
        <v>1</v>
      </c>
      <c r="F1110" t="s">
        <v>258</v>
      </c>
      <c r="G1110">
        <v>1</v>
      </c>
      <c r="H1110" t="s">
        <v>29</v>
      </c>
      <c r="I1110">
        <v>25677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:12">
      <c r="A1111" t="s">
        <v>172</v>
      </c>
      <c r="B1111" t="s">
        <v>9</v>
      </c>
      <c r="C1111">
        <v>10</v>
      </c>
      <c r="D1111">
        <v>4284</v>
      </c>
      <c r="E1111">
        <v>0</v>
      </c>
      <c r="F1111" t="s">
        <v>34</v>
      </c>
      <c r="G1111">
        <v>5</v>
      </c>
      <c r="H1111" t="s">
        <v>17</v>
      </c>
      <c r="I1111">
        <v>0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4000</v>
      </c>
    </row>
    <row r="1112" spans="1:12">
      <c r="A1112" t="s">
        <v>172</v>
      </c>
      <c r="B1112" t="s">
        <v>9</v>
      </c>
      <c r="C1112">
        <v>10</v>
      </c>
      <c r="D1112">
        <v>4613</v>
      </c>
      <c r="E1112">
        <v>0</v>
      </c>
      <c r="F1112" t="s">
        <v>258</v>
      </c>
      <c r="G1112">
        <v>1</v>
      </c>
      <c r="H1112" t="s">
        <v>28</v>
      </c>
      <c r="I1112">
        <v>5440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:12">
      <c r="A1113" t="s">
        <v>172</v>
      </c>
      <c r="B1113" t="s">
        <v>9</v>
      </c>
      <c r="C1113">
        <v>10</v>
      </c>
      <c r="D1113">
        <v>4512</v>
      </c>
      <c r="E1113">
        <v>0</v>
      </c>
      <c r="F1113" t="s">
        <v>258</v>
      </c>
      <c r="G1113">
        <v>1</v>
      </c>
      <c r="H1113" t="s">
        <v>28</v>
      </c>
      <c r="I1113">
        <v>6800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172</v>
      </c>
      <c r="B1114" t="s">
        <v>9</v>
      </c>
      <c r="C1114">
        <v>10</v>
      </c>
      <c r="D1114">
        <v>4000</v>
      </c>
      <c r="E1114">
        <v>1</v>
      </c>
      <c r="F1114" t="s">
        <v>58</v>
      </c>
      <c r="G1114">
        <v>1</v>
      </c>
      <c r="H1114" t="s">
        <v>26</v>
      </c>
      <c r="I1114">
        <v>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34500</v>
      </c>
      <c r="L1114" s="43">
        <f>IFERROR(SUMIFS(Tabela10[Exp Gain only 2*+],Tabela10[Drop],DropAnalityka[[#This Row],[Drop]],Tabela10[Grade],DropAnalityka[[#This Row],[Grade]])*DropAnalityka[[#This Row],[Quality/Quantity]],0)</f>
        <v>118004</v>
      </c>
    </row>
    <row r="1115" spans="1:12">
      <c r="A1115" t="s">
        <v>172</v>
      </c>
      <c r="B1115" t="s">
        <v>9</v>
      </c>
      <c r="C1115">
        <v>10</v>
      </c>
      <c r="D1115">
        <v>4361</v>
      </c>
      <c r="E1115">
        <v>0</v>
      </c>
      <c r="F1115" t="s">
        <v>34</v>
      </c>
      <c r="G1115">
        <v>5</v>
      </c>
      <c r="H1115" t="s">
        <v>17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4000</v>
      </c>
    </row>
    <row r="1116" spans="1:12">
      <c r="A1116" t="s">
        <v>172</v>
      </c>
      <c r="B1116" t="s">
        <v>9</v>
      </c>
      <c r="C1116">
        <v>10</v>
      </c>
      <c r="D1116">
        <v>4527</v>
      </c>
      <c r="E1116">
        <v>0</v>
      </c>
      <c r="F1116" t="s">
        <v>258</v>
      </c>
      <c r="G1116">
        <v>1</v>
      </c>
      <c r="H1116" t="s">
        <v>28</v>
      </c>
      <c r="I1116">
        <v>5440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:12">
      <c r="A1117" t="s">
        <v>172</v>
      </c>
      <c r="B1117" t="s">
        <v>9</v>
      </c>
      <c r="C1117">
        <v>10</v>
      </c>
      <c r="D1117">
        <v>3817</v>
      </c>
      <c r="E1117">
        <v>1</v>
      </c>
      <c r="F1117" t="s">
        <v>258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172</v>
      </c>
      <c r="B1118" t="s">
        <v>9</v>
      </c>
      <c r="C1118">
        <v>10</v>
      </c>
      <c r="D1118">
        <v>3935</v>
      </c>
      <c r="E1118">
        <v>2</v>
      </c>
      <c r="F1118" t="s">
        <v>291</v>
      </c>
      <c r="G1118">
        <v>1</v>
      </c>
      <c r="H1118" t="s">
        <v>28</v>
      </c>
      <c r="I1118">
        <v>6800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172</v>
      </c>
      <c r="B1119" t="s">
        <v>9</v>
      </c>
      <c r="C1119">
        <v>10</v>
      </c>
      <c r="D1119">
        <v>4040</v>
      </c>
      <c r="E1119">
        <v>1</v>
      </c>
      <c r="F1119" t="s">
        <v>258</v>
      </c>
      <c r="G1119">
        <v>1</v>
      </c>
      <c r="H1119" t="s">
        <v>28</v>
      </c>
      <c r="I1119">
        <v>5440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172</v>
      </c>
      <c r="B1120" t="s">
        <v>9</v>
      </c>
      <c r="C1120">
        <v>10</v>
      </c>
      <c r="D1120">
        <v>3601</v>
      </c>
      <c r="E1120">
        <v>1</v>
      </c>
      <c r="F1120" t="s">
        <v>34</v>
      </c>
      <c r="G1120">
        <v>4</v>
      </c>
      <c r="H1120" t="s">
        <v>17</v>
      </c>
      <c r="I1120">
        <v>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3200</v>
      </c>
    </row>
    <row r="1121" spans="1:12">
      <c r="A1121" t="s">
        <v>172</v>
      </c>
      <c r="B1121" t="s">
        <v>9</v>
      </c>
      <c r="C1121">
        <v>10</v>
      </c>
      <c r="D1121">
        <v>3976</v>
      </c>
      <c r="E1121">
        <v>0</v>
      </c>
      <c r="F1121" t="s">
        <v>291</v>
      </c>
      <c r="G1121">
        <v>1</v>
      </c>
      <c r="H1121" t="s">
        <v>28</v>
      </c>
      <c r="I1121">
        <v>5440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:12">
      <c r="A1122" t="s">
        <v>172</v>
      </c>
      <c r="B1122" t="s">
        <v>9</v>
      </c>
      <c r="C1122">
        <v>10</v>
      </c>
      <c r="D1122">
        <v>3824</v>
      </c>
      <c r="E1122">
        <v>0</v>
      </c>
      <c r="F1122" t="s">
        <v>258</v>
      </c>
      <c r="G1122">
        <v>1</v>
      </c>
      <c r="H1122" t="s">
        <v>27</v>
      </c>
      <c r="I1122">
        <v>3491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172</v>
      </c>
      <c r="B1123" t="s">
        <v>9</v>
      </c>
      <c r="C1123">
        <v>10</v>
      </c>
      <c r="D1123">
        <v>3303</v>
      </c>
      <c r="E1123">
        <v>0</v>
      </c>
      <c r="F1123" t="s">
        <v>258</v>
      </c>
      <c r="G1123">
        <v>1</v>
      </c>
      <c r="H1123" t="s">
        <v>27</v>
      </c>
      <c r="I1123">
        <v>3445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172</v>
      </c>
      <c r="B1124" t="s">
        <v>9</v>
      </c>
      <c r="C1124">
        <v>10</v>
      </c>
      <c r="D1124">
        <v>4601</v>
      </c>
      <c r="E1124">
        <v>1</v>
      </c>
      <c r="F1124" t="s">
        <v>34</v>
      </c>
      <c r="G1124">
        <v>4</v>
      </c>
      <c r="H1124" t="s">
        <v>17</v>
      </c>
      <c r="I1124">
        <v>0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3200</v>
      </c>
    </row>
    <row r="1125" spans="1:12">
      <c r="A1125" t="s">
        <v>172</v>
      </c>
      <c r="B1125" t="s">
        <v>9</v>
      </c>
      <c r="C1125">
        <v>10</v>
      </c>
      <c r="D1125">
        <v>4076</v>
      </c>
      <c r="E1125">
        <v>1</v>
      </c>
      <c r="F1125" t="s">
        <v>258</v>
      </c>
      <c r="G1125">
        <v>1</v>
      </c>
      <c r="H1125" t="s">
        <v>27</v>
      </c>
      <c r="I1125">
        <v>5057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:12">
      <c r="A1126" t="s">
        <v>172</v>
      </c>
      <c r="B1126" t="s">
        <v>9</v>
      </c>
      <c r="C1126">
        <v>10</v>
      </c>
      <c r="D1126">
        <v>3735</v>
      </c>
      <c r="E1126">
        <v>1</v>
      </c>
      <c r="F1126" t="s">
        <v>258</v>
      </c>
      <c r="G1126">
        <v>1</v>
      </c>
      <c r="H1126" t="s">
        <v>28</v>
      </c>
      <c r="I1126">
        <v>6502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172</v>
      </c>
      <c r="B1127" t="s">
        <v>9</v>
      </c>
      <c r="C1127">
        <v>10</v>
      </c>
      <c r="D1127">
        <v>3968</v>
      </c>
      <c r="E1127">
        <v>1</v>
      </c>
      <c r="F1127" t="s">
        <v>258</v>
      </c>
      <c r="G1127">
        <v>1</v>
      </c>
      <c r="H1127" t="s">
        <v>28</v>
      </c>
      <c r="I1127">
        <v>3825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172</v>
      </c>
      <c r="B1128" t="s">
        <v>9</v>
      </c>
      <c r="C1128">
        <v>10</v>
      </c>
      <c r="D1128">
        <v>4409</v>
      </c>
      <c r="E1128">
        <v>0</v>
      </c>
      <c r="F1128" t="s">
        <v>258</v>
      </c>
      <c r="G1128">
        <v>1</v>
      </c>
      <c r="H1128" t="s">
        <v>28</v>
      </c>
      <c r="I1128">
        <v>7650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172</v>
      </c>
      <c r="B1129" t="s">
        <v>9</v>
      </c>
      <c r="C1129">
        <v>10</v>
      </c>
      <c r="D1129">
        <v>4316</v>
      </c>
      <c r="E1129">
        <v>0</v>
      </c>
      <c r="F1129" t="s">
        <v>258</v>
      </c>
      <c r="G1129">
        <v>1</v>
      </c>
      <c r="H1129" t="s">
        <v>28</v>
      </c>
      <c r="I1129">
        <v>5780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172</v>
      </c>
      <c r="B1130" t="s">
        <v>9</v>
      </c>
      <c r="C1130">
        <v>10</v>
      </c>
      <c r="D1130">
        <v>4350</v>
      </c>
      <c r="E1130">
        <v>3</v>
      </c>
      <c r="F1130" t="s">
        <v>258</v>
      </c>
      <c r="G1130">
        <v>1</v>
      </c>
      <c r="H1130" t="s">
        <v>28</v>
      </c>
      <c r="I1130">
        <v>5950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172</v>
      </c>
      <c r="B1131" t="s">
        <v>9</v>
      </c>
      <c r="C1131">
        <v>10</v>
      </c>
      <c r="D1131">
        <v>4027</v>
      </c>
      <c r="E1131">
        <v>1</v>
      </c>
      <c r="F1131" t="s">
        <v>258</v>
      </c>
      <c r="G1131">
        <v>1</v>
      </c>
      <c r="H1131" t="s">
        <v>28</v>
      </c>
      <c r="I1131">
        <v>5100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172</v>
      </c>
      <c r="B1132" t="s">
        <v>9</v>
      </c>
      <c r="C1132">
        <v>10</v>
      </c>
      <c r="D1132">
        <v>4582</v>
      </c>
      <c r="E1132">
        <v>1</v>
      </c>
      <c r="F1132" t="s">
        <v>318</v>
      </c>
      <c r="G1132">
        <v>1</v>
      </c>
      <c r="H1132" t="s">
        <v>28</v>
      </c>
      <c r="I1132">
        <v>10444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172</v>
      </c>
      <c r="B1133" t="s">
        <v>9</v>
      </c>
      <c r="C1133">
        <v>10</v>
      </c>
      <c r="D1133">
        <v>4490</v>
      </c>
      <c r="E1133">
        <v>0</v>
      </c>
      <c r="F1133" t="s">
        <v>258</v>
      </c>
      <c r="G1133">
        <v>1</v>
      </c>
      <c r="H1133" t="s">
        <v>27</v>
      </c>
      <c r="I1133">
        <v>4364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172</v>
      </c>
      <c r="B1134" t="s">
        <v>9</v>
      </c>
      <c r="C1134">
        <v>10</v>
      </c>
      <c r="D1134">
        <v>4382</v>
      </c>
      <c r="E1134">
        <v>0</v>
      </c>
      <c r="F1134" t="s">
        <v>258</v>
      </c>
      <c r="G1134">
        <v>1</v>
      </c>
      <c r="H1134" t="s">
        <v>27</v>
      </c>
      <c r="I1134">
        <v>2940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172</v>
      </c>
      <c r="B1135" t="s">
        <v>9</v>
      </c>
      <c r="C1135">
        <v>10</v>
      </c>
      <c r="D1135">
        <v>3808</v>
      </c>
      <c r="E1135">
        <v>0</v>
      </c>
      <c r="F1135" t="s">
        <v>34</v>
      </c>
      <c r="G1135">
        <v>5</v>
      </c>
      <c r="H1135" t="s">
        <v>17</v>
      </c>
      <c r="I1135">
        <v>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4000</v>
      </c>
    </row>
    <row r="1136" spans="1:12">
      <c r="A1136" t="s">
        <v>172</v>
      </c>
      <c r="B1136" t="s">
        <v>9</v>
      </c>
      <c r="C1136">
        <v>10</v>
      </c>
      <c r="D1136">
        <v>3873</v>
      </c>
      <c r="E1136">
        <v>2</v>
      </c>
      <c r="F1136" t="s">
        <v>258</v>
      </c>
      <c r="G1136">
        <v>1</v>
      </c>
      <c r="H1136" t="s">
        <v>27</v>
      </c>
      <c r="I1136">
        <v>3307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:12">
      <c r="A1137" t="s">
        <v>172</v>
      </c>
      <c r="B1137" t="s">
        <v>9</v>
      </c>
      <c r="C1137">
        <v>10</v>
      </c>
      <c r="D1137">
        <v>4165</v>
      </c>
      <c r="E1137">
        <v>1</v>
      </c>
      <c r="F1137" t="s">
        <v>291</v>
      </c>
      <c r="G1137">
        <v>1</v>
      </c>
      <c r="H1137" t="s">
        <v>27</v>
      </c>
      <c r="I1137">
        <v>3927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172</v>
      </c>
      <c r="B1138" t="s">
        <v>9</v>
      </c>
      <c r="C1138">
        <v>10</v>
      </c>
      <c r="D1138">
        <v>3918</v>
      </c>
      <c r="E1138">
        <v>1</v>
      </c>
      <c r="F1138" t="s">
        <v>291</v>
      </c>
      <c r="G1138">
        <v>1</v>
      </c>
      <c r="H1138" t="s">
        <v>28</v>
      </c>
      <c r="I1138">
        <v>5440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172</v>
      </c>
      <c r="B1139" t="s">
        <v>9</v>
      </c>
      <c r="C1139">
        <v>10</v>
      </c>
      <c r="D1139">
        <v>3837</v>
      </c>
      <c r="E1139">
        <v>4</v>
      </c>
      <c r="F1139" t="s">
        <v>258</v>
      </c>
      <c r="G1139">
        <v>1</v>
      </c>
      <c r="H1139" t="s">
        <v>27</v>
      </c>
      <c r="I1139">
        <v>3100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172</v>
      </c>
      <c r="B1140" t="s">
        <v>9</v>
      </c>
      <c r="C1140">
        <v>10</v>
      </c>
      <c r="D1140">
        <v>3909</v>
      </c>
      <c r="E1140">
        <v>0</v>
      </c>
      <c r="F1140" t="s">
        <v>258</v>
      </c>
      <c r="G1140">
        <v>1</v>
      </c>
      <c r="H1140" t="s">
        <v>28</v>
      </c>
      <c r="I1140">
        <v>6460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172</v>
      </c>
      <c r="B1141" t="s">
        <v>9</v>
      </c>
      <c r="C1141">
        <v>10</v>
      </c>
      <c r="D1141">
        <v>4302</v>
      </c>
      <c r="E1141">
        <v>2</v>
      </c>
      <c r="F1141" t="s">
        <v>291</v>
      </c>
      <c r="G1141">
        <v>1</v>
      </c>
      <c r="H1141" t="s">
        <v>28</v>
      </c>
      <c r="I1141">
        <v>8075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172</v>
      </c>
      <c r="B1142" t="s">
        <v>9</v>
      </c>
      <c r="C1142">
        <v>10</v>
      </c>
      <c r="D1142">
        <v>4644</v>
      </c>
      <c r="E1142">
        <v>1</v>
      </c>
      <c r="F1142" t="s">
        <v>288</v>
      </c>
      <c r="G1142">
        <v>1</v>
      </c>
      <c r="H1142" t="s">
        <v>17</v>
      </c>
      <c r="I1142">
        <v>0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172</v>
      </c>
      <c r="B1143" t="s">
        <v>9</v>
      </c>
      <c r="C1143">
        <v>10</v>
      </c>
      <c r="D1143">
        <v>3772</v>
      </c>
      <c r="E1143">
        <v>0</v>
      </c>
      <c r="F1143" t="s">
        <v>258</v>
      </c>
      <c r="G1143">
        <v>1</v>
      </c>
      <c r="H1143" t="s">
        <v>28</v>
      </c>
      <c r="I1143">
        <v>5780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172</v>
      </c>
      <c r="B1144" t="s">
        <v>9</v>
      </c>
      <c r="C1144">
        <v>10</v>
      </c>
      <c r="D1144">
        <v>3838</v>
      </c>
      <c r="E1144">
        <v>1</v>
      </c>
      <c r="F1144" t="s">
        <v>258</v>
      </c>
      <c r="G1144">
        <v>1</v>
      </c>
      <c r="H1144" t="s">
        <v>28</v>
      </c>
      <c r="I1144">
        <v>6460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172</v>
      </c>
      <c r="B1145" t="s">
        <v>9</v>
      </c>
      <c r="C1145">
        <v>10</v>
      </c>
      <c r="D1145">
        <v>3618</v>
      </c>
      <c r="E1145">
        <v>1</v>
      </c>
      <c r="F1145" t="s">
        <v>318</v>
      </c>
      <c r="G1145">
        <v>1</v>
      </c>
      <c r="H1145" t="s">
        <v>28</v>
      </c>
      <c r="I1145">
        <v>11560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172</v>
      </c>
      <c r="B1146" t="s">
        <v>9</v>
      </c>
      <c r="C1146">
        <v>10</v>
      </c>
      <c r="D1146">
        <v>3622</v>
      </c>
      <c r="E1146">
        <v>2</v>
      </c>
      <c r="F1146" t="s">
        <v>318</v>
      </c>
      <c r="G1146">
        <v>1</v>
      </c>
      <c r="H1146" t="s">
        <v>28</v>
      </c>
      <c r="I1146">
        <v>16320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172</v>
      </c>
      <c r="B1147" t="s">
        <v>9</v>
      </c>
      <c r="C1147">
        <v>10</v>
      </c>
      <c r="D1147">
        <v>4131</v>
      </c>
      <c r="E1147">
        <v>2</v>
      </c>
      <c r="F1147" t="s">
        <v>34</v>
      </c>
      <c r="G1147">
        <v>5</v>
      </c>
      <c r="H1147" t="s">
        <v>17</v>
      </c>
      <c r="I1147">
        <v>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4000</v>
      </c>
    </row>
    <row r="1148" spans="1:12">
      <c r="A1148" t="s">
        <v>172</v>
      </c>
      <c r="B1148" t="s">
        <v>9</v>
      </c>
      <c r="C1148">
        <v>10</v>
      </c>
      <c r="D1148">
        <v>3935</v>
      </c>
      <c r="E1148">
        <v>0</v>
      </c>
      <c r="F1148" t="s">
        <v>58</v>
      </c>
      <c r="G1148">
        <v>1</v>
      </c>
      <c r="H1148" t="s">
        <v>12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11500</v>
      </c>
      <c r="L1148" s="43">
        <f>IFERROR(SUMIFS(Tabela10[Exp Gain only 2*+],Tabela10[Drop],DropAnalityka[[#This Row],[Drop]],Tabela10[Grade],DropAnalityka[[#This Row],[Grade]])*DropAnalityka[[#This Row],[Quality/Quantity]],0)</f>
        <v>35822</v>
      </c>
    </row>
    <row r="1149" spans="1:12">
      <c r="A1149" t="s">
        <v>172</v>
      </c>
      <c r="B1149" t="s">
        <v>9</v>
      </c>
      <c r="C1149">
        <v>10</v>
      </c>
      <c r="D1149">
        <v>3786</v>
      </c>
      <c r="E1149">
        <v>1</v>
      </c>
      <c r="F1149" t="s">
        <v>291</v>
      </c>
      <c r="G1149">
        <v>1</v>
      </c>
      <c r="H1149" t="s">
        <v>27</v>
      </c>
      <c r="I1149">
        <v>3904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:12">
      <c r="A1150" t="s">
        <v>172</v>
      </c>
      <c r="B1150" t="s">
        <v>9</v>
      </c>
      <c r="C1150">
        <v>10</v>
      </c>
      <c r="D1150">
        <v>3725</v>
      </c>
      <c r="E1150">
        <v>0</v>
      </c>
      <c r="F1150" t="s">
        <v>34</v>
      </c>
      <c r="G1150">
        <v>4</v>
      </c>
      <c r="H1150" t="s">
        <v>17</v>
      </c>
      <c r="I1150">
        <v>0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3200</v>
      </c>
    </row>
    <row r="1151" spans="1:12">
      <c r="A1151" t="s">
        <v>172</v>
      </c>
      <c r="B1151" t="s">
        <v>9</v>
      </c>
      <c r="C1151">
        <v>10</v>
      </c>
      <c r="D1151">
        <v>3617</v>
      </c>
      <c r="E1151">
        <v>1</v>
      </c>
      <c r="F1151" t="s">
        <v>258</v>
      </c>
      <c r="G1151">
        <v>1</v>
      </c>
      <c r="H1151" t="s">
        <v>28</v>
      </c>
      <c r="I1151">
        <v>6800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:12">
      <c r="A1152" t="s">
        <v>172</v>
      </c>
      <c r="B1152" t="s">
        <v>9</v>
      </c>
      <c r="C1152">
        <v>10</v>
      </c>
      <c r="D1152">
        <v>3937</v>
      </c>
      <c r="E1152">
        <v>1</v>
      </c>
      <c r="F1152" t="s">
        <v>291</v>
      </c>
      <c r="G1152">
        <v>1</v>
      </c>
      <c r="H1152" t="s">
        <v>29</v>
      </c>
      <c r="I1152">
        <v>13472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172</v>
      </c>
      <c r="B1153" t="s">
        <v>9</v>
      </c>
      <c r="C1153">
        <v>10</v>
      </c>
      <c r="D1153">
        <v>3918</v>
      </c>
      <c r="E1153">
        <v>1</v>
      </c>
      <c r="F1153" t="s">
        <v>258</v>
      </c>
      <c r="G1153">
        <v>1</v>
      </c>
      <c r="H1153" t="s">
        <v>29</v>
      </c>
      <c r="I1153">
        <v>9510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172</v>
      </c>
      <c r="B1154" t="s">
        <v>9</v>
      </c>
      <c r="C1154">
        <v>10</v>
      </c>
      <c r="D1154">
        <v>4078</v>
      </c>
      <c r="E1154">
        <v>3</v>
      </c>
      <c r="F1154" t="s">
        <v>58</v>
      </c>
      <c r="G1154">
        <v>1</v>
      </c>
      <c r="H1154" t="s">
        <v>12</v>
      </c>
      <c r="I1154">
        <v>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11500</v>
      </c>
      <c r="L1154" s="43">
        <f>IFERROR(SUMIFS(Tabela10[Exp Gain only 2*+],Tabela10[Drop],DropAnalityka[[#This Row],[Drop]],Tabela10[Grade],DropAnalityka[[#This Row],[Grade]])*DropAnalityka[[#This Row],[Quality/Quantity]],0)</f>
        <v>35822</v>
      </c>
    </row>
    <row r="1155" spans="1:12">
      <c r="A1155" t="s">
        <v>172</v>
      </c>
      <c r="B1155" t="s">
        <v>9</v>
      </c>
      <c r="C1155">
        <v>10</v>
      </c>
      <c r="D1155">
        <v>4022</v>
      </c>
      <c r="E1155">
        <v>2</v>
      </c>
      <c r="F1155" t="s">
        <v>258</v>
      </c>
      <c r="G1155">
        <v>1</v>
      </c>
      <c r="H1155" t="s">
        <v>28</v>
      </c>
      <c r="I1155">
        <v>13005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:12">
      <c r="A1156" t="s">
        <v>172</v>
      </c>
      <c r="B1156" t="s">
        <v>9</v>
      </c>
      <c r="C1156">
        <v>10</v>
      </c>
      <c r="D1156">
        <v>3677</v>
      </c>
      <c r="E1156">
        <v>0</v>
      </c>
      <c r="F1156" t="s">
        <v>34</v>
      </c>
      <c r="G1156">
        <v>5</v>
      </c>
      <c r="H1156" t="s">
        <v>17</v>
      </c>
      <c r="I1156">
        <v>0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4000</v>
      </c>
    </row>
    <row r="1157" spans="1:12">
      <c r="A1157" t="s">
        <v>172</v>
      </c>
      <c r="B1157" t="s">
        <v>9</v>
      </c>
      <c r="C1157">
        <v>10</v>
      </c>
      <c r="D1157">
        <v>4011</v>
      </c>
      <c r="E1157">
        <v>0</v>
      </c>
      <c r="F1157" t="s">
        <v>318</v>
      </c>
      <c r="G1157">
        <v>1</v>
      </c>
      <c r="H1157" t="s">
        <v>27</v>
      </c>
      <c r="I1157">
        <v>7350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:12">
      <c r="A1158" t="s">
        <v>172</v>
      </c>
      <c r="B1158" t="s">
        <v>9</v>
      </c>
      <c r="C1158">
        <v>10</v>
      </c>
      <c r="D1158">
        <v>4195</v>
      </c>
      <c r="E1158">
        <v>1</v>
      </c>
      <c r="F1158" t="s">
        <v>258</v>
      </c>
      <c r="G1158">
        <v>1</v>
      </c>
      <c r="H1158" t="s">
        <v>27</v>
      </c>
      <c r="I1158">
        <v>3491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172</v>
      </c>
      <c r="B1159" t="s">
        <v>9</v>
      </c>
      <c r="C1159">
        <v>10</v>
      </c>
      <c r="D1159">
        <v>4001</v>
      </c>
      <c r="E1159">
        <v>0</v>
      </c>
      <c r="F1159" t="s">
        <v>258</v>
      </c>
      <c r="G1159">
        <v>1</v>
      </c>
      <c r="H1159" t="s">
        <v>28</v>
      </c>
      <c r="I1159">
        <v>4590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172</v>
      </c>
      <c r="B1160" t="s">
        <v>9</v>
      </c>
      <c r="C1160">
        <v>10</v>
      </c>
      <c r="D1160">
        <v>3836</v>
      </c>
      <c r="E1160">
        <v>0</v>
      </c>
      <c r="F1160" t="s">
        <v>258</v>
      </c>
      <c r="G1160">
        <v>1</v>
      </c>
      <c r="H1160" t="s">
        <v>28</v>
      </c>
      <c r="I1160">
        <v>5780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172</v>
      </c>
      <c r="B1161" t="s">
        <v>9</v>
      </c>
      <c r="C1161">
        <v>10</v>
      </c>
      <c r="D1161">
        <v>3830</v>
      </c>
      <c r="E1161">
        <v>0</v>
      </c>
      <c r="F1161" t="s">
        <v>258</v>
      </c>
      <c r="G1161">
        <v>1</v>
      </c>
      <c r="H1161" t="s">
        <v>28</v>
      </c>
      <c r="I1161">
        <v>5100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172</v>
      </c>
      <c r="B1162" t="s">
        <v>9</v>
      </c>
      <c r="C1162">
        <v>10</v>
      </c>
      <c r="D1162">
        <v>4098</v>
      </c>
      <c r="E1162">
        <v>0</v>
      </c>
      <c r="F1162" t="s">
        <v>291</v>
      </c>
      <c r="G1162">
        <v>1</v>
      </c>
      <c r="H1162" t="s">
        <v>27</v>
      </c>
      <c r="I1162">
        <v>4800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172</v>
      </c>
      <c r="B1163" t="s">
        <v>9</v>
      </c>
      <c r="C1163">
        <v>10</v>
      </c>
      <c r="D1163">
        <v>4211</v>
      </c>
      <c r="E1163">
        <v>0</v>
      </c>
      <c r="F1163" t="s">
        <v>58</v>
      </c>
      <c r="G1163">
        <v>1</v>
      </c>
      <c r="H1163" t="s">
        <v>12</v>
      </c>
      <c r="I1163">
        <v>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11500</v>
      </c>
      <c r="L1163" s="43">
        <f>IFERROR(SUMIFS(Tabela10[Exp Gain only 2*+],Tabela10[Drop],DropAnalityka[[#This Row],[Drop]],Tabela10[Grade],DropAnalityka[[#This Row],[Grade]])*DropAnalityka[[#This Row],[Quality/Quantity]],0)</f>
        <v>35822</v>
      </c>
    </row>
    <row r="1164" spans="1:12">
      <c r="A1164" t="s">
        <v>172</v>
      </c>
      <c r="B1164" t="s">
        <v>9</v>
      </c>
      <c r="C1164">
        <v>10</v>
      </c>
      <c r="D1164">
        <v>4024</v>
      </c>
      <c r="E1164">
        <v>1</v>
      </c>
      <c r="F1164" t="s">
        <v>258</v>
      </c>
      <c r="G1164">
        <v>1</v>
      </c>
      <c r="H1164" t="s">
        <v>27</v>
      </c>
      <c r="I1164">
        <v>2572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:12">
      <c r="A1165" t="s">
        <v>172</v>
      </c>
      <c r="B1165" t="s">
        <v>9</v>
      </c>
      <c r="C1165">
        <v>10</v>
      </c>
      <c r="D1165">
        <v>4051</v>
      </c>
      <c r="E1165">
        <v>0</v>
      </c>
      <c r="F1165" t="s">
        <v>291</v>
      </c>
      <c r="G1165">
        <v>1</v>
      </c>
      <c r="H1165" t="s">
        <v>28</v>
      </c>
      <c r="I1165">
        <v>8075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172</v>
      </c>
      <c r="B1166" t="s">
        <v>9</v>
      </c>
      <c r="C1166">
        <v>10</v>
      </c>
      <c r="D1166">
        <v>3981</v>
      </c>
      <c r="E1166">
        <v>2</v>
      </c>
      <c r="F1166" t="s">
        <v>58</v>
      </c>
      <c r="G1166">
        <v>1</v>
      </c>
      <c r="H1166" t="s">
        <v>12</v>
      </c>
      <c r="I1166">
        <v>0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11500</v>
      </c>
      <c r="L1166" s="43">
        <f>IFERROR(SUMIFS(Tabela10[Exp Gain only 2*+],Tabela10[Drop],DropAnalityka[[#This Row],[Drop]],Tabela10[Grade],DropAnalityka[[#This Row],[Grade]])*DropAnalityka[[#This Row],[Quality/Quantity]],0)</f>
        <v>35822</v>
      </c>
    </row>
    <row r="1167" spans="1:12">
      <c r="A1167" t="s">
        <v>172</v>
      </c>
      <c r="B1167" t="s">
        <v>9</v>
      </c>
      <c r="C1167">
        <v>10</v>
      </c>
      <c r="D1167">
        <v>3667</v>
      </c>
      <c r="E1167">
        <v>3</v>
      </c>
      <c r="F1167" t="s">
        <v>258</v>
      </c>
      <c r="G1167">
        <v>1</v>
      </c>
      <c r="H1167" t="s">
        <v>28</v>
      </c>
      <c r="I1167">
        <v>5440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:12">
      <c r="A1168" t="s">
        <v>172</v>
      </c>
      <c r="B1168" t="s">
        <v>9</v>
      </c>
      <c r="C1168">
        <v>10</v>
      </c>
      <c r="D1168">
        <v>4500</v>
      </c>
      <c r="E1168">
        <v>2</v>
      </c>
      <c r="F1168" t="s">
        <v>291</v>
      </c>
      <c r="G1168">
        <v>1</v>
      </c>
      <c r="H1168" t="s">
        <v>28</v>
      </c>
      <c r="I1168">
        <v>9350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172</v>
      </c>
      <c r="B1169" t="s">
        <v>9</v>
      </c>
      <c r="C1169">
        <v>10</v>
      </c>
      <c r="D1169">
        <v>4090</v>
      </c>
      <c r="E1169">
        <v>1</v>
      </c>
      <c r="F1169" t="s">
        <v>258</v>
      </c>
      <c r="G1169">
        <v>1</v>
      </c>
      <c r="H1169" t="s">
        <v>28</v>
      </c>
      <c r="I1169">
        <v>5780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172</v>
      </c>
      <c r="B1170" t="s">
        <v>9</v>
      </c>
      <c r="C1170">
        <v>10</v>
      </c>
      <c r="D1170">
        <v>3757</v>
      </c>
      <c r="E1170">
        <v>0</v>
      </c>
      <c r="F1170" t="s">
        <v>58</v>
      </c>
      <c r="G1170">
        <v>1</v>
      </c>
      <c r="H1170" t="s">
        <v>12</v>
      </c>
      <c r="I1170">
        <v>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11500</v>
      </c>
      <c r="L1170" s="43">
        <f>IFERROR(SUMIFS(Tabela10[Exp Gain only 2*+],Tabela10[Drop],DropAnalityka[[#This Row],[Drop]],Tabela10[Grade],DropAnalityka[[#This Row],[Grade]])*DropAnalityka[[#This Row],[Quality/Quantity]],0)</f>
        <v>35822</v>
      </c>
    </row>
    <row r="1171" spans="1:12">
      <c r="A1171" t="s">
        <v>172</v>
      </c>
      <c r="B1171" t="s">
        <v>9</v>
      </c>
      <c r="C1171">
        <v>10</v>
      </c>
      <c r="D1171">
        <v>3889</v>
      </c>
      <c r="E1171">
        <v>0</v>
      </c>
      <c r="F1171" t="s">
        <v>291</v>
      </c>
      <c r="G1171">
        <v>1</v>
      </c>
      <c r="H1171" t="s">
        <v>28</v>
      </c>
      <c r="I1171">
        <v>10200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:12">
      <c r="A1172" t="s">
        <v>172</v>
      </c>
      <c r="B1172" t="s">
        <v>9</v>
      </c>
      <c r="C1172">
        <v>10</v>
      </c>
      <c r="D1172">
        <v>3813</v>
      </c>
      <c r="E1172">
        <v>1</v>
      </c>
      <c r="F1172" t="s">
        <v>258</v>
      </c>
      <c r="G1172">
        <v>1</v>
      </c>
      <c r="H1172" t="s">
        <v>28</v>
      </c>
      <c r="I1172">
        <v>5355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172</v>
      </c>
      <c r="B1173" t="s">
        <v>9</v>
      </c>
      <c r="C1173">
        <v>10</v>
      </c>
      <c r="D1173">
        <v>3859</v>
      </c>
      <c r="E1173">
        <v>1</v>
      </c>
      <c r="F1173" t="s">
        <v>34</v>
      </c>
      <c r="G1173">
        <v>5</v>
      </c>
      <c r="H1173" t="s">
        <v>17</v>
      </c>
      <c r="I1173">
        <v>0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4000</v>
      </c>
    </row>
    <row r="1174" spans="1:12">
      <c r="A1174" t="s">
        <v>172</v>
      </c>
      <c r="B1174" t="s">
        <v>9</v>
      </c>
      <c r="C1174">
        <v>10</v>
      </c>
      <c r="D1174">
        <v>3967</v>
      </c>
      <c r="E1174">
        <v>2</v>
      </c>
      <c r="F1174" t="s">
        <v>258</v>
      </c>
      <c r="G1174">
        <v>1</v>
      </c>
      <c r="H1174" t="s">
        <v>29</v>
      </c>
      <c r="I1174">
        <v>12046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:12">
      <c r="A1175" t="s">
        <v>172</v>
      </c>
      <c r="B1175" t="s">
        <v>9</v>
      </c>
      <c r="C1175">
        <v>10</v>
      </c>
      <c r="D1175">
        <v>4276</v>
      </c>
      <c r="E1175">
        <v>0</v>
      </c>
      <c r="F1175" t="s">
        <v>34</v>
      </c>
      <c r="G1175">
        <v>5</v>
      </c>
      <c r="H1175" t="s">
        <v>17</v>
      </c>
      <c r="I1175">
        <v>0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4000</v>
      </c>
    </row>
    <row r="1176" spans="1:12">
      <c r="A1176" t="s">
        <v>172</v>
      </c>
      <c r="B1176" t="s">
        <v>9</v>
      </c>
      <c r="C1176">
        <v>10</v>
      </c>
      <c r="D1176">
        <v>3898</v>
      </c>
      <c r="E1176">
        <v>0</v>
      </c>
      <c r="F1176" t="s">
        <v>291</v>
      </c>
      <c r="G1176">
        <v>1</v>
      </c>
      <c r="H1176" t="s">
        <v>28</v>
      </c>
      <c r="I1176">
        <v>6502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:12">
      <c r="A1177" t="s">
        <v>172</v>
      </c>
      <c r="B1177" t="s">
        <v>9</v>
      </c>
      <c r="C1177">
        <v>10</v>
      </c>
      <c r="D1177">
        <v>3992</v>
      </c>
      <c r="E1177">
        <v>3</v>
      </c>
      <c r="F1177" t="s">
        <v>291</v>
      </c>
      <c r="G1177">
        <v>1</v>
      </c>
      <c r="H1177" t="s">
        <v>28</v>
      </c>
      <c r="I1177">
        <v>7225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172</v>
      </c>
      <c r="B1178" t="s">
        <v>9</v>
      </c>
      <c r="C1178">
        <v>10</v>
      </c>
      <c r="D1178">
        <v>3871</v>
      </c>
      <c r="E1178">
        <v>1</v>
      </c>
      <c r="F1178" t="s">
        <v>258</v>
      </c>
      <c r="G1178">
        <v>1</v>
      </c>
      <c r="H1178" t="s">
        <v>28</v>
      </c>
      <c r="I1178">
        <v>5737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172</v>
      </c>
      <c r="B1179" t="s">
        <v>9</v>
      </c>
      <c r="C1179">
        <v>10</v>
      </c>
      <c r="D1179">
        <v>3832</v>
      </c>
      <c r="E1179">
        <v>0</v>
      </c>
      <c r="F1179" t="s">
        <v>291</v>
      </c>
      <c r="G1179">
        <v>1</v>
      </c>
      <c r="H1179" t="s">
        <v>28</v>
      </c>
      <c r="I1179">
        <v>8670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172</v>
      </c>
      <c r="B1180" t="s">
        <v>9</v>
      </c>
      <c r="C1180">
        <v>10</v>
      </c>
      <c r="D1180">
        <v>3887</v>
      </c>
      <c r="E1180">
        <v>0</v>
      </c>
      <c r="F1180" t="s">
        <v>258</v>
      </c>
      <c r="G1180">
        <v>1</v>
      </c>
      <c r="H1180" t="s">
        <v>28</v>
      </c>
      <c r="I1180">
        <v>13770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172</v>
      </c>
      <c r="B1181" t="s">
        <v>9</v>
      </c>
      <c r="C1181">
        <v>10</v>
      </c>
      <c r="D1181">
        <v>4114</v>
      </c>
      <c r="E1181">
        <v>3</v>
      </c>
      <c r="F1181" t="s">
        <v>258</v>
      </c>
      <c r="G1181">
        <v>1</v>
      </c>
      <c r="H1181" t="s">
        <v>28</v>
      </c>
      <c r="I1181">
        <v>6460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172</v>
      </c>
      <c r="B1182" t="s">
        <v>9</v>
      </c>
      <c r="C1182">
        <v>10</v>
      </c>
      <c r="D1182">
        <v>4755</v>
      </c>
      <c r="E1182">
        <v>0</v>
      </c>
      <c r="F1182" t="s">
        <v>258</v>
      </c>
      <c r="G1182">
        <v>1</v>
      </c>
      <c r="H1182" t="s">
        <v>29</v>
      </c>
      <c r="I1182">
        <v>27103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172</v>
      </c>
      <c r="B1183" t="s">
        <v>9</v>
      </c>
      <c r="C1183">
        <v>10</v>
      </c>
      <c r="D1183">
        <v>4329</v>
      </c>
      <c r="E1183">
        <v>2</v>
      </c>
      <c r="F1183" t="s">
        <v>258</v>
      </c>
      <c r="G1183">
        <v>1</v>
      </c>
      <c r="H1183" t="s">
        <v>28</v>
      </c>
      <c r="I1183">
        <v>6800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172</v>
      </c>
      <c r="B1184" t="s">
        <v>9</v>
      </c>
      <c r="C1184">
        <v>10</v>
      </c>
      <c r="D1184">
        <v>4139</v>
      </c>
      <c r="E1184">
        <v>0</v>
      </c>
      <c r="F1184" t="s">
        <v>258</v>
      </c>
      <c r="G1184">
        <v>1</v>
      </c>
      <c r="H1184" t="s">
        <v>27</v>
      </c>
      <c r="I1184">
        <v>2067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2">
      <c r="A1185" t="s">
        <v>172</v>
      </c>
      <c r="B1185" t="s">
        <v>9</v>
      </c>
      <c r="C1185">
        <v>10</v>
      </c>
      <c r="D1185">
        <v>3838</v>
      </c>
      <c r="E1185">
        <v>0</v>
      </c>
      <c r="F1185" t="s">
        <v>258</v>
      </c>
      <c r="G1185">
        <v>1</v>
      </c>
      <c r="H1185" t="s">
        <v>28</v>
      </c>
      <c r="I1185">
        <v>5737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2">
      <c r="A1186" t="s">
        <v>172</v>
      </c>
      <c r="B1186" t="s">
        <v>9</v>
      </c>
      <c r="C1186">
        <v>10</v>
      </c>
      <c r="D1186">
        <v>4090</v>
      </c>
      <c r="E1186">
        <v>2</v>
      </c>
      <c r="F1186" t="s">
        <v>34</v>
      </c>
      <c r="G1186">
        <v>4</v>
      </c>
      <c r="H1186" t="s">
        <v>17</v>
      </c>
      <c r="I1186">
        <v>0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3200</v>
      </c>
    </row>
    <row r="1187" spans="1:12">
      <c r="A1187" t="s">
        <v>172</v>
      </c>
      <c r="B1187" t="s">
        <v>9</v>
      </c>
      <c r="C1187">
        <v>10</v>
      </c>
      <c r="D1187">
        <v>4048</v>
      </c>
      <c r="E1187">
        <v>0</v>
      </c>
      <c r="F1187" t="s">
        <v>291</v>
      </c>
      <c r="G1187">
        <v>1</v>
      </c>
      <c r="H1187" t="s">
        <v>28</v>
      </c>
      <c r="I1187">
        <v>8075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:12">
      <c r="A1188" t="s">
        <v>172</v>
      </c>
      <c r="B1188" t="s">
        <v>9</v>
      </c>
      <c r="C1188">
        <v>10</v>
      </c>
      <c r="D1188">
        <v>4066</v>
      </c>
      <c r="E1188">
        <v>1</v>
      </c>
      <c r="F1188" t="s">
        <v>258</v>
      </c>
      <c r="G1188">
        <v>1</v>
      </c>
      <c r="H1188" t="s">
        <v>27</v>
      </c>
      <c r="I1188">
        <v>8268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2">
      <c r="A1189" t="s">
        <v>172</v>
      </c>
      <c r="B1189" t="s">
        <v>9</v>
      </c>
      <c r="C1189">
        <v>10</v>
      </c>
      <c r="D1189">
        <v>4202</v>
      </c>
      <c r="E1189">
        <v>2</v>
      </c>
      <c r="F1189" t="s">
        <v>258</v>
      </c>
      <c r="G1189">
        <v>1</v>
      </c>
      <c r="H1189" t="s">
        <v>28</v>
      </c>
      <c r="I1189">
        <v>4590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2">
      <c r="A1190" t="s">
        <v>172</v>
      </c>
      <c r="B1190" t="s">
        <v>9</v>
      </c>
      <c r="C1190">
        <v>10</v>
      </c>
      <c r="D1190">
        <v>4359</v>
      </c>
      <c r="E1190">
        <v>1</v>
      </c>
      <c r="F1190" t="s">
        <v>291</v>
      </c>
      <c r="G1190">
        <v>1</v>
      </c>
      <c r="H1190" t="s">
        <v>28</v>
      </c>
      <c r="I1190">
        <v>9180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2">
      <c r="A1191" t="s">
        <v>172</v>
      </c>
      <c r="B1191" t="s">
        <v>9</v>
      </c>
      <c r="C1191">
        <v>10</v>
      </c>
      <c r="D1191">
        <v>3858</v>
      </c>
      <c r="E1191">
        <v>0</v>
      </c>
      <c r="F1191" t="s">
        <v>258</v>
      </c>
      <c r="G1191">
        <v>1</v>
      </c>
      <c r="H1191" t="s">
        <v>28</v>
      </c>
      <c r="I1191">
        <v>5100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2">
      <c r="A1192" t="s">
        <v>172</v>
      </c>
      <c r="B1192" t="s">
        <v>9</v>
      </c>
      <c r="C1192">
        <v>10</v>
      </c>
      <c r="D1192">
        <v>3946</v>
      </c>
      <c r="E1192">
        <v>0</v>
      </c>
      <c r="F1192" t="s">
        <v>291</v>
      </c>
      <c r="G1192">
        <v>1</v>
      </c>
      <c r="H1192" t="s">
        <v>29</v>
      </c>
      <c r="I1192">
        <v>14265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2">
      <c r="A1193" t="s">
        <v>172</v>
      </c>
      <c r="B1193" t="s">
        <v>9</v>
      </c>
      <c r="C1193">
        <v>10</v>
      </c>
      <c r="D1193">
        <v>4023</v>
      </c>
      <c r="E1193">
        <v>0</v>
      </c>
      <c r="F1193" t="s">
        <v>291</v>
      </c>
      <c r="G1193">
        <v>1</v>
      </c>
      <c r="H1193" t="s">
        <v>28</v>
      </c>
      <c r="I1193">
        <v>15300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2">
      <c r="A1194" t="s">
        <v>172</v>
      </c>
      <c r="B1194" t="s">
        <v>9</v>
      </c>
      <c r="C1194">
        <v>10</v>
      </c>
      <c r="D1194">
        <v>4021</v>
      </c>
      <c r="E1194">
        <v>0</v>
      </c>
      <c r="F1194" t="s">
        <v>288</v>
      </c>
      <c r="G1194">
        <v>1</v>
      </c>
      <c r="H1194" t="s">
        <v>17</v>
      </c>
      <c r="I1194">
        <v>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2">
      <c r="A1195" t="s">
        <v>178</v>
      </c>
      <c r="B1195" t="s">
        <v>9</v>
      </c>
      <c r="C1195">
        <v>9</v>
      </c>
      <c r="D1195">
        <v>3980</v>
      </c>
      <c r="E1195">
        <v>0</v>
      </c>
      <c r="F1195" t="s">
        <v>291</v>
      </c>
      <c r="G1195">
        <v>1</v>
      </c>
      <c r="H1195" t="s">
        <v>28</v>
      </c>
      <c r="I1195">
        <v>8160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2">
      <c r="A1196" t="s">
        <v>178</v>
      </c>
      <c r="B1196" t="s">
        <v>9</v>
      </c>
      <c r="C1196">
        <v>9</v>
      </c>
      <c r="D1196">
        <v>4393</v>
      </c>
      <c r="E1196">
        <v>0</v>
      </c>
      <c r="F1196" t="s">
        <v>258</v>
      </c>
      <c r="G1196">
        <v>1</v>
      </c>
      <c r="H1196" t="s">
        <v>28</v>
      </c>
      <c r="I1196">
        <v>10200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:12">
      <c r="A1197" t="s">
        <v>178</v>
      </c>
      <c r="B1197" t="s">
        <v>9</v>
      </c>
      <c r="C1197">
        <v>9</v>
      </c>
      <c r="D1197">
        <v>4309</v>
      </c>
      <c r="E1197">
        <v>1</v>
      </c>
      <c r="F1197" t="s">
        <v>258</v>
      </c>
      <c r="G1197">
        <v>1</v>
      </c>
      <c r="H1197" t="s">
        <v>28</v>
      </c>
      <c r="I1197">
        <v>7650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2">
      <c r="A1198" t="s">
        <v>178</v>
      </c>
      <c r="B1198" t="s">
        <v>9</v>
      </c>
      <c r="C1198">
        <v>9</v>
      </c>
      <c r="D1198">
        <v>4290</v>
      </c>
      <c r="E1198">
        <v>1</v>
      </c>
      <c r="F1198" t="s">
        <v>34</v>
      </c>
      <c r="G1198">
        <v>5</v>
      </c>
      <c r="H1198" t="s">
        <v>17</v>
      </c>
      <c r="I1198">
        <v>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4000</v>
      </c>
    </row>
    <row r="1199" spans="1:12">
      <c r="A1199" t="s">
        <v>172</v>
      </c>
      <c r="B1199" t="s">
        <v>9</v>
      </c>
      <c r="C1199">
        <v>10</v>
      </c>
      <c r="D1199">
        <v>4144</v>
      </c>
      <c r="E1199">
        <v>1</v>
      </c>
      <c r="F1199" t="s">
        <v>258</v>
      </c>
      <c r="G1199">
        <v>1</v>
      </c>
      <c r="H1199" t="s">
        <v>28</v>
      </c>
      <c r="I1199">
        <v>5057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2">
      <c r="A1200" t="s">
        <v>172</v>
      </c>
      <c r="B1200" t="s">
        <v>9</v>
      </c>
      <c r="C1200">
        <v>10</v>
      </c>
      <c r="D1200">
        <v>4074</v>
      </c>
      <c r="E1200">
        <v>0</v>
      </c>
      <c r="F1200" t="s">
        <v>34</v>
      </c>
      <c r="G1200">
        <v>4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3200</v>
      </c>
    </row>
    <row r="1201" spans="1:12">
      <c r="A1201" t="s">
        <v>172</v>
      </c>
      <c r="B1201" t="s">
        <v>9</v>
      </c>
      <c r="C1201">
        <v>10</v>
      </c>
      <c r="D1201">
        <v>4032</v>
      </c>
      <c r="E1201">
        <v>0</v>
      </c>
      <c r="F1201" t="s">
        <v>34</v>
      </c>
      <c r="G1201">
        <v>4</v>
      </c>
      <c r="H1201" t="s">
        <v>17</v>
      </c>
      <c r="I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3200</v>
      </c>
    </row>
    <row r="1202" spans="1:12">
      <c r="A1202" t="s">
        <v>172</v>
      </c>
      <c r="B1202" t="s">
        <v>9</v>
      </c>
      <c r="C1202">
        <v>10</v>
      </c>
      <c r="D1202">
        <v>4157</v>
      </c>
      <c r="E1202">
        <v>3</v>
      </c>
      <c r="F1202" t="s">
        <v>258</v>
      </c>
      <c r="G1202">
        <v>1</v>
      </c>
      <c r="H1202" t="s">
        <v>28</v>
      </c>
      <c r="I1202">
        <v>5652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2">
      <c r="A1203" t="s">
        <v>172</v>
      </c>
      <c r="B1203" t="s">
        <v>9</v>
      </c>
      <c r="C1203">
        <v>10</v>
      </c>
      <c r="D1203">
        <v>4353</v>
      </c>
      <c r="E1203">
        <v>1</v>
      </c>
      <c r="F1203" t="s">
        <v>58</v>
      </c>
      <c r="G1203">
        <v>1</v>
      </c>
      <c r="H1203" t="s">
        <v>12</v>
      </c>
      <c r="I1203">
        <v>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11500</v>
      </c>
      <c r="L1203" s="43">
        <f>IFERROR(SUMIFS(Tabela10[Exp Gain only 2*+],Tabela10[Drop],DropAnalityka[[#This Row],[Drop]],Tabela10[Grade],DropAnalityka[[#This Row],[Grade]])*DropAnalityka[[#This Row],[Quality/Quantity]],0)</f>
        <v>35822</v>
      </c>
    </row>
    <row r="1204" spans="1:12">
      <c r="A1204" t="s">
        <v>172</v>
      </c>
      <c r="B1204" t="s">
        <v>9</v>
      </c>
      <c r="C1204">
        <v>10</v>
      </c>
      <c r="D1204">
        <v>4047</v>
      </c>
      <c r="E1204">
        <v>1</v>
      </c>
      <c r="F1204" t="s">
        <v>258</v>
      </c>
      <c r="G1204">
        <v>1</v>
      </c>
      <c r="H1204" t="s">
        <v>28</v>
      </c>
      <c r="I1204">
        <v>5100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2">
      <c r="A1205" t="s">
        <v>172</v>
      </c>
      <c r="B1205" t="s">
        <v>9</v>
      </c>
      <c r="C1205">
        <v>10</v>
      </c>
      <c r="D1205">
        <v>3847</v>
      </c>
      <c r="E1205">
        <v>0</v>
      </c>
      <c r="F1205" t="s">
        <v>258</v>
      </c>
      <c r="G1205">
        <v>1</v>
      </c>
      <c r="H1205" t="s">
        <v>27</v>
      </c>
      <c r="I1205">
        <v>5880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5880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2">
      <c r="A1206" t="s">
        <v>172</v>
      </c>
      <c r="B1206" t="s">
        <v>9</v>
      </c>
      <c r="C1206">
        <v>10</v>
      </c>
      <c r="D1206">
        <v>3857</v>
      </c>
      <c r="E1206">
        <v>2</v>
      </c>
      <c r="F1206" t="s">
        <v>258</v>
      </c>
      <c r="G1206">
        <v>1</v>
      </c>
      <c r="H1206" t="s">
        <v>28</v>
      </c>
      <c r="I1206">
        <v>5100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2">
      <c r="A1207" t="s">
        <v>172</v>
      </c>
      <c r="B1207" t="s">
        <v>9</v>
      </c>
      <c r="C1207">
        <v>10</v>
      </c>
      <c r="D1207">
        <v>3902</v>
      </c>
      <c r="E1207">
        <v>0</v>
      </c>
      <c r="F1207" t="s">
        <v>258</v>
      </c>
      <c r="G1207">
        <v>1</v>
      </c>
      <c r="H1207" t="s">
        <v>27</v>
      </c>
      <c r="I1207">
        <v>2756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2">
      <c r="A1208" t="s">
        <v>172</v>
      </c>
      <c r="B1208" t="s">
        <v>9</v>
      </c>
      <c r="C1208">
        <v>10</v>
      </c>
      <c r="D1208">
        <v>3922</v>
      </c>
      <c r="E1208">
        <v>3</v>
      </c>
      <c r="F1208" t="s">
        <v>258</v>
      </c>
      <c r="G1208">
        <v>1</v>
      </c>
      <c r="H1208" t="s">
        <v>28</v>
      </c>
      <c r="I1208">
        <v>7267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2">
      <c r="A1209" t="s">
        <v>172</v>
      </c>
      <c r="B1209" t="s">
        <v>9</v>
      </c>
      <c r="C1209">
        <v>10</v>
      </c>
      <c r="D1209">
        <v>3822</v>
      </c>
      <c r="E1209">
        <v>0</v>
      </c>
      <c r="F1209" t="s">
        <v>258</v>
      </c>
      <c r="G1209">
        <v>1</v>
      </c>
      <c r="H1209" t="s">
        <v>28</v>
      </c>
      <c r="I1209">
        <v>5355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2">
      <c r="A1210" t="s">
        <v>172</v>
      </c>
      <c r="B1210" t="s">
        <v>9</v>
      </c>
      <c r="C1210">
        <v>10</v>
      </c>
      <c r="D1210">
        <v>4255</v>
      </c>
      <c r="E1210">
        <v>3</v>
      </c>
      <c r="F1210" t="s">
        <v>258</v>
      </c>
      <c r="G1210">
        <v>1</v>
      </c>
      <c r="H1210" t="s">
        <v>28</v>
      </c>
      <c r="I1210">
        <v>4760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4760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2">
      <c r="A1211" t="s">
        <v>172</v>
      </c>
      <c r="B1211" t="s">
        <v>9</v>
      </c>
      <c r="C1211">
        <v>10</v>
      </c>
      <c r="D1211">
        <v>4271</v>
      </c>
      <c r="E1211">
        <v>0</v>
      </c>
      <c r="F1211" t="s">
        <v>258</v>
      </c>
      <c r="G1211">
        <v>1</v>
      </c>
      <c r="H1211" t="s">
        <v>27</v>
      </c>
      <c r="I1211">
        <v>2894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2">
      <c r="A1212" t="s">
        <v>172</v>
      </c>
      <c r="B1212" t="s">
        <v>9</v>
      </c>
      <c r="C1212">
        <v>10</v>
      </c>
      <c r="D1212">
        <v>4220</v>
      </c>
      <c r="E1212">
        <v>0</v>
      </c>
      <c r="F1212" t="s">
        <v>258</v>
      </c>
      <c r="G1212">
        <v>1</v>
      </c>
      <c r="H1212" t="s">
        <v>27</v>
      </c>
      <c r="I1212">
        <v>2756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2">
      <c r="A1213" t="s">
        <v>172</v>
      </c>
      <c r="B1213" t="s">
        <v>9</v>
      </c>
      <c r="C1213">
        <v>10</v>
      </c>
      <c r="D1213">
        <v>4125</v>
      </c>
      <c r="E1213">
        <v>3</v>
      </c>
      <c r="F1213" t="s">
        <v>258</v>
      </c>
      <c r="G1213">
        <v>1</v>
      </c>
      <c r="H1213" t="s">
        <v>27</v>
      </c>
      <c r="I1213">
        <v>2480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2480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2">
      <c r="A1214" t="s">
        <v>172</v>
      </c>
      <c r="B1214" t="s">
        <v>9</v>
      </c>
      <c r="C1214">
        <v>10</v>
      </c>
      <c r="D1214">
        <v>3847</v>
      </c>
      <c r="E1214">
        <v>0</v>
      </c>
      <c r="F1214" t="s">
        <v>58</v>
      </c>
      <c r="G1214">
        <v>1</v>
      </c>
      <c r="H1214" t="s">
        <v>12</v>
      </c>
      <c r="I1214">
        <v>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11500</v>
      </c>
      <c r="L1214" s="43">
        <f>IFERROR(SUMIFS(Tabela10[Exp Gain only 2*+],Tabela10[Drop],DropAnalityka[[#This Row],[Drop]],Tabela10[Grade],DropAnalityka[[#This Row],[Grade]])*DropAnalityka[[#This Row],[Quality/Quantity]],0)</f>
        <v>35822</v>
      </c>
    </row>
    <row r="1215" spans="1:12">
      <c r="A1215" t="s">
        <v>172</v>
      </c>
      <c r="B1215" t="s">
        <v>9</v>
      </c>
      <c r="C1215">
        <v>10</v>
      </c>
      <c r="D1215">
        <v>4181</v>
      </c>
      <c r="E1215">
        <v>1</v>
      </c>
      <c r="F1215" t="s">
        <v>258</v>
      </c>
      <c r="G1215">
        <v>1</v>
      </c>
      <c r="H1215" t="s">
        <v>28</v>
      </c>
      <c r="I1215">
        <v>5440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2">
      <c r="A1216" t="s">
        <v>172</v>
      </c>
      <c r="B1216" t="s">
        <v>9</v>
      </c>
      <c r="C1216">
        <v>10</v>
      </c>
      <c r="D1216">
        <v>3847</v>
      </c>
      <c r="E1216">
        <v>0</v>
      </c>
      <c r="F1216" t="s">
        <v>34</v>
      </c>
      <c r="G1216">
        <v>4</v>
      </c>
      <c r="H1216" t="s">
        <v>17</v>
      </c>
      <c r="I1216">
        <v>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3200</v>
      </c>
    </row>
    <row r="1217" spans="1:12">
      <c r="A1217" t="s">
        <v>172</v>
      </c>
      <c r="B1217" t="s">
        <v>9</v>
      </c>
      <c r="C1217">
        <v>10</v>
      </c>
      <c r="D1217">
        <v>4162</v>
      </c>
      <c r="E1217">
        <v>2</v>
      </c>
      <c r="F1217" t="s">
        <v>258</v>
      </c>
      <c r="G1217">
        <v>1</v>
      </c>
      <c r="H1217" t="s">
        <v>28</v>
      </c>
      <c r="I1217">
        <v>4335</v>
      </c>
      <c r="J1217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:12">
      <c r="A1218" t="s">
        <v>172</v>
      </c>
      <c r="B1218" t="s">
        <v>9</v>
      </c>
      <c r="C1218">
        <v>10</v>
      </c>
      <c r="D1218">
        <v>3389</v>
      </c>
      <c r="E1218">
        <v>0</v>
      </c>
      <c r="F1218" t="s">
        <v>291</v>
      </c>
      <c r="G1218">
        <v>1</v>
      </c>
      <c r="H1218" t="s">
        <v>28</v>
      </c>
      <c r="I1218">
        <v>6075</v>
      </c>
      <c r="J1218">
        <f>DropAnalityka[[#This Row],[Sell Drop]]+IFERROR(SUMIFS(Tabela10[Drop Worth],Tabela10[Drop],DropAnalityka[[#This Row],[Drop]],Tabela10[Grade],DropAnalityka[[#This Row],[Grade]])*DropAnalityka[[#This Row],[Quality/Quantity]],0)</f>
        <v>6075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:12">
      <c r="A1219" t="s">
        <v>172</v>
      </c>
      <c r="B1219" t="s">
        <v>9</v>
      </c>
      <c r="C1219">
        <v>10</v>
      </c>
      <c r="D1219">
        <v>3666</v>
      </c>
      <c r="E1219">
        <v>1</v>
      </c>
      <c r="F1219" t="s">
        <v>258</v>
      </c>
      <c r="G1219">
        <v>1</v>
      </c>
      <c r="H1219" t="s">
        <v>27</v>
      </c>
      <c r="I1219">
        <v>2756</v>
      </c>
      <c r="J12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:12">
      <c r="A1220" t="s">
        <v>172</v>
      </c>
      <c r="B1220" t="s">
        <v>9</v>
      </c>
      <c r="C1220">
        <v>10</v>
      </c>
      <c r="D1220">
        <v>3605</v>
      </c>
      <c r="E1220">
        <v>1</v>
      </c>
      <c r="F1220" t="s">
        <v>291</v>
      </c>
      <c r="G1220">
        <v>1</v>
      </c>
      <c r="H1220" t="s">
        <v>28</v>
      </c>
      <c r="I1220">
        <v>5737</v>
      </c>
      <c r="J1220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:12">
      <c r="A1221" t="s">
        <v>172</v>
      </c>
      <c r="B1221" t="s">
        <v>9</v>
      </c>
      <c r="C1221">
        <v>10</v>
      </c>
      <c r="D1221">
        <v>3793</v>
      </c>
      <c r="E1221">
        <v>2</v>
      </c>
      <c r="F1221" t="s">
        <v>34</v>
      </c>
      <c r="G1221">
        <v>4</v>
      </c>
      <c r="H1221" t="s">
        <v>17</v>
      </c>
      <c r="I1221">
        <v>0</v>
      </c>
      <c r="J12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3200</v>
      </c>
    </row>
    <row r="1222" spans="1:12">
      <c r="A1222" t="s">
        <v>172</v>
      </c>
      <c r="B1222" t="s">
        <v>9</v>
      </c>
      <c r="C1222">
        <v>10</v>
      </c>
      <c r="D1222">
        <v>4423</v>
      </c>
      <c r="E1222">
        <v>0</v>
      </c>
      <c r="F1222" t="s">
        <v>258</v>
      </c>
      <c r="G1222">
        <v>1</v>
      </c>
      <c r="H1222" t="s">
        <v>28</v>
      </c>
      <c r="I1222">
        <v>8075</v>
      </c>
      <c r="J122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:12">
      <c r="A1223" t="s">
        <v>172</v>
      </c>
      <c r="B1223" t="s">
        <v>9</v>
      </c>
      <c r="C1223">
        <v>10</v>
      </c>
      <c r="D1223">
        <v>4020</v>
      </c>
      <c r="E1223">
        <v>1</v>
      </c>
      <c r="F1223" t="s">
        <v>205</v>
      </c>
      <c r="G1223">
        <v>3</v>
      </c>
      <c r="H1223" t="s">
        <v>26</v>
      </c>
      <c r="I1223">
        <v>0</v>
      </c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2587.5</v>
      </c>
      <c r="L1223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24" spans="1:12">
      <c r="A1224" t="s">
        <v>172</v>
      </c>
      <c r="B1224" t="s">
        <v>9</v>
      </c>
      <c r="C1224">
        <v>10</v>
      </c>
      <c r="D1224">
        <v>3900</v>
      </c>
      <c r="E1224">
        <v>1</v>
      </c>
      <c r="F1224" t="s">
        <v>291</v>
      </c>
      <c r="G1224">
        <v>1</v>
      </c>
      <c r="H1224" t="s">
        <v>27</v>
      </c>
      <c r="I1224">
        <v>3307</v>
      </c>
      <c r="J122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:12">
      <c r="A1225" t="s">
        <v>172</v>
      </c>
      <c r="B1225" t="s">
        <v>9</v>
      </c>
      <c r="C1225">
        <v>10</v>
      </c>
      <c r="D1225">
        <v>4316</v>
      </c>
      <c r="E1225">
        <v>1</v>
      </c>
      <c r="F1225" t="s">
        <v>258</v>
      </c>
      <c r="G1225">
        <v>1</v>
      </c>
      <c r="H1225" t="s">
        <v>28</v>
      </c>
      <c r="I1225">
        <v>14535</v>
      </c>
      <c r="J1225">
        <f>DropAnalityka[[#This Row],[Sell Drop]]+IFERROR(SUMIFS(Tabela10[Drop Worth],Tabela10[Drop],DropAnalityka[[#This Row],[Drop]],Tabela10[Grade],DropAnalityka[[#This Row],[Grade]])*DropAnalityka[[#This Row],[Quality/Quantity]],0)</f>
        <v>14535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:12">
      <c r="A1226" t="s">
        <v>172</v>
      </c>
      <c r="B1226" t="s">
        <v>9</v>
      </c>
      <c r="C1226">
        <v>10</v>
      </c>
      <c r="D1226">
        <v>3854</v>
      </c>
      <c r="E1226">
        <v>0</v>
      </c>
      <c r="F1226" t="s">
        <v>258</v>
      </c>
      <c r="G1226">
        <v>1</v>
      </c>
      <c r="H1226" t="s">
        <v>27</v>
      </c>
      <c r="I1226">
        <v>2940</v>
      </c>
      <c r="J122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:12">
      <c r="A1227" t="s">
        <v>172</v>
      </c>
      <c r="B1227" t="s">
        <v>9</v>
      </c>
      <c r="C1227">
        <v>10</v>
      </c>
      <c r="D1227">
        <v>4559</v>
      </c>
      <c r="E1227">
        <v>1</v>
      </c>
      <c r="F1227" t="s">
        <v>258</v>
      </c>
      <c r="G1227">
        <v>1</v>
      </c>
      <c r="H1227" t="s">
        <v>28</v>
      </c>
      <c r="I1227">
        <v>6120</v>
      </c>
      <c r="J122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:12">
      <c r="A1228" t="s">
        <v>172</v>
      </c>
      <c r="B1228" t="s">
        <v>9</v>
      </c>
      <c r="C1228">
        <v>10</v>
      </c>
      <c r="D1228">
        <v>4127</v>
      </c>
      <c r="E1228">
        <v>1</v>
      </c>
      <c r="F1228" t="s">
        <v>258</v>
      </c>
      <c r="G1228">
        <v>1</v>
      </c>
      <c r="H1228" t="s">
        <v>27</v>
      </c>
      <c r="I1228">
        <v>5512</v>
      </c>
      <c r="J122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:12">
      <c r="A1229" t="s">
        <v>172</v>
      </c>
      <c r="B1229" t="s">
        <v>9</v>
      </c>
      <c r="C1229">
        <v>10</v>
      </c>
      <c r="D1229">
        <v>4449</v>
      </c>
      <c r="E1229">
        <v>1</v>
      </c>
      <c r="F1229" t="s">
        <v>34</v>
      </c>
      <c r="G1229">
        <v>5</v>
      </c>
      <c r="H1229" t="s">
        <v>17</v>
      </c>
      <c r="I1229">
        <v>0</v>
      </c>
      <c r="J122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4000</v>
      </c>
    </row>
    <row r="1230" spans="1:12">
      <c r="A1230" t="s">
        <v>172</v>
      </c>
      <c r="B1230" t="s">
        <v>9</v>
      </c>
      <c r="C1230">
        <v>10</v>
      </c>
      <c r="D1230">
        <v>4660</v>
      </c>
      <c r="E1230">
        <v>3</v>
      </c>
      <c r="F1230" t="s">
        <v>258</v>
      </c>
      <c r="G1230">
        <v>1</v>
      </c>
      <c r="H1230" t="s">
        <v>28</v>
      </c>
      <c r="I1230">
        <v>6120</v>
      </c>
      <c r="J1230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:12">
      <c r="A1231" t="s">
        <v>172</v>
      </c>
      <c r="B1231" t="s">
        <v>9</v>
      </c>
      <c r="C1231">
        <v>10</v>
      </c>
      <c r="D1231">
        <v>4104</v>
      </c>
      <c r="E1231">
        <v>1</v>
      </c>
      <c r="F1231" t="s">
        <v>58</v>
      </c>
      <c r="G1231">
        <v>1</v>
      </c>
      <c r="H1231" t="s">
        <v>26</v>
      </c>
      <c r="I1231">
        <v>0</v>
      </c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34500</v>
      </c>
      <c r="L1231" s="43">
        <f>IFERROR(SUMIFS(Tabela10[Exp Gain only 2*+],Tabela10[Drop],DropAnalityka[[#This Row],[Drop]],Tabela10[Grade],DropAnalityka[[#This Row],[Grade]])*DropAnalityka[[#This Row],[Quality/Quantity]],0)</f>
        <v>118004</v>
      </c>
    </row>
    <row r="1232" spans="1:12">
      <c r="A1232" t="s">
        <v>172</v>
      </c>
      <c r="B1232" t="s">
        <v>9</v>
      </c>
      <c r="C1232">
        <v>10</v>
      </c>
      <c r="D1232">
        <v>4042</v>
      </c>
      <c r="E1232">
        <v>1</v>
      </c>
      <c r="F1232" t="s">
        <v>258</v>
      </c>
      <c r="G1232">
        <v>1</v>
      </c>
      <c r="H1232" t="s">
        <v>27</v>
      </c>
      <c r="I1232">
        <v>6615</v>
      </c>
      <c r="J123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:12">
      <c r="A1233" t="s">
        <v>172</v>
      </c>
      <c r="B1233" t="s">
        <v>9</v>
      </c>
      <c r="C1233">
        <v>10</v>
      </c>
      <c r="D1233">
        <v>3926</v>
      </c>
      <c r="E1233">
        <v>2</v>
      </c>
      <c r="F1233" t="s">
        <v>258</v>
      </c>
      <c r="G1233">
        <v>1</v>
      </c>
      <c r="H1233" t="s">
        <v>28</v>
      </c>
      <c r="I1233">
        <v>6502</v>
      </c>
      <c r="J1233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:12">
      <c r="A1234" t="s">
        <v>172</v>
      </c>
      <c r="B1234" t="s">
        <v>9</v>
      </c>
      <c r="C1234">
        <v>10</v>
      </c>
      <c r="D1234">
        <v>3945</v>
      </c>
      <c r="E1234">
        <v>2</v>
      </c>
      <c r="F1234" t="s">
        <v>34</v>
      </c>
      <c r="G1234">
        <v>4</v>
      </c>
      <c r="H1234" t="s">
        <v>17</v>
      </c>
      <c r="I1234">
        <v>0</v>
      </c>
      <c r="J12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3200</v>
      </c>
    </row>
    <row r="1235" spans="1:12">
      <c r="A1235" t="s">
        <v>172</v>
      </c>
      <c r="B1235" t="s">
        <v>9</v>
      </c>
      <c r="C1235">
        <v>10</v>
      </c>
      <c r="D1235">
        <v>4195</v>
      </c>
      <c r="E1235">
        <v>3</v>
      </c>
      <c r="F1235" t="s">
        <v>205</v>
      </c>
      <c r="G1235">
        <v>3</v>
      </c>
      <c r="H1235" t="s">
        <v>26</v>
      </c>
      <c r="I1235">
        <v>0</v>
      </c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2587.5</v>
      </c>
      <c r="L123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236" spans="1:12">
      <c r="A1236" t="s">
        <v>172</v>
      </c>
      <c r="B1236" t="s">
        <v>9</v>
      </c>
      <c r="C1236">
        <v>10</v>
      </c>
      <c r="D1236">
        <v>4313</v>
      </c>
      <c r="E1236">
        <v>3</v>
      </c>
      <c r="F1236" t="s">
        <v>291</v>
      </c>
      <c r="G1236">
        <v>1</v>
      </c>
      <c r="H1236" t="s">
        <v>27</v>
      </c>
      <c r="I1236">
        <v>4961</v>
      </c>
      <c r="J1236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:12">
      <c r="A1237" t="s">
        <v>172</v>
      </c>
      <c r="B1237" t="s">
        <v>9</v>
      </c>
      <c r="C1237">
        <v>10</v>
      </c>
      <c r="D1237">
        <v>3617</v>
      </c>
      <c r="E1237">
        <v>1</v>
      </c>
      <c r="F1237" t="s">
        <v>258</v>
      </c>
      <c r="G1237">
        <v>1</v>
      </c>
      <c r="H1237" t="s">
        <v>28</v>
      </c>
      <c r="I1237">
        <v>13770</v>
      </c>
      <c r="J1237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:12">
      <c r="A1238" t="s">
        <v>178</v>
      </c>
      <c r="B1238" t="s">
        <v>9</v>
      </c>
      <c r="C1238">
        <v>7</v>
      </c>
      <c r="D1238">
        <v>3713</v>
      </c>
      <c r="E1238">
        <v>1</v>
      </c>
      <c r="F1238" t="s">
        <v>258</v>
      </c>
      <c r="G1238">
        <v>1</v>
      </c>
      <c r="H1238" t="s">
        <v>27</v>
      </c>
      <c r="I1238">
        <v>7350</v>
      </c>
      <c r="J123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:12">
      <c r="A1239" t="s">
        <v>178</v>
      </c>
      <c r="B1239" t="s">
        <v>9</v>
      </c>
      <c r="C1239">
        <v>7</v>
      </c>
      <c r="D1239">
        <v>3997</v>
      </c>
      <c r="E1239">
        <v>1</v>
      </c>
      <c r="F1239" t="s">
        <v>258</v>
      </c>
      <c r="G1239">
        <v>1</v>
      </c>
      <c r="H1239" t="s">
        <v>27</v>
      </c>
      <c r="I1239">
        <v>3445</v>
      </c>
      <c r="J123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:12">
      <c r="A1240" t="s">
        <v>178</v>
      </c>
      <c r="B1240" t="s">
        <v>9</v>
      </c>
      <c r="C1240">
        <v>7</v>
      </c>
      <c r="D1240">
        <v>3898</v>
      </c>
      <c r="E1240">
        <v>0</v>
      </c>
      <c r="F1240" t="s">
        <v>258</v>
      </c>
      <c r="G1240">
        <v>1</v>
      </c>
      <c r="H1240" t="s">
        <v>27</v>
      </c>
      <c r="I1240">
        <v>3491</v>
      </c>
      <c r="J124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:12">
      <c r="A1241" t="s">
        <v>178</v>
      </c>
      <c r="B1241" t="s">
        <v>9</v>
      </c>
      <c r="C1241">
        <v>8</v>
      </c>
      <c r="D1241">
        <v>3967</v>
      </c>
      <c r="E1241">
        <v>1</v>
      </c>
      <c r="F1241" t="s">
        <v>34</v>
      </c>
      <c r="G1241">
        <v>4</v>
      </c>
      <c r="H1241" t="s">
        <v>17</v>
      </c>
      <c r="I1241">
        <v>0</v>
      </c>
      <c r="J124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3200</v>
      </c>
    </row>
    <row r="1242" spans="1:12">
      <c r="A1242" t="s">
        <v>178</v>
      </c>
      <c r="B1242" t="s">
        <v>9</v>
      </c>
      <c r="C1242">
        <v>8</v>
      </c>
      <c r="D1242">
        <v>3757</v>
      </c>
      <c r="E1242">
        <v>0</v>
      </c>
      <c r="F1242" t="s">
        <v>258</v>
      </c>
      <c r="G1242">
        <v>1</v>
      </c>
      <c r="H1242" t="s">
        <v>27</v>
      </c>
      <c r="I1242">
        <v>2940</v>
      </c>
      <c r="J1242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:12">
      <c r="A1243" t="s">
        <v>178</v>
      </c>
      <c r="B1243" t="s">
        <v>9</v>
      </c>
      <c r="C1243">
        <v>8</v>
      </c>
      <c r="D1243">
        <v>3610</v>
      </c>
      <c r="E1243">
        <v>2</v>
      </c>
      <c r="F1243" t="s">
        <v>34</v>
      </c>
      <c r="G1243">
        <v>5</v>
      </c>
      <c r="H1243" t="s">
        <v>17</v>
      </c>
      <c r="J124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4000</v>
      </c>
    </row>
    <row r="1244" spans="1:12">
      <c r="A1244" t="s">
        <v>178</v>
      </c>
      <c r="B1244" t="s">
        <v>9</v>
      </c>
      <c r="C1244">
        <v>8</v>
      </c>
      <c r="D1244">
        <v>4254</v>
      </c>
      <c r="E1244">
        <v>0</v>
      </c>
      <c r="F1244" t="s">
        <v>58</v>
      </c>
      <c r="G1244">
        <v>1</v>
      </c>
      <c r="H1244" t="s">
        <v>12</v>
      </c>
      <c r="I1244">
        <v>0</v>
      </c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11500</v>
      </c>
      <c r="L1244" s="43">
        <f>IFERROR(SUMIFS(Tabela10[Exp Gain only 2*+],Tabela10[Drop],DropAnalityka[[#This Row],[Drop]],Tabela10[Grade],DropAnalityka[[#This Row],[Grade]])*DropAnalityka[[#This Row],[Quality/Quantity]],0)</f>
        <v>35822</v>
      </c>
    </row>
    <row r="1245" spans="1:12">
      <c r="A1245" t="s">
        <v>178</v>
      </c>
      <c r="B1245" t="s">
        <v>9</v>
      </c>
      <c r="C1245">
        <v>8</v>
      </c>
      <c r="D1245">
        <v>3927</v>
      </c>
      <c r="E1245">
        <v>1</v>
      </c>
      <c r="F1245" t="s">
        <v>318</v>
      </c>
      <c r="G1245">
        <v>1</v>
      </c>
      <c r="H1245" t="s">
        <v>28</v>
      </c>
      <c r="I1245">
        <v>16150</v>
      </c>
      <c r="J1245">
        <f>DropAnalityka[[#This Row],[Sell Drop]]+IFERROR(SUMIFS(Tabela10[Drop Worth],Tabela10[Drop],DropAnalityka[[#This Row],[Drop]],Tabela10[Grade],DropAnalityka[[#This Row],[Grade]])*DropAnalityka[[#This Row],[Quality/Quantity]],0)</f>
        <v>16150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:12">
      <c r="A1246" t="s">
        <v>178</v>
      </c>
      <c r="B1246" t="s">
        <v>9</v>
      </c>
      <c r="C1246">
        <v>8</v>
      </c>
      <c r="D1246">
        <v>3878</v>
      </c>
      <c r="E1246">
        <v>0</v>
      </c>
      <c r="F1246" t="s">
        <v>258</v>
      </c>
      <c r="G1246">
        <v>1</v>
      </c>
      <c r="H1246" t="s">
        <v>28</v>
      </c>
      <c r="I1246">
        <v>7225</v>
      </c>
      <c r="J1246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:12">
      <c r="A1247" t="s">
        <v>178</v>
      </c>
      <c r="B1247" t="s">
        <v>9</v>
      </c>
      <c r="C1247">
        <v>8</v>
      </c>
      <c r="D1247">
        <v>3941</v>
      </c>
      <c r="E1247">
        <v>0</v>
      </c>
      <c r="F1247" t="s">
        <v>34</v>
      </c>
      <c r="G1247">
        <v>5</v>
      </c>
      <c r="H1247" t="s">
        <v>17</v>
      </c>
      <c r="I1247">
        <v>0</v>
      </c>
      <c r="J1247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4000</v>
      </c>
    </row>
    <row r="1248" spans="1:12">
      <c r="A1248" t="s">
        <v>178</v>
      </c>
      <c r="B1248" t="s">
        <v>9</v>
      </c>
      <c r="C1248">
        <v>8</v>
      </c>
      <c r="D1248">
        <v>4409</v>
      </c>
      <c r="E1248">
        <v>0</v>
      </c>
      <c r="F1248" t="s">
        <v>258</v>
      </c>
      <c r="G1248">
        <v>1</v>
      </c>
      <c r="H1248" t="s">
        <v>27</v>
      </c>
      <c r="I1248">
        <v>4364</v>
      </c>
      <c r="J1248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:12">
      <c r="A1249" t="s">
        <v>178</v>
      </c>
      <c r="B1249" t="s">
        <v>9</v>
      </c>
      <c r="C1249">
        <v>8</v>
      </c>
      <c r="D1249">
        <v>4062</v>
      </c>
      <c r="E1249">
        <v>4</v>
      </c>
      <c r="F1249" t="s">
        <v>34</v>
      </c>
      <c r="G1249">
        <v>5</v>
      </c>
      <c r="H1249" t="s">
        <v>17</v>
      </c>
      <c r="I1249">
        <v>0</v>
      </c>
      <c r="J1249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4000</v>
      </c>
    </row>
    <row r="1250" spans="1:12">
      <c r="A1250" t="s">
        <v>178</v>
      </c>
      <c r="B1250" t="s">
        <v>9</v>
      </c>
      <c r="C1250">
        <v>8</v>
      </c>
      <c r="D1250">
        <v>3764</v>
      </c>
      <c r="E1250">
        <v>0</v>
      </c>
      <c r="F1250" t="s">
        <v>258</v>
      </c>
      <c r="G1250">
        <v>1</v>
      </c>
      <c r="H1250" t="s">
        <v>28</v>
      </c>
      <c r="I1250">
        <v>12920</v>
      </c>
      <c r="J1250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:12">
      <c r="A1251" t="s">
        <v>178</v>
      </c>
      <c r="B1251" t="s">
        <v>9</v>
      </c>
      <c r="C1251">
        <v>8</v>
      </c>
      <c r="D1251">
        <v>3972</v>
      </c>
      <c r="E1251">
        <v>3</v>
      </c>
      <c r="F1251" t="s">
        <v>258</v>
      </c>
      <c r="G1251">
        <v>1</v>
      </c>
      <c r="H1251" t="s">
        <v>28</v>
      </c>
      <c r="I1251">
        <v>12920</v>
      </c>
      <c r="J1251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:12">
      <c r="A1252" t="s">
        <v>178</v>
      </c>
      <c r="B1252" t="s">
        <v>9</v>
      </c>
      <c r="C1252">
        <v>8</v>
      </c>
      <c r="D1252">
        <v>3793</v>
      </c>
      <c r="E1252">
        <v>1</v>
      </c>
      <c r="F1252" t="s">
        <v>258</v>
      </c>
      <c r="G1252">
        <v>1</v>
      </c>
      <c r="H1252" t="s">
        <v>27</v>
      </c>
      <c r="I1252">
        <v>6615</v>
      </c>
      <c r="J1252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:12">
      <c r="A1253" t="s">
        <v>178</v>
      </c>
      <c r="B1253" t="s">
        <v>9</v>
      </c>
      <c r="C1253">
        <v>8</v>
      </c>
      <c r="D1253">
        <v>3869</v>
      </c>
      <c r="E1253">
        <v>0</v>
      </c>
      <c r="F1253" t="s">
        <v>34</v>
      </c>
      <c r="G1253">
        <v>4</v>
      </c>
      <c r="H1253" t="s">
        <v>17</v>
      </c>
      <c r="I1253">
        <v>0</v>
      </c>
      <c r="J125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3200</v>
      </c>
    </row>
    <row r="1254" spans="1:12">
      <c r="A1254" t="s">
        <v>178</v>
      </c>
      <c r="B1254" t="s">
        <v>9</v>
      </c>
      <c r="C1254">
        <v>8</v>
      </c>
      <c r="D1254">
        <v>3629</v>
      </c>
      <c r="E1254">
        <v>0</v>
      </c>
      <c r="F1254" t="s">
        <v>291</v>
      </c>
      <c r="G1254">
        <v>1</v>
      </c>
      <c r="H1254" t="s">
        <v>27</v>
      </c>
      <c r="I1254">
        <v>4134</v>
      </c>
      <c r="J125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:12">
      <c r="A1255" t="s">
        <v>172</v>
      </c>
      <c r="B1255" t="s">
        <v>9</v>
      </c>
      <c r="C1255">
        <v>10</v>
      </c>
      <c r="D1255">
        <v>4330</v>
      </c>
      <c r="E1255">
        <v>2</v>
      </c>
      <c r="F1255" t="s">
        <v>258</v>
      </c>
      <c r="G1255">
        <v>1</v>
      </c>
      <c r="H1255" t="s">
        <v>28</v>
      </c>
      <c r="I1255">
        <v>8500</v>
      </c>
      <c r="J1255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:12">
      <c r="A1256" t="s">
        <v>172</v>
      </c>
      <c r="B1256" t="s">
        <v>9</v>
      </c>
      <c r="C1256">
        <v>10</v>
      </c>
      <c r="D1256">
        <v>3405</v>
      </c>
      <c r="E1256">
        <v>2</v>
      </c>
      <c r="F1256" t="s">
        <v>258</v>
      </c>
      <c r="G1256">
        <v>1</v>
      </c>
      <c r="H1256" t="s">
        <v>27</v>
      </c>
      <c r="I1256">
        <v>4134</v>
      </c>
      <c r="J1256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:12">
      <c r="A1257" t="s">
        <v>172</v>
      </c>
      <c r="B1257" t="s">
        <v>9</v>
      </c>
      <c r="C1257">
        <v>10</v>
      </c>
      <c r="D1257">
        <v>4212</v>
      </c>
      <c r="E1257">
        <v>0</v>
      </c>
      <c r="F1257" t="s">
        <v>318</v>
      </c>
      <c r="G1257">
        <v>1</v>
      </c>
      <c r="H1257" t="s">
        <v>27</v>
      </c>
      <c r="I1257">
        <v>12154</v>
      </c>
      <c r="J1257">
        <f>DropAnalityka[[#This Row],[Sell Drop]]+IFERROR(SUMIFS(Tabela10[Drop Worth],Tabela10[Drop],DropAnalityka[[#This Row],[Drop]],Tabela10[Grade],DropAnalityka[[#This Row],[Grade]])*DropAnalityka[[#This Row],[Quality/Quantity]],0)</f>
        <v>12154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:12">
      <c r="A1258" t="s">
        <v>172</v>
      </c>
      <c r="B1258" t="s">
        <v>9</v>
      </c>
      <c r="C1258">
        <v>10</v>
      </c>
      <c r="D1258">
        <v>3954</v>
      </c>
      <c r="E1258">
        <v>1</v>
      </c>
      <c r="F1258" t="s">
        <v>258</v>
      </c>
      <c r="G1258">
        <v>1</v>
      </c>
      <c r="H1258" t="s">
        <v>28</v>
      </c>
      <c r="I1258">
        <v>8524</v>
      </c>
      <c r="J1258">
        <f>DropAnalityka[[#This Row],[Sell Drop]]+IFERROR(SUMIFS(Tabela10[Drop Worth],Tabela10[Drop],DropAnalityka[[#This Row],[Drop]],Tabela10[Grade],DropAnalityka[[#This Row],[Grade]])*DropAnalityka[[#This Row],[Quality/Quantity]],0)</f>
        <v>8524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:12">
      <c r="A1259" t="s">
        <v>172</v>
      </c>
      <c r="B1259" t="s">
        <v>9</v>
      </c>
      <c r="C1259">
        <v>10</v>
      </c>
      <c r="D1259">
        <v>4287</v>
      </c>
      <c r="E1259">
        <v>0</v>
      </c>
      <c r="F1259" t="s">
        <v>291</v>
      </c>
      <c r="G1259">
        <v>1</v>
      </c>
      <c r="H1259" t="s">
        <v>27</v>
      </c>
      <c r="I1259">
        <v>5512</v>
      </c>
      <c r="J1259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:12">
      <c r="A1260" t="s">
        <v>172</v>
      </c>
      <c r="B1260" t="s">
        <v>9</v>
      </c>
      <c r="C1260">
        <v>10</v>
      </c>
      <c r="D1260">
        <v>4017</v>
      </c>
      <c r="E1260">
        <v>0</v>
      </c>
      <c r="F1260" t="s">
        <v>291</v>
      </c>
      <c r="G1260">
        <v>1</v>
      </c>
      <c r="H1260" t="s">
        <v>28</v>
      </c>
      <c r="I1260">
        <v>8160</v>
      </c>
      <c r="J1260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:12">
      <c r="A1261" t="s">
        <v>178</v>
      </c>
      <c r="B1261" t="s">
        <v>9</v>
      </c>
      <c r="C1261">
        <v>8</v>
      </c>
      <c r="D1261">
        <v>3963</v>
      </c>
      <c r="E1261">
        <v>4</v>
      </c>
      <c r="F1261" t="s">
        <v>258</v>
      </c>
      <c r="G1261">
        <v>1</v>
      </c>
      <c r="H1261" t="s">
        <v>28</v>
      </c>
      <c r="I1261">
        <v>6375</v>
      </c>
      <c r="J1261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:12">
      <c r="A1262" t="s">
        <v>178</v>
      </c>
      <c r="B1262" t="s">
        <v>9</v>
      </c>
      <c r="C1262">
        <v>8</v>
      </c>
      <c r="D1262">
        <v>3833</v>
      </c>
      <c r="E1262">
        <v>0</v>
      </c>
      <c r="F1262" t="s">
        <v>34</v>
      </c>
      <c r="G1262">
        <v>4</v>
      </c>
      <c r="H1262" t="s">
        <v>17</v>
      </c>
      <c r="I1262">
        <v>0</v>
      </c>
      <c r="J126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3200</v>
      </c>
    </row>
    <row r="1263" spans="1:12">
      <c r="A1263" t="s">
        <v>178</v>
      </c>
      <c r="B1263" t="s">
        <v>9</v>
      </c>
      <c r="C1263">
        <v>8</v>
      </c>
      <c r="D1263">
        <v>3798</v>
      </c>
      <c r="E1263">
        <v>0</v>
      </c>
      <c r="F1263" t="s">
        <v>258</v>
      </c>
      <c r="G1263">
        <v>1</v>
      </c>
      <c r="H1263" t="s">
        <v>27</v>
      </c>
      <c r="I1263">
        <v>4134</v>
      </c>
      <c r="J1263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:12">
      <c r="A1264" t="s">
        <v>178</v>
      </c>
      <c r="B1264" t="s">
        <v>9</v>
      </c>
      <c r="C1264">
        <v>8</v>
      </c>
      <c r="D1264">
        <v>3703</v>
      </c>
      <c r="E1264">
        <v>0</v>
      </c>
      <c r="F1264" t="s">
        <v>258</v>
      </c>
      <c r="G1264">
        <v>1</v>
      </c>
      <c r="H1264" t="s">
        <v>27</v>
      </c>
      <c r="I1264">
        <v>3123</v>
      </c>
      <c r="J1264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:12">
      <c r="A1265" t="s">
        <v>172</v>
      </c>
      <c r="B1265" t="s">
        <v>9</v>
      </c>
      <c r="C1265">
        <v>10</v>
      </c>
      <c r="D1265">
        <v>4015</v>
      </c>
      <c r="E1265">
        <v>3</v>
      </c>
      <c r="F1265" t="s">
        <v>34</v>
      </c>
      <c r="G1265">
        <v>5</v>
      </c>
      <c r="H1265" t="s">
        <v>17</v>
      </c>
      <c r="I1265">
        <v>0</v>
      </c>
      <c r="J126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4000</v>
      </c>
    </row>
    <row r="1266" spans="1:12">
      <c r="A1266" t="s">
        <v>172</v>
      </c>
      <c r="B1266" t="s">
        <v>9</v>
      </c>
      <c r="C1266">
        <v>10</v>
      </c>
      <c r="D1266">
        <v>3736</v>
      </c>
      <c r="E1266">
        <v>0</v>
      </c>
      <c r="F1266" t="s">
        <v>258</v>
      </c>
      <c r="G1266">
        <v>1</v>
      </c>
      <c r="H1266" t="s">
        <v>28</v>
      </c>
      <c r="I1266">
        <v>5100</v>
      </c>
      <c r="J1266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:12">
      <c r="A1267" t="s">
        <v>172</v>
      </c>
      <c r="B1267" t="s">
        <v>9</v>
      </c>
      <c r="C1267">
        <v>10</v>
      </c>
      <c r="D1267">
        <v>3629</v>
      </c>
      <c r="E1267">
        <v>0</v>
      </c>
      <c r="F1267" t="s">
        <v>291</v>
      </c>
      <c r="G1267">
        <v>1</v>
      </c>
      <c r="H1267" t="s">
        <v>28</v>
      </c>
      <c r="I1267">
        <v>8160</v>
      </c>
      <c r="J126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:12">
      <c r="A1268" t="s">
        <v>172</v>
      </c>
      <c r="B1268" t="s">
        <v>9</v>
      </c>
      <c r="C1268">
        <v>10</v>
      </c>
      <c r="D1268">
        <v>4069</v>
      </c>
      <c r="E1268">
        <v>0</v>
      </c>
      <c r="F1268" t="s">
        <v>258</v>
      </c>
      <c r="G1268">
        <v>1</v>
      </c>
      <c r="H1268" t="s">
        <v>28</v>
      </c>
      <c r="I1268">
        <v>8500</v>
      </c>
      <c r="J1268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:12">
      <c r="A1269" t="s">
        <v>172</v>
      </c>
      <c r="B1269" t="s">
        <v>9</v>
      </c>
      <c r="C1269">
        <v>10</v>
      </c>
      <c r="D1269">
        <v>3900</v>
      </c>
      <c r="E1269">
        <v>1</v>
      </c>
      <c r="F1269" t="s">
        <v>258</v>
      </c>
      <c r="G1269">
        <v>1</v>
      </c>
      <c r="H1269" t="s">
        <v>27</v>
      </c>
      <c r="I1269">
        <v>2411</v>
      </c>
      <c r="J1269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:12">
      <c r="A1270" t="s">
        <v>172</v>
      </c>
      <c r="B1270" t="s">
        <v>9</v>
      </c>
      <c r="C1270">
        <v>10</v>
      </c>
      <c r="D1270">
        <v>3744</v>
      </c>
      <c r="E1270">
        <v>0</v>
      </c>
      <c r="F1270" t="s">
        <v>258</v>
      </c>
      <c r="G1270">
        <v>1</v>
      </c>
      <c r="H1270" t="s">
        <v>27</v>
      </c>
      <c r="I1270">
        <v>3215</v>
      </c>
      <c r="J1270">
        <f>DropAnalityka[[#This Row],[Sell Drop]]+IFERROR(SUMIFS(Tabela10[Drop Worth],Tabela10[Drop],DropAnalityka[[#This Row],[Drop]],Tabela10[Grade],DropAnalityka[[#This Row],[Grade]])*DropAnalityka[[#This Row],[Quality/Quantity]],0)</f>
        <v>3215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:12">
      <c r="A1271" t="s">
        <v>172</v>
      </c>
      <c r="B1271" t="s">
        <v>9</v>
      </c>
      <c r="C1271">
        <v>10</v>
      </c>
      <c r="D1271">
        <v>4648</v>
      </c>
      <c r="E1271">
        <v>1</v>
      </c>
      <c r="F1271" t="s">
        <v>58</v>
      </c>
      <c r="G1271">
        <v>1</v>
      </c>
      <c r="H1271" t="s">
        <v>12</v>
      </c>
      <c r="I1271">
        <v>0</v>
      </c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11500</v>
      </c>
      <c r="L1271" s="43">
        <f>IFERROR(SUMIFS(Tabela10[Exp Gain only 2*+],Tabela10[Drop],DropAnalityka[[#This Row],[Drop]],Tabela10[Grade],DropAnalityka[[#This Row],[Grade]])*DropAnalityka[[#This Row],[Quality/Quantity]],0)</f>
        <v>35822</v>
      </c>
    </row>
    <row r="1272" spans="1:12">
      <c r="A1272" t="s">
        <v>172</v>
      </c>
      <c r="B1272" t="s">
        <v>9</v>
      </c>
      <c r="C1272">
        <v>10</v>
      </c>
      <c r="D1272">
        <v>4164</v>
      </c>
      <c r="E1272">
        <v>0</v>
      </c>
      <c r="F1272" t="s">
        <v>34</v>
      </c>
      <c r="G1272">
        <v>5</v>
      </c>
      <c r="H1272" t="s">
        <v>17</v>
      </c>
      <c r="I1272">
        <v>0</v>
      </c>
      <c r="J127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4000</v>
      </c>
    </row>
    <row r="1273" spans="1:12">
      <c r="A1273" t="s">
        <v>172</v>
      </c>
      <c r="B1273" t="s">
        <v>9</v>
      </c>
      <c r="C1273">
        <v>10</v>
      </c>
      <c r="D1273">
        <v>3725</v>
      </c>
      <c r="E1273">
        <v>0</v>
      </c>
      <c r="F1273" t="s">
        <v>258</v>
      </c>
      <c r="G1273">
        <v>1</v>
      </c>
      <c r="H1273" t="s">
        <v>29</v>
      </c>
      <c r="I1273">
        <v>8876</v>
      </c>
      <c r="J1273">
        <f>DropAnalityka[[#This Row],[Sell Drop]]+IFERROR(SUMIFS(Tabela10[Drop Worth],Tabela10[Drop],DropAnalityka[[#This Row],[Drop]],Tabela10[Grade],DropAnalityka[[#This Row],[Grade]])*DropAnalityka[[#This Row],[Quality/Quantity]],0)</f>
        <v>8876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:12">
      <c r="A1274" t="s">
        <v>172</v>
      </c>
      <c r="B1274" t="s">
        <v>9</v>
      </c>
      <c r="C1274">
        <v>10</v>
      </c>
      <c r="D1274">
        <v>4116</v>
      </c>
      <c r="E1274">
        <v>1</v>
      </c>
      <c r="F1274" t="s">
        <v>258</v>
      </c>
      <c r="G1274">
        <v>1</v>
      </c>
      <c r="H1274" t="s">
        <v>27</v>
      </c>
      <c r="I1274">
        <v>2940</v>
      </c>
      <c r="J1274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:12">
      <c r="A1275" t="s">
        <v>172</v>
      </c>
      <c r="B1275" t="s">
        <v>9</v>
      </c>
      <c r="C1275">
        <v>10</v>
      </c>
      <c r="D1275">
        <v>3438</v>
      </c>
      <c r="E1275">
        <v>0</v>
      </c>
      <c r="F1275" t="s">
        <v>258</v>
      </c>
      <c r="G1275">
        <v>1</v>
      </c>
      <c r="H1275" t="s">
        <v>28</v>
      </c>
      <c r="I1275">
        <v>3825</v>
      </c>
      <c r="J1275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:12">
      <c r="A1276" t="s">
        <v>172</v>
      </c>
      <c r="B1276" t="s">
        <v>9</v>
      </c>
      <c r="C1276">
        <v>10</v>
      </c>
      <c r="D1276">
        <v>4013</v>
      </c>
      <c r="E1276">
        <v>0</v>
      </c>
      <c r="F1276" t="s">
        <v>258</v>
      </c>
      <c r="G1276">
        <v>1</v>
      </c>
      <c r="H1276" t="s">
        <v>29</v>
      </c>
      <c r="I1276">
        <v>8321</v>
      </c>
      <c r="J1276">
        <f>DropAnalityka[[#This Row],[Sell Drop]]+IFERROR(SUMIFS(Tabela10[Drop Worth],Tabela10[Drop],DropAnalityka[[#This Row],[Drop]],Tabela10[Grade],DropAnalityka[[#This Row],[Grade]])*DropAnalityka[[#This Row],[Quality/Quantity]],0)</f>
        <v>8321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:12">
      <c r="A1277" t="s">
        <v>172</v>
      </c>
      <c r="B1277" t="s">
        <v>9</v>
      </c>
      <c r="C1277">
        <v>10</v>
      </c>
      <c r="D1277">
        <v>4287</v>
      </c>
      <c r="E1277">
        <v>1</v>
      </c>
      <c r="F1277" t="s">
        <v>318</v>
      </c>
      <c r="G1277">
        <v>1</v>
      </c>
      <c r="H1277" t="s">
        <v>27</v>
      </c>
      <c r="I1277">
        <v>5971</v>
      </c>
      <c r="J1277">
        <f>DropAnalityka[[#This Row],[Sell Drop]]+IFERROR(SUMIFS(Tabela10[Drop Worth],Tabela10[Drop],DropAnalityka[[#This Row],[Drop]],Tabela10[Grade],DropAnalityka[[#This Row],[Grade]])*DropAnalityka[[#This Row],[Quality/Quantity]],0)</f>
        <v>5971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:12">
      <c r="A1278" t="s">
        <v>172</v>
      </c>
      <c r="B1278" t="s">
        <v>9</v>
      </c>
      <c r="C1278">
        <v>10</v>
      </c>
      <c r="D1278">
        <v>3423</v>
      </c>
      <c r="E1278">
        <v>0</v>
      </c>
      <c r="F1278" t="s">
        <v>258</v>
      </c>
      <c r="G1278">
        <v>1</v>
      </c>
      <c r="H1278" t="s">
        <v>28</v>
      </c>
      <c r="I1278">
        <v>6502</v>
      </c>
      <c r="J1278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:12">
      <c r="A1279" t="s">
        <v>172</v>
      </c>
      <c r="B1279" t="s">
        <v>9</v>
      </c>
      <c r="C1279">
        <v>10</v>
      </c>
      <c r="D1279">
        <v>3869</v>
      </c>
      <c r="E1279">
        <v>0</v>
      </c>
      <c r="F1279" t="s">
        <v>258</v>
      </c>
      <c r="G1279">
        <v>1</v>
      </c>
      <c r="H1279" t="s">
        <v>28</v>
      </c>
      <c r="I1279">
        <v>10880</v>
      </c>
      <c r="J127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:12">
      <c r="A1280" t="s">
        <v>172</v>
      </c>
      <c r="B1280" t="s">
        <v>9</v>
      </c>
      <c r="C1280">
        <v>10</v>
      </c>
      <c r="D1280">
        <v>4067</v>
      </c>
      <c r="E1280">
        <v>1</v>
      </c>
      <c r="F1280" t="s">
        <v>291</v>
      </c>
      <c r="G1280">
        <v>1</v>
      </c>
      <c r="H1280" t="s">
        <v>28</v>
      </c>
      <c r="I1280">
        <v>7267</v>
      </c>
      <c r="J1280">
        <f>DropAnalityka[[#This Row],[Sell Drop]]+IFERROR(SUMIFS(Tabela10[Drop Worth],Tabela10[Drop],DropAnalityka[[#This Row],[Drop]],Tabela10[Grade],DropAnalityka[[#This Row],[Grade]])*DropAnalityka[[#This Row],[Quality/Quantity]],0)</f>
        <v>7267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:13">
      <c r="A1281" t="s">
        <v>172</v>
      </c>
      <c r="B1281" t="s">
        <v>9</v>
      </c>
      <c r="C1281">
        <v>10</v>
      </c>
      <c r="D1281">
        <v>4317</v>
      </c>
      <c r="E1281">
        <v>1</v>
      </c>
      <c r="F1281" t="s">
        <v>258</v>
      </c>
      <c r="G1281">
        <v>1</v>
      </c>
      <c r="H1281" t="s">
        <v>27</v>
      </c>
      <c r="I1281">
        <v>2067</v>
      </c>
      <c r="J128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:13">
      <c r="A1282" t="s">
        <v>172</v>
      </c>
      <c r="B1282" t="s">
        <v>9</v>
      </c>
      <c r="C1282">
        <v>10</v>
      </c>
      <c r="D1282">
        <v>3502</v>
      </c>
      <c r="E1282">
        <v>1</v>
      </c>
      <c r="F1282" t="s">
        <v>258</v>
      </c>
      <c r="G1282">
        <v>1</v>
      </c>
      <c r="H1282" t="s">
        <v>27</v>
      </c>
      <c r="I1282">
        <v>2411</v>
      </c>
      <c r="J128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:13">
      <c r="A1283" t="s">
        <v>172</v>
      </c>
      <c r="B1283" t="s">
        <v>9</v>
      </c>
      <c r="C1283">
        <v>10</v>
      </c>
      <c r="D1283">
        <v>4182</v>
      </c>
      <c r="E1283">
        <v>0</v>
      </c>
      <c r="F1283" t="s">
        <v>34</v>
      </c>
      <c r="G1283">
        <v>4</v>
      </c>
      <c r="H1283" t="s">
        <v>17</v>
      </c>
      <c r="I1283">
        <v>0</v>
      </c>
      <c r="J128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3200</v>
      </c>
    </row>
    <row r="1284" spans="1:13">
      <c r="A1284" t="s">
        <v>172</v>
      </c>
      <c r="B1284" t="s">
        <v>9</v>
      </c>
      <c r="C1284">
        <v>10</v>
      </c>
      <c r="D1284">
        <v>3429</v>
      </c>
      <c r="E1284">
        <v>0</v>
      </c>
      <c r="F1284" t="s">
        <v>258</v>
      </c>
      <c r="G1284">
        <v>1</v>
      </c>
      <c r="H1284" t="s">
        <v>28</v>
      </c>
      <c r="I1284">
        <v>10880</v>
      </c>
      <c r="J1284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:13">
      <c r="A1285" t="s">
        <v>172</v>
      </c>
      <c r="B1285" t="s">
        <v>9</v>
      </c>
      <c r="C1285">
        <v>10</v>
      </c>
      <c r="D1285">
        <v>4311</v>
      </c>
      <c r="E1285">
        <v>1</v>
      </c>
      <c r="F1285" t="s">
        <v>258</v>
      </c>
      <c r="G1285">
        <v>1</v>
      </c>
      <c r="H1285" t="s">
        <v>28</v>
      </c>
      <c r="I1285">
        <v>8075</v>
      </c>
      <c r="J1285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:13">
      <c r="A1286" t="s">
        <v>172</v>
      </c>
      <c r="B1286" t="s">
        <v>9</v>
      </c>
      <c r="C1286">
        <v>10</v>
      </c>
      <c r="D1286">
        <v>3883</v>
      </c>
      <c r="E1286">
        <v>0</v>
      </c>
      <c r="F1286" t="s">
        <v>291</v>
      </c>
      <c r="G1286">
        <v>1</v>
      </c>
      <c r="H1286" t="s">
        <v>28</v>
      </c>
      <c r="I1286">
        <v>6885</v>
      </c>
      <c r="J1286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:13">
      <c r="A1287" t="s">
        <v>172</v>
      </c>
      <c r="B1287" t="s">
        <v>9</v>
      </c>
      <c r="C1287">
        <v>10</v>
      </c>
      <c r="D1287">
        <v>961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  <c r="M1287" t="s">
        <v>204</v>
      </c>
    </row>
    <row r="1288" spans="1:13">
      <c r="A1288" t="s">
        <v>172</v>
      </c>
      <c r="B1288" t="s">
        <v>9</v>
      </c>
      <c r="C1288">
        <v>10</v>
      </c>
      <c r="D1288">
        <v>4397</v>
      </c>
      <c r="E1288">
        <v>3</v>
      </c>
      <c r="F1288" t="s">
        <v>258</v>
      </c>
      <c r="G1288">
        <v>1</v>
      </c>
      <c r="H1288" t="s">
        <v>27</v>
      </c>
      <c r="I1288">
        <v>3514</v>
      </c>
      <c r="J1288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:13">
      <c r="A1289" t="s">
        <v>172</v>
      </c>
      <c r="B1289" t="s">
        <v>9</v>
      </c>
      <c r="C1289">
        <v>10</v>
      </c>
      <c r="D1289">
        <v>3818</v>
      </c>
      <c r="E1289">
        <v>2</v>
      </c>
      <c r="F1289" t="s">
        <v>258</v>
      </c>
      <c r="G1289">
        <v>1</v>
      </c>
      <c r="H1289" t="s">
        <v>27</v>
      </c>
      <c r="I1289">
        <v>3675</v>
      </c>
      <c r="J1289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:13">
      <c r="A1290" t="s">
        <v>172</v>
      </c>
      <c r="B1290" t="s">
        <v>9</v>
      </c>
      <c r="C1290">
        <v>10</v>
      </c>
      <c r="D1290">
        <v>4006</v>
      </c>
      <c r="E1290">
        <v>2</v>
      </c>
      <c r="F1290" t="s">
        <v>258</v>
      </c>
      <c r="G1290">
        <v>1</v>
      </c>
      <c r="H1290" t="s">
        <v>29</v>
      </c>
      <c r="I1290">
        <v>12680</v>
      </c>
      <c r="J1290">
        <f>DropAnalityka[[#This Row],[Sell Drop]]+IFERROR(SUMIFS(Tabela10[Drop Worth],Tabela10[Drop],DropAnalityka[[#This Row],[Drop]],Tabela10[Grade],DropAnalityka[[#This Row],[Grade]])*DropAnalityka[[#This Row],[Quality/Quantity]],0)</f>
        <v>12680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:13">
      <c r="A1291" t="s">
        <v>172</v>
      </c>
      <c r="B1291" t="s">
        <v>9</v>
      </c>
      <c r="C1291">
        <v>10</v>
      </c>
      <c r="D1291">
        <v>4249</v>
      </c>
      <c r="E1291">
        <v>2</v>
      </c>
      <c r="F1291" t="s">
        <v>258</v>
      </c>
      <c r="G1291">
        <v>1</v>
      </c>
      <c r="H1291" t="s">
        <v>28</v>
      </c>
      <c r="I1291">
        <v>6120</v>
      </c>
      <c r="J1291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:13">
      <c r="A1292" t="s">
        <v>172</v>
      </c>
      <c r="B1292" t="s">
        <v>9</v>
      </c>
      <c r="C1292">
        <v>10</v>
      </c>
      <c r="D1292">
        <v>3495</v>
      </c>
      <c r="E1292">
        <v>1</v>
      </c>
      <c r="F1292" t="s">
        <v>258</v>
      </c>
      <c r="G1292">
        <v>1</v>
      </c>
      <c r="H1292" t="s">
        <v>28</v>
      </c>
      <c r="I1292">
        <v>3825</v>
      </c>
      <c r="J1292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:13">
      <c r="A1293" t="s">
        <v>172</v>
      </c>
      <c r="B1293" t="s">
        <v>9</v>
      </c>
      <c r="C1293">
        <v>10</v>
      </c>
      <c r="D1293">
        <v>4286</v>
      </c>
      <c r="E1293">
        <v>1</v>
      </c>
      <c r="F1293" t="s">
        <v>258</v>
      </c>
      <c r="G1293">
        <v>1</v>
      </c>
      <c r="H1293" t="s">
        <v>28</v>
      </c>
      <c r="I1293">
        <v>4335</v>
      </c>
      <c r="J1293">
        <f>DropAnalityka[[#This Row],[Sell Drop]]+IFERROR(SUMIFS(Tabela10[Drop Worth],Tabela10[Drop],DropAnalityka[[#This Row],[Drop]],Tabela10[Grade],DropAnalityka[[#This Row],[Grade]])*DropAnalityka[[#This Row],[Quality/Quantity]],0)</f>
        <v>4335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:13">
      <c r="A1294" t="s">
        <v>172</v>
      </c>
      <c r="B1294" t="s">
        <v>9</v>
      </c>
      <c r="C1294">
        <v>10</v>
      </c>
      <c r="D1294">
        <v>4231</v>
      </c>
      <c r="E1294">
        <v>0</v>
      </c>
      <c r="F1294" t="s">
        <v>258</v>
      </c>
      <c r="G1294">
        <v>1</v>
      </c>
      <c r="H1294" t="s">
        <v>27</v>
      </c>
      <c r="I1294">
        <v>6892</v>
      </c>
      <c r="J1294">
        <f>DropAnalityka[[#This Row],[Sell Drop]]+IFERROR(SUMIFS(Tabela10[Drop Worth],Tabela10[Drop],DropAnalityka[[#This Row],[Drop]],Tabela10[Grade],DropAnalityka[[#This Row],[Grade]])*DropAnalityka[[#This Row],[Quality/Quantity]],0)</f>
        <v>6892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:13">
      <c r="A1295" t="s">
        <v>172</v>
      </c>
      <c r="B1295" t="s">
        <v>9</v>
      </c>
      <c r="C1295">
        <v>10</v>
      </c>
      <c r="D1295">
        <v>4019</v>
      </c>
      <c r="E1295">
        <v>0</v>
      </c>
      <c r="F1295" t="s">
        <v>258</v>
      </c>
      <c r="G1295">
        <v>1</v>
      </c>
      <c r="H1295" t="s">
        <v>27</v>
      </c>
      <c r="I1295">
        <v>2756</v>
      </c>
      <c r="J129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:13">
      <c r="A1296" t="s">
        <v>172</v>
      </c>
      <c r="B1296" t="s">
        <v>9</v>
      </c>
      <c r="C1296">
        <v>10</v>
      </c>
      <c r="D1296">
        <v>4094</v>
      </c>
      <c r="E1296">
        <v>3</v>
      </c>
      <c r="F1296" t="s">
        <v>34</v>
      </c>
      <c r="G1296">
        <v>5</v>
      </c>
      <c r="H1296" t="s">
        <v>17</v>
      </c>
      <c r="I1296">
        <v>0</v>
      </c>
      <c r="J12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4000</v>
      </c>
    </row>
    <row r="1297" spans="1:12">
      <c r="A1297" t="s">
        <v>172</v>
      </c>
      <c r="B1297" t="s">
        <v>9</v>
      </c>
      <c r="C1297">
        <v>10</v>
      </c>
      <c r="D1297">
        <v>4074</v>
      </c>
      <c r="E1297">
        <v>1</v>
      </c>
      <c r="F1297" t="s">
        <v>291</v>
      </c>
      <c r="G1297">
        <v>1</v>
      </c>
      <c r="H1297" t="s">
        <v>27</v>
      </c>
      <c r="I1297">
        <v>2940</v>
      </c>
      <c r="J1297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:12">
      <c r="A1298" t="s">
        <v>172</v>
      </c>
      <c r="B1298" t="s">
        <v>9</v>
      </c>
      <c r="C1298">
        <v>10</v>
      </c>
      <c r="D1298">
        <v>4218</v>
      </c>
      <c r="E1298">
        <v>2</v>
      </c>
      <c r="F1298" t="s">
        <v>258</v>
      </c>
      <c r="G1298">
        <v>1</v>
      </c>
      <c r="H1298" t="s">
        <v>29</v>
      </c>
      <c r="I1298">
        <v>22824</v>
      </c>
      <c r="J1298">
        <f>DropAnalityka[[#This Row],[Sell Drop]]+IFERROR(SUMIFS(Tabela10[Drop Worth],Tabela10[Drop],DropAnalityka[[#This Row],[Drop]],Tabela10[Grade],DropAnalityka[[#This Row],[Grade]])*DropAnalityka[[#This Row],[Quality/Quantity]],0)</f>
        <v>22824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:12">
      <c r="A1299" t="s">
        <v>172</v>
      </c>
      <c r="B1299" t="s">
        <v>9</v>
      </c>
      <c r="C1299">
        <v>10</v>
      </c>
      <c r="D1299">
        <v>3925</v>
      </c>
      <c r="E1299">
        <v>1</v>
      </c>
      <c r="F1299" t="s">
        <v>291</v>
      </c>
      <c r="G1299">
        <v>1</v>
      </c>
      <c r="H1299" t="s">
        <v>28</v>
      </c>
      <c r="I1299">
        <v>15300</v>
      </c>
      <c r="J1299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:12">
      <c r="A1300" t="s">
        <v>172</v>
      </c>
      <c r="B1300" t="s">
        <v>9</v>
      </c>
      <c r="C1300">
        <v>10</v>
      </c>
      <c r="D1300">
        <v>4086</v>
      </c>
      <c r="E1300">
        <v>4</v>
      </c>
      <c r="F1300" t="s">
        <v>258</v>
      </c>
      <c r="G1300">
        <v>1</v>
      </c>
      <c r="H1300" t="s">
        <v>28</v>
      </c>
      <c r="I1300">
        <v>5652</v>
      </c>
      <c r="J1300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:12">
      <c r="A1301" t="s">
        <v>172</v>
      </c>
      <c r="B1301" t="s">
        <v>9</v>
      </c>
      <c r="C1301">
        <v>10</v>
      </c>
      <c r="D1301">
        <v>4019</v>
      </c>
      <c r="E1301">
        <v>1</v>
      </c>
      <c r="F1301" t="s">
        <v>258</v>
      </c>
      <c r="G1301">
        <v>1</v>
      </c>
      <c r="H1301" t="s">
        <v>29</v>
      </c>
      <c r="I1301">
        <v>8510</v>
      </c>
      <c r="J1301">
        <f>DropAnalityka[[#This Row],[Sell Drop]]+IFERROR(SUMIFS(Tabela10[Drop Worth],Tabela10[Drop],DropAnalityka[[#This Row],[Drop]],Tabela10[Grade],DropAnalityka[[#This Row],[Grade]])*DropAnalityka[[#This Row],[Quality/Quantity]],0)</f>
        <v>8510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:12">
      <c r="A1302" t="s">
        <v>172</v>
      </c>
      <c r="B1302" t="s">
        <v>9</v>
      </c>
      <c r="C1302">
        <v>10</v>
      </c>
      <c r="D1302">
        <v>4281</v>
      </c>
      <c r="E1302">
        <v>2</v>
      </c>
      <c r="F1302" t="s">
        <v>34</v>
      </c>
      <c r="G1302">
        <v>5</v>
      </c>
      <c r="H1302" t="s">
        <v>17</v>
      </c>
      <c r="I1302">
        <v>0</v>
      </c>
      <c r="J130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4000</v>
      </c>
    </row>
    <row r="1303" spans="1:12">
      <c r="A1303" t="s">
        <v>172</v>
      </c>
      <c r="B1303" t="s">
        <v>9</v>
      </c>
      <c r="C1303">
        <v>10</v>
      </c>
      <c r="D1303">
        <v>3978</v>
      </c>
      <c r="E1303">
        <v>1</v>
      </c>
      <c r="F1303" t="s">
        <v>258</v>
      </c>
      <c r="G1303">
        <v>1</v>
      </c>
      <c r="H1303" t="s">
        <v>28</v>
      </c>
      <c r="I1303">
        <v>5652</v>
      </c>
      <c r="J1303">
        <f>DropAnalityka[[#This Row],[Sell Drop]]+IFERROR(SUMIFS(Tabela10[Drop Worth],Tabela10[Drop],DropAnalityka[[#This Row],[Drop]],Tabela10[Grade],DropAnalityka[[#This Row],[Grade]])*DropAnalityka[[#This Row],[Quality/Quantity]],0)</f>
        <v>5652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:12">
      <c r="A1304" t="s">
        <v>172</v>
      </c>
      <c r="B1304" t="s">
        <v>9</v>
      </c>
      <c r="C1304">
        <v>10</v>
      </c>
      <c r="D1304">
        <v>4032</v>
      </c>
      <c r="E1304">
        <v>2</v>
      </c>
      <c r="F1304" t="s">
        <v>258</v>
      </c>
      <c r="G1304">
        <v>1</v>
      </c>
      <c r="H1304" t="s">
        <v>28</v>
      </c>
      <c r="I1304">
        <v>6120</v>
      </c>
      <c r="J1304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:12">
      <c r="A1305" t="s">
        <v>172</v>
      </c>
      <c r="B1305" t="s">
        <v>9</v>
      </c>
      <c r="C1305">
        <v>10</v>
      </c>
      <c r="D1305">
        <v>3957</v>
      </c>
      <c r="E1305">
        <v>0</v>
      </c>
      <c r="F1305" t="s">
        <v>291</v>
      </c>
      <c r="G1305">
        <v>1</v>
      </c>
      <c r="H1305" t="s">
        <v>28</v>
      </c>
      <c r="I1305">
        <v>6120</v>
      </c>
      <c r="J1305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:12">
      <c r="A1306" t="s">
        <v>172</v>
      </c>
      <c r="B1306" t="s">
        <v>9</v>
      </c>
      <c r="C1306">
        <v>10</v>
      </c>
      <c r="D1306">
        <v>3863</v>
      </c>
      <c r="E1306">
        <v>1</v>
      </c>
      <c r="F1306" t="s">
        <v>318</v>
      </c>
      <c r="G1306">
        <v>1</v>
      </c>
      <c r="H1306" t="s">
        <v>28</v>
      </c>
      <c r="I1306">
        <v>10200</v>
      </c>
      <c r="J1306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:12">
      <c r="A1307" t="s">
        <v>172</v>
      </c>
      <c r="B1307" t="s">
        <v>9</v>
      </c>
      <c r="C1307">
        <v>10</v>
      </c>
      <c r="D1307">
        <v>3842</v>
      </c>
      <c r="E1307">
        <v>0</v>
      </c>
      <c r="F1307" t="s">
        <v>258</v>
      </c>
      <c r="G1307">
        <v>1</v>
      </c>
      <c r="H1307" t="s">
        <v>28</v>
      </c>
      <c r="I1307">
        <v>5737</v>
      </c>
      <c r="J1307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:12">
      <c r="A1308" t="s">
        <v>172</v>
      </c>
      <c r="B1308" t="s">
        <v>9</v>
      </c>
      <c r="C1308">
        <v>10</v>
      </c>
      <c r="D1308">
        <v>4207</v>
      </c>
      <c r="E1308">
        <v>3</v>
      </c>
      <c r="F1308" t="s">
        <v>291</v>
      </c>
      <c r="G1308">
        <v>1</v>
      </c>
      <c r="H1308" t="s">
        <v>29</v>
      </c>
      <c r="I1308">
        <v>27103</v>
      </c>
      <c r="J1308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:12">
      <c r="A1309" t="s">
        <v>172</v>
      </c>
      <c r="B1309" t="s">
        <v>9</v>
      </c>
      <c r="C1309">
        <v>10</v>
      </c>
      <c r="D1309">
        <v>3865</v>
      </c>
      <c r="E1309">
        <v>0</v>
      </c>
      <c r="F1309" t="s">
        <v>291</v>
      </c>
      <c r="G1309">
        <v>1</v>
      </c>
      <c r="H1309" t="s">
        <v>27</v>
      </c>
      <c r="I1309">
        <v>4295</v>
      </c>
      <c r="J1309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:12">
      <c r="A1310" t="s">
        <v>172</v>
      </c>
      <c r="B1310" t="s">
        <v>9</v>
      </c>
      <c r="C1310">
        <v>10</v>
      </c>
      <c r="D1310">
        <v>4382</v>
      </c>
      <c r="E1310">
        <v>2</v>
      </c>
      <c r="F1310" t="s">
        <v>258</v>
      </c>
      <c r="G1310">
        <v>1</v>
      </c>
      <c r="H1310" t="s">
        <v>28</v>
      </c>
      <c r="I1310">
        <v>3825</v>
      </c>
      <c r="J1310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:12">
      <c r="A1311" t="s">
        <v>172</v>
      </c>
      <c r="B1311" t="s">
        <v>9</v>
      </c>
      <c r="C1311">
        <v>10</v>
      </c>
      <c r="D1311">
        <v>4218</v>
      </c>
      <c r="E1311">
        <v>2</v>
      </c>
      <c r="F1311" t="s">
        <v>291</v>
      </c>
      <c r="G1311">
        <v>1</v>
      </c>
      <c r="H1311" t="s">
        <v>28</v>
      </c>
      <c r="I1311">
        <v>3507</v>
      </c>
      <c r="J1311">
        <f>DropAnalityka[[#This Row],[Sell Drop]]+IFERROR(SUMIFS(Tabela10[Drop Worth],Tabela10[Drop],DropAnalityka[[#This Row],[Drop]],Tabela10[Grade],DropAnalityka[[#This Row],[Grade]])*DropAnalityka[[#This Row],[Quality/Quantity]],0)</f>
        <v>3507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:12">
      <c r="A1312" t="s">
        <v>172</v>
      </c>
      <c r="B1312" t="s">
        <v>9</v>
      </c>
      <c r="C1312">
        <v>10</v>
      </c>
      <c r="D1312">
        <v>3737</v>
      </c>
      <c r="E1312">
        <v>1</v>
      </c>
      <c r="F1312" t="s">
        <v>34</v>
      </c>
      <c r="G1312">
        <v>5</v>
      </c>
      <c r="H1312" t="s">
        <v>17</v>
      </c>
      <c r="I1312">
        <v>0</v>
      </c>
      <c r="J131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4000</v>
      </c>
    </row>
    <row r="1313" spans="1:12">
      <c r="A1313" t="s">
        <v>172</v>
      </c>
      <c r="B1313" t="s">
        <v>9</v>
      </c>
      <c r="C1313">
        <v>10</v>
      </c>
      <c r="D1313">
        <v>3979</v>
      </c>
      <c r="E1313">
        <v>2</v>
      </c>
      <c r="F1313" t="s">
        <v>291</v>
      </c>
      <c r="G1313">
        <v>1</v>
      </c>
      <c r="H1313" t="s">
        <v>27</v>
      </c>
      <c r="I1313">
        <v>4547</v>
      </c>
      <c r="J1313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:12">
      <c r="A1314" t="s">
        <v>172</v>
      </c>
      <c r="B1314" t="s">
        <v>9</v>
      </c>
      <c r="C1314">
        <v>10</v>
      </c>
      <c r="D1314">
        <v>3965</v>
      </c>
      <c r="E1314">
        <v>0</v>
      </c>
      <c r="F1314" t="s">
        <v>258</v>
      </c>
      <c r="G1314">
        <v>1</v>
      </c>
      <c r="H1314" t="s">
        <v>27</v>
      </c>
      <c r="I1314">
        <v>2573</v>
      </c>
      <c r="J1314">
        <f>DropAnalityka[[#This Row],[Sell Drop]]+IFERROR(SUMIFS(Tabela10[Drop Worth],Tabela10[Drop],DropAnalityka[[#This Row],[Drop]],Tabela10[Grade],DropAnalityka[[#This Row],[Grade]])*DropAnalityka[[#This Row],[Quality/Quantity]],0)</f>
        <v>2573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:12">
      <c r="A1315" t="s">
        <v>172</v>
      </c>
      <c r="B1315" t="s">
        <v>9</v>
      </c>
      <c r="C1315">
        <v>10</v>
      </c>
      <c r="D1315">
        <v>3790</v>
      </c>
      <c r="E1315">
        <v>1</v>
      </c>
      <c r="F1315" t="s">
        <v>34</v>
      </c>
      <c r="G1315">
        <v>4</v>
      </c>
      <c r="H1315" t="s">
        <v>17</v>
      </c>
      <c r="I1315">
        <v>0</v>
      </c>
      <c r="J131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3200</v>
      </c>
    </row>
    <row r="1316" spans="1:12">
      <c r="A1316" t="s">
        <v>172</v>
      </c>
      <c r="B1316" t="s">
        <v>9</v>
      </c>
      <c r="C1316">
        <v>10</v>
      </c>
      <c r="D1316">
        <v>4142</v>
      </c>
      <c r="E1316">
        <v>1</v>
      </c>
      <c r="F1316" t="s">
        <v>258</v>
      </c>
      <c r="G1316">
        <v>1</v>
      </c>
      <c r="H1316" t="s">
        <v>27</v>
      </c>
      <c r="I1316">
        <v>2411</v>
      </c>
      <c r="J13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:12">
      <c r="A1317" t="s">
        <v>172</v>
      </c>
      <c r="B1317" t="s">
        <v>9</v>
      </c>
      <c r="C1317">
        <v>10</v>
      </c>
      <c r="D1317">
        <v>3754</v>
      </c>
      <c r="E1317">
        <v>0</v>
      </c>
      <c r="F1317" t="s">
        <v>58</v>
      </c>
      <c r="G1317">
        <v>1</v>
      </c>
      <c r="H1317" t="s">
        <v>12</v>
      </c>
      <c r="I1317">
        <v>0</v>
      </c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11500</v>
      </c>
      <c r="L1317" s="43">
        <f>IFERROR(SUMIFS(Tabela10[Exp Gain only 2*+],Tabela10[Drop],DropAnalityka[[#This Row],[Drop]],Tabela10[Grade],DropAnalityka[[#This Row],[Grade]])*DropAnalityka[[#This Row],[Quality/Quantity]],0)</f>
        <v>35822</v>
      </c>
    </row>
    <row r="1318" spans="1:12">
      <c r="A1318" t="s">
        <v>172</v>
      </c>
      <c r="B1318" t="s">
        <v>9</v>
      </c>
      <c r="C1318">
        <v>10</v>
      </c>
      <c r="D1318">
        <v>4313</v>
      </c>
      <c r="E1318">
        <v>1</v>
      </c>
      <c r="F1318" t="s">
        <v>258</v>
      </c>
      <c r="G1318">
        <v>1</v>
      </c>
      <c r="H1318" t="s">
        <v>28</v>
      </c>
      <c r="I1318">
        <v>11560</v>
      </c>
      <c r="J1318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:12">
      <c r="A1319" t="s">
        <v>178</v>
      </c>
      <c r="B1319" t="s">
        <v>9</v>
      </c>
      <c r="C1319">
        <v>10</v>
      </c>
      <c r="D1319">
        <v>4211</v>
      </c>
      <c r="E1319">
        <v>0</v>
      </c>
      <c r="F1319" t="s">
        <v>318</v>
      </c>
      <c r="G1319">
        <v>1</v>
      </c>
      <c r="H1319" t="s">
        <v>28</v>
      </c>
      <c r="I1319">
        <v>10880</v>
      </c>
      <c r="J1319">
        <f>DropAnalityka[[#This Row],[Sell Drop]]+IFERROR(SUMIFS(Tabela10[Drop Worth],Tabela10[Drop],DropAnalityka[[#This Row],[Drop]],Tabela10[Grade],DropAnalityka[[#This Row],[Grade]])*DropAnalityka[[#This Row],[Quality/Quantity]],0)</f>
        <v>10880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:12">
      <c r="A1320" t="s">
        <v>178</v>
      </c>
      <c r="B1320" t="s">
        <v>9</v>
      </c>
      <c r="C1320">
        <v>10</v>
      </c>
      <c r="D1320">
        <v>4311</v>
      </c>
      <c r="E1320">
        <v>0</v>
      </c>
      <c r="F1320" t="s">
        <v>34</v>
      </c>
      <c r="G1320">
        <v>5</v>
      </c>
      <c r="H1320" t="s">
        <v>17</v>
      </c>
      <c r="I1320">
        <v>0</v>
      </c>
      <c r="J1320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4000</v>
      </c>
    </row>
    <row r="1321" spans="1:12">
      <c r="A1321" t="s">
        <v>178</v>
      </c>
      <c r="B1321" t="s">
        <v>9</v>
      </c>
      <c r="C1321">
        <v>10</v>
      </c>
      <c r="D1321">
        <v>4245</v>
      </c>
      <c r="E1321">
        <v>0</v>
      </c>
      <c r="F1321" t="s">
        <v>34</v>
      </c>
      <c r="G1321">
        <v>4</v>
      </c>
      <c r="H1321" t="s">
        <v>17</v>
      </c>
      <c r="I1321">
        <v>0</v>
      </c>
      <c r="J132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3200</v>
      </c>
    </row>
    <row r="1322" spans="1:12">
      <c r="A1322" t="s">
        <v>178</v>
      </c>
      <c r="B1322" t="s">
        <v>9</v>
      </c>
      <c r="C1322">
        <v>10</v>
      </c>
      <c r="D1322">
        <v>4436</v>
      </c>
      <c r="E1322">
        <v>1</v>
      </c>
      <c r="F1322" t="s">
        <v>258</v>
      </c>
      <c r="G1322">
        <v>1</v>
      </c>
      <c r="H1322" t="s">
        <v>28</v>
      </c>
      <c r="I1322">
        <v>8925</v>
      </c>
      <c r="J1322">
        <f>DropAnalityka[[#This Row],[Sell Drop]]+IFERROR(SUMIFS(Tabela10[Drop Worth],Tabela10[Drop],DropAnalityka[[#This Row],[Drop]],Tabela10[Grade],DropAnalityka[[#This Row],[Grade]])*DropAnalityka[[#This Row],[Quality/Quantity]],0)</f>
        <v>8925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:12">
      <c r="A1323" t="s">
        <v>178</v>
      </c>
      <c r="B1323" t="s">
        <v>9</v>
      </c>
      <c r="C1323">
        <v>10</v>
      </c>
      <c r="D1323">
        <v>4301</v>
      </c>
      <c r="E1323">
        <v>0</v>
      </c>
      <c r="F1323" t="s">
        <v>34</v>
      </c>
      <c r="G1323">
        <v>5</v>
      </c>
      <c r="H1323" t="s">
        <v>17</v>
      </c>
      <c r="I1323">
        <v>0</v>
      </c>
      <c r="J1323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4000</v>
      </c>
    </row>
    <row r="1324" spans="1:12">
      <c r="A1324" t="s">
        <v>178</v>
      </c>
      <c r="B1324" t="s">
        <v>9</v>
      </c>
      <c r="C1324">
        <v>10</v>
      </c>
      <c r="D1324">
        <v>4084</v>
      </c>
      <c r="E1324">
        <v>0</v>
      </c>
      <c r="F1324" t="s">
        <v>34</v>
      </c>
      <c r="G1324">
        <v>4</v>
      </c>
      <c r="H1324" t="s">
        <v>17</v>
      </c>
      <c r="I1324">
        <v>0</v>
      </c>
      <c r="J13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3200</v>
      </c>
    </row>
    <row r="1325" spans="1:12">
      <c r="A1325" t="s">
        <v>178</v>
      </c>
      <c r="B1325" t="s">
        <v>9</v>
      </c>
      <c r="C1325">
        <v>10</v>
      </c>
      <c r="D1325">
        <v>4184</v>
      </c>
      <c r="E1325">
        <v>1</v>
      </c>
      <c r="F1325" t="s">
        <v>291</v>
      </c>
      <c r="G1325">
        <v>1</v>
      </c>
      <c r="H1325" t="s">
        <v>28</v>
      </c>
      <c r="I1325">
        <v>13580</v>
      </c>
      <c r="J1325">
        <f>DropAnalityka[[#This Row],[Sell Drop]]+IFERROR(SUMIFS(Tabela10[Drop Worth],Tabela10[Drop],DropAnalityka[[#This Row],[Drop]],Tabela10[Grade],DropAnalityka[[#This Row],[Grade]])*DropAnalityka[[#This Row],[Quality/Quantity]],0)</f>
        <v>13580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:12">
      <c r="A1326" t="s">
        <v>178</v>
      </c>
      <c r="B1326" t="s">
        <v>9</v>
      </c>
      <c r="C1326">
        <v>10</v>
      </c>
      <c r="D1326">
        <v>4874</v>
      </c>
      <c r="E1326">
        <v>1</v>
      </c>
      <c r="F1326" t="s">
        <v>58</v>
      </c>
      <c r="G1326">
        <v>1</v>
      </c>
      <c r="H1326" t="s">
        <v>12</v>
      </c>
      <c r="I1326">
        <v>0</v>
      </c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11500</v>
      </c>
      <c r="L1326" s="43">
        <f>IFERROR(SUMIFS(Tabela10[Exp Gain only 2*+],Tabela10[Drop],DropAnalityka[[#This Row],[Drop]],Tabela10[Grade],DropAnalityka[[#This Row],[Grade]])*DropAnalityka[[#This Row],[Quality/Quantity]],0)</f>
        <v>35822</v>
      </c>
    </row>
    <row r="1327" spans="1:12">
      <c r="A1327" t="s">
        <v>178</v>
      </c>
      <c r="B1327" t="s">
        <v>9</v>
      </c>
      <c r="C1327">
        <v>10</v>
      </c>
      <c r="D1327">
        <v>4504</v>
      </c>
      <c r="E1327">
        <v>3</v>
      </c>
      <c r="F1327" t="s">
        <v>205</v>
      </c>
      <c r="G1327">
        <v>3</v>
      </c>
      <c r="H1327" t="s">
        <v>26</v>
      </c>
      <c r="I1327">
        <v>0</v>
      </c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2587.5</v>
      </c>
      <c r="L132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28" spans="1:12">
      <c r="A1328" t="s">
        <v>178</v>
      </c>
      <c r="B1328" t="s">
        <v>9</v>
      </c>
      <c r="C1328">
        <v>10</v>
      </c>
      <c r="D1328">
        <v>4678</v>
      </c>
      <c r="E1328">
        <v>0</v>
      </c>
      <c r="F1328" t="s">
        <v>258</v>
      </c>
      <c r="G1328">
        <v>1</v>
      </c>
      <c r="H1328" t="s">
        <v>27</v>
      </c>
      <c r="I1328">
        <v>2940</v>
      </c>
      <c r="J132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:12">
      <c r="A1329" t="s">
        <v>178</v>
      </c>
      <c r="B1329" t="s">
        <v>9</v>
      </c>
      <c r="C1329">
        <v>10</v>
      </c>
      <c r="D1329">
        <v>4384</v>
      </c>
      <c r="E1329">
        <v>3</v>
      </c>
      <c r="F1329" t="s">
        <v>258</v>
      </c>
      <c r="G1329">
        <v>1</v>
      </c>
      <c r="H1329" t="s">
        <v>28</v>
      </c>
      <c r="I1329">
        <v>6120</v>
      </c>
      <c r="J132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:12">
      <c r="A1330" t="s">
        <v>178</v>
      </c>
      <c r="B1330" t="s">
        <v>9</v>
      </c>
      <c r="C1330">
        <v>10</v>
      </c>
      <c r="D1330">
        <v>4926</v>
      </c>
      <c r="E1330">
        <v>2</v>
      </c>
      <c r="F1330" t="s">
        <v>258</v>
      </c>
      <c r="G1330">
        <v>1</v>
      </c>
      <c r="H1330" t="s">
        <v>29</v>
      </c>
      <c r="I1330">
        <v>22190</v>
      </c>
      <c r="J1330">
        <f>DropAnalityka[[#This Row],[Sell Drop]]+IFERROR(SUMIFS(Tabela10[Drop Worth],Tabela10[Drop],DropAnalityka[[#This Row],[Drop]],Tabela10[Grade],DropAnalityka[[#This Row],[Grade]])*DropAnalityka[[#This Row],[Quality/Quantity]],0)</f>
        <v>22190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:12">
      <c r="A1331" t="s">
        <v>178</v>
      </c>
      <c r="B1331" t="s">
        <v>9</v>
      </c>
      <c r="C1331">
        <v>10</v>
      </c>
      <c r="D1331">
        <v>4473</v>
      </c>
      <c r="E1331">
        <v>4</v>
      </c>
      <c r="F1331" t="s">
        <v>34</v>
      </c>
      <c r="G1331">
        <v>4</v>
      </c>
      <c r="H1331" t="s">
        <v>17</v>
      </c>
      <c r="I1331">
        <v>0</v>
      </c>
      <c r="J133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3200</v>
      </c>
    </row>
    <row r="1332" spans="1:12">
      <c r="A1332" t="s">
        <v>178</v>
      </c>
      <c r="B1332" t="s">
        <v>9</v>
      </c>
      <c r="C1332">
        <v>10</v>
      </c>
      <c r="D1332">
        <v>4685</v>
      </c>
      <c r="E1332">
        <v>0</v>
      </c>
      <c r="F1332" t="s">
        <v>258</v>
      </c>
      <c r="G1332">
        <v>1</v>
      </c>
      <c r="H1332" t="s">
        <v>27</v>
      </c>
      <c r="I1332">
        <v>3904</v>
      </c>
      <c r="J133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:12">
      <c r="A1333" t="s">
        <v>178</v>
      </c>
      <c r="B1333" t="s">
        <v>9</v>
      </c>
      <c r="C1333">
        <v>10</v>
      </c>
      <c r="D1333">
        <v>5046</v>
      </c>
      <c r="E1333">
        <v>1</v>
      </c>
      <c r="F1333" t="s">
        <v>258</v>
      </c>
      <c r="G1333">
        <v>1</v>
      </c>
      <c r="H1333" t="s">
        <v>28</v>
      </c>
      <c r="I1333">
        <v>10710</v>
      </c>
      <c r="J1333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:12">
      <c r="A1334" t="s">
        <v>178</v>
      </c>
      <c r="B1334" t="s">
        <v>9</v>
      </c>
      <c r="C1334">
        <v>9</v>
      </c>
      <c r="D1334">
        <v>3976</v>
      </c>
      <c r="E1334">
        <v>1</v>
      </c>
      <c r="F1334" t="s">
        <v>34</v>
      </c>
      <c r="G1334">
        <v>4</v>
      </c>
      <c r="H1334" t="s">
        <v>17</v>
      </c>
      <c r="I1334">
        <v>0</v>
      </c>
      <c r="J133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3200</v>
      </c>
    </row>
    <row r="1335" spans="1:12">
      <c r="A1335" t="s">
        <v>178</v>
      </c>
      <c r="B1335" t="s">
        <v>9</v>
      </c>
      <c r="C1335">
        <v>9</v>
      </c>
      <c r="D1335">
        <v>3952</v>
      </c>
      <c r="E1335">
        <v>1</v>
      </c>
      <c r="F1335" t="s">
        <v>34</v>
      </c>
      <c r="G1335">
        <v>4</v>
      </c>
      <c r="H1335" t="s">
        <v>17</v>
      </c>
      <c r="I1335">
        <v>0</v>
      </c>
      <c r="J1335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3200</v>
      </c>
    </row>
    <row r="1336" spans="1:12">
      <c r="A1336" t="s">
        <v>178</v>
      </c>
      <c r="B1336" t="s">
        <v>9</v>
      </c>
      <c r="C1336">
        <v>9</v>
      </c>
      <c r="D1336">
        <v>4003</v>
      </c>
      <c r="E1336">
        <v>1</v>
      </c>
      <c r="F1336" t="s">
        <v>258</v>
      </c>
      <c r="G1336">
        <v>1</v>
      </c>
      <c r="H1336" t="s">
        <v>27</v>
      </c>
      <c r="I1336">
        <v>6615</v>
      </c>
      <c r="J1336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:12">
      <c r="A1337" t="s">
        <v>178</v>
      </c>
      <c r="B1337" t="s">
        <v>9</v>
      </c>
      <c r="C1337">
        <v>9</v>
      </c>
      <c r="D1337">
        <v>4086</v>
      </c>
      <c r="E1337">
        <v>0</v>
      </c>
      <c r="F1337" t="s">
        <v>318</v>
      </c>
      <c r="G1337">
        <v>1</v>
      </c>
      <c r="H1337" t="s">
        <v>28</v>
      </c>
      <c r="I1337">
        <v>15300</v>
      </c>
      <c r="J1337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:12">
      <c r="A1338" t="s">
        <v>178</v>
      </c>
      <c r="B1338" t="s">
        <v>9</v>
      </c>
      <c r="C1338">
        <v>9</v>
      </c>
      <c r="D1338">
        <v>4099</v>
      </c>
      <c r="E1338">
        <v>0</v>
      </c>
      <c r="F1338" t="s">
        <v>258</v>
      </c>
      <c r="G1338">
        <v>1</v>
      </c>
      <c r="H1338" t="s">
        <v>27</v>
      </c>
      <c r="I1338">
        <v>6982</v>
      </c>
      <c r="J1338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:12">
      <c r="A1339" t="s">
        <v>178</v>
      </c>
      <c r="B1339" t="s">
        <v>9</v>
      </c>
      <c r="C1339">
        <v>9</v>
      </c>
      <c r="D1339">
        <v>3929</v>
      </c>
      <c r="E1339">
        <v>3</v>
      </c>
      <c r="F1339" t="s">
        <v>258</v>
      </c>
      <c r="G1339">
        <v>1</v>
      </c>
      <c r="H1339" t="s">
        <v>27</v>
      </c>
      <c r="I1339">
        <v>7028</v>
      </c>
      <c r="J1339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:12">
      <c r="A1340" t="s">
        <v>178</v>
      </c>
      <c r="B1340" t="s">
        <v>9</v>
      </c>
      <c r="C1340">
        <v>9</v>
      </c>
      <c r="D1340">
        <v>4239</v>
      </c>
      <c r="E1340">
        <v>1</v>
      </c>
      <c r="F1340" t="s">
        <v>258</v>
      </c>
      <c r="G1340">
        <v>1</v>
      </c>
      <c r="H1340" t="s">
        <v>27</v>
      </c>
      <c r="I1340">
        <v>7855</v>
      </c>
      <c r="J1340">
        <f>DropAnalityka[[#This Row],[Sell Drop]]+IFERROR(SUMIFS(Tabela10[Drop Worth],Tabela10[Drop],DropAnalityka[[#This Row],[Drop]],Tabela10[Grade],DropAnalityka[[#This Row],[Grade]])*DropAnalityka[[#This Row],[Quality/Quantity]],0)</f>
        <v>7855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:12">
      <c r="A1341" t="s">
        <v>178</v>
      </c>
      <c r="B1341" t="s">
        <v>9</v>
      </c>
      <c r="C1341">
        <v>9</v>
      </c>
      <c r="D1341">
        <v>3909</v>
      </c>
      <c r="E1341">
        <v>0</v>
      </c>
      <c r="F1341" t="s">
        <v>34</v>
      </c>
      <c r="G1341">
        <v>5</v>
      </c>
      <c r="H1341" t="s">
        <v>17</v>
      </c>
      <c r="I1341">
        <v>0</v>
      </c>
      <c r="J13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4000</v>
      </c>
    </row>
    <row r="1342" spans="1:12">
      <c r="A1342" t="s">
        <v>178</v>
      </c>
      <c r="B1342" t="s">
        <v>9</v>
      </c>
      <c r="C1342">
        <v>9</v>
      </c>
      <c r="D1342">
        <v>4064</v>
      </c>
      <c r="E1342">
        <v>1</v>
      </c>
      <c r="F1342" t="s">
        <v>34</v>
      </c>
      <c r="G1342">
        <v>5</v>
      </c>
      <c r="H1342" t="s">
        <v>17</v>
      </c>
      <c r="I1342">
        <v>0</v>
      </c>
      <c r="J134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4000</v>
      </c>
    </row>
    <row r="1343" spans="1:12">
      <c r="A1343" t="s">
        <v>178</v>
      </c>
      <c r="B1343" t="s">
        <v>9</v>
      </c>
      <c r="C1343">
        <v>9</v>
      </c>
      <c r="D1343">
        <v>4083</v>
      </c>
      <c r="E1343">
        <v>0</v>
      </c>
      <c r="F1343" t="s">
        <v>258</v>
      </c>
      <c r="G1343">
        <v>1</v>
      </c>
      <c r="H1343" t="s">
        <v>27</v>
      </c>
      <c r="I1343">
        <v>6615</v>
      </c>
      <c r="J1343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:12">
      <c r="A1344" t="s">
        <v>178</v>
      </c>
      <c r="B1344" t="s">
        <v>9</v>
      </c>
      <c r="C1344">
        <v>9</v>
      </c>
      <c r="D1344">
        <v>3906</v>
      </c>
      <c r="E1344">
        <v>1</v>
      </c>
      <c r="F1344" t="s">
        <v>258</v>
      </c>
      <c r="G1344">
        <v>1</v>
      </c>
      <c r="H1344" t="s">
        <v>28</v>
      </c>
      <c r="I1344">
        <v>13005</v>
      </c>
      <c r="J1344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:12">
      <c r="A1345" t="s">
        <v>178</v>
      </c>
      <c r="B1345" t="s">
        <v>9</v>
      </c>
      <c r="C1345">
        <v>9</v>
      </c>
      <c r="D1345">
        <v>4056</v>
      </c>
      <c r="E1345">
        <v>0</v>
      </c>
      <c r="F1345" t="s">
        <v>258</v>
      </c>
      <c r="G1345">
        <v>1</v>
      </c>
      <c r="H1345" t="s">
        <v>27</v>
      </c>
      <c r="I1345">
        <v>6615</v>
      </c>
      <c r="J134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:12">
      <c r="A1346" t="s">
        <v>178</v>
      </c>
      <c r="B1346" t="s">
        <v>9</v>
      </c>
      <c r="C1346">
        <v>9</v>
      </c>
      <c r="D1346">
        <v>4209</v>
      </c>
      <c r="E1346">
        <v>1</v>
      </c>
      <c r="F1346" t="s">
        <v>205</v>
      </c>
      <c r="G1346">
        <v>3</v>
      </c>
      <c r="H1346" t="s">
        <v>26</v>
      </c>
      <c r="I1346">
        <v>0</v>
      </c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2587.5</v>
      </c>
      <c r="L1346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47" spans="1:12">
      <c r="A1347" t="s">
        <v>178</v>
      </c>
      <c r="B1347" t="s">
        <v>9</v>
      </c>
      <c r="C1347">
        <v>9</v>
      </c>
      <c r="D1347">
        <v>3820</v>
      </c>
      <c r="E1347">
        <v>1</v>
      </c>
      <c r="F1347" t="s">
        <v>258</v>
      </c>
      <c r="G1347">
        <v>1</v>
      </c>
      <c r="H1347" t="s">
        <v>27</v>
      </c>
      <c r="I1347">
        <v>3445</v>
      </c>
      <c r="J1347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:12">
      <c r="A1348" t="s">
        <v>178</v>
      </c>
      <c r="B1348" t="s">
        <v>9</v>
      </c>
      <c r="C1348">
        <v>9</v>
      </c>
      <c r="D1348">
        <v>3866</v>
      </c>
      <c r="E1348">
        <v>1</v>
      </c>
      <c r="F1348" t="s">
        <v>258</v>
      </c>
      <c r="G1348">
        <v>1</v>
      </c>
      <c r="H1348" t="s">
        <v>28</v>
      </c>
      <c r="I1348">
        <v>12340</v>
      </c>
      <c r="J1348">
        <f>DropAnalityka[[#This Row],[Sell Drop]]+IFERROR(SUMIFS(Tabela10[Drop Worth],Tabela10[Drop],DropAnalityka[[#This Row],[Drop]],Tabela10[Grade],DropAnalityka[[#This Row],[Grade]])*DropAnalityka[[#This Row],[Quality/Quantity]],0)</f>
        <v>12340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:12">
      <c r="A1349" t="s">
        <v>178</v>
      </c>
      <c r="B1349" t="s">
        <v>9</v>
      </c>
      <c r="C1349">
        <v>9</v>
      </c>
      <c r="D1349">
        <v>3662</v>
      </c>
      <c r="E1349">
        <v>2</v>
      </c>
      <c r="F1349" t="s">
        <v>34</v>
      </c>
      <c r="G1349">
        <v>4</v>
      </c>
      <c r="H1349" t="s">
        <v>17</v>
      </c>
      <c r="I1349">
        <v>0</v>
      </c>
      <c r="J134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3200</v>
      </c>
    </row>
    <row r="1350" spans="1:12">
      <c r="A1350" t="s">
        <v>178</v>
      </c>
      <c r="B1350" t="s">
        <v>9</v>
      </c>
      <c r="C1350">
        <v>9</v>
      </c>
      <c r="D1350">
        <v>4037</v>
      </c>
      <c r="E1350">
        <v>2</v>
      </c>
      <c r="F1350" t="s">
        <v>258</v>
      </c>
      <c r="G1350">
        <v>1</v>
      </c>
      <c r="H1350" t="s">
        <v>28</v>
      </c>
      <c r="I1350">
        <v>5440</v>
      </c>
      <c r="J135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:12">
      <c r="A1351" t="s">
        <v>178</v>
      </c>
      <c r="B1351" t="s">
        <v>9</v>
      </c>
      <c r="C1351">
        <v>9</v>
      </c>
      <c r="D1351">
        <v>4030</v>
      </c>
      <c r="E1351">
        <v>0</v>
      </c>
      <c r="F1351" t="s">
        <v>258</v>
      </c>
      <c r="G1351">
        <v>1</v>
      </c>
      <c r="H1351" t="s">
        <v>27</v>
      </c>
      <c r="I1351">
        <v>5788</v>
      </c>
      <c r="J1351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:12">
      <c r="A1352" t="s">
        <v>178</v>
      </c>
      <c r="B1352" t="s">
        <v>9</v>
      </c>
      <c r="C1352">
        <v>9</v>
      </c>
      <c r="D1352">
        <v>4230</v>
      </c>
      <c r="E1352">
        <v>0</v>
      </c>
      <c r="F1352" t="s">
        <v>34</v>
      </c>
      <c r="G1352">
        <v>5</v>
      </c>
      <c r="H1352" t="s">
        <v>17</v>
      </c>
      <c r="I1352">
        <v>0</v>
      </c>
      <c r="J135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4000</v>
      </c>
    </row>
    <row r="1353" spans="1:12">
      <c r="A1353" t="s">
        <v>178</v>
      </c>
      <c r="B1353" t="s">
        <v>9</v>
      </c>
      <c r="C1353">
        <v>9</v>
      </c>
      <c r="D1353">
        <v>4242</v>
      </c>
      <c r="E1353">
        <v>1</v>
      </c>
      <c r="F1353" t="s">
        <v>58</v>
      </c>
      <c r="G1353">
        <v>1</v>
      </c>
      <c r="H1353" t="s">
        <v>12</v>
      </c>
      <c r="I1353">
        <v>0</v>
      </c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11500</v>
      </c>
      <c r="L1353" s="43">
        <f>IFERROR(SUMIFS(Tabela10[Exp Gain only 2*+],Tabela10[Drop],DropAnalityka[[#This Row],[Drop]],Tabela10[Grade],DropAnalityka[[#This Row],[Grade]])*DropAnalityka[[#This Row],[Quality/Quantity]],0)</f>
        <v>35822</v>
      </c>
    </row>
    <row r="1354" spans="1:12">
      <c r="A1354" t="s">
        <v>178</v>
      </c>
      <c r="B1354" t="s">
        <v>9</v>
      </c>
      <c r="C1354">
        <v>9</v>
      </c>
      <c r="D1354">
        <v>3742</v>
      </c>
      <c r="E1354">
        <v>1</v>
      </c>
      <c r="F1354" t="s">
        <v>258</v>
      </c>
      <c r="G1354">
        <v>1</v>
      </c>
      <c r="H1354" t="s">
        <v>29</v>
      </c>
      <c r="I1354">
        <v>20288</v>
      </c>
      <c r="J1354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:12">
      <c r="A1355" t="s">
        <v>178</v>
      </c>
      <c r="B1355" t="s">
        <v>9</v>
      </c>
      <c r="C1355">
        <v>9</v>
      </c>
      <c r="D1355">
        <v>4004</v>
      </c>
      <c r="E1355">
        <v>1</v>
      </c>
      <c r="F1355" t="s">
        <v>258</v>
      </c>
      <c r="G1355">
        <v>1</v>
      </c>
      <c r="H1355" t="s">
        <v>27</v>
      </c>
      <c r="I1355">
        <v>3123</v>
      </c>
      <c r="J1355">
        <f>DropAnalityka[[#This Row],[Sell Drop]]+IFERROR(SUMIFS(Tabela10[Drop Worth],Tabela10[Drop],DropAnalityka[[#This Row],[Drop]],Tabela10[Grade],DropAnalityka[[#This Row],[Grade]])*DropAnalityka[[#This Row],[Quality/Quantity]],0)</f>
        <v>3123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:12">
      <c r="A1356" t="s">
        <v>178</v>
      </c>
      <c r="B1356" t="s">
        <v>9</v>
      </c>
      <c r="C1356">
        <v>9</v>
      </c>
      <c r="D1356">
        <v>3972</v>
      </c>
      <c r="E1356">
        <v>1</v>
      </c>
      <c r="F1356" t="s">
        <v>291</v>
      </c>
      <c r="G1356">
        <v>1</v>
      </c>
      <c r="H1356" t="s">
        <v>27</v>
      </c>
      <c r="I1356">
        <v>7809</v>
      </c>
      <c r="J1356">
        <f>DropAnalityka[[#This Row],[Sell Drop]]+IFERROR(SUMIFS(Tabela10[Drop Worth],Tabela10[Drop],DropAnalityka[[#This Row],[Drop]],Tabela10[Grade],DropAnalityka[[#This Row],[Grade]])*DropAnalityka[[#This Row],[Quality/Quantity]],0)</f>
        <v>7809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:12">
      <c r="A1357" t="s">
        <v>178</v>
      </c>
      <c r="B1357" t="s">
        <v>9</v>
      </c>
      <c r="C1357">
        <v>9</v>
      </c>
      <c r="D1357">
        <v>3789</v>
      </c>
      <c r="E1357">
        <v>3</v>
      </c>
      <c r="F1357" t="s">
        <v>258</v>
      </c>
      <c r="G1357">
        <v>1</v>
      </c>
      <c r="H1357" t="s">
        <v>28</v>
      </c>
      <c r="I1357">
        <v>12240</v>
      </c>
      <c r="J1357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:12">
      <c r="A1358" t="s">
        <v>178</v>
      </c>
      <c r="B1358" t="s">
        <v>9</v>
      </c>
      <c r="C1358">
        <v>9</v>
      </c>
      <c r="D1358">
        <v>3881</v>
      </c>
      <c r="E1358">
        <v>1</v>
      </c>
      <c r="F1358" t="s">
        <v>291</v>
      </c>
      <c r="G1358">
        <v>1</v>
      </c>
      <c r="H1358" t="s">
        <v>28</v>
      </c>
      <c r="I1358">
        <v>8160</v>
      </c>
      <c r="J1358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:12">
      <c r="A1359" t="s">
        <v>178</v>
      </c>
      <c r="B1359" t="s">
        <v>9</v>
      </c>
      <c r="C1359">
        <v>9</v>
      </c>
      <c r="D1359">
        <v>4062</v>
      </c>
      <c r="E1359">
        <v>1</v>
      </c>
      <c r="F1359" t="s">
        <v>291</v>
      </c>
      <c r="G1359">
        <v>1</v>
      </c>
      <c r="H1359" t="s">
        <v>27</v>
      </c>
      <c r="I1359">
        <v>4410</v>
      </c>
      <c r="J1359">
        <f>DropAnalityka[[#This Row],[Sell Drop]]+IFERROR(SUMIFS(Tabela10[Drop Worth],Tabela10[Drop],DropAnalityka[[#This Row],[Drop]],Tabela10[Grade],DropAnalityka[[#This Row],[Grade]])*DropAnalityka[[#This Row],[Quality/Quantity]],0)</f>
        <v>4410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:12">
      <c r="A1360" t="s">
        <v>178</v>
      </c>
      <c r="B1360" t="s">
        <v>9</v>
      </c>
      <c r="C1360">
        <v>9</v>
      </c>
      <c r="D1360">
        <v>3897</v>
      </c>
      <c r="E1360">
        <v>1</v>
      </c>
      <c r="F1360" t="s">
        <v>258</v>
      </c>
      <c r="G1360">
        <v>1</v>
      </c>
      <c r="H1360" t="s">
        <v>28</v>
      </c>
      <c r="I1360">
        <v>5100</v>
      </c>
      <c r="J136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:12">
      <c r="A1361" t="s">
        <v>178</v>
      </c>
      <c r="B1361" t="s">
        <v>9</v>
      </c>
      <c r="C1361">
        <v>9</v>
      </c>
      <c r="D1361">
        <v>4552</v>
      </c>
      <c r="E1361">
        <v>1</v>
      </c>
      <c r="F1361" t="s">
        <v>258</v>
      </c>
      <c r="G1361">
        <v>1</v>
      </c>
      <c r="H1361" t="s">
        <v>27</v>
      </c>
      <c r="I1361">
        <v>3491</v>
      </c>
      <c r="J1361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:12">
      <c r="A1362" t="s">
        <v>178</v>
      </c>
      <c r="B1362" t="s">
        <v>9</v>
      </c>
      <c r="C1362">
        <v>9</v>
      </c>
      <c r="D1362">
        <v>3972</v>
      </c>
      <c r="E1362">
        <v>0</v>
      </c>
      <c r="F1362" t="s">
        <v>34</v>
      </c>
      <c r="G1362">
        <v>5</v>
      </c>
      <c r="H1362" t="s">
        <v>17</v>
      </c>
      <c r="I1362">
        <v>0</v>
      </c>
      <c r="J136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4000</v>
      </c>
    </row>
    <row r="1363" spans="1:12">
      <c r="A1363" t="s">
        <v>178</v>
      </c>
      <c r="B1363" t="s">
        <v>9</v>
      </c>
      <c r="C1363">
        <v>9</v>
      </c>
      <c r="D1363">
        <v>3822</v>
      </c>
      <c r="E1363">
        <v>0</v>
      </c>
      <c r="F1363" t="s">
        <v>258</v>
      </c>
      <c r="G1363">
        <v>1</v>
      </c>
      <c r="H1363" t="s">
        <v>28</v>
      </c>
      <c r="I1363">
        <v>12240</v>
      </c>
      <c r="J1363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:12">
      <c r="A1364" t="s">
        <v>178</v>
      </c>
      <c r="B1364" t="s">
        <v>9</v>
      </c>
      <c r="C1364">
        <v>9</v>
      </c>
      <c r="D1364">
        <v>4179</v>
      </c>
      <c r="E1364">
        <v>2</v>
      </c>
      <c r="F1364" t="s">
        <v>258</v>
      </c>
      <c r="G1364">
        <v>1</v>
      </c>
      <c r="H1364" t="s">
        <v>29</v>
      </c>
      <c r="I1364">
        <v>14265</v>
      </c>
      <c r="J1364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:12">
      <c r="A1365" t="s">
        <v>178</v>
      </c>
      <c r="B1365" t="s">
        <v>9</v>
      </c>
      <c r="C1365">
        <v>9</v>
      </c>
      <c r="D1365">
        <v>4975</v>
      </c>
      <c r="E1365">
        <v>1</v>
      </c>
      <c r="F1365" t="s">
        <v>258</v>
      </c>
      <c r="G1365">
        <v>1</v>
      </c>
      <c r="H1365" t="s">
        <v>28</v>
      </c>
      <c r="I1365">
        <v>7650</v>
      </c>
      <c r="J1365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:12">
      <c r="A1366" t="s">
        <v>178</v>
      </c>
      <c r="B1366" t="s">
        <v>9</v>
      </c>
      <c r="C1366">
        <v>9</v>
      </c>
      <c r="D1366">
        <v>4786</v>
      </c>
      <c r="E1366">
        <v>0</v>
      </c>
      <c r="F1366" t="s">
        <v>318</v>
      </c>
      <c r="G1366">
        <v>1</v>
      </c>
      <c r="H1366" t="s">
        <v>28</v>
      </c>
      <c r="I1366">
        <v>12920</v>
      </c>
      <c r="J1366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:12">
      <c r="A1367" t="s">
        <v>178</v>
      </c>
      <c r="B1367" t="s">
        <v>9</v>
      </c>
      <c r="C1367">
        <v>9</v>
      </c>
      <c r="D1367">
        <v>3843</v>
      </c>
      <c r="E1367">
        <v>1</v>
      </c>
      <c r="F1367" t="s">
        <v>58</v>
      </c>
      <c r="G1367">
        <v>1</v>
      </c>
      <c r="H1367" t="s">
        <v>12</v>
      </c>
      <c r="I1367">
        <v>0</v>
      </c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11500</v>
      </c>
      <c r="L1367" s="43">
        <f>IFERROR(SUMIFS(Tabela10[Exp Gain only 2*+],Tabela10[Drop],DropAnalityka[[#This Row],[Drop]],Tabela10[Grade],DropAnalityka[[#This Row],[Grade]])*DropAnalityka[[#This Row],[Quality/Quantity]],0)</f>
        <v>35822</v>
      </c>
    </row>
    <row r="1368" spans="1:12">
      <c r="A1368" t="s">
        <v>178</v>
      </c>
      <c r="B1368" t="s">
        <v>9</v>
      </c>
      <c r="C1368">
        <v>9</v>
      </c>
      <c r="D1368">
        <v>4162</v>
      </c>
      <c r="E1368">
        <v>1</v>
      </c>
      <c r="F1368" t="s">
        <v>258</v>
      </c>
      <c r="G1368">
        <v>1</v>
      </c>
      <c r="H1368" t="s">
        <v>28</v>
      </c>
      <c r="I1368">
        <v>5780</v>
      </c>
      <c r="J1368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:12">
      <c r="A1369" t="s">
        <v>178</v>
      </c>
      <c r="B1369" t="s">
        <v>9</v>
      </c>
      <c r="C1369">
        <v>9</v>
      </c>
      <c r="D1369">
        <v>3879</v>
      </c>
      <c r="E1369">
        <v>1</v>
      </c>
      <c r="F1369" t="s">
        <v>258</v>
      </c>
      <c r="G1369">
        <v>1</v>
      </c>
      <c r="H1369" t="s">
        <v>27</v>
      </c>
      <c r="I1369">
        <v>7350</v>
      </c>
      <c r="J1369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:12">
      <c r="A1370" t="s">
        <v>178</v>
      </c>
      <c r="B1370" t="s">
        <v>9</v>
      </c>
      <c r="C1370">
        <v>9</v>
      </c>
      <c r="D1370">
        <v>3611</v>
      </c>
      <c r="E1370">
        <v>0</v>
      </c>
      <c r="F1370" t="s">
        <v>205</v>
      </c>
      <c r="G1370">
        <v>3</v>
      </c>
      <c r="H1370" t="s">
        <v>26</v>
      </c>
      <c r="I1370">
        <v>0</v>
      </c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2587.5</v>
      </c>
      <c r="L1370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1371" spans="1:12">
      <c r="A1371" t="s">
        <v>178</v>
      </c>
      <c r="B1371" t="s">
        <v>9</v>
      </c>
      <c r="C1371">
        <v>9</v>
      </c>
      <c r="D1371">
        <v>4220</v>
      </c>
      <c r="E1371">
        <v>1</v>
      </c>
      <c r="F1371" t="s">
        <v>258</v>
      </c>
      <c r="G1371">
        <v>1</v>
      </c>
      <c r="H1371" t="s">
        <v>28</v>
      </c>
      <c r="I1371">
        <v>11560</v>
      </c>
      <c r="J1371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:12">
      <c r="A1372" t="s">
        <v>178</v>
      </c>
      <c r="B1372" t="s">
        <v>9</v>
      </c>
      <c r="C1372">
        <v>9</v>
      </c>
      <c r="D1372">
        <v>3765</v>
      </c>
      <c r="E1372">
        <v>0</v>
      </c>
      <c r="F1372" t="s">
        <v>258</v>
      </c>
      <c r="G1372">
        <v>1</v>
      </c>
      <c r="H1372" t="s">
        <v>27</v>
      </c>
      <c r="I1372">
        <v>3904</v>
      </c>
      <c r="J1372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:12">
      <c r="A1373" t="s">
        <v>178</v>
      </c>
      <c r="B1373" t="s">
        <v>9</v>
      </c>
      <c r="C1373">
        <v>9</v>
      </c>
      <c r="D1373">
        <v>4073</v>
      </c>
      <c r="E1373">
        <v>3</v>
      </c>
      <c r="F1373" t="s">
        <v>34</v>
      </c>
      <c r="G1373">
        <v>4</v>
      </c>
      <c r="H1373" t="s">
        <v>17</v>
      </c>
      <c r="I1373">
        <v>0</v>
      </c>
      <c r="J137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3200</v>
      </c>
    </row>
    <row r="1374" spans="1:12">
      <c r="A1374" t="s">
        <v>178</v>
      </c>
      <c r="B1374" t="s">
        <v>9</v>
      </c>
      <c r="C1374">
        <v>9</v>
      </c>
      <c r="D1374">
        <v>3957</v>
      </c>
      <c r="E1374">
        <v>0</v>
      </c>
      <c r="F1374" t="s">
        <v>291</v>
      </c>
      <c r="G1374">
        <v>1</v>
      </c>
      <c r="H1374" t="s">
        <v>28</v>
      </c>
      <c r="I1374">
        <v>6375</v>
      </c>
      <c r="J1374">
        <f>DropAnalityka[[#This Row],[Sell Drop]]+IFERROR(SUMIFS(Tabela10[Drop Worth],Tabela10[Drop],DropAnalityka[[#This Row],[Drop]],Tabela10[Grade],DropAnalityka[[#This Row],[Grade]])*DropAnalityka[[#This Row],[Quality/Quantity]],0)</f>
        <v>6375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:12">
      <c r="A1375" t="s">
        <v>178</v>
      </c>
      <c r="B1375" t="s">
        <v>9</v>
      </c>
      <c r="C1375">
        <v>9</v>
      </c>
      <c r="D1375">
        <v>3704</v>
      </c>
      <c r="E1375">
        <v>2</v>
      </c>
      <c r="F1375" t="s">
        <v>258</v>
      </c>
      <c r="G1375">
        <v>1</v>
      </c>
      <c r="H1375" t="s">
        <v>28</v>
      </c>
      <c r="I1375">
        <v>11560</v>
      </c>
      <c r="J1375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:12">
      <c r="A1376" t="s">
        <v>178</v>
      </c>
      <c r="B1376" t="s">
        <v>9</v>
      </c>
      <c r="C1376">
        <v>9</v>
      </c>
      <c r="D1376">
        <v>4168</v>
      </c>
      <c r="E1376">
        <v>1</v>
      </c>
      <c r="F1376" t="s">
        <v>58</v>
      </c>
      <c r="G1376">
        <v>1</v>
      </c>
      <c r="H1376" t="s">
        <v>12</v>
      </c>
      <c r="I1376">
        <v>0</v>
      </c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11500</v>
      </c>
      <c r="L1376" s="43">
        <f>IFERROR(SUMIFS(Tabela10[Exp Gain only 2*+],Tabela10[Drop],DropAnalityka[[#This Row],[Drop]],Tabela10[Grade],DropAnalityka[[#This Row],[Grade]])*DropAnalityka[[#This Row],[Quality/Quantity]],0)</f>
        <v>35822</v>
      </c>
    </row>
    <row r="1377" spans="1:12">
      <c r="A1377" t="s">
        <v>178</v>
      </c>
      <c r="B1377" t="s">
        <v>9</v>
      </c>
      <c r="C1377">
        <v>9</v>
      </c>
      <c r="D1377">
        <v>4443</v>
      </c>
      <c r="E1377">
        <v>2</v>
      </c>
      <c r="F1377" t="s">
        <v>258</v>
      </c>
      <c r="G1377">
        <v>1</v>
      </c>
      <c r="H1377" t="s">
        <v>28</v>
      </c>
      <c r="I1377">
        <v>11560</v>
      </c>
      <c r="J1377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:12">
      <c r="A1378" t="s">
        <v>178</v>
      </c>
      <c r="B1378" t="s">
        <v>9</v>
      </c>
      <c r="C1378">
        <v>9</v>
      </c>
      <c r="D1378">
        <v>4007</v>
      </c>
      <c r="E1378">
        <v>0</v>
      </c>
      <c r="F1378" t="s">
        <v>258</v>
      </c>
      <c r="G1378">
        <v>1</v>
      </c>
      <c r="H1378" t="s">
        <v>28</v>
      </c>
      <c r="I1378">
        <v>12240</v>
      </c>
      <c r="J1378">
        <f>DropAnalityka[[#This Row],[Sell Drop]]+IFERROR(SUMIFS(Tabela10[Drop Worth],Tabela10[Drop],DropAnalityka[[#This Row],[Drop]],Tabela10[Grade],DropAnalityka[[#This Row],[Grade]])*DropAnalityka[[#This Row],[Quality/Quantity]],0)</f>
        <v>12240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:12">
      <c r="A1379" t="s">
        <v>178</v>
      </c>
      <c r="B1379" t="s">
        <v>9</v>
      </c>
      <c r="C1379">
        <v>9</v>
      </c>
      <c r="D1379">
        <v>4304</v>
      </c>
      <c r="E1379">
        <v>2</v>
      </c>
      <c r="F1379" t="s">
        <v>258</v>
      </c>
      <c r="G1379">
        <v>1</v>
      </c>
      <c r="H1379" t="s">
        <v>29</v>
      </c>
      <c r="I1379">
        <v>20288</v>
      </c>
      <c r="J1379">
        <f>DropAnalityka[[#This Row],[Sell Drop]]+IFERROR(SUMIFS(Tabela10[Drop Worth],Tabela10[Drop],DropAnalityka[[#This Row],[Drop]],Tabela10[Grade],DropAnalityka[[#This Row],[Grade]])*DropAnalityka[[#This Row],[Quality/Quantity]],0)</f>
        <v>20288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:12">
      <c r="A1380" t="s">
        <v>178</v>
      </c>
      <c r="B1380" t="s">
        <v>9</v>
      </c>
      <c r="C1380">
        <v>9</v>
      </c>
      <c r="D1380">
        <v>3825</v>
      </c>
      <c r="E1380">
        <v>1</v>
      </c>
      <c r="F1380" t="s">
        <v>291</v>
      </c>
      <c r="G1380">
        <v>1</v>
      </c>
      <c r="H1380" t="s">
        <v>29</v>
      </c>
      <c r="I1380">
        <v>17118</v>
      </c>
      <c r="J1380">
        <f>DropAnalityka[[#This Row],[Sell Drop]]+IFERROR(SUMIFS(Tabela10[Drop Worth],Tabela10[Drop],DropAnalityka[[#This Row],[Drop]],Tabela10[Grade],DropAnalityka[[#This Row],[Grade]])*DropAnalityka[[#This Row],[Quality/Quantity]],0)</f>
        <v>17118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:12">
      <c r="A1381" t="s">
        <v>178</v>
      </c>
      <c r="B1381" t="s">
        <v>9</v>
      </c>
      <c r="C1381">
        <v>9</v>
      </c>
      <c r="D1381">
        <v>3952</v>
      </c>
      <c r="E1381">
        <v>0</v>
      </c>
      <c r="F1381" t="s">
        <v>258</v>
      </c>
      <c r="G1381">
        <v>1</v>
      </c>
      <c r="H1381" t="s">
        <v>27</v>
      </c>
      <c r="I1381">
        <v>3445</v>
      </c>
      <c r="J1381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:12">
      <c r="A1382" t="s">
        <v>178</v>
      </c>
      <c r="B1382" t="s">
        <v>9</v>
      </c>
      <c r="C1382">
        <v>9</v>
      </c>
      <c r="D1382">
        <v>3837</v>
      </c>
      <c r="E1382">
        <v>0</v>
      </c>
      <c r="F1382" t="s">
        <v>258</v>
      </c>
      <c r="G1382">
        <v>1</v>
      </c>
      <c r="H1382" t="s">
        <v>29</v>
      </c>
      <c r="I1382">
        <v>18861</v>
      </c>
      <c r="J1382">
        <f>DropAnalityka[[#This Row],[Sell Drop]]+IFERROR(SUMIFS(Tabela10[Drop Worth],Tabela10[Drop],DropAnalityka[[#This Row],[Drop]],Tabela10[Grade],DropAnalityka[[#This Row],[Grade]])*DropAnalityka[[#This Row],[Quality/Quantity]],0)</f>
        <v>18861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:12">
      <c r="A1383" t="s">
        <v>178</v>
      </c>
      <c r="B1383" t="s">
        <v>9</v>
      </c>
      <c r="C1383">
        <v>9</v>
      </c>
      <c r="D1383">
        <v>3964</v>
      </c>
      <c r="E1383">
        <v>2</v>
      </c>
      <c r="F1383" t="s">
        <v>258</v>
      </c>
      <c r="G1383">
        <v>1</v>
      </c>
      <c r="H1383" t="s">
        <v>28</v>
      </c>
      <c r="I1383">
        <v>8075</v>
      </c>
      <c r="J1383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:12">
      <c r="A1384" t="s">
        <v>178</v>
      </c>
      <c r="B1384" t="s">
        <v>9</v>
      </c>
      <c r="C1384">
        <v>9</v>
      </c>
      <c r="D1384">
        <v>3954</v>
      </c>
      <c r="E1384">
        <v>1</v>
      </c>
      <c r="F1384" t="s">
        <v>258</v>
      </c>
      <c r="G1384">
        <v>1</v>
      </c>
      <c r="H1384" t="s">
        <v>28</v>
      </c>
      <c r="I1384">
        <v>5440</v>
      </c>
      <c r="J1384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:12">
      <c r="A1385" t="s">
        <v>178</v>
      </c>
      <c r="B1385" t="s">
        <v>9</v>
      </c>
      <c r="C1385">
        <v>9</v>
      </c>
      <c r="D1385">
        <v>3909</v>
      </c>
      <c r="E1385">
        <v>0</v>
      </c>
      <c r="F1385" t="s">
        <v>34</v>
      </c>
      <c r="G1385">
        <v>5</v>
      </c>
      <c r="H1385" t="s">
        <v>17</v>
      </c>
      <c r="I1385">
        <v>0</v>
      </c>
      <c r="J138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4000</v>
      </c>
    </row>
    <row r="1386" spans="1:12">
      <c r="A1386" t="s">
        <v>178</v>
      </c>
      <c r="B1386" t="s">
        <v>9</v>
      </c>
      <c r="C1386">
        <v>9</v>
      </c>
      <c r="D1386">
        <v>3708</v>
      </c>
      <c r="E1386">
        <v>2</v>
      </c>
      <c r="F1386" t="s">
        <v>34</v>
      </c>
      <c r="G1386">
        <v>5</v>
      </c>
      <c r="H1386" t="s">
        <v>17</v>
      </c>
      <c r="I1386">
        <v>0</v>
      </c>
      <c r="J138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4000</v>
      </c>
    </row>
    <row r="1387" spans="1:12">
      <c r="A1387" t="s">
        <v>178</v>
      </c>
      <c r="B1387" t="s">
        <v>9</v>
      </c>
      <c r="C1387">
        <v>9</v>
      </c>
      <c r="D1387">
        <v>3596</v>
      </c>
      <c r="E1387">
        <v>3</v>
      </c>
      <c r="F1387" t="s">
        <v>258</v>
      </c>
      <c r="G1387">
        <v>1</v>
      </c>
      <c r="H1387" t="s">
        <v>29</v>
      </c>
      <c r="I1387">
        <v>10144</v>
      </c>
      <c r="J1387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:12">
      <c r="A1388" t="s">
        <v>178</v>
      </c>
      <c r="B1388" t="s">
        <v>9</v>
      </c>
      <c r="C1388">
        <v>9</v>
      </c>
      <c r="D1388">
        <v>3997</v>
      </c>
      <c r="E1388">
        <v>2</v>
      </c>
      <c r="F1388" t="s">
        <v>58</v>
      </c>
      <c r="G1388">
        <v>1</v>
      </c>
      <c r="H1388" t="s">
        <v>12</v>
      </c>
      <c r="I1388">
        <v>0</v>
      </c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11500</v>
      </c>
      <c r="L1388" s="43">
        <f>IFERROR(SUMIFS(Tabela10[Exp Gain only 2*+],Tabela10[Drop],DropAnalityka[[#This Row],[Drop]],Tabela10[Grade],DropAnalityka[[#This Row],[Grade]])*DropAnalityka[[#This Row],[Quality/Quantity]],0)</f>
        <v>35822</v>
      </c>
    </row>
    <row r="1389" spans="1:12">
      <c r="A1389" t="s">
        <v>178</v>
      </c>
      <c r="B1389" t="s">
        <v>9</v>
      </c>
      <c r="C1389">
        <v>9</v>
      </c>
      <c r="D1389">
        <v>4264</v>
      </c>
      <c r="E1389">
        <v>0</v>
      </c>
      <c r="F1389" t="s">
        <v>34</v>
      </c>
      <c r="G1389">
        <v>4</v>
      </c>
      <c r="H1389" t="s">
        <v>17</v>
      </c>
      <c r="I1389">
        <v>0</v>
      </c>
      <c r="J138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3200</v>
      </c>
    </row>
    <row r="1390" spans="1:12">
      <c r="A1390" t="s">
        <v>178</v>
      </c>
      <c r="B1390" t="s">
        <v>9</v>
      </c>
      <c r="C1390">
        <v>9</v>
      </c>
      <c r="D1390">
        <v>4199</v>
      </c>
      <c r="E1390">
        <v>3</v>
      </c>
      <c r="F1390" t="s">
        <v>258</v>
      </c>
      <c r="G1390">
        <v>1</v>
      </c>
      <c r="H1390" t="s">
        <v>28</v>
      </c>
      <c r="I1390">
        <v>5440</v>
      </c>
      <c r="J139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:12">
      <c r="A1391" t="s">
        <v>178</v>
      </c>
      <c r="B1391" t="s">
        <v>9</v>
      </c>
      <c r="C1391">
        <v>9</v>
      </c>
      <c r="D1391">
        <v>4060</v>
      </c>
      <c r="E1391">
        <v>2</v>
      </c>
      <c r="F1391" t="s">
        <v>34</v>
      </c>
      <c r="G1391">
        <v>4</v>
      </c>
      <c r="H1391" t="s">
        <v>17</v>
      </c>
      <c r="I1391">
        <v>0</v>
      </c>
      <c r="J1391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3200</v>
      </c>
    </row>
    <row r="1392" spans="1:12">
      <c r="A1392" t="s">
        <v>178</v>
      </c>
      <c r="B1392" t="s">
        <v>9</v>
      </c>
      <c r="C1392">
        <v>9</v>
      </c>
      <c r="D1392">
        <v>3943</v>
      </c>
      <c r="E1392">
        <v>3</v>
      </c>
      <c r="F1392" t="s">
        <v>34</v>
      </c>
      <c r="G1392">
        <v>4</v>
      </c>
      <c r="H1392" t="s">
        <v>17</v>
      </c>
      <c r="I1392">
        <v>0</v>
      </c>
      <c r="J139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3200</v>
      </c>
    </row>
    <row r="1393" spans="1:12">
      <c r="A1393" t="s">
        <v>178</v>
      </c>
      <c r="B1393" t="s">
        <v>9</v>
      </c>
      <c r="C1393">
        <v>9</v>
      </c>
      <c r="D1393">
        <v>4141</v>
      </c>
      <c r="E1393">
        <v>1</v>
      </c>
      <c r="F1393" t="s">
        <v>34</v>
      </c>
      <c r="G1393">
        <v>4</v>
      </c>
      <c r="H1393" t="s">
        <v>17</v>
      </c>
      <c r="I1393">
        <v>0</v>
      </c>
      <c r="J1393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3200</v>
      </c>
    </row>
    <row r="1394" spans="1:12">
      <c r="A1394" t="s">
        <v>178</v>
      </c>
      <c r="B1394" t="s">
        <v>9</v>
      </c>
      <c r="C1394">
        <v>9</v>
      </c>
      <c r="D1394">
        <v>4075</v>
      </c>
      <c r="E1394">
        <v>0</v>
      </c>
      <c r="F1394" t="s">
        <v>34</v>
      </c>
      <c r="G1394">
        <v>4</v>
      </c>
      <c r="H1394" t="s">
        <v>17</v>
      </c>
      <c r="I1394">
        <v>0</v>
      </c>
      <c r="J139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3200</v>
      </c>
    </row>
    <row r="1395" spans="1:12">
      <c r="A1395" t="s">
        <v>178</v>
      </c>
      <c r="B1395" t="s">
        <v>9</v>
      </c>
      <c r="C1395">
        <v>9</v>
      </c>
      <c r="D1395">
        <v>4269</v>
      </c>
      <c r="E1395">
        <v>1</v>
      </c>
      <c r="F1395" t="s">
        <v>258</v>
      </c>
      <c r="G1395">
        <v>1</v>
      </c>
      <c r="H1395" t="s">
        <v>27</v>
      </c>
      <c r="I1395">
        <v>6431</v>
      </c>
      <c r="J1395">
        <f>DropAnalityka[[#This Row],[Sell Drop]]+IFERROR(SUMIFS(Tabela10[Drop Worth],Tabela10[Drop],DropAnalityka[[#This Row],[Drop]],Tabela10[Grade],DropAnalityka[[#This Row],[Grade]])*DropAnalityka[[#This Row],[Quality/Quantity]],0)</f>
        <v>6431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:12">
      <c r="A1396" t="s">
        <v>178</v>
      </c>
      <c r="B1396" t="s">
        <v>9</v>
      </c>
      <c r="C1396">
        <v>9</v>
      </c>
      <c r="D1396">
        <v>3888</v>
      </c>
      <c r="E1396">
        <v>2</v>
      </c>
      <c r="F1396" t="s">
        <v>34</v>
      </c>
      <c r="G1396">
        <v>5</v>
      </c>
      <c r="H1396" t="s">
        <v>17</v>
      </c>
      <c r="I1396">
        <v>0</v>
      </c>
      <c r="J139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4000</v>
      </c>
    </row>
    <row r="1397" spans="1:12">
      <c r="A1397" t="s">
        <v>178</v>
      </c>
      <c r="B1397" t="s">
        <v>9</v>
      </c>
      <c r="C1397">
        <v>9</v>
      </c>
      <c r="D1397">
        <v>3672</v>
      </c>
      <c r="E1397">
        <v>1</v>
      </c>
      <c r="F1397" t="s">
        <v>258</v>
      </c>
      <c r="G1397">
        <v>1</v>
      </c>
      <c r="H1397" t="s">
        <v>27</v>
      </c>
      <c r="I1397">
        <v>6120</v>
      </c>
      <c r="J1397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:12">
      <c r="A1398" t="s">
        <v>178</v>
      </c>
      <c r="B1398" t="s">
        <v>9</v>
      </c>
      <c r="C1398">
        <v>9</v>
      </c>
      <c r="D1398">
        <v>3924</v>
      </c>
      <c r="E1398">
        <v>1</v>
      </c>
      <c r="F1398" t="s">
        <v>258</v>
      </c>
      <c r="G1398">
        <v>1</v>
      </c>
      <c r="H1398" t="s">
        <v>28</v>
      </c>
      <c r="I1398">
        <v>12920</v>
      </c>
      <c r="J1398">
        <f>DropAnalityka[[#This Row],[Sell Drop]]+IFERROR(SUMIFS(Tabela10[Drop Worth],Tabela10[Drop],DropAnalityka[[#This Row],[Drop]],Tabela10[Grade],DropAnalityka[[#This Row],[Grade]])*DropAnalityka[[#This Row],[Quality/Quantity]],0)</f>
        <v>12920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:12">
      <c r="A1399" t="s">
        <v>178</v>
      </c>
      <c r="B1399" t="s">
        <v>9</v>
      </c>
      <c r="C1399">
        <v>9</v>
      </c>
      <c r="D1399">
        <v>4086</v>
      </c>
      <c r="E1399">
        <v>1</v>
      </c>
      <c r="F1399" t="s">
        <v>258</v>
      </c>
      <c r="G1399">
        <v>1</v>
      </c>
      <c r="H1399" t="s">
        <v>27</v>
      </c>
      <c r="I1399">
        <v>6120</v>
      </c>
      <c r="J1399">
        <f>DropAnalityka[[#This Row],[Sell Drop]]+IFERROR(SUMIFS(Tabela10[Drop Worth],Tabela10[Drop],DropAnalityka[[#This Row],[Drop]],Tabela10[Grade],DropAnalityka[[#This Row],[Grade]])*DropAnalityka[[#This Row],[Quality/Quantity]],0)</f>
        <v>6120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:12">
      <c r="A1400" t="s">
        <v>178</v>
      </c>
      <c r="B1400" t="s">
        <v>9</v>
      </c>
      <c r="C1400">
        <v>9</v>
      </c>
      <c r="D1400">
        <v>3956</v>
      </c>
      <c r="E1400">
        <v>1</v>
      </c>
      <c r="F1400" t="s">
        <v>34</v>
      </c>
      <c r="G1400">
        <v>4</v>
      </c>
      <c r="H1400" t="s">
        <v>17</v>
      </c>
      <c r="I1400">
        <v>0</v>
      </c>
      <c r="J1400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3200</v>
      </c>
    </row>
    <row r="1401" spans="1:12">
      <c r="A1401" t="s">
        <v>178</v>
      </c>
      <c r="B1401" t="s">
        <v>9</v>
      </c>
      <c r="C1401">
        <v>9</v>
      </c>
      <c r="D1401">
        <v>4121</v>
      </c>
      <c r="E1401">
        <v>2</v>
      </c>
      <c r="F1401" t="s">
        <v>291</v>
      </c>
      <c r="G1401">
        <v>1</v>
      </c>
      <c r="H1401" t="s">
        <v>29</v>
      </c>
      <c r="I1401">
        <v>27103</v>
      </c>
      <c r="J1401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:12">
      <c r="A1402" t="s">
        <v>178</v>
      </c>
      <c r="B1402" t="s">
        <v>9</v>
      </c>
      <c r="C1402">
        <v>9</v>
      </c>
      <c r="D1402">
        <v>3864</v>
      </c>
      <c r="E1402">
        <v>1</v>
      </c>
      <c r="F1402" t="s">
        <v>34</v>
      </c>
      <c r="G1402">
        <v>4</v>
      </c>
      <c r="H1402" t="s">
        <v>17</v>
      </c>
      <c r="I1402">
        <v>0</v>
      </c>
      <c r="J140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3200</v>
      </c>
    </row>
    <row r="1403" spans="1:12">
      <c r="A1403" t="s">
        <v>178</v>
      </c>
      <c r="B1403" t="s">
        <v>9</v>
      </c>
      <c r="C1403">
        <v>9</v>
      </c>
      <c r="D1403">
        <v>4144</v>
      </c>
      <c r="E1403">
        <v>2</v>
      </c>
      <c r="F1403" t="s">
        <v>258</v>
      </c>
      <c r="G1403">
        <v>1</v>
      </c>
      <c r="H1403" t="s">
        <v>27</v>
      </c>
      <c r="I1403">
        <v>3445</v>
      </c>
      <c r="J1403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:12">
      <c r="A1404" t="s">
        <v>178</v>
      </c>
      <c r="B1404" t="s">
        <v>9</v>
      </c>
      <c r="C1404">
        <v>9</v>
      </c>
      <c r="D1404">
        <v>3884</v>
      </c>
      <c r="E1404">
        <v>1</v>
      </c>
      <c r="F1404" t="s">
        <v>258</v>
      </c>
      <c r="G1404">
        <v>1</v>
      </c>
      <c r="H1404" t="s">
        <v>27</v>
      </c>
      <c r="I1404">
        <v>3675</v>
      </c>
      <c r="J140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:12">
      <c r="A1405" t="s">
        <v>178</v>
      </c>
      <c r="B1405" t="s">
        <v>9</v>
      </c>
      <c r="C1405">
        <v>9</v>
      </c>
      <c r="D1405">
        <v>4186</v>
      </c>
      <c r="E1405">
        <v>0</v>
      </c>
      <c r="F1405" t="s">
        <v>291</v>
      </c>
      <c r="G1405">
        <v>1</v>
      </c>
      <c r="H1405" t="s">
        <v>28</v>
      </c>
      <c r="I1405">
        <v>17000</v>
      </c>
      <c r="J1405">
        <f>DropAnalityka[[#This Row],[Sell Drop]]+IFERROR(SUMIFS(Tabela10[Drop Worth],Tabela10[Drop],DropAnalityka[[#This Row],[Drop]],Tabela10[Grade],DropAnalityka[[#This Row],[Grade]])*DropAnalityka[[#This Row],[Quality/Quantity]],0)</f>
        <v>17000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:12">
      <c r="A1406" t="s">
        <v>178</v>
      </c>
      <c r="B1406" t="s">
        <v>9</v>
      </c>
      <c r="C1406">
        <v>9</v>
      </c>
      <c r="D1406">
        <v>3886</v>
      </c>
      <c r="E1406">
        <v>0</v>
      </c>
      <c r="F1406" t="s">
        <v>34</v>
      </c>
      <c r="G1406">
        <v>5</v>
      </c>
      <c r="H1406" t="s">
        <v>17</v>
      </c>
      <c r="I1406">
        <v>0</v>
      </c>
      <c r="J1406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4000</v>
      </c>
    </row>
    <row r="1407" spans="1:12">
      <c r="A1407" t="s">
        <v>178</v>
      </c>
      <c r="B1407" t="s">
        <v>9</v>
      </c>
      <c r="C1407">
        <v>9</v>
      </c>
      <c r="D1407">
        <v>4242</v>
      </c>
      <c r="E1407">
        <v>2</v>
      </c>
      <c r="F1407" t="s">
        <v>258</v>
      </c>
      <c r="G1407">
        <v>1</v>
      </c>
      <c r="H1407" t="s">
        <v>27</v>
      </c>
      <c r="I1407">
        <v>4364</v>
      </c>
      <c r="J1407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:12">
      <c r="A1408" t="s">
        <v>178</v>
      </c>
      <c r="B1408" t="s">
        <v>9</v>
      </c>
      <c r="C1408">
        <v>9</v>
      </c>
      <c r="D1408">
        <v>4062</v>
      </c>
      <c r="E1408">
        <v>1</v>
      </c>
      <c r="F1408" t="s">
        <v>258</v>
      </c>
      <c r="G1408">
        <v>1</v>
      </c>
      <c r="H1408" t="s">
        <v>27</v>
      </c>
      <c r="I1408">
        <v>2940</v>
      </c>
      <c r="J1408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:12">
      <c r="A1409" t="s">
        <v>178</v>
      </c>
      <c r="B1409" t="s">
        <v>9</v>
      </c>
      <c r="C1409">
        <v>9</v>
      </c>
      <c r="D1409">
        <v>4025</v>
      </c>
      <c r="E1409">
        <v>1</v>
      </c>
      <c r="F1409" t="s">
        <v>258</v>
      </c>
      <c r="G1409">
        <v>1</v>
      </c>
      <c r="H1409" t="s">
        <v>28</v>
      </c>
      <c r="I1409">
        <v>6800</v>
      </c>
      <c r="J140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:12">
      <c r="A1410" t="s">
        <v>178</v>
      </c>
      <c r="B1410" t="s">
        <v>9</v>
      </c>
      <c r="C1410">
        <v>9</v>
      </c>
      <c r="D1410">
        <v>4416</v>
      </c>
      <c r="E1410">
        <v>3</v>
      </c>
      <c r="F1410" t="s">
        <v>258</v>
      </c>
      <c r="G1410">
        <v>1</v>
      </c>
      <c r="H1410" t="s">
        <v>27</v>
      </c>
      <c r="I1410">
        <v>6615</v>
      </c>
      <c r="J1410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:12">
      <c r="A1411" t="s">
        <v>178</v>
      </c>
      <c r="B1411" t="s">
        <v>9</v>
      </c>
      <c r="C1411">
        <v>9</v>
      </c>
      <c r="D1411">
        <v>3856</v>
      </c>
      <c r="E1411">
        <v>2</v>
      </c>
      <c r="F1411" t="s">
        <v>291</v>
      </c>
      <c r="G1411">
        <v>1</v>
      </c>
      <c r="H1411" t="s">
        <v>27</v>
      </c>
      <c r="I1411">
        <v>6615</v>
      </c>
      <c r="J1411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:12">
      <c r="A1412" t="s">
        <v>178</v>
      </c>
      <c r="B1412" t="s">
        <v>9</v>
      </c>
      <c r="C1412">
        <v>9</v>
      </c>
      <c r="D1412">
        <v>4170</v>
      </c>
      <c r="E1412">
        <v>2</v>
      </c>
      <c r="F1412" t="s">
        <v>34</v>
      </c>
      <c r="G1412">
        <v>4</v>
      </c>
      <c r="H1412" t="s">
        <v>17</v>
      </c>
      <c r="I1412">
        <v>0</v>
      </c>
      <c r="J1412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3200</v>
      </c>
    </row>
    <row r="1413" spans="1:12">
      <c r="A1413" t="s">
        <v>178</v>
      </c>
      <c r="B1413" t="s">
        <v>9</v>
      </c>
      <c r="C1413">
        <v>9</v>
      </c>
      <c r="D1413">
        <v>4152</v>
      </c>
      <c r="E1413">
        <v>1</v>
      </c>
      <c r="F1413" t="s">
        <v>258</v>
      </c>
      <c r="G1413">
        <v>1</v>
      </c>
      <c r="H1413" t="s">
        <v>27</v>
      </c>
      <c r="I1413">
        <v>6247</v>
      </c>
      <c r="J1413">
        <f>DropAnalityka[[#This Row],[Sell Drop]]+IFERROR(SUMIFS(Tabela10[Drop Worth],Tabela10[Drop],DropAnalityka[[#This Row],[Drop]],Tabela10[Grade],DropAnalityka[[#This Row],[Grade]])*DropAnalityka[[#This Row],[Quality/Quantity]],0)</f>
        <v>6247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:12">
      <c r="A1414" t="s">
        <v>178</v>
      </c>
      <c r="B1414" t="s">
        <v>9</v>
      </c>
      <c r="C1414">
        <v>9</v>
      </c>
      <c r="D1414">
        <v>3678</v>
      </c>
      <c r="E1414">
        <v>0</v>
      </c>
      <c r="F1414" t="s">
        <v>291</v>
      </c>
      <c r="G1414">
        <v>1</v>
      </c>
      <c r="H1414" t="s">
        <v>28</v>
      </c>
      <c r="I1414">
        <v>10200</v>
      </c>
      <c r="J1414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:12">
      <c r="A1415" t="s">
        <v>178</v>
      </c>
      <c r="B1415" t="s">
        <v>9</v>
      </c>
      <c r="C1415">
        <v>9</v>
      </c>
      <c r="D1415">
        <v>4310</v>
      </c>
      <c r="E1415">
        <v>2</v>
      </c>
      <c r="F1415" t="s">
        <v>258</v>
      </c>
      <c r="G1415">
        <v>1</v>
      </c>
      <c r="H1415" t="s">
        <v>27</v>
      </c>
      <c r="I1415">
        <v>5100</v>
      </c>
      <c r="J1415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:12">
      <c r="A1416" t="s">
        <v>178</v>
      </c>
      <c r="B1416" t="s">
        <v>9</v>
      </c>
      <c r="C1416">
        <v>9</v>
      </c>
      <c r="D1416">
        <v>3697</v>
      </c>
      <c r="E1416">
        <v>0</v>
      </c>
      <c r="F1416" t="s">
        <v>258</v>
      </c>
      <c r="G1416">
        <v>1</v>
      </c>
      <c r="H1416" t="s">
        <v>27</v>
      </c>
      <c r="I1416">
        <v>2940</v>
      </c>
      <c r="J1416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:12">
      <c r="A1417" t="s">
        <v>178</v>
      </c>
      <c r="B1417" t="s">
        <v>9</v>
      </c>
      <c r="C1417">
        <v>9</v>
      </c>
      <c r="D1417">
        <v>4208</v>
      </c>
      <c r="E1417">
        <v>1</v>
      </c>
      <c r="F1417" t="s">
        <v>258</v>
      </c>
      <c r="G1417">
        <v>1</v>
      </c>
      <c r="H1417" t="s">
        <v>27</v>
      </c>
      <c r="I1417">
        <v>5788</v>
      </c>
      <c r="J1417">
        <f>DropAnalityka[[#This Row],[Sell Drop]]+IFERROR(SUMIFS(Tabela10[Drop Worth],Tabela10[Drop],DropAnalityka[[#This Row],[Drop]],Tabela10[Grade],DropAnalityka[[#This Row],[Grade]])*DropAnalityka[[#This Row],[Quality/Quantity]],0)</f>
        <v>5788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:12">
      <c r="A1418" t="s">
        <v>178</v>
      </c>
      <c r="B1418" t="s">
        <v>9</v>
      </c>
      <c r="C1418">
        <v>9</v>
      </c>
      <c r="D1418">
        <v>4465</v>
      </c>
      <c r="E1418">
        <v>2</v>
      </c>
      <c r="F1418" t="s">
        <v>258</v>
      </c>
      <c r="G1418">
        <v>1</v>
      </c>
      <c r="H1418" t="s">
        <v>27</v>
      </c>
      <c r="I1418">
        <v>4134</v>
      </c>
      <c r="J1418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:12">
      <c r="A1419" t="s">
        <v>178</v>
      </c>
      <c r="B1419" t="s">
        <v>9</v>
      </c>
      <c r="C1419">
        <v>9</v>
      </c>
      <c r="D1419">
        <v>3829</v>
      </c>
      <c r="E1419">
        <v>2</v>
      </c>
      <c r="F1419" t="s">
        <v>258</v>
      </c>
      <c r="G1419">
        <v>1</v>
      </c>
      <c r="H1419" t="s">
        <v>27</v>
      </c>
      <c r="I1419">
        <v>6982</v>
      </c>
      <c r="J1419">
        <f>DropAnalityka[[#This Row],[Sell Drop]]+IFERROR(SUMIFS(Tabela10[Drop Worth],Tabela10[Drop],DropAnalityka[[#This Row],[Drop]],Tabela10[Grade],DropAnalityka[[#This Row],[Grade]])*DropAnalityka[[#This Row],[Quality/Quantity]],0)</f>
        <v>6982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:12">
      <c r="A1420" t="s">
        <v>178</v>
      </c>
      <c r="B1420" t="s">
        <v>9</v>
      </c>
      <c r="C1420">
        <v>9</v>
      </c>
      <c r="D1420">
        <v>4194</v>
      </c>
      <c r="E1420">
        <v>0</v>
      </c>
      <c r="F1420" t="s">
        <v>258</v>
      </c>
      <c r="G1420">
        <v>1</v>
      </c>
      <c r="H1420" t="s">
        <v>27</v>
      </c>
      <c r="I1420">
        <v>3307</v>
      </c>
      <c r="J14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:12">
      <c r="A1421" t="s">
        <v>178</v>
      </c>
      <c r="B1421" t="s">
        <v>9</v>
      </c>
      <c r="C1421">
        <v>9</v>
      </c>
      <c r="D1421">
        <v>3953</v>
      </c>
      <c r="E1421">
        <v>0</v>
      </c>
      <c r="F1421" t="s">
        <v>258</v>
      </c>
      <c r="G1421">
        <v>1</v>
      </c>
      <c r="H1421" t="s">
        <v>28</v>
      </c>
      <c r="I1421">
        <v>6800</v>
      </c>
      <c r="J1421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:12">
      <c r="A1422" t="s">
        <v>178</v>
      </c>
      <c r="B1422" t="s">
        <v>9</v>
      </c>
      <c r="C1422">
        <v>9</v>
      </c>
      <c r="D1422">
        <v>3831</v>
      </c>
      <c r="E1422">
        <v>0</v>
      </c>
      <c r="F1422" t="s">
        <v>258</v>
      </c>
      <c r="G1422">
        <v>1</v>
      </c>
      <c r="H1422" t="s">
        <v>28</v>
      </c>
      <c r="I1422">
        <v>5780</v>
      </c>
      <c r="J1422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:12">
      <c r="A1423" t="s">
        <v>178</v>
      </c>
      <c r="B1423" t="s">
        <v>9</v>
      </c>
      <c r="C1423">
        <v>9</v>
      </c>
      <c r="D1423">
        <v>3852</v>
      </c>
      <c r="E1423">
        <v>0</v>
      </c>
      <c r="F1423" t="s">
        <v>258</v>
      </c>
      <c r="G1423">
        <v>1</v>
      </c>
      <c r="H1423" t="s">
        <v>29</v>
      </c>
      <c r="I1423">
        <v>17752</v>
      </c>
      <c r="J1423">
        <f>DropAnalityka[[#This Row],[Sell Drop]]+IFERROR(SUMIFS(Tabela10[Drop Worth],Tabela10[Drop],DropAnalityka[[#This Row],[Drop]],Tabela10[Grade],DropAnalityka[[#This Row],[Grade]])*DropAnalityka[[#This Row],[Quality/Quantity]],0)</f>
        <v>17752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:12">
      <c r="A1424" t="s">
        <v>178</v>
      </c>
      <c r="B1424" t="s">
        <v>9</v>
      </c>
      <c r="C1424">
        <v>9</v>
      </c>
      <c r="D1424">
        <v>4081</v>
      </c>
      <c r="E1424">
        <v>2</v>
      </c>
      <c r="F1424" t="s">
        <v>34</v>
      </c>
      <c r="G1424">
        <v>4</v>
      </c>
      <c r="H1424" t="s">
        <v>17</v>
      </c>
      <c r="I1424">
        <v>0</v>
      </c>
      <c r="J1424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3200</v>
      </c>
    </row>
    <row r="1425" spans="1:12">
      <c r="A1425" t="s">
        <v>178</v>
      </c>
      <c r="B1425" t="s">
        <v>9</v>
      </c>
      <c r="C1425">
        <v>9</v>
      </c>
      <c r="D1425">
        <v>4016</v>
      </c>
      <c r="E1425">
        <v>1</v>
      </c>
      <c r="F1425" t="s">
        <v>258</v>
      </c>
      <c r="G1425">
        <v>1</v>
      </c>
      <c r="H1425" t="s">
        <v>27</v>
      </c>
      <c r="I1425">
        <v>6100</v>
      </c>
      <c r="J1425">
        <f>DropAnalityka[[#This Row],[Sell Drop]]+IFERROR(SUMIFS(Tabela10[Drop Worth],Tabela10[Drop],DropAnalityka[[#This Row],[Drop]],Tabela10[Grade],DropAnalityka[[#This Row],[Grade]])*DropAnalityka[[#This Row],[Quality/Quantity]],0)</f>
        <v>6100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:12">
      <c r="A1426" t="s">
        <v>178</v>
      </c>
      <c r="B1426" t="s">
        <v>9</v>
      </c>
      <c r="C1426">
        <v>9</v>
      </c>
      <c r="D1426">
        <v>4213</v>
      </c>
      <c r="E1426">
        <v>0</v>
      </c>
      <c r="F1426" t="s">
        <v>258</v>
      </c>
      <c r="G1426">
        <v>1</v>
      </c>
      <c r="H1426" t="s">
        <v>28</v>
      </c>
      <c r="I1426">
        <v>8075</v>
      </c>
      <c r="J142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:12">
      <c r="A1427" t="s">
        <v>178</v>
      </c>
      <c r="B1427" t="s">
        <v>9</v>
      </c>
      <c r="C1427">
        <v>9</v>
      </c>
      <c r="D1427">
        <v>3708</v>
      </c>
      <c r="E1427">
        <v>1</v>
      </c>
      <c r="F1427" t="s">
        <v>291</v>
      </c>
      <c r="G1427">
        <v>1</v>
      </c>
      <c r="H1427" t="s">
        <v>27</v>
      </c>
      <c r="I1427">
        <v>4961</v>
      </c>
      <c r="J1427">
        <f>DropAnalityka[[#This Row],[Sell Drop]]+IFERROR(SUMIFS(Tabela10[Drop Worth],Tabela10[Drop],DropAnalityka[[#This Row],[Drop]],Tabela10[Grade],DropAnalityka[[#This Row],[Grade]])*DropAnalityka[[#This Row],[Quality/Quantity]],0)</f>
        <v>4961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:12">
      <c r="A1428" t="s">
        <v>178</v>
      </c>
      <c r="B1428" t="s">
        <v>9</v>
      </c>
      <c r="C1428">
        <v>10</v>
      </c>
      <c r="D1428">
        <v>4889</v>
      </c>
      <c r="E1428">
        <v>2</v>
      </c>
      <c r="F1428" t="s">
        <v>258</v>
      </c>
      <c r="G1428">
        <v>1</v>
      </c>
      <c r="H1428" t="s">
        <v>28</v>
      </c>
      <c r="I1428">
        <v>15300</v>
      </c>
      <c r="J1428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:12">
      <c r="A1429" t="s">
        <v>178</v>
      </c>
      <c r="B1429" t="s">
        <v>9</v>
      </c>
      <c r="C1429">
        <v>9</v>
      </c>
      <c r="D1429">
        <v>4352</v>
      </c>
      <c r="E1429">
        <v>1</v>
      </c>
      <c r="F1429" t="s">
        <v>258</v>
      </c>
      <c r="G1429">
        <v>1</v>
      </c>
      <c r="H1429" t="s">
        <v>29</v>
      </c>
      <c r="I1429">
        <v>15850</v>
      </c>
      <c r="J1429">
        <f>DropAnalityka[[#This Row],[Sell Drop]]+IFERROR(SUMIFS(Tabela10[Drop Worth],Tabela10[Drop],DropAnalityka[[#This Row],[Drop]],Tabela10[Grade],DropAnalityka[[#This Row],[Grade]])*DropAnalityka[[#This Row],[Quality/Quantity]],0)</f>
        <v>15850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:12">
      <c r="A1430" t="s">
        <v>178</v>
      </c>
      <c r="B1430" t="s">
        <v>9</v>
      </c>
      <c r="C1430">
        <v>9</v>
      </c>
      <c r="D1430">
        <v>4128</v>
      </c>
      <c r="E1430">
        <v>0</v>
      </c>
      <c r="F1430" t="s">
        <v>258</v>
      </c>
      <c r="G1430">
        <v>1</v>
      </c>
      <c r="H1430" t="s">
        <v>28</v>
      </c>
      <c r="I1430">
        <v>10710</v>
      </c>
      <c r="J1430">
        <f>DropAnalityka[[#This Row],[Sell Drop]]+IFERROR(SUMIFS(Tabela10[Drop Worth],Tabela10[Drop],DropAnalityka[[#This Row],[Drop]],Tabela10[Grade],DropAnalityka[[#This Row],[Grade]])*DropAnalityka[[#This Row],[Quality/Quantity]],0)</f>
        <v>10710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:12">
      <c r="A1431" t="s">
        <v>178</v>
      </c>
      <c r="B1431" t="s">
        <v>9</v>
      </c>
      <c r="C1431">
        <v>9</v>
      </c>
      <c r="D1431">
        <v>4086</v>
      </c>
      <c r="E1431">
        <v>1</v>
      </c>
      <c r="F1431" t="s">
        <v>258</v>
      </c>
      <c r="G1431">
        <v>1</v>
      </c>
      <c r="H1431" t="s">
        <v>27</v>
      </c>
      <c r="I1431">
        <v>1593</v>
      </c>
      <c r="J1431">
        <f>DropAnalityka[[#This Row],[Sell Drop]]+IFERROR(SUMIFS(Tabela10[Drop Worth],Tabela10[Drop],DropAnalityka[[#This Row],[Drop]],Tabela10[Grade],DropAnalityka[[#This Row],[Grade]])*DropAnalityka[[#This Row],[Quality/Quantity]],0)</f>
        <v>1593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:12">
      <c r="A1432" t="s">
        <v>178</v>
      </c>
      <c r="B1432" t="s">
        <v>9</v>
      </c>
      <c r="C1432">
        <v>9</v>
      </c>
      <c r="D1432">
        <v>3994</v>
      </c>
      <c r="E1432">
        <v>1</v>
      </c>
      <c r="F1432" t="s">
        <v>34</v>
      </c>
      <c r="G1432">
        <v>5</v>
      </c>
      <c r="H1432" t="s">
        <v>17</v>
      </c>
      <c r="I1432">
        <v>0</v>
      </c>
      <c r="J1432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4000</v>
      </c>
    </row>
    <row r="1433" spans="1:12">
      <c r="A1433" t="s">
        <v>178</v>
      </c>
      <c r="B1433" t="s">
        <v>9</v>
      </c>
      <c r="C1433">
        <v>9</v>
      </c>
      <c r="D1433">
        <v>3963</v>
      </c>
      <c r="E1433">
        <v>1</v>
      </c>
      <c r="F1433" t="s">
        <v>258</v>
      </c>
      <c r="G1433">
        <v>1</v>
      </c>
      <c r="H1433" t="s">
        <v>28</v>
      </c>
      <c r="I1433">
        <v>5440</v>
      </c>
      <c r="J143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:12">
      <c r="A1434" t="s">
        <v>178</v>
      </c>
      <c r="B1434" t="s">
        <v>9</v>
      </c>
      <c r="C1434">
        <v>9</v>
      </c>
      <c r="D1434">
        <v>4372</v>
      </c>
      <c r="E1434">
        <v>1</v>
      </c>
      <c r="F1434" t="s">
        <v>258</v>
      </c>
      <c r="G1434">
        <v>1</v>
      </c>
      <c r="H1434" t="s">
        <v>27</v>
      </c>
      <c r="I1434">
        <v>2756</v>
      </c>
      <c r="J1434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:12">
      <c r="A1435" t="s">
        <v>178</v>
      </c>
      <c r="B1435" t="s">
        <v>9</v>
      </c>
      <c r="C1435">
        <v>9</v>
      </c>
      <c r="D1435">
        <v>4374</v>
      </c>
      <c r="E1435">
        <v>1</v>
      </c>
      <c r="F1435" t="s">
        <v>34</v>
      </c>
      <c r="G1435">
        <v>5</v>
      </c>
      <c r="H1435" t="s">
        <v>17</v>
      </c>
      <c r="I1435">
        <v>0</v>
      </c>
      <c r="J143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4000</v>
      </c>
    </row>
    <row r="1436" spans="1:12">
      <c r="A1436" t="s">
        <v>178</v>
      </c>
      <c r="B1436" t="s">
        <v>9</v>
      </c>
      <c r="C1436">
        <v>9</v>
      </c>
      <c r="D1436">
        <v>3694</v>
      </c>
      <c r="E1436">
        <v>1</v>
      </c>
      <c r="F1436" t="s">
        <v>258</v>
      </c>
      <c r="G1436">
        <v>1</v>
      </c>
      <c r="H1436" t="s">
        <v>28</v>
      </c>
      <c r="I1436">
        <v>10115</v>
      </c>
      <c r="J1436">
        <f>DropAnalityka[[#This Row],[Sell Drop]]+IFERROR(SUMIFS(Tabela10[Drop Worth],Tabela10[Drop],DropAnalityka[[#This Row],[Drop]],Tabela10[Grade],DropAnalityka[[#This Row],[Grade]])*DropAnalityka[[#This Row],[Quality/Quantity]],0)</f>
        <v>10115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:12">
      <c r="A1437" t="s">
        <v>178</v>
      </c>
      <c r="B1437" t="s">
        <v>9</v>
      </c>
      <c r="C1437">
        <v>9</v>
      </c>
      <c r="D1437">
        <v>4084</v>
      </c>
      <c r="E1437">
        <v>0</v>
      </c>
      <c r="F1437" t="s">
        <v>291</v>
      </c>
      <c r="G1437">
        <v>1</v>
      </c>
      <c r="H1437" t="s">
        <v>27</v>
      </c>
      <c r="I1437">
        <v>7350</v>
      </c>
      <c r="J1437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:12">
      <c r="A1438" t="s">
        <v>178</v>
      </c>
      <c r="B1438" t="s">
        <v>9</v>
      </c>
      <c r="C1438">
        <v>9</v>
      </c>
      <c r="D1438">
        <v>3768</v>
      </c>
      <c r="E1438">
        <v>1</v>
      </c>
      <c r="F1438" t="s">
        <v>258</v>
      </c>
      <c r="G1438">
        <v>1</v>
      </c>
      <c r="H1438" t="s">
        <v>27</v>
      </c>
      <c r="I1438">
        <v>5512</v>
      </c>
      <c r="J1438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:12">
      <c r="A1439" t="s">
        <v>178</v>
      </c>
      <c r="B1439" t="s">
        <v>9</v>
      </c>
      <c r="C1439">
        <v>9</v>
      </c>
      <c r="D1439">
        <v>4434</v>
      </c>
      <c r="E1439">
        <v>0</v>
      </c>
      <c r="F1439" t="s">
        <v>34</v>
      </c>
      <c r="G1439">
        <v>4</v>
      </c>
      <c r="H1439" t="s">
        <v>17</v>
      </c>
      <c r="I1439">
        <v>0</v>
      </c>
      <c r="J1439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3200</v>
      </c>
    </row>
    <row r="1440" spans="1:12">
      <c r="A1440" t="s">
        <v>178</v>
      </c>
      <c r="B1440" t="s">
        <v>9</v>
      </c>
      <c r="C1440">
        <v>9</v>
      </c>
      <c r="D1440">
        <v>4089</v>
      </c>
      <c r="E1440">
        <v>0</v>
      </c>
      <c r="F1440" t="s">
        <v>258</v>
      </c>
      <c r="G1440">
        <v>1</v>
      </c>
      <c r="H1440" t="s">
        <v>28</v>
      </c>
      <c r="I1440">
        <v>5100</v>
      </c>
      <c r="J1440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:13">
      <c r="A1441" t="s">
        <v>178</v>
      </c>
      <c r="B1441" t="s">
        <v>9</v>
      </c>
      <c r="C1441">
        <v>10</v>
      </c>
      <c r="D1441">
        <v>4511</v>
      </c>
      <c r="E1441">
        <v>2</v>
      </c>
      <c r="F1441" t="s">
        <v>34</v>
      </c>
      <c r="G1441">
        <v>5</v>
      </c>
      <c r="H1441" t="s">
        <v>17</v>
      </c>
      <c r="I1441">
        <v>0</v>
      </c>
      <c r="J1441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4000</v>
      </c>
    </row>
    <row r="1442" spans="1:13">
      <c r="A1442" t="s">
        <v>178</v>
      </c>
      <c r="B1442" t="s">
        <v>9</v>
      </c>
      <c r="C1442">
        <v>10</v>
      </c>
      <c r="D1442">
        <v>4119</v>
      </c>
      <c r="E1442">
        <v>0</v>
      </c>
      <c r="F1442" t="s">
        <v>291</v>
      </c>
      <c r="G1442">
        <v>1</v>
      </c>
      <c r="H1442" t="s">
        <v>28</v>
      </c>
      <c r="I1442">
        <v>15300</v>
      </c>
      <c r="J1442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:13">
      <c r="A1443" t="s">
        <v>178</v>
      </c>
      <c r="B1443" t="s">
        <v>9</v>
      </c>
      <c r="C1443">
        <v>10</v>
      </c>
      <c r="D1443">
        <v>4592</v>
      </c>
      <c r="E1443">
        <v>2</v>
      </c>
      <c r="F1443" t="s">
        <v>291</v>
      </c>
      <c r="G1443">
        <v>1</v>
      </c>
      <c r="H1443" t="s">
        <v>28</v>
      </c>
      <c r="I1443">
        <v>8670</v>
      </c>
      <c r="J1443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:13">
      <c r="A1444" t="s">
        <v>178</v>
      </c>
      <c r="B1444" t="s">
        <v>9</v>
      </c>
      <c r="C1444">
        <v>10</v>
      </c>
      <c r="D1444">
        <v>1084</v>
      </c>
      <c r="E1444">
        <v>3</v>
      </c>
      <c r="F1444">
        <v>0</v>
      </c>
      <c r="G1444">
        <v>0</v>
      </c>
      <c r="H1444">
        <v>0</v>
      </c>
      <c r="I1444">
        <v>0</v>
      </c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  <c r="M1444" t="s">
        <v>204</v>
      </c>
    </row>
    <row r="1445" spans="1:13">
      <c r="A1445" t="s">
        <v>178</v>
      </c>
      <c r="B1445" t="s">
        <v>9</v>
      </c>
      <c r="C1445">
        <v>10</v>
      </c>
      <c r="D1445">
        <v>4409</v>
      </c>
      <c r="E1445">
        <v>2</v>
      </c>
      <c r="F1445" t="s">
        <v>34</v>
      </c>
      <c r="G1445">
        <v>5</v>
      </c>
      <c r="H1445" t="s">
        <v>17</v>
      </c>
      <c r="I1445">
        <v>0</v>
      </c>
      <c r="J1445">
        <f>DropAnalityka[[#This Row],[Sell Drop]]+IFERROR(SUMIFS(Tabela10[Drop Worth],Tabela10[Drop],DropAnalityka[[#This Row],[Drop]],Tabela10[Grade],DropAnalityka[[#This Row],[Grade]])*DropAnalityka[[#This Row],[Quality/Quantity]],0)</f>
        <v>10000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4000</v>
      </c>
    </row>
    <row r="1446" spans="1:13">
      <c r="A1446" t="s">
        <v>178</v>
      </c>
      <c r="B1446" t="s">
        <v>9</v>
      </c>
      <c r="C1446">
        <v>10</v>
      </c>
      <c r="D1446">
        <v>4227</v>
      </c>
      <c r="E1446">
        <v>0</v>
      </c>
      <c r="F1446" t="s">
        <v>34</v>
      </c>
      <c r="G1446">
        <v>4</v>
      </c>
      <c r="H1446" t="s">
        <v>17</v>
      </c>
      <c r="I1446">
        <v>0</v>
      </c>
      <c r="J1446">
        <f>DropAnalityka[[#This Row],[Sell Drop]]+IFERROR(SUMIFS(Tabela10[Drop Worth],Tabela10[Drop],DropAnalityka[[#This Row],[Drop]],Tabela10[Grade],DropAnalityka[[#This Row],[Grade]])*DropAnalityka[[#This Row],[Quality/Quantity]],0)</f>
        <v>8000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3200</v>
      </c>
    </row>
    <row r="1447" spans="1:13">
      <c r="A1447" t="s">
        <v>178</v>
      </c>
      <c r="B1447" t="s">
        <v>9</v>
      </c>
      <c r="C1447">
        <v>10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  <c r="M1447" t="s">
        <v>204</v>
      </c>
    </row>
    <row r="1448" spans="1:13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:13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:13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:13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:13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:13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:13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:13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:13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A1997" s="6"/>
      <c r="B1997" s="6"/>
      <c r="C1997" s="6"/>
      <c r="D1997" s="6"/>
      <c r="E1997" s="6"/>
      <c r="F1997" s="6"/>
      <c r="G1997" s="6"/>
      <c r="H1997" s="6"/>
      <c r="I1997" s="6"/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69">
        <f>IFERROR(SUMIFS(Tabela10[Fod Worth],Tabela10[Drop],DropAnalityka[[#This Row],[Drop]],Tabela10[Grade],DropAnalityka[[#This Row],[Grade]])*DropAnalityka[[#This Row],[Quality/Quantity]],0)</f>
        <v>0</v>
      </c>
      <c r="L1997" s="69">
        <f>IFERROR(SUMIFS(Tabela10[Exp Gain only 2*+],Tabela10[Drop],DropAnalityka[[#This Row],[Drop]],Tabela10[Grade],DropAnalityka[[#This Row],[Grade]])*DropAnalityka[[#This Row],[Quality/Quantity]],0)</f>
        <v>0</v>
      </c>
      <c r="M1997" s="6"/>
    </row>
  </sheetData>
  <pageMargins left="0.7" right="0.7" top="0.75" bottom="0.75" header="0.3" footer="0.3"/>
  <pageSetup paperSize="9" orientation="portrait"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53" zoomScale="85" zoomScaleNormal="85" workbookViewId="0">
      <selection activeCell="C75" sqref="C75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12" t="s">
        <v>249</v>
      </c>
      <c r="G5" s="213"/>
      <c r="H5" s="214"/>
      <c r="I5" s="215" t="s">
        <v>250</v>
      </c>
      <c r="J5" s="216"/>
      <c r="K5" s="217"/>
      <c r="L5" s="218" t="s">
        <v>18</v>
      </c>
      <c r="M5" s="219"/>
      <c r="N5" s="220"/>
      <c r="O5" s="221" t="s">
        <v>252</v>
      </c>
      <c r="P5" s="222"/>
      <c r="Q5" s="223"/>
      <c r="R5" s="224" t="s">
        <v>251</v>
      </c>
      <c r="S5" s="225"/>
      <c r="T5" s="226"/>
    </row>
    <row r="6" spans="1:20" ht="15.75" thickBot="1">
      <c r="C6" s="33" t="s">
        <v>247</v>
      </c>
      <c r="D6" s="32" t="s">
        <v>835</v>
      </c>
      <c r="E6" s="52"/>
      <c r="F6" s="73" t="s">
        <v>253</v>
      </c>
      <c r="G6" s="74" t="s">
        <v>293</v>
      </c>
      <c r="H6" s="75" t="s">
        <v>254</v>
      </c>
      <c r="I6" s="81" t="s">
        <v>253</v>
      </c>
      <c r="J6" s="82" t="s">
        <v>293</v>
      </c>
      <c r="K6" s="83" t="s">
        <v>254</v>
      </c>
      <c r="L6" s="89" t="s">
        <v>253</v>
      </c>
      <c r="M6" s="90" t="s">
        <v>293</v>
      </c>
      <c r="N6" s="91" t="s">
        <v>254</v>
      </c>
      <c r="O6" s="107" t="s">
        <v>253</v>
      </c>
      <c r="P6" s="108" t="s">
        <v>293</v>
      </c>
      <c r="Q6" s="109" t="s">
        <v>254</v>
      </c>
      <c r="R6" s="97" t="s">
        <v>253</v>
      </c>
      <c r="S6" s="98" t="s">
        <v>293</v>
      </c>
      <c r="T6" s="99" t="s">
        <v>254</v>
      </c>
    </row>
    <row r="7" spans="1:20" ht="15">
      <c r="A7" s="58" t="s">
        <v>248</v>
      </c>
      <c r="B7" s="63" t="s">
        <v>840</v>
      </c>
      <c r="C7" s="61"/>
      <c r="D7" s="192" t="s">
        <v>330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248</v>
      </c>
      <c r="B8" s="64" t="s">
        <v>228</v>
      </c>
      <c r="C8" s="5" t="s">
        <v>204</v>
      </c>
      <c r="D8" s="56" t="s">
        <v>327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248</v>
      </c>
      <c r="B9" s="64" t="s">
        <v>229</v>
      </c>
      <c r="C9" s="5" t="s">
        <v>204</v>
      </c>
      <c r="D9" s="56" t="s">
        <v>327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248</v>
      </c>
      <c r="B10" s="64" t="s">
        <v>230</v>
      </c>
      <c r="C10" s="5" t="s">
        <v>204</v>
      </c>
      <c r="D10" s="56" t="s">
        <v>327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248</v>
      </c>
      <c r="B11" s="65" t="s">
        <v>231</v>
      </c>
      <c r="C11" s="5" t="s">
        <v>204</v>
      </c>
      <c r="D11" s="56" t="s">
        <v>327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248</v>
      </c>
      <c r="B12" s="63" t="s">
        <v>843</v>
      </c>
      <c r="C12" s="5" t="s">
        <v>204</v>
      </c>
      <c r="D12" s="56" t="s">
        <v>330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248</v>
      </c>
      <c r="B13" s="64" t="s">
        <v>232</v>
      </c>
      <c r="C13" s="5" t="s">
        <v>204</v>
      </c>
      <c r="D13" s="56" t="s">
        <v>327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248</v>
      </c>
      <c r="B14" s="64" t="s">
        <v>233</v>
      </c>
      <c r="C14" s="5" t="s">
        <v>204</v>
      </c>
      <c r="D14" s="56" t="s">
        <v>327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248</v>
      </c>
      <c r="B15" s="64" t="s">
        <v>234</v>
      </c>
      <c r="C15" s="5" t="s">
        <v>204</v>
      </c>
      <c r="D15" s="56" t="s">
        <v>327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248</v>
      </c>
      <c r="B16" s="65" t="s">
        <v>235</v>
      </c>
      <c r="C16" s="5" t="s">
        <v>204</v>
      </c>
      <c r="D16" s="56" t="s">
        <v>327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248</v>
      </c>
      <c r="B17" s="63" t="s">
        <v>844</v>
      </c>
      <c r="C17" s="5" t="s">
        <v>204</v>
      </c>
      <c r="D17" s="56" t="s">
        <v>330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248</v>
      </c>
      <c r="B18" s="64" t="s">
        <v>236</v>
      </c>
      <c r="C18" s="64" t="s">
        <v>204</v>
      </c>
      <c r="D18" s="56" t="s">
        <v>327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248</v>
      </c>
      <c r="B19" s="64" t="s">
        <v>237</v>
      </c>
      <c r="C19" s="5" t="s">
        <v>204</v>
      </c>
      <c r="D19" s="56" t="s">
        <v>327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248</v>
      </c>
      <c r="B20" s="64" t="s">
        <v>238</v>
      </c>
      <c r="C20" s="5" t="s">
        <v>204</v>
      </c>
      <c r="D20" s="56" t="s">
        <v>327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248</v>
      </c>
      <c r="B21" s="65" t="s">
        <v>239</v>
      </c>
      <c r="C21" s="5" t="s">
        <v>204</v>
      </c>
      <c r="D21" s="56" t="s">
        <v>327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248</v>
      </c>
      <c r="B22" s="190" t="s">
        <v>240</v>
      </c>
      <c r="C22" s="5"/>
      <c r="D22" s="56" t="s">
        <v>827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248</v>
      </c>
      <c r="B23" s="66" t="s">
        <v>224</v>
      </c>
      <c r="C23" s="7" t="s">
        <v>204</v>
      </c>
      <c r="D23" s="193" t="s">
        <v>845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255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256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116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207" t="s">
        <v>281</v>
      </c>
      <c r="H27" s="207"/>
      <c r="I27" s="207"/>
      <c r="J27" s="207"/>
      <c r="K27" s="207"/>
      <c r="L27" s="207"/>
      <c r="M27" s="207"/>
      <c r="N27" s="207"/>
      <c r="O27" s="207"/>
      <c r="P27" s="207"/>
      <c r="Q27" s="207"/>
      <c r="R27" s="207"/>
      <c r="S27" s="207"/>
      <c r="T27" s="208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209" t="s">
        <v>280</v>
      </c>
      <c r="H32" s="210"/>
      <c r="I32" s="210"/>
      <c r="J32" s="210"/>
      <c r="K32" s="210"/>
      <c r="L32" s="210"/>
      <c r="M32" s="210"/>
      <c r="N32" s="210"/>
      <c r="O32" s="210"/>
      <c r="P32" s="210"/>
      <c r="Q32" s="210"/>
      <c r="R32" s="210"/>
      <c r="S32" s="210"/>
      <c r="T32" s="211"/>
      <c r="U32" s="122" t="s">
        <v>282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12" t="s">
        <v>249</v>
      </c>
      <c r="G37" s="213"/>
      <c r="H37" s="214"/>
      <c r="I37" s="215" t="s">
        <v>250</v>
      </c>
      <c r="J37" s="216"/>
      <c r="K37" s="217"/>
      <c r="L37" s="218" t="s">
        <v>18</v>
      </c>
      <c r="M37" s="219"/>
      <c r="N37" s="220"/>
      <c r="O37" s="221" t="s">
        <v>252</v>
      </c>
      <c r="P37" s="222"/>
      <c r="Q37" s="223"/>
      <c r="R37" s="224" t="s">
        <v>251</v>
      </c>
      <c r="S37" s="225"/>
      <c r="T37" s="226"/>
    </row>
    <row r="38" spans="1:21" ht="15.75" thickBot="1">
      <c r="C38" s="33" t="s">
        <v>247</v>
      </c>
      <c r="D38" s="32" t="s">
        <v>835</v>
      </c>
      <c r="E38" s="52"/>
      <c r="F38" s="73" t="s">
        <v>253</v>
      </c>
      <c r="G38" s="74" t="s">
        <v>293</v>
      </c>
      <c r="H38" s="75" t="s">
        <v>254</v>
      </c>
      <c r="I38" s="81" t="s">
        <v>253</v>
      </c>
      <c r="J38" s="82" t="s">
        <v>293</v>
      </c>
      <c r="K38" s="83" t="s">
        <v>254</v>
      </c>
      <c r="L38" s="89" t="s">
        <v>253</v>
      </c>
      <c r="M38" s="90" t="s">
        <v>293</v>
      </c>
      <c r="N38" s="91" t="s">
        <v>254</v>
      </c>
      <c r="O38" s="107" t="s">
        <v>253</v>
      </c>
      <c r="P38" s="108" t="s">
        <v>293</v>
      </c>
      <c r="Q38" s="109" t="s">
        <v>254</v>
      </c>
      <c r="R38" s="97" t="s">
        <v>253</v>
      </c>
      <c r="S38" s="98" t="s">
        <v>293</v>
      </c>
      <c r="T38" s="99" t="s">
        <v>254</v>
      </c>
    </row>
    <row r="39" spans="1:21" ht="15">
      <c r="A39" s="58" t="s">
        <v>828</v>
      </c>
      <c r="B39" s="63" t="s">
        <v>829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828</v>
      </c>
      <c r="B40" s="64" t="s">
        <v>213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828</v>
      </c>
      <c r="B41" s="64" t="s">
        <v>212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828</v>
      </c>
      <c r="B42" s="64" t="s">
        <v>211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828</v>
      </c>
      <c r="B43" s="65" t="s">
        <v>214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828</v>
      </c>
      <c r="B44" s="63" t="s">
        <v>830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828</v>
      </c>
      <c r="B45" s="64" t="s">
        <v>216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828</v>
      </c>
      <c r="B46" s="64" t="s">
        <v>217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828</v>
      </c>
      <c r="B47" s="64" t="s">
        <v>218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828</v>
      </c>
      <c r="B48" s="65" t="s">
        <v>219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828</v>
      </c>
      <c r="B49" s="63" t="s">
        <v>833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828</v>
      </c>
      <c r="B50" s="64" t="s">
        <v>220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828</v>
      </c>
      <c r="B51" s="64" t="s">
        <v>221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828</v>
      </c>
      <c r="B52" s="64" t="s">
        <v>834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828</v>
      </c>
      <c r="B53" s="65" t="s">
        <v>222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828</v>
      </c>
      <c r="B54" s="190" t="s">
        <v>831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828</v>
      </c>
      <c r="B55" s="66" t="s">
        <v>832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255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256</v>
      </c>
      <c r="F57" s="77">
        <v>189</v>
      </c>
      <c r="G57" s="77">
        <v>4</v>
      </c>
      <c r="H57" s="77">
        <v>8</v>
      </c>
      <c r="I57" s="85">
        <v>94</v>
      </c>
      <c r="J57" s="85">
        <v>17</v>
      </c>
      <c r="K57" s="85">
        <v>24</v>
      </c>
      <c r="L57" s="93">
        <v>76</v>
      </c>
      <c r="M57" s="93">
        <v>19</v>
      </c>
      <c r="N57" s="93">
        <v>30</v>
      </c>
      <c r="O57" s="111">
        <v>285</v>
      </c>
      <c r="P57" s="111">
        <v>3</v>
      </c>
      <c r="Q57" s="111">
        <v>48</v>
      </c>
      <c r="R57" s="101">
        <v>70</v>
      </c>
      <c r="S57" s="101">
        <v>45</v>
      </c>
      <c r="T57" s="102">
        <v>0</v>
      </c>
    </row>
    <row r="58" spans="1:21" ht="15.75" thickBot="1">
      <c r="E58" s="68" t="s">
        <v>116</v>
      </c>
      <c r="F58" s="80">
        <f>MAXA(F56-F57,0)</f>
        <v>0</v>
      </c>
      <c r="G58" s="80">
        <f t="shared" ref="G58:T58" si="3">MAXA(G56-G57,0)</f>
        <v>88</v>
      </c>
      <c r="H58" s="80">
        <f t="shared" si="3"/>
        <v>22</v>
      </c>
      <c r="I58" s="88">
        <f t="shared" si="3"/>
        <v>0</v>
      </c>
      <c r="J58" s="88">
        <f t="shared" si="3"/>
        <v>48</v>
      </c>
      <c r="K58" s="88">
        <f t="shared" si="3"/>
        <v>0</v>
      </c>
      <c r="L58" s="96">
        <f t="shared" si="3"/>
        <v>0</v>
      </c>
      <c r="M58" s="96">
        <f t="shared" si="3"/>
        <v>52</v>
      </c>
      <c r="N58" s="96">
        <f t="shared" si="3"/>
        <v>0</v>
      </c>
      <c r="O58" s="114">
        <f t="shared" si="3"/>
        <v>0</v>
      </c>
      <c r="P58" s="114">
        <f t="shared" si="3"/>
        <v>152</v>
      </c>
      <c r="Q58" s="114">
        <f t="shared" si="3"/>
        <v>0</v>
      </c>
      <c r="R58" s="104">
        <f t="shared" si="3"/>
        <v>0</v>
      </c>
      <c r="S58" s="104">
        <f t="shared" si="3"/>
        <v>0</v>
      </c>
      <c r="T58" s="106">
        <f t="shared" si="3"/>
        <v>0</v>
      </c>
    </row>
    <row r="59" spans="1:21">
      <c r="E59" s="61"/>
      <c r="F59" s="51"/>
      <c r="G59" s="207" t="s">
        <v>281</v>
      </c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8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157.61194029850745</v>
      </c>
      <c r="H60" s="126">
        <f>H$58/VLOOKUP(H$38,Tabela11[#All],6,FALSE)</f>
        <v>82.5</v>
      </c>
      <c r="I60" s="126">
        <f>I$58/VLOOKUP(I$38,Tabela11[#All],6,FALSE)</f>
        <v>0</v>
      </c>
      <c r="J60" s="126">
        <f>J$58/VLOOKUP(J$38,Tabela11[#All],6,FALSE)</f>
        <v>85.970149253731336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93.134328358208947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272.23880597014926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402.28571428571428</v>
      </c>
      <c r="H61" s="126">
        <f>H$58/VLOOKUP(H$38,Tabela11[#All],5,FALSE)</f>
        <v>100.57142857142857</v>
      </c>
      <c r="I61" s="126">
        <f>I$58/VLOOKUP(I$38,Tabela11[#All],5,FALSE)</f>
        <v>0</v>
      </c>
      <c r="J61" s="126">
        <f>J$58/VLOOKUP(J$38,Tabela11[#All],5,FALSE)</f>
        <v>219.42857142857142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237.71428571428572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694.85714285714289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159.35135135135133</v>
      </c>
      <c r="H62" s="128">
        <f>H$58/VLOOKUP(H$38,Tabela11[#All],4,FALSE)</f>
        <v>163.77777777777777</v>
      </c>
      <c r="I62" s="128">
        <f>I$58/VLOOKUP(I$38,Tabela11[#All],4,FALSE)</f>
        <v>0</v>
      </c>
      <c r="J62" s="128">
        <f>J$58/VLOOKUP(J$38,Tabela11[#All],4,FALSE)</f>
        <v>86.918918918918919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94.162162162162161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275.24324324324323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209" t="s">
        <v>280</v>
      </c>
      <c r="H64" s="210"/>
      <c r="I64" s="210"/>
      <c r="J64" s="210"/>
      <c r="K64" s="210"/>
      <c r="L64" s="210"/>
      <c r="M64" s="210"/>
      <c r="N64" s="210"/>
      <c r="O64" s="210"/>
      <c r="P64" s="210"/>
      <c r="Q64" s="210"/>
      <c r="R64" s="210"/>
      <c r="S64" s="210"/>
      <c r="T64" s="211"/>
      <c r="U64" s="122" t="s">
        <v>282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980.34626865671635</v>
      </c>
      <c r="H65" s="126">
        <f>H$58/VLOOKUP(H$38,Tabela11[#All],6,FALSE)*(7-12*0.065)</f>
        <v>513.15</v>
      </c>
      <c r="I65" s="126">
        <f>I$58/VLOOKUP(I$38,Tabela11[#All],6,FALSE)*(7-12*0.065)</f>
        <v>0</v>
      </c>
      <c r="J65" s="126">
        <f>J$58/VLOOKUP(J$38,Tabela11[#All],6,FALSE)*(7-12*0.065)</f>
        <v>534.73432835820893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579.29552238805968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1693.3253731343284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3787.7014925373132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2502.2171428571428</v>
      </c>
      <c r="H66" s="126">
        <f>H$58/VLOOKUP(H$38,Tabela11[#All],5,FALSE)*(7-12*0.065)</f>
        <v>625.5542857142857</v>
      </c>
      <c r="I66" s="126">
        <f>I$58/VLOOKUP(I$38,Tabela11[#All],5,FALSE)*(7-12*0.065)</f>
        <v>0</v>
      </c>
      <c r="J66" s="126">
        <f>J$58/VLOOKUP(J$38,Tabela11[#All],5,FALSE)*(7-12*0.065)</f>
        <v>1364.8457142857142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1478.5828571428572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4322.011428571429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9667.6571428571442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831.81405405405383</v>
      </c>
      <c r="H67" s="128">
        <f>H$58/VLOOKUP(H$38,Tabela11[#All],4,FALSE)*(6-12*0.065)</f>
        <v>854.92</v>
      </c>
      <c r="I67" s="128">
        <f>I$58/VLOOKUP(I$38,Tabela11[#All],4,FALSE)*(6-12*0.065)</f>
        <v>0</v>
      </c>
      <c r="J67" s="128">
        <f>J$58/VLOOKUP(J$38,Tabela11[#All],4,FALSE)*(6-12*0.065)</f>
        <v>453.71675675675675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491.52648648648648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1436.7697297297295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3236.9329729729725</v>
      </c>
    </row>
    <row r="68" spans="1:21" ht="15" thickBot="1"/>
    <row r="69" spans="1:21" ht="15" thickBot="1">
      <c r="F69" s="212" t="s">
        <v>249</v>
      </c>
      <c r="G69" s="213"/>
      <c r="H69" s="214"/>
      <c r="I69" s="215" t="s">
        <v>250</v>
      </c>
      <c r="J69" s="216"/>
      <c r="K69" s="217"/>
      <c r="L69" s="218" t="s">
        <v>18</v>
      </c>
      <c r="M69" s="219"/>
      <c r="N69" s="220"/>
      <c r="O69" s="221" t="s">
        <v>252</v>
      </c>
      <c r="P69" s="222"/>
      <c r="Q69" s="223"/>
      <c r="R69" s="224" t="s">
        <v>251</v>
      </c>
      <c r="S69" s="225"/>
      <c r="T69" s="226"/>
    </row>
    <row r="70" spans="1:21" ht="15.75" thickBot="1">
      <c r="C70" s="33" t="s">
        <v>247</v>
      </c>
      <c r="D70" s="32" t="s">
        <v>835</v>
      </c>
      <c r="E70" s="52"/>
      <c r="F70" s="73" t="s">
        <v>253</v>
      </c>
      <c r="G70" s="74" t="s">
        <v>293</v>
      </c>
      <c r="H70" s="75" t="s">
        <v>254</v>
      </c>
      <c r="I70" s="81" t="s">
        <v>253</v>
      </c>
      <c r="J70" s="82" t="s">
        <v>293</v>
      </c>
      <c r="K70" s="83" t="s">
        <v>254</v>
      </c>
      <c r="L70" s="89" t="s">
        <v>253</v>
      </c>
      <c r="M70" s="90" t="s">
        <v>293</v>
      </c>
      <c r="N70" s="91" t="s">
        <v>254</v>
      </c>
      <c r="O70" s="107" t="s">
        <v>253</v>
      </c>
      <c r="P70" s="108" t="s">
        <v>293</v>
      </c>
      <c r="Q70" s="109" t="s">
        <v>254</v>
      </c>
      <c r="R70" s="97" t="s">
        <v>253</v>
      </c>
      <c r="S70" s="98" t="s">
        <v>293</v>
      </c>
      <c r="T70" s="99" t="s">
        <v>254</v>
      </c>
    </row>
    <row r="71" spans="1:21" ht="15">
      <c r="A71" s="58" t="s">
        <v>837</v>
      </c>
      <c r="B71" s="63" t="s">
        <v>839</v>
      </c>
      <c r="C71" s="61"/>
      <c r="D71" s="61"/>
      <c r="E71" s="62"/>
      <c r="F71" s="76"/>
      <c r="G71" s="77"/>
      <c r="H71" s="78"/>
      <c r="I71" s="84"/>
      <c r="J71" s="85"/>
      <c r="K71" s="86"/>
      <c r="L71" s="92"/>
      <c r="M71" s="93"/>
      <c r="N71" s="94"/>
      <c r="O71" s="110"/>
      <c r="P71" s="111"/>
      <c r="Q71" s="112"/>
      <c r="R71" s="100"/>
      <c r="S71" s="101"/>
      <c r="T71" s="102"/>
    </row>
    <row r="72" spans="1:21">
      <c r="A72" s="59" t="s">
        <v>837</v>
      </c>
      <c r="B72" s="64" t="s">
        <v>241</v>
      </c>
      <c r="C72" s="64">
        <v>4</v>
      </c>
      <c r="D72" s="64"/>
      <c r="E72" s="53"/>
      <c r="F72" s="76"/>
      <c r="G72" s="77"/>
      <c r="H72" s="78"/>
      <c r="I72" s="84"/>
      <c r="J72" s="85"/>
      <c r="K72" s="86"/>
      <c r="L72" s="92">
        <v>10</v>
      </c>
      <c r="M72" s="93">
        <v>15</v>
      </c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837</v>
      </c>
      <c r="B73" s="64" t="s">
        <v>242</v>
      </c>
      <c r="C73" s="64">
        <v>3</v>
      </c>
      <c r="D73" s="64"/>
      <c r="E73" s="53"/>
      <c r="F73" s="76"/>
      <c r="G73" s="77"/>
      <c r="H73" s="78"/>
      <c r="I73" s="84"/>
      <c r="J73" s="85"/>
      <c r="K73" s="86"/>
      <c r="L73" s="92">
        <v>10</v>
      </c>
      <c r="M73" s="93">
        <v>15</v>
      </c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837</v>
      </c>
      <c r="B74" s="64" t="s">
        <v>243</v>
      </c>
      <c r="C74" s="64">
        <v>4</v>
      </c>
      <c r="D74" s="64"/>
      <c r="E74" s="53"/>
      <c r="F74" s="76">
        <v>5</v>
      </c>
      <c r="G74" s="77">
        <v>20</v>
      </c>
      <c r="H74" s="78"/>
      <c r="I74" s="84"/>
      <c r="J74" s="85"/>
      <c r="K74" s="86"/>
      <c r="L74" s="92"/>
      <c r="M74" s="93"/>
      <c r="N74" s="94"/>
      <c r="O74" s="110">
        <v>5</v>
      </c>
      <c r="P74" s="111">
        <v>15</v>
      </c>
      <c r="Q74" s="112"/>
      <c r="R74" s="100"/>
      <c r="S74" s="101"/>
      <c r="T74" s="102"/>
    </row>
    <row r="75" spans="1:21" ht="15" thickBot="1">
      <c r="A75" s="59" t="s">
        <v>837</v>
      </c>
      <c r="B75" s="65" t="s">
        <v>244</v>
      </c>
      <c r="C75" s="64">
        <v>3</v>
      </c>
      <c r="D75" s="64"/>
      <c r="E75" s="53"/>
      <c r="F75" s="76"/>
      <c r="G75" s="77"/>
      <c r="H75" s="78"/>
      <c r="I75" s="84">
        <v>20</v>
      </c>
      <c r="J75" s="85"/>
      <c r="K75" s="86"/>
      <c r="L75" s="92"/>
      <c r="M75" s="93"/>
      <c r="N75" s="94"/>
      <c r="O75" s="110">
        <v>10</v>
      </c>
      <c r="P75" s="111">
        <v>2</v>
      </c>
      <c r="Q75" s="112"/>
      <c r="R75" s="100"/>
      <c r="S75" s="101"/>
      <c r="T75" s="102"/>
    </row>
    <row r="76" spans="1:21" ht="15">
      <c r="A76" s="59" t="s">
        <v>837</v>
      </c>
      <c r="B76" s="63" t="s">
        <v>840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/>
      <c r="N76" s="94"/>
      <c r="O76" s="110"/>
      <c r="P76" s="111"/>
      <c r="Q76" s="112"/>
      <c r="R76" s="100"/>
      <c r="S76" s="101"/>
      <c r="T76" s="102"/>
    </row>
    <row r="77" spans="1:21">
      <c r="A77" s="59" t="s">
        <v>837</v>
      </c>
      <c r="B77" s="64" t="s">
        <v>228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837</v>
      </c>
      <c r="B78" s="64" t="s">
        <v>841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837</v>
      </c>
      <c r="B79" s="64" t="s">
        <v>230</v>
      </c>
      <c r="C79" s="64" t="s">
        <v>842</v>
      </c>
      <c r="D79" s="64"/>
      <c r="E79" s="53"/>
      <c r="F79" s="76"/>
      <c r="G79" s="77"/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837</v>
      </c>
      <c r="B80" s="65" t="s">
        <v>231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837</v>
      </c>
      <c r="B81" s="63" t="s">
        <v>833</v>
      </c>
      <c r="C81" s="64"/>
      <c r="D81" s="64"/>
      <c r="E81" s="53"/>
      <c r="F81" s="76"/>
      <c r="G81" s="77"/>
      <c r="H81" s="78"/>
      <c r="I81" s="84"/>
      <c r="J81" s="85"/>
      <c r="K81" s="86"/>
      <c r="L81" s="92"/>
      <c r="M81" s="93"/>
      <c r="N81" s="94"/>
      <c r="O81" s="110"/>
      <c r="P81" s="111"/>
      <c r="Q81" s="112"/>
      <c r="R81" s="100"/>
      <c r="S81" s="101"/>
      <c r="T81" s="102"/>
    </row>
    <row r="82" spans="1:21">
      <c r="A82" s="59" t="s">
        <v>837</v>
      </c>
      <c r="B82" s="64" t="s">
        <v>220</v>
      </c>
      <c r="C82" s="64">
        <v>2</v>
      </c>
      <c r="D82" s="64"/>
      <c r="E82" s="53"/>
      <c r="F82" s="76"/>
      <c r="G82" s="77"/>
      <c r="H82" s="78"/>
      <c r="I82" s="84"/>
      <c r="J82" s="85"/>
      <c r="K82" s="86"/>
      <c r="L82" s="92"/>
      <c r="M82" s="93"/>
      <c r="N82" s="94"/>
      <c r="O82" s="110"/>
      <c r="P82" s="111"/>
      <c r="Q82" s="112"/>
      <c r="R82" s="100"/>
      <c r="S82" s="101"/>
      <c r="T82" s="102"/>
    </row>
    <row r="83" spans="1:21">
      <c r="A83" s="59" t="s">
        <v>837</v>
      </c>
      <c r="B83" s="64" t="s">
        <v>221</v>
      </c>
      <c r="C83" s="64">
        <v>2</v>
      </c>
      <c r="D83" s="64"/>
      <c r="E83" s="53"/>
      <c r="F83" s="76"/>
      <c r="G83" s="77"/>
      <c r="H83" s="78"/>
      <c r="I83" s="84"/>
      <c r="J83" s="85"/>
      <c r="K83" s="86"/>
      <c r="L83" s="92"/>
      <c r="M83" s="93"/>
      <c r="N83" s="94"/>
      <c r="O83" s="110"/>
      <c r="P83" s="111"/>
      <c r="Q83" s="112"/>
      <c r="R83" s="100"/>
      <c r="S83" s="101"/>
      <c r="T83" s="102"/>
    </row>
    <row r="84" spans="1:21">
      <c r="A84" s="59" t="s">
        <v>837</v>
      </c>
      <c r="B84" s="64" t="s">
        <v>834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/>
      <c r="M84" s="93"/>
      <c r="N84" s="94"/>
      <c r="O84" s="110"/>
      <c r="P84" s="111"/>
      <c r="Q84" s="112"/>
      <c r="R84" s="100"/>
      <c r="S84" s="101"/>
      <c r="T84" s="102"/>
    </row>
    <row r="85" spans="1:21" ht="15" thickBot="1">
      <c r="A85" s="59" t="s">
        <v>837</v>
      </c>
      <c r="B85" s="65" t="s">
        <v>222</v>
      </c>
      <c r="C85" s="64">
        <v>1</v>
      </c>
      <c r="D85" s="64"/>
      <c r="E85" s="53"/>
      <c r="F85" s="76"/>
      <c r="G85" s="77"/>
      <c r="H85" s="78"/>
      <c r="I85" s="84"/>
      <c r="J85" s="85"/>
      <c r="K85" s="86"/>
      <c r="L85" s="92"/>
      <c r="M85" s="93"/>
      <c r="N85" s="94"/>
      <c r="O85" s="110"/>
      <c r="P85" s="111"/>
      <c r="Q85" s="112"/>
      <c r="R85" s="100"/>
      <c r="S85" s="101"/>
      <c r="T85" s="102"/>
    </row>
    <row r="86" spans="1:21" ht="15.75" thickBot="1">
      <c r="A86" s="59" t="s">
        <v>837</v>
      </c>
      <c r="B86" s="190" t="s">
        <v>838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/>
      <c r="P86" s="111"/>
      <c r="Q86" s="112"/>
      <c r="R86" s="100"/>
      <c r="S86" s="101"/>
      <c r="T86" s="102"/>
    </row>
    <row r="87" spans="1:21" ht="15.75" thickBot="1">
      <c r="A87" s="60" t="s">
        <v>837</v>
      </c>
      <c r="B87" s="66" t="s">
        <v>836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/>
      <c r="Q87" s="112"/>
      <c r="R87" s="100"/>
      <c r="S87" s="101"/>
      <c r="T87" s="102"/>
    </row>
    <row r="88" spans="1:21">
      <c r="E88" s="59" t="s">
        <v>255</v>
      </c>
      <c r="F88" s="79">
        <f>SUM(F71:F87)</f>
        <v>5</v>
      </c>
      <c r="G88" s="79">
        <f t="shared" ref="G88:T88" si="4">SUM(G71:G87)</f>
        <v>20</v>
      </c>
      <c r="H88" s="79">
        <f t="shared" si="4"/>
        <v>0</v>
      </c>
      <c r="I88" s="87">
        <f t="shared" si="4"/>
        <v>20</v>
      </c>
      <c r="J88" s="87">
        <f t="shared" si="4"/>
        <v>0</v>
      </c>
      <c r="K88" s="87">
        <f t="shared" si="4"/>
        <v>0</v>
      </c>
      <c r="L88" s="95">
        <f t="shared" si="4"/>
        <v>20</v>
      </c>
      <c r="M88" s="95">
        <f t="shared" si="4"/>
        <v>30</v>
      </c>
      <c r="N88" s="95">
        <f t="shared" si="4"/>
        <v>0</v>
      </c>
      <c r="O88" s="113">
        <f t="shared" si="4"/>
        <v>25</v>
      </c>
      <c r="P88" s="113">
        <f t="shared" si="4"/>
        <v>37</v>
      </c>
      <c r="Q88" s="113">
        <f t="shared" si="4"/>
        <v>0</v>
      </c>
      <c r="R88" s="103">
        <f t="shared" si="4"/>
        <v>0</v>
      </c>
      <c r="S88" s="103">
        <f t="shared" si="4"/>
        <v>0</v>
      </c>
      <c r="T88" s="105">
        <f t="shared" si="4"/>
        <v>0</v>
      </c>
    </row>
    <row r="89" spans="1:21">
      <c r="E89" s="59" t="s">
        <v>256</v>
      </c>
      <c r="F89" s="77">
        <v>0</v>
      </c>
      <c r="G89" s="77">
        <v>0</v>
      </c>
      <c r="H89" s="77">
        <v>0</v>
      </c>
      <c r="I89" s="85">
        <v>0</v>
      </c>
      <c r="J89" s="85">
        <v>0</v>
      </c>
      <c r="K89" s="85">
        <v>0</v>
      </c>
      <c r="L89" s="93">
        <v>0</v>
      </c>
      <c r="M89" s="93">
        <v>0</v>
      </c>
      <c r="N89" s="93">
        <v>0</v>
      </c>
      <c r="O89" s="111">
        <v>0</v>
      </c>
      <c r="P89" s="111">
        <v>0</v>
      </c>
      <c r="Q89" s="111">
        <v>0</v>
      </c>
      <c r="R89" s="101">
        <v>0</v>
      </c>
      <c r="S89" s="101">
        <v>0</v>
      </c>
      <c r="T89" s="102">
        <v>0</v>
      </c>
    </row>
    <row r="90" spans="1:21" ht="15.75" thickBot="1">
      <c r="E90" s="68" t="s">
        <v>116</v>
      </c>
      <c r="F90" s="80">
        <f>MAXA(F88-F89,0)</f>
        <v>5</v>
      </c>
      <c r="G90" s="80">
        <f t="shared" ref="G90:T90" si="5">MAXA(G88-G89,0)</f>
        <v>20</v>
      </c>
      <c r="H90" s="80">
        <f t="shared" si="5"/>
        <v>0</v>
      </c>
      <c r="I90" s="88">
        <f t="shared" si="5"/>
        <v>20</v>
      </c>
      <c r="J90" s="88">
        <f t="shared" si="5"/>
        <v>0</v>
      </c>
      <c r="K90" s="88">
        <f t="shared" si="5"/>
        <v>0</v>
      </c>
      <c r="L90" s="96">
        <f t="shared" si="5"/>
        <v>20</v>
      </c>
      <c r="M90" s="96">
        <f t="shared" si="5"/>
        <v>30</v>
      </c>
      <c r="N90" s="96">
        <f t="shared" si="5"/>
        <v>0</v>
      </c>
      <c r="O90" s="114">
        <f t="shared" si="5"/>
        <v>25</v>
      </c>
      <c r="P90" s="114">
        <f t="shared" si="5"/>
        <v>37</v>
      </c>
      <c r="Q90" s="114">
        <f t="shared" si="5"/>
        <v>0</v>
      </c>
      <c r="R90" s="104">
        <f t="shared" si="5"/>
        <v>0</v>
      </c>
      <c r="S90" s="104">
        <f t="shared" si="5"/>
        <v>0</v>
      </c>
      <c r="T90" s="106">
        <f t="shared" si="5"/>
        <v>0</v>
      </c>
    </row>
    <row r="91" spans="1:21">
      <c r="E91" s="61"/>
      <c r="F91" s="51"/>
      <c r="G91" s="207" t="s">
        <v>281</v>
      </c>
      <c r="H91" s="207"/>
      <c r="I91" s="207"/>
      <c r="J91" s="207"/>
      <c r="K91" s="207"/>
      <c r="L91" s="207"/>
      <c r="M91" s="207"/>
      <c r="N91" s="207"/>
      <c r="O91" s="207"/>
      <c r="P91" s="207"/>
      <c r="Q91" s="207"/>
      <c r="R91" s="207"/>
      <c r="S91" s="207"/>
      <c r="T91" s="208"/>
    </row>
    <row r="92" spans="1:21">
      <c r="E92" s="5">
        <v>9</v>
      </c>
      <c r="F92" s="6">
        <f>F$90/VLOOKUP(F$6,Tabela11[#All],6,FALSE)</f>
        <v>4.4776119402985071</v>
      </c>
      <c r="G92" s="118">
        <f>G$90/VLOOKUP(G$6,Tabela11[#All],6,FALSE)</f>
        <v>35.820895522388057</v>
      </c>
      <c r="H92" s="118">
        <f>H$90/VLOOKUP(H$6,Tabela11[#All],6,FALSE)</f>
        <v>0</v>
      </c>
      <c r="I92" s="118">
        <f>I$90/VLOOKUP(I$6,Tabela11[#All],6,FALSE)</f>
        <v>17.910447761194028</v>
      </c>
      <c r="J92" s="118">
        <f>J$90/VLOOKUP(J$6,Tabela11[#All],6,FALSE)</f>
        <v>0</v>
      </c>
      <c r="K92" s="118">
        <f>K$90/VLOOKUP(K$6,Tabela11[#All],6,FALSE)</f>
        <v>0</v>
      </c>
      <c r="L92" s="118">
        <f>L$90/VLOOKUP(L$6,Tabela11[#All],6,FALSE)</f>
        <v>17.910447761194028</v>
      </c>
      <c r="M92" s="118">
        <f>M$90/VLOOKUP(M$6,Tabela11[#All],6,FALSE)</f>
        <v>53.731343283582085</v>
      </c>
      <c r="N92" s="118">
        <f>N$90/VLOOKUP(N$6,Tabela11[#All],6,FALSE)</f>
        <v>0</v>
      </c>
      <c r="O92" s="118">
        <f>O$90/VLOOKUP(O$6,Tabela11[#All],6,FALSE)</f>
        <v>22.388059701492537</v>
      </c>
      <c r="P92" s="118">
        <f>P$90/VLOOKUP(P$6,Tabela11[#All],6,FALSE)</f>
        <v>66.268656716417908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3.7209302325581395</v>
      </c>
      <c r="G93" s="118">
        <f>G$90/VLOOKUP(G$6,Tabela11[#All],5,FALSE)</f>
        <v>91.428571428571431</v>
      </c>
      <c r="H93" s="118">
        <f>H$90/VLOOKUP(H$6,Tabela11[#All],5,FALSE)</f>
        <v>0</v>
      </c>
      <c r="I93" s="118">
        <f>I$90/VLOOKUP(I$6,Tabela11[#All],5,FALSE)</f>
        <v>14.883720930232558</v>
      </c>
      <c r="J93" s="118">
        <f>J$90/VLOOKUP(J$6,Tabela11[#All],5,FALSE)</f>
        <v>0</v>
      </c>
      <c r="K93" s="118">
        <f>K$90/VLOOKUP(K$6,Tabela11[#All],5,FALSE)</f>
        <v>0</v>
      </c>
      <c r="L93" s="118">
        <f>L$90/VLOOKUP(L$6,Tabela11[#All],5,FALSE)</f>
        <v>14.883720930232558</v>
      </c>
      <c r="M93" s="118">
        <f>M$90/VLOOKUP(M$6,Tabela11[#All],5,FALSE)</f>
        <v>137.14285714285714</v>
      </c>
      <c r="N93" s="118">
        <f>N$90/VLOOKUP(N$6,Tabela11[#All],5,FALSE)</f>
        <v>0</v>
      </c>
      <c r="O93" s="118">
        <f>O$90/VLOOKUP(O$6,Tabela11[#All],5,FALSE)</f>
        <v>18.604651162790699</v>
      </c>
      <c r="P93" s="118">
        <f>P$90/VLOOKUP(P$6,Tabela11[#All],5,FALSE)</f>
        <v>169.14285714285714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3.5263157894736841</v>
      </c>
      <c r="G94" s="120">
        <f>G$90/VLOOKUP(G$6,Tabela11[#All],4,FALSE)</f>
        <v>36.21621621621621</v>
      </c>
      <c r="H94" s="120">
        <f>H$90/VLOOKUP(H$6,Tabela11[#All],4,FALSE)</f>
        <v>0</v>
      </c>
      <c r="I94" s="120">
        <f>I$90/VLOOKUP(I$6,Tabela11[#All],4,FALSE)</f>
        <v>14.105263157894736</v>
      </c>
      <c r="J94" s="120">
        <f>J$90/VLOOKUP(J$6,Tabela11[#All],4,FALSE)</f>
        <v>0</v>
      </c>
      <c r="K94" s="120">
        <f>K$90/VLOOKUP(K$6,Tabela11[#All],4,FALSE)</f>
        <v>0</v>
      </c>
      <c r="L94" s="120">
        <f>L$90/VLOOKUP(L$6,Tabela11[#All],4,FALSE)</f>
        <v>14.105263157894736</v>
      </c>
      <c r="M94" s="120">
        <f>M$90/VLOOKUP(M$6,Tabela11[#All],4,FALSE)</f>
        <v>54.324324324324323</v>
      </c>
      <c r="N94" s="120">
        <f>N$90/VLOOKUP(N$6,Tabela11[#All],4,FALSE)</f>
        <v>0</v>
      </c>
      <c r="O94" s="120">
        <f>O$90/VLOOKUP(O$6,Tabela11[#All],4,FALSE)</f>
        <v>17.631578947368421</v>
      </c>
      <c r="P94" s="120">
        <f>P$90/VLOOKUP(P$6,Tabela11[#All],4,FALSE)</f>
        <v>67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209" t="s">
        <v>280</v>
      </c>
      <c r="H96" s="210"/>
      <c r="I96" s="210"/>
      <c r="J96" s="210"/>
      <c r="K96" s="210"/>
      <c r="L96" s="210"/>
      <c r="M96" s="210"/>
      <c r="N96" s="210"/>
      <c r="O96" s="210"/>
      <c r="P96" s="210"/>
      <c r="Q96" s="210"/>
      <c r="R96" s="210"/>
      <c r="S96" s="210"/>
      <c r="T96" s="211"/>
      <c r="U96" s="122" t="s">
        <v>282</v>
      </c>
    </row>
    <row r="97" spans="5:21">
      <c r="E97" s="5">
        <v>9</v>
      </c>
      <c r="F97" s="6">
        <f>F$90/VLOOKUP(F$6,Tabela11[#All],6,FALSE)*(7-12*0.065)</f>
        <v>27.850746268656714</v>
      </c>
      <c r="G97" s="126">
        <f>G$90/VLOOKUP(G$6,Tabela11[#All],6,FALSE)*(7-12*0.065)</f>
        <v>222.80597014925371</v>
      </c>
      <c r="H97" s="126">
        <f>H$90/VLOOKUP(H$6,Tabela11[#All],6,FALSE)*(7-12*0.065)</f>
        <v>0</v>
      </c>
      <c r="I97" s="126">
        <f>I$90/VLOOKUP(I$6,Tabela11[#All],6,FALSE)*(7-12*0.065)</f>
        <v>111.40298507462686</v>
      </c>
      <c r="J97" s="126">
        <f>J$90/VLOOKUP(J$6,Tabela11[#All],6,FALSE)*(7-12*0.065)</f>
        <v>0</v>
      </c>
      <c r="K97" s="126">
        <f>K$90/VLOOKUP(K$6,Tabela11[#All],6,FALSE)*(7-12*0.065)</f>
        <v>0</v>
      </c>
      <c r="L97" s="126">
        <f>L$90/VLOOKUP(L$6,Tabela11[#All],6,FALSE)*(7-12*0.065)</f>
        <v>111.40298507462686</v>
      </c>
      <c r="M97" s="126">
        <f>M$90/VLOOKUP(M$6,Tabela11[#All],6,FALSE)*(7-12*0.065)</f>
        <v>334.20895522388054</v>
      </c>
      <c r="N97" s="126">
        <f>N$90/VLOOKUP(N$6,Tabela11[#All],6,FALSE)*(7-12*0.065)</f>
        <v>0</v>
      </c>
      <c r="O97" s="126">
        <f>O$90/VLOOKUP(O$6,Tabela11[#All],6,FALSE)*(7-12*0.065)</f>
        <v>139.25373134328356</v>
      </c>
      <c r="P97" s="126">
        <f>P$90/VLOOKUP(P$6,Tabela11[#All],6,FALSE)*(7-12*0.065)</f>
        <v>412.19104477611938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1080.6089552238805</v>
      </c>
    </row>
    <row r="98" spans="5:21">
      <c r="E98" s="5">
        <v>8</v>
      </c>
      <c r="F98" s="6">
        <f>F$90/VLOOKUP(F$6,Tabela11[#All],5,FALSE)*(7-12*0.065)</f>
        <v>23.144186046511628</v>
      </c>
      <c r="G98" s="126">
        <f>G$90/VLOOKUP(G$6,Tabela11[#All],5,FALSE)*(7-12*0.065)</f>
        <v>568.68571428571431</v>
      </c>
      <c r="H98" s="126">
        <f>H$90/VLOOKUP(H$6,Tabela11[#All],5,FALSE)*(7-12*0.065)</f>
        <v>0</v>
      </c>
      <c r="I98" s="126">
        <f>I$90/VLOOKUP(I$6,Tabela11[#All],5,FALSE)*(7-12*0.065)</f>
        <v>92.576744186046511</v>
      </c>
      <c r="J98" s="126">
        <f>J$90/VLOOKUP(J$6,Tabela11[#All],5,FALSE)*(7-12*0.065)</f>
        <v>0</v>
      </c>
      <c r="K98" s="126">
        <f>K$90/VLOOKUP(K$6,Tabela11[#All],5,FALSE)*(7-12*0.065)</f>
        <v>0</v>
      </c>
      <c r="L98" s="126">
        <f>L$90/VLOOKUP(L$6,Tabela11[#All],5,FALSE)*(7-12*0.065)</f>
        <v>92.576744186046511</v>
      </c>
      <c r="M98" s="126">
        <f>M$90/VLOOKUP(M$6,Tabela11[#All],5,FALSE)*(7-12*0.065)</f>
        <v>853.02857142857135</v>
      </c>
      <c r="N98" s="126">
        <f>N$90/VLOOKUP(N$6,Tabela11[#All],5,FALSE)*(7-12*0.065)</f>
        <v>0</v>
      </c>
      <c r="O98" s="126">
        <f>O$90/VLOOKUP(O$6,Tabela11[#All],5,FALSE)*(7-12*0.065)</f>
        <v>115.72093023255815</v>
      </c>
      <c r="P98" s="126">
        <f>P$90/VLOOKUP(P$6,Tabela11[#All],5,FALSE)*(7-12*0.065)</f>
        <v>1052.0685714285714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2566.3596013289034</v>
      </c>
    </row>
    <row r="99" spans="5:21" ht="15" thickBot="1">
      <c r="E99" s="7">
        <v>7</v>
      </c>
      <c r="F99" s="8">
        <f>F$90/VLOOKUP(F$6,Tabela11[#All],4,FALSE)*(6-12*0.065)</f>
        <v>18.407368421052631</v>
      </c>
      <c r="G99" s="128">
        <f>G$90/VLOOKUP(G$6,Tabela11[#All],4,FALSE)*(6-12*0.065)</f>
        <v>189.04864864864862</v>
      </c>
      <c r="H99" s="128">
        <f>H$90/VLOOKUP(H$6,Tabela11[#All],4,FALSE)*(6-12*0.065)</f>
        <v>0</v>
      </c>
      <c r="I99" s="128">
        <f>I$90/VLOOKUP(I$6,Tabela11[#All],4,FALSE)*(6-12*0.065)</f>
        <v>73.629473684210524</v>
      </c>
      <c r="J99" s="128">
        <f>J$90/VLOOKUP(J$6,Tabela11[#All],4,FALSE)*(6-12*0.065)</f>
        <v>0</v>
      </c>
      <c r="K99" s="128">
        <f>K$90/VLOOKUP(K$6,Tabela11[#All],4,FALSE)*(6-12*0.065)</f>
        <v>0</v>
      </c>
      <c r="L99" s="128">
        <f>L$90/VLOOKUP(L$6,Tabela11[#All],4,FALSE)*(6-12*0.065)</f>
        <v>73.629473684210524</v>
      </c>
      <c r="M99" s="128">
        <f>M$90/VLOOKUP(M$6,Tabela11[#All],4,FALSE)*(6-12*0.065)</f>
        <v>283.57297297297293</v>
      </c>
      <c r="N99" s="128">
        <f>N$90/VLOOKUP(N$6,Tabela11[#All],4,FALSE)*(6-12*0.065)</f>
        <v>0</v>
      </c>
      <c r="O99" s="128">
        <f>O$90/VLOOKUP(O$6,Tabela11[#All],4,FALSE)*(6-12*0.065)</f>
        <v>92.036842105263148</v>
      </c>
      <c r="P99" s="128">
        <f>P$90/VLOOKUP(P$6,Tabela11[#All],4,FALSE)*(6-12*0.065)</f>
        <v>349.74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895.99109530583212</v>
      </c>
    </row>
  </sheetData>
  <mergeCells count="21">
    <mergeCell ref="G32:T32"/>
    <mergeCell ref="G27:T27"/>
    <mergeCell ref="R5:T5"/>
    <mergeCell ref="F5:H5"/>
    <mergeCell ref="I5:K5"/>
    <mergeCell ref="L5:N5"/>
    <mergeCell ref="O5:Q5"/>
    <mergeCell ref="F37:H37"/>
    <mergeCell ref="I37:K37"/>
    <mergeCell ref="L37:N37"/>
    <mergeCell ref="O37:Q37"/>
    <mergeCell ref="R37:T37"/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94"/>
  <sheetViews>
    <sheetView zoomScale="85" zoomScaleNormal="85" workbookViewId="0">
      <selection activeCell="P14" sqref="P14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6" width="14.25" customWidth="1"/>
    <col min="17" max="17" width="12" customWidth="1"/>
    <col min="19" max="19" width="19.125" bestFit="1" customWidth="1"/>
    <col min="21" max="21" width="20.125" bestFit="1" customWidth="1"/>
  </cols>
  <sheetData>
    <row r="1" spans="1:23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176</v>
      </c>
      <c r="J1" s="67" t="s">
        <v>22</v>
      </c>
      <c r="K1" s="67" t="s">
        <v>55</v>
      </c>
      <c r="L1" s="67" t="s">
        <v>54</v>
      </c>
      <c r="M1" s="67" t="s">
        <v>180</v>
      </c>
      <c r="N1" s="67" t="s">
        <v>177</v>
      </c>
      <c r="O1" s="67" t="s">
        <v>182</v>
      </c>
      <c r="P1" s="67" t="s">
        <v>33</v>
      </c>
      <c r="Q1" s="67" t="s">
        <v>24</v>
      </c>
      <c r="R1" s="67" t="s">
        <v>245</v>
      </c>
      <c r="S1" s="67" t="s">
        <v>257</v>
      </c>
      <c r="T1" s="67" t="s">
        <v>130</v>
      </c>
      <c r="U1" s="67" t="s">
        <v>129</v>
      </c>
      <c r="V1" t="s">
        <v>132</v>
      </c>
      <c r="W1" t="s">
        <v>133</v>
      </c>
    </row>
    <row r="2" spans="1:23">
      <c r="A2" t="s">
        <v>60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1537.3203883495146</v>
      </c>
      <c r="O2" s="50">
        <f>LocFeatures[[#This Row],[XP Train Gain]]/(LocFeatures[[#This Row],[E. Cost]]-LocFeatures[[#This Row],[Energy gain]])</f>
        <v>1299.2621359223301</v>
      </c>
      <c r="P2" s="50">
        <f>LocFeatures[[#This Row],[XP drop]]/(LocFeatures[[#This Row],[E. Cost]]-LocFeatures[[#This Row],[Energy gain]])</f>
        <v>472.05825242718447</v>
      </c>
      <c r="Q2" s="50">
        <f>(LocFeatures[[#This Row],[XP Train Gain]]+LocFeatures[[#This Row],[XP drop]])/(LocFeatures[[#This Row],[E. Cost]]-LocFeatures[[#This Row],[Energy gain]])</f>
        <v>1771.3203883495146</v>
      </c>
      <c r="R2" s="47">
        <f>COUNTIFS(DropAnalityka[Location],LocFeatures[[#This Row],[Location]],DropAnalityka[LVL],LocFeatures[[#This Row],[LVL]],DropAnalityka[Stage],LocFeatures[[#This Row],[Stage]])</f>
        <v>32</v>
      </c>
      <c r="S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3">
      <c r="A3" s="10" t="s">
        <v>60</v>
      </c>
      <c r="B3" s="10" t="s">
        <v>9</v>
      </c>
      <c r="C3" s="10">
        <v>1</v>
      </c>
      <c r="D3" s="10">
        <v>3</v>
      </c>
      <c r="E3" s="10">
        <v>799</v>
      </c>
      <c r="F3" s="10">
        <v>13</v>
      </c>
      <c r="G3" s="10"/>
      <c r="H3" s="10"/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3789.9479166666665</v>
      </c>
      <c r="J3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3" s="10">
        <f>4*LocFeatures[[#This Row],[XP Gain per member]]</f>
        <v>3196</v>
      </c>
      <c r="L3">
        <f>3*LocFeatures[[#This Row],[XP Gain per member]]</f>
        <v>2397</v>
      </c>
      <c r="M3" s="50">
        <f>AVERAGEIFS(DropAnalityka[Exp Gain],DropAnalityka[Location],LocFeatures[[#This Row],[Location]],DropAnalityka[LVL],LocFeatures[[#This Row],[LVL]],DropAnalityka[Stage],LocFeatures[[#This Row],[Stage]])</f>
        <v>175</v>
      </c>
      <c r="N3" s="50">
        <f>LocFeatures[[#This Row],[Drop worth gain]]/(LocFeatures[[#This Row],[E. Cost]]-LocFeatures[[#This Row],[Energy gain]])</f>
        <v>1792.2906403940885</v>
      </c>
      <c r="O3" s="50">
        <f>LocFeatures[[#This Row],[XP Train Gain]]/(LocFeatures[[#This Row],[E. Cost]]-LocFeatures[[#This Row],[Energy gain]])</f>
        <v>1133.5566502463053</v>
      </c>
      <c r="P3" s="50">
        <f>LocFeatures[[#This Row],[XP drop]]/(LocFeatures[[#This Row],[E. Cost]]-LocFeatures[[#This Row],[Energy gain]])</f>
        <v>82.75862068965516</v>
      </c>
      <c r="Q3" s="50">
        <f>(LocFeatures[[#This Row],[XP Train Gain]]+LocFeatures[[#This Row],[XP drop]])/(LocFeatures[[#This Row],[E. Cost]]-LocFeatures[[#This Row],[Energy gain]])</f>
        <v>1216.3152709359606</v>
      </c>
      <c r="R3" s="47">
        <f>COUNTIFS(DropAnalityka[Location],LocFeatures[[#This Row],[Location]],DropAnalityka[LVL],LocFeatures[[#This Row],[LVL]],DropAnalityka[Stage],LocFeatures[[#This Row],[Stage]])</f>
        <v>96</v>
      </c>
      <c r="S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U3" s="10"/>
      <c r="V3" s="10"/>
      <c r="W3" s="10"/>
    </row>
    <row r="4" spans="1:23" s="10" customFormat="1">
      <c r="A4" s="10" t="s">
        <v>60</v>
      </c>
      <c r="B4" s="10" t="s">
        <v>9</v>
      </c>
      <c r="C4" s="10">
        <v>2</v>
      </c>
      <c r="D4" s="10">
        <v>3</v>
      </c>
      <c r="E4" s="10">
        <v>804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4" s="19">
        <f>AVERAGEIFS(DropAnalityka[Energy Drop],DropAnalityka[Location],LocFeatures[[#This Row],[Location]],DropAnalityka[LVL],LocFeatures[[#This Row],[LVL]],DropAnalityka[Stage],LocFeatures[[#This Row],[Stage]])</f>
        <v>0</v>
      </c>
      <c r="K4" s="10">
        <f>4*LocFeatures[[#This Row],[XP Gain per member]]</f>
        <v>3216</v>
      </c>
      <c r="L4">
        <f>3*LocFeatures[[#This Row],[XP Gain per member]]</f>
        <v>2412</v>
      </c>
      <c r="M4" s="50">
        <f>AVERAGEIFS(DropAnalityka[Exp Gain],DropAnalityka[Location],LocFeatures[[#This Row],[Location]],DropAnalityka[LVL],LocFeatures[[#This Row],[LVL]],DropAnalityka[Stage],LocFeatures[[#This Row],[Stage]])</f>
        <v>0</v>
      </c>
      <c r="N4" s="50">
        <f>LocFeatures[[#This Row],[Drop worth gain]]/(LocFeatures[[#This Row],[E. Cost]]-LocFeatures[[#This Row],[Energy gain]])</f>
        <v>1130.6666666666667</v>
      </c>
      <c r="O4" s="50">
        <f>LocFeatures[[#This Row],[XP Train Gain]]/(LocFeatures[[#This Row],[E. Cost]]-LocFeatures[[#This Row],[Energy gain]])</f>
        <v>804</v>
      </c>
      <c r="P4" s="50">
        <f>LocFeatures[[#This Row],[XP drop]]/(LocFeatures[[#This Row],[E. Cost]]-LocFeatures[[#This Row],[Energy gain]])</f>
        <v>0</v>
      </c>
      <c r="Q4" s="50">
        <f>(LocFeatures[[#This Row],[XP Train Gain]]+LocFeatures[[#This Row],[XP drop]])/(LocFeatures[[#This Row],[E. Cost]]-LocFeatures[[#This Row],[Energy gain]])</f>
        <v>804</v>
      </c>
      <c r="R4" s="47">
        <f>COUNTIFS(DropAnalityka[Location],LocFeatures[[#This Row],[Location]],DropAnalityka[LVL],LocFeatures[[#This Row],[LVL]],DropAnalityka[Stage],LocFeatures[[#This Row],[Stage]])</f>
        <v>1</v>
      </c>
      <c r="S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T4"/>
    </row>
    <row r="5" spans="1:23" s="10" customFormat="1">
      <c r="A5" s="10" t="s">
        <v>60</v>
      </c>
      <c r="B5" s="10" t="s">
        <v>9</v>
      </c>
      <c r="C5" s="10">
        <v>3</v>
      </c>
      <c r="D5" s="10">
        <v>3</v>
      </c>
      <c r="E5" s="10">
        <v>804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5" s="19">
        <f>AVERAGEIFS(DropAnalityka[Energy Drop],DropAnalityka[Location],LocFeatures[[#This Row],[Location]],DropAnalityka[LVL],LocFeatures[[#This Row],[LVL]],DropAnalityka[Stage],LocFeatures[[#This Row],[Stage]])</f>
        <v>0</v>
      </c>
      <c r="K5" s="10">
        <f>4*LocFeatures[[#This Row],[XP Gain per member]]</f>
        <v>3216</v>
      </c>
      <c r="L5">
        <f>3*LocFeatures[[#This Row],[XP Gain per member]]</f>
        <v>2412</v>
      </c>
      <c r="M5" s="50">
        <f>AVERAGEIFS(DropAnalityka[Exp Gain],DropAnalityka[Location],LocFeatures[[#This Row],[Location]],DropAnalityka[LVL],LocFeatures[[#This Row],[LVL]],DropAnalityka[Stage],LocFeatures[[#This Row],[Stage]])</f>
        <v>0</v>
      </c>
      <c r="N5" s="50">
        <f>LocFeatures[[#This Row],[Drop worth gain]]/(LocFeatures[[#This Row],[E. Cost]]-LocFeatures[[#This Row],[Energy gain]])</f>
        <v>988</v>
      </c>
      <c r="O5" s="50">
        <f>LocFeatures[[#This Row],[XP Train Gain]]/(LocFeatures[[#This Row],[E. Cost]]-LocFeatures[[#This Row],[Energy gain]])</f>
        <v>804</v>
      </c>
      <c r="P5" s="50">
        <f>LocFeatures[[#This Row],[XP drop]]/(LocFeatures[[#This Row],[E. Cost]]-LocFeatures[[#This Row],[Energy gain]])</f>
        <v>0</v>
      </c>
      <c r="Q5" s="50">
        <f>(LocFeatures[[#This Row],[XP Train Gain]]+LocFeatures[[#This Row],[XP drop]])/(LocFeatures[[#This Row],[E. Cost]]-LocFeatures[[#This Row],[Energy gain]])</f>
        <v>804</v>
      </c>
      <c r="R5" s="47">
        <f>COUNTIFS(DropAnalityka[Location],LocFeatures[[#This Row],[Location]],DropAnalityka[LVL],LocFeatures[[#This Row],[LVL]],DropAnalityka[Stage],LocFeatures[[#This Row],[Stage]])</f>
        <v>2</v>
      </c>
      <c r="S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T5"/>
    </row>
    <row r="6" spans="1:23" s="10" customFormat="1">
      <c r="A6" t="s">
        <v>178</v>
      </c>
      <c r="B6" t="s">
        <v>9</v>
      </c>
      <c r="C6">
        <v>8</v>
      </c>
      <c r="D6">
        <v>8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12029.388888888889</v>
      </c>
      <c r="J6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6" s="10">
        <f>5*LocFeatures[[#This Row],[XP Gain per member]]</f>
        <v>0</v>
      </c>
      <c r="L6">
        <f>3*LocFeatures[[#This Row],[XP Gain per member]]</f>
        <v>0</v>
      </c>
      <c r="M6" s="50">
        <f>AVERAGEIFS(DropAnalityka[Exp Gain],DropAnalityka[Location],LocFeatures[[#This Row],[Location]],DropAnalityka[LVL],LocFeatures[[#This Row],[LVL]],DropAnalityka[Stage],LocFeatures[[#This Row],[Stage]])</f>
        <v>3190.1111111111113</v>
      </c>
      <c r="N6" s="50">
        <f>LocFeatures[[#This Row],[Drop worth gain]]/(LocFeatures[[#This Row],[E. Cost]]-LocFeatures[[#This Row],[Energy gain]])</f>
        <v>1691.6328125</v>
      </c>
      <c r="O6" s="50">
        <f>LocFeatures[[#This Row],[XP Train Gain]]/(LocFeatures[[#This Row],[E. Cost]]-LocFeatures[[#This Row],[Energy gain]])</f>
        <v>0</v>
      </c>
      <c r="P6" s="50">
        <f>LocFeatures[[#This Row],[XP drop]]/(LocFeatures[[#This Row],[E. Cost]]-LocFeatures[[#This Row],[Energy gain]])</f>
        <v>448.60937500000006</v>
      </c>
      <c r="Q6" s="50">
        <f>(LocFeatures[[#This Row],[XP Train Gain]]+LocFeatures[[#This Row],[XP drop]])/(LocFeatures[[#This Row],[E. Cost]]-LocFeatures[[#This Row],[Energy gain]])</f>
        <v>448.60937500000006</v>
      </c>
      <c r="R6" s="47">
        <f>COUNTIFS(DropAnalityka[Location],LocFeatures[[#This Row],[Location]],DropAnalityka[LVL],LocFeatures[[#This Row],[LVL]],DropAnalityka[Stage],LocFeatures[[#This Row],[Stage]])</f>
        <v>18</v>
      </c>
      <c r="S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4138.1140624999998</v>
      </c>
      <c r="T6"/>
      <c r="U6"/>
      <c r="V6"/>
      <c r="W6"/>
    </row>
    <row r="7" spans="1:23" s="10" customFormat="1">
      <c r="A7" t="s">
        <v>178</v>
      </c>
      <c r="B7" t="s">
        <v>9</v>
      </c>
      <c r="C7">
        <v>9</v>
      </c>
      <c r="D7">
        <v>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12550.254545454545</v>
      </c>
      <c r="J7" s="19">
        <f>AVERAGEIFS(DropAnalityka[Energy Drop],DropAnalityka[Location],LocFeatures[[#This Row],[Location]],DropAnalityka[LVL],LocFeatures[[#This Row],[LVL]],DropAnalityka[Stage],LocFeatures[[#This Row],[Stage]])</f>
        <v>1</v>
      </c>
      <c r="K7" s="10">
        <f>5*LocFeatures[[#This Row],[XP Gain per member]]</f>
        <v>0</v>
      </c>
      <c r="L7">
        <f>3*LocFeatures[[#This Row],[XP Gain per member]]</f>
        <v>0</v>
      </c>
      <c r="M7" s="50">
        <f>AVERAGEIFS(DropAnalityka[Exp Gain],DropAnalityka[Location],LocFeatures[[#This Row],[Location]],DropAnalityka[LVL],LocFeatures[[#This Row],[LVL]],DropAnalityka[Stage],LocFeatures[[#This Row],[Stage]])</f>
        <v>2158.7390909090909</v>
      </c>
      <c r="N7" s="50">
        <f>LocFeatures[[#This Row],[Drop worth gain]]/(LocFeatures[[#This Row],[E. Cost]]-LocFeatures[[#This Row],[Energy gain]])</f>
        <v>1792.8935064935065</v>
      </c>
      <c r="O7" s="50">
        <f>LocFeatures[[#This Row],[XP Train Gain]]/(LocFeatures[[#This Row],[E. Cost]]-LocFeatures[[#This Row],[Energy gain]])</f>
        <v>0</v>
      </c>
      <c r="P7" s="50">
        <f>LocFeatures[[#This Row],[XP drop]]/(LocFeatures[[#This Row],[E. Cost]]-LocFeatures[[#This Row],[Energy gain]])</f>
        <v>308.39129870129869</v>
      </c>
      <c r="Q7" s="50">
        <f>(LocFeatures[[#This Row],[XP Train Gain]]+LocFeatures[[#This Row],[XP drop]])/(LocFeatures[[#This Row],[E. Cost]]-LocFeatures[[#This Row],[Energy gain]])</f>
        <v>308.39129870129869</v>
      </c>
      <c r="R7" s="47">
        <f>COUNTIFS(DropAnalityka[Location],LocFeatures[[#This Row],[Location]],DropAnalityka[LVL],LocFeatures[[#This Row],[LVL]],DropAnalityka[Stage],LocFeatures[[#This Row],[Stage]])</f>
        <v>110</v>
      </c>
      <c r="S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4889.6106493506495</v>
      </c>
      <c r="T7"/>
      <c r="U7"/>
      <c r="V7"/>
      <c r="W7"/>
    </row>
    <row r="8" spans="1:23" s="10" customFormat="1">
      <c r="A8" t="s">
        <v>178</v>
      </c>
      <c r="B8" t="s">
        <v>9</v>
      </c>
      <c r="C8">
        <v>10</v>
      </c>
      <c r="D8">
        <v>8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13033.891304347826</v>
      </c>
      <c r="J8" s="19">
        <f>AVERAGEIFS(DropAnalityka[Energy Drop],DropAnalityka[Location],LocFeatures[[#This Row],[Location]],DropAnalityka[LVL],LocFeatures[[#This Row],[LVL]],DropAnalityka[Stage],LocFeatures[[#This Row],[Stage]])</f>
        <v>1.173913043478261</v>
      </c>
      <c r="K8" s="10">
        <f>5*LocFeatures[[#This Row],[XP Gain per member]]</f>
        <v>0</v>
      </c>
      <c r="L8">
        <f>3*LocFeatures[[#This Row],[XP Gain per member]]</f>
        <v>0</v>
      </c>
      <c r="M8" s="50">
        <f>AVERAGEIFS(DropAnalityka[Exp Gain],DropAnalityka[Location],LocFeatures[[#This Row],[Location]],DropAnalityka[LVL],LocFeatures[[#This Row],[LVL]],DropAnalityka[Stage],LocFeatures[[#This Row],[Stage]])</f>
        <v>2926.4630434782607</v>
      </c>
      <c r="N8" s="50">
        <f>LocFeatures[[#This Row],[Drop worth gain]]/(LocFeatures[[#This Row],[E. Cost]]-LocFeatures[[#This Row],[Energy gain]])</f>
        <v>1909.4235668789809</v>
      </c>
      <c r="O8" s="50">
        <f>LocFeatures[[#This Row],[XP Train Gain]]/(LocFeatures[[#This Row],[E. Cost]]-LocFeatures[[#This Row],[Energy gain]])</f>
        <v>0</v>
      </c>
      <c r="P8" s="50">
        <f>LocFeatures[[#This Row],[XP drop]]/(LocFeatures[[#This Row],[E. Cost]]-LocFeatures[[#This Row],[Energy gain]])</f>
        <v>428.71751592356685</v>
      </c>
      <c r="Q8" s="50">
        <f>(LocFeatures[[#This Row],[XP Train Gain]]+LocFeatures[[#This Row],[XP drop]])/(LocFeatures[[#This Row],[E. Cost]]-LocFeatures[[#This Row],[Energy gain]])</f>
        <v>428.71751592356685</v>
      </c>
      <c r="R8" s="47">
        <f>COUNTIFS(DropAnalityka[Location],LocFeatures[[#This Row],[Location]],DropAnalityka[LVL],LocFeatures[[#This Row],[LVL]],DropAnalityka[Stage],LocFeatures[[#This Row],[Stage]])</f>
        <v>23</v>
      </c>
      <c r="S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4627.724840764331</v>
      </c>
      <c r="T8"/>
      <c r="U8"/>
      <c r="V8"/>
      <c r="W8"/>
    </row>
    <row r="9" spans="1:23" s="10" customFormat="1">
      <c r="A9" s="10" t="s">
        <v>31</v>
      </c>
      <c r="B9" s="10" t="s">
        <v>30</v>
      </c>
      <c r="C9" s="10">
        <v>1</v>
      </c>
      <c r="D9" s="10">
        <v>4</v>
      </c>
      <c r="E9" s="10">
        <v>1276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5674.2093023255811</v>
      </c>
      <c r="J9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9" s="10">
        <f>4*LocFeatures[[#This Row],[XP Gain per member]]</f>
        <v>5104</v>
      </c>
      <c r="L9">
        <f>3*LocFeatures[[#This Row],[XP Gain per member]]</f>
        <v>3828</v>
      </c>
      <c r="M9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9" s="50">
        <f>LocFeatures[[#This Row],[Drop worth gain]]/(LocFeatures[[#This Row],[E. Cost]]-LocFeatures[[#This Row],[Energy gain]])</f>
        <v>1768.050724637681</v>
      </c>
      <c r="O9" s="50">
        <f>LocFeatures[[#This Row],[XP Train Gain]]/(LocFeatures[[#This Row],[E. Cost]]-LocFeatures[[#This Row],[Energy gain]])</f>
        <v>1192.7826086956522</v>
      </c>
      <c r="P9" s="50">
        <f>LocFeatures[[#This Row],[XP drop]]/(LocFeatures[[#This Row],[E. Cost]]-LocFeatures[[#This Row],[Energy gain]])</f>
        <v>588.72463768115938</v>
      </c>
      <c r="Q9" s="50">
        <f>(LocFeatures[[#This Row],[XP Train Gain]]+LocFeatures[[#This Row],[XP drop]])/(LocFeatures[[#This Row],[E. Cost]]-LocFeatures[[#This Row],[Energy gain]])</f>
        <v>1781.5072463768115</v>
      </c>
      <c r="R9" s="47">
        <f>COUNTIFS(DropAnalityka[Location],LocFeatures[[#This Row],[Location]],DropAnalityka[LVL],LocFeatures[[#This Row],[LVL]],DropAnalityka[Stage],LocFeatures[[#This Row],[Stage]])</f>
        <v>43</v>
      </c>
      <c r="S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T9"/>
    </row>
    <row r="10" spans="1:23" s="10" customFormat="1">
      <c r="A10" s="10" t="s">
        <v>31</v>
      </c>
      <c r="B10" s="10" t="s">
        <v>30</v>
      </c>
      <c r="C10" s="10">
        <v>11</v>
      </c>
      <c r="D10" s="10">
        <v>4</v>
      </c>
      <c r="E10" s="10">
        <v>1276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4964.7241379310344</v>
      </c>
      <c r="J10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10" s="10">
        <f>4*LocFeatures[[#This Row],[XP Gain per member]]</f>
        <v>5104</v>
      </c>
      <c r="L10">
        <f>3*LocFeatures[[#This Row],[XP Gain per member]]</f>
        <v>3828</v>
      </c>
      <c r="M10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10" s="50">
        <f>LocFeatures[[#This Row],[Drop worth gain]]/(LocFeatures[[#This Row],[E. Cost]]-LocFeatures[[#This Row],[Energy gain]])</f>
        <v>1623.8007518796992</v>
      </c>
      <c r="O10" s="50">
        <f>LocFeatures[[#This Row],[XP Train Gain]]/(LocFeatures[[#This Row],[E. Cost]]-LocFeatures[[#This Row],[Energy gain]])</f>
        <v>1252.015037593985</v>
      </c>
      <c r="P10" s="50">
        <f>LocFeatures[[#This Row],[XP drop]]/(LocFeatures[[#This Row],[E. Cost]]-LocFeatures[[#This Row],[Energy gain]])</f>
        <v>242.93984962406014</v>
      </c>
      <c r="Q10" s="50">
        <f>(LocFeatures[[#This Row],[XP Train Gain]]+LocFeatures[[#This Row],[XP drop]])/(LocFeatures[[#This Row],[E. Cost]]-LocFeatures[[#This Row],[Energy gain]])</f>
        <v>1494.9548872180453</v>
      </c>
      <c r="R10" s="43">
        <f>COUNTIFS(DropAnalityka[Location],LocFeatures[[#This Row],[Location]],DropAnalityka[LVL],LocFeatures[[#This Row],[LVL]],DropAnalityka[Stage],LocFeatures[[#This Row],[Stage]])</f>
        <v>87</v>
      </c>
      <c r="S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T10">
        <v>58</v>
      </c>
      <c r="U10" s="10" t="s">
        <v>246</v>
      </c>
      <c r="V10"/>
      <c r="W10"/>
    </row>
    <row r="11" spans="1:23" s="10" customFormat="1">
      <c r="A11" s="10" t="s">
        <v>31</v>
      </c>
      <c r="B11" s="10" t="s">
        <v>9</v>
      </c>
      <c r="C11" s="10">
        <v>1</v>
      </c>
      <c r="D11" s="10">
        <v>3</v>
      </c>
      <c r="E11" s="10">
        <v>756</v>
      </c>
      <c r="F11" s="10">
        <v>13</v>
      </c>
      <c r="G11" s="10" t="s">
        <v>18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3224.358024691358</v>
      </c>
      <c r="J11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11" s="10">
        <f>4*LocFeatures[[#This Row],[XP Gain per member]]</f>
        <v>3024</v>
      </c>
      <c r="L11">
        <f>3*LocFeatures[[#This Row],[XP Gain per member]]</f>
        <v>2268</v>
      </c>
      <c r="M11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11" s="50">
        <f>LocFeatures[[#This Row],[Drop worth gain]]/(LocFeatures[[#This Row],[E. Cost]]-LocFeatures[[#This Row],[Energy gain]])</f>
        <v>1518.4476744186045</v>
      </c>
      <c r="O11" s="50">
        <f>LocFeatures[[#This Row],[XP Train Gain]]/(LocFeatures[[#This Row],[E. Cost]]-LocFeatures[[#This Row],[Energy gain]])</f>
        <v>1068.0697674418604</v>
      </c>
      <c r="P11" s="50">
        <f>LocFeatures[[#This Row],[XP drop]]/(LocFeatures[[#This Row],[E. Cost]]-LocFeatures[[#This Row],[Energy gain]])</f>
        <v>106.97674418604652</v>
      </c>
      <c r="Q11" s="50">
        <f>(LocFeatures[[#This Row],[XP Train Gain]]+LocFeatures[[#This Row],[XP drop]])/(LocFeatures[[#This Row],[E. Cost]]-LocFeatures[[#This Row],[Energy gain]])</f>
        <v>1175.0465116279067</v>
      </c>
      <c r="R11" s="47">
        <f>COUNTIFS(DropAnalityka[Location],LocFeatures[[#This Row],[Location]],DropAnalityka[LVL],LocFeatures[[#This Row],[LVL]],DropAnalityka[Stage],LocFeatures[[#This Row],[Stage]])</f>
        <v>81</v>
      </c>
      <c r="S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T11"/>
    </row>
    <row r="12" spans="1:23">
      <c r="A12" s="10" t="s">
        <v>172</v>
      </c>
      <c r="B12" s="10" t="s">
        <v>9</v>
      </c>
      <c r="C12" s="10">
        <v>7</v>
      </c>
      <c r="D12" s="10">
        <v>6</v>
      </c>
      <c r="E12" s="10"/>
      <c r="F12" s="10"/>
      <c r="G12" s="10"/>
      <c r="H12" s="10"/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8235.7000000000007</v>
      </c>
      <c r="J12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2" s="10">
        <f>5*LocFeatures[[#This Row],[XP Gain per member]]</f>
        <v>0</v>
      </c>
      <c r="L12">
        <f>3*LocFeatures[[#This Row],[XP Gain per member]]</f>
        <v>0</v>
      </c>
      <c r="M12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2" s="50">
        <f>LocFeatures[[#This Row],[Drop worth gain]]/(LocFeatures[[#This Row],[E. Cost]]-LocFeatures[[#This Row],[Energy gain]])</f>
        <v>1680.7551020408164</v>
      </c>
      <c r="O12" s="50">
        <f>LocFeatures[[#This Row],[XP Train Gain]]/(LocFeatures[[#This Row],[E. Cost]]-LocFeatures[[#This Row],[Energy gain]])</f>
        <v>0</v>
      </c>
      <c r="P12" s="50">
        <f>LocFeatures[[#This Row],[XP drop]]/(LocFeatures[[#This Row],[E. Cost]]-LocFeatures[[#This Row],[Energy gain]])</f>
        <v>339.64530612244897</v>
      </c>
      <c r="Q12" s="50">
        <f>(LocFeatures[[#This Row],[XP Train Gain]]+LocFeatures[[#This Row],[XP drop]])/(LocFeatures[[#This Row],[E. Cost]]-LocFeatures[[#This Row],[Energy gain]])</f>
        <v>339.64530612244897</v>
      </c>
      <c r="R12" s="47">
        <f>COUNTIFS(DropAnalityka[Location],LocFeatures[[#This Row],[Location]],DropAnalityka[LVL],LocFeatures[[#This Row],[LVL]],DropAnalityka[Stage],LocFeatures[[#This Row],[Stage]])</f>
        <v>50</v>
      </c>
      <c r="S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</row>
    <row r="13" spans="1:23">
      <c r="A13" s="10" t="s">
        <v>172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8899.864864864865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1457.0575221238939</v>
      </c>
      <c r="O13" s="50">
        <f>LocFeatures[[#This Row],[XP Train Gain]]/(LocFeatures[[#This Row],[E. Cost]]-LocFeatures[[#This Row],[Energy gain]])</f>
        <v>0</v>
      </c>
      <c r="P13" s="50">
        <f>LocFeatures[[#This Row],[XP drop]]/(LocFeatures[[#This Row],[E. Cost]]-LocFeatures[[#This Row],[Energy gain]])</f>
        <v>134.51327433628319</v>
      </c>
      <c r="Q13" s="50">
        <f>(LocFeatures[[#This Row],[XP Train Gain]]+LocFeatures[[#This Row],[XP drop]])/(LocFeatures[[#This Row],[E. Cost]]-LocFeatures[[#This Row],[Energy gain]])</f>
        <v>134.51327433628319</v>
      </c>
      <c r="R13" s="43">
        <f>COUNTIFS(DropAnalityka[Location],LocFeatures[[#This Row],[Location]],DropAnalityka[LVL],LocFeatures[[#This Row],[LVL]],DropAnalityka[Stage],LocFeatures[[#This Row],[Stage]])</f>
        <v>37</v>
      </c>
      <c r="S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3">
      <c r="A14" s="10" t="s">
        <v>172</v>
      </c>
      <c r="B14" s="10" t="s">
        <v>9</v>
      </c>
      <c r="C14" s="10">
        <v>10</v>
      </c>
      <c r="D14" s="10">
        <v>8</v>
      </c>
      <c r="E14" s="10"/>
      <c r="F14" s="10"/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12889.106951871658</v>
      </c>
      <c r="J14" s="19">
        <f>AVERAGEIFS(DropAnalityka[Energy Drop],DropAnalityka[Location],LocFeatures[[#This Row],[Location]],DropAnalityka[LVL],LocFeatures[[#This Row],[LVL]],DropAnalityka[Stage],LocFeatures[[#This Row],[Stage]])</f>
        <v>0.94117647058823528</v>
      </c>
      <c r="K14" s="10">
        <f>5*LocFeatures[[#This Row],[XP Gain per member]]</f>
        <v>0</v>
      </c>
      <c r="L14">
        <f>3*LocFeatures[[#This Row],[XP Gain per member]]</f>
        <v>0</v>
      </c>
      <c r="M14" s="50">
        <f>AVERAGEIFS(DropAnalityka[Exp Gain],DropAnalityka[Location],LocFeatures[[#This Row],[Location]],DropAnalityka[LVL],LocFeatures[[#This Row],[LVL]],DropAnalityka[Stage],LocFeatures[[#This Row],[Stage]])</f>
        <v>3498.2850267379681</v>
      </c>
      <c r="N14" s="50">
        <f>LocFeatures[[#This Row],[Drop worth gain]]/(LocFeatures[[#This Row],[E. Cost]]-LocFeatures[[#This Row],[Energy gain]])</f>
        <v>1825.9568181818183</v>
      </c>
      <c r="O14" s="50">
        <f>LocFeatures[[#This Row],[XP Train Gain]]/(LocFeatures[[#This Row],[E. Cost]]-LocFeatures[[#This Row],[Energy gain]])</f>
        <v>0</v>
      </c>
      <c r="P14" s="50">
        <f>LocFeatures[[#This Row],[XP drop]]/(LocFeatures[[#This Row],[E. Cost]]-LocFeatures[[#This Row],[Energy gain]])</f>
        <v>495.59037878787882</v>
      </c>
      <c r="Q14" s="50">
        <f>(LocFeatures[[#This Row],[XP Train Gain]]+LocFeatures[[#This Row],[XP drop]])/(LocFeatures[[#This Row],[E. Cost]]-LocFeatures[[#This Row],[Energy gain]])</f>
        <v>495.59037878787882</v>
      </c>
      <c r="R14" s="47">
        <f>COUNTIFS(DropAnalityka[Location],LocFeatures[[#This Row],[Location]],DropAnalityka[LVL],LocFeatures[[#This Row],[LVL]],DropAnalityka[Stage],LocFeatures[[#This Row],[Stage]])</f>
        <v>187</v>
      </c>
      <c r="S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4550.3024242424235</v>
      </c>
    </row>
    <row r="15" spans="1:23">
      <c r="A15" s="10" t="s">
        <v>262</v>
      </c>
      <c r="B15" t="s">
        <v>9</v>
      </c>
      <c r="C15">
        <v>9</v>
      </c>
      <c r="D15">
        <v>7</v>
      </c>
      <c r="E15">
        <v>642</v>
      </c>
      <c r="F15">
        <v>12</v>
      </c>
      <c r="G15" t="s">
        <v>18</v>
      </c>
      <c r="H15" t="s">
        <v>21</v>
      </c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3797.4814814814813</v>
      </c>
      <c r="J15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15">
        <f>5*LocFeatures[[#This Row],[XP Gain per member]]</f>
        <v>3210</v>
      </c>
      <c r="L15">
        <f>3*LocFeatures[[#This Row],[XP Gain per member]]</f>
        <v>1926</v>
      </c>
      <c r="M15" s="50">
        <f>AVERAGEIFS(DropAnalityka[Exp Gain],DropAnalityka[Location],LocFeatures[[#This Row],[Location]],DropAnalityka[LVL],LocFeatures[[#This Row],[LVL]],DropAnalityka[Stage],LocFeatures[[#This Row],[Stage]])</f>
        <v>2772</v>
      </c>
      <c r="N15" s="50">
        <f>LocFeatures[[#This Row],[Drop worth gain]]/(LocFeatures[[#This Row],[E. Cost]]-LocFeatures[[#This Row],[Energy gain]])</f>
        <v>596.11627906976742</v>
      </c>
      <c r="O15" s="50">
        <f>LocFeatures[[#This Row],[XP Train Gain]]/(LocFeatures[[#This Row],[E. Cost]]-LocFeatures[[#This Row],[Energy gain]])</f>
        <v>302.33720930232556</v>
      </c>
      <c r="P15" s="50">
        <f>LocFeatures[[#This Row],[XP drop]]/(LocFeatures[[#This Row],[E. Cost]]-LocFeatures[[#This Row],[Energy gain]])</f>
        <v>435.13953488372096</v>
      </c>
      <c r="Q15" s="50">
        <f>(LocFeatures[[#This Row],[XP Train Gain]]+LocFeatures[[#This Row],[XP drop]])/(LocFeatures[[#This Row],[E. Cost]]-LocFeatures[[#This Row],[Energy gain]])</f>
        <v>737.47674418604652</v>
      </c>
      <c r="R15" s="43">
        <f>COUNTIFS(DropAnalityka[Location],LocFeatures[[#This Row],[Location]],DropAnalityka[LVL],LocFeatures[[#This Row],[LVL]],DropAnalityka[Stage],LocFeatures[[#This Row],[Stage]])</f>
        <v>27</v>
      </c>
      <c r="S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16" spans="1:23">
      <c r="A16" s="10" t="s">
        <v>36</v>
      </c>
      <c r="B16" s="10" t="s">
        <v>9</v>
      </c>
      <c r="C16" s="10">
        <v>4</v>
      </c>
      <c r="D16" s="10">
        <v>5</v>
      </c>
      <c r="E16" s="10">
        <v>439</v>
      </c>
      <c r="F16" s="10">
        <v>10</v>
      </c>
      <c r="G16" s="10"/>
      <c r="H16" s="10"/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4124.8571428571431</v>
      </c>
      <c r="J16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16" s="10">
        <f>5*LocFeatures[[#This Row],[XP Gain per member]]</f>
        <v>2195</v>
      </c>
      <c r="L16">
        <f>3*LocFeatures[[#This Row],[XP Gain per member]]</f>
        <v>1317</v>
      </c>
      <c r="M16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16" s="50">
        <f>LocFeatures[[#This Row],[Drop worth gain]]/(LocFeatures[[#This Row],[E. Cost]]-LocFeatures[[#This Row],[Energy gain]])</f>
        <v>962.46666666666681</v>
      </c>
      <c r="O16" s="50">
        <f>LocFeatures[[#This Row],[XP Train Gain]]/(LocFeatures[[#This Row],[E. Cost]]-LocFeatures[[#This Row],[Energy gain]])</f>
        <v>307.3</v>
      </c>
      <c r="P16" s="50">
        <f>LocFeatures[[#This Row],[XP drop]]/(LocFeatures[[#This Row],[E. Cost]]-LocFeatures[[#This Row],[Energy gain]])</f>
        <v>266.66666666666669</v>
      </c>
      <c r="Q16" s="50">
        <f>(LocFeatures[[#This Row],[XP Train Gain]]+LocFeatures[[#This Row],[XP drop]])/(LocFeatures[[#This Row],[E. Cost]]-LocFeatures[[#This Row],[Energy gain]])</f>
        <v>573.9666666666667</v>
      </c>
      <c r="R16" s="47">
        <f>COUNTIFS(DropAnalityka[Location],LocFeatures[[#This Row],[Location]],DropAnalityka[LVL],LocFeatures[[#This Row],[LVL]],DropAnalityka[Stage],LocFeatures[[#This Row],[Stage]])</f>
        <v>7</v>
      </c>
      <c r="S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U16" s="10"/>
      <c r="V16" s="10"/>
      <c r="W16" s="10"/>
    </row>
    <row r="17" spans="1:23">
      <c r="A17" s="10" t="s">
        <v>36</v>
      </c>
      <c r="B17" s="10" t="s">
        <v>9</v>
      </c>
      <c r="C17" s="10">
        <v>5</v>
      </c>
      <c r="D17">
        <v>6</v>
      </c>
      <c r="E17">
        <v>642</v>
      </c>
      <c r="F17">
        <v>12</v>
      </c>
      <c r="G17" t="s">
        <v>18</v>
      </c>
      <c r="H17" t="s">
        <v>21</v>
      </c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17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17">
        <f>5*LocFeatures[[#This Row],[XP Gain per member]]</f>
        <v>3210</v>
      </c>
      <c r="L17">
        <f>3*LocFeatures[[#This Row],[XP Gain per member]]</f>
        <v>1926</v>
      </c>
      <c r="M17" s="50">
        <f>AVERAGEIFS(DropAnalityka[Exp Gain],DropAnalityka[Location],LocFeatures[[#This Row],[Location]],DropAnalityka[LVL],LocFeatures[[#This Row],[LVL]],DropAnalityka[Stage],LocFeatures[[#This Row],[Stage]])</f>
        <v>0</v>
      </c>
      <c r="N17" s="50">
        <f>LocFeatures[[#This Row],[Drop worth gain]]/(LocFeatures[[#This Row],[E. Cost]]-LocFeatures[[#This Row],[Energy gain]])</f>
        <v>263.25</v>
      </c>
      <c r="O17" s="50">
        <f>LocFeatures[[#This Row],[XP Train Gain]]/(LocFeatures[[#This Row],[E. Cost]]-LocFeatures[[#This Row],[Energy gain]])</f>
        <v>361.125</v>
      </c>
      <c r="P17" s="50">
        <f>LocFeatures[[#This Row],[XP drop]]/(LocFeatures[[#This Row],[E. Cost]]-LocFeatures[[#This Row],[Energy gain]])</f>
        <v>0</v>
      </c>
      <c r="Q17" s="50">
        <f>(LocFeatures[[#This Row],[XP Train Gain]]+LocFeatures[[#This Row],[XP drop]])/(LocFeatures[[#This Row],[E. Cost]]-LocFeatures[[#This Row],[Energy gain]])</f>
        <v>361.125</v>
      </c>
      <c r="R17" s="43">
        <f>COUNTIFS(DropAnalityka[Location],LocFeatures[[#This Row],[Location]],DropAnalityka[LVL],LocFeatures[[#This Row],[LVL]],DropAnalityka[Stage],LocFeatures[[#This Row],[Stage]])</f>
        <v>3</v>
      </c>
      <c r="S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18" spans="1:23">
      <c r="A18" s="10" t="s">
        <v>36</v>
      </c>
      <c r="B18" s="10" t="s">
        <v>9</v>
      </c>
      <c r="C18" s="10">
        <v>7</v>
      </c>
      <c r="D18" s="10">
        <v>6</v>
      </c>
      <c r="E18" s="10">
        <v>616</v>
      </c>
      <c r="F18" s="10"/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3279.6290322580649</v>
      </c>
      <c r="J18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18" s="10">
        <f>5*LocFeatures[[#This Row],[XP Gain per member]]</f>
        <v>3080</v>
      </c>
      <c r="L18">
        <f>3*LocFeatures[[#This Row],[XP Gain per member]]</f>
        <v>1848</v>
      </c>
      <c r="M18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18" s="50">
        <f>LocFeatures[[#This Row],[Drop worth gain]]/(LocFeatures[[#This Row],[E. Cost]]-LocFeatures[[#This Row],[Energy gain]])</f>
        <v>605.169642857143</v>
      </c>
      <c r="O18" s="50">
        <f>LocFeatures[[#This Row],[XP Train Gain]]/(LocFeatures[[#This Row],[E. Cost]]-LocFeatures[[#This Row],[Energy gain]])</f>
        <v>341</v>
      </c>
      <c r="P18" s="50">
        <f>LocFeatures[[#This Row],[XP drop]]/(LocFeatures[[#This Row],[E. Cost]]-LocFeatures[[#This Row],[Energy gain]])</f>
        <v>163.75595238095241</v>
      </c>
      <c r="Q18" s="50">
        <f>(LocFeatures[[#This Row],[XP Train Gain]]+LocFeatures[[#This Row],[XP drop]])/(LocFeatures[[#This Row],[E. Cost]]-LocFeatures[[#This Row],[Energy gain]])</f>
        <v>504.75595238095241</v>
      </c>
      <c r="R18" s="47">
        <f>COUNTIFS(DropAnalityka[Location],LocFeatures[[#This Row],[Location]],DropAnalityka[LVL],LocFeatures[[#This Row],[LVL]],DropAnalityka[Stage],LocFeatures[[#This Row],[Stage]])</f>
        <v>62</v>
      </c>
      <c r="S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19" spans="1:23">
      <c r="A19" t="s">
        <v>36</v>
      </c>
      <c r="B19" t="s">
        <v>9</v>
      </c>
      <c r="C19">
        <v>9</v>
      </c>
      <c r="D19">
        <v>7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3863.72</v>
      </c>
      <c r="J19" s="19">
        <f>AVERAGEIFS(DropAnalityka[Energy Drop],DropAnalityka[Location],LocFeatures[[#This Row],[Location]],DropAnalityka[LVL],LocFeatures[[#This Row],[LVL]],DropAnalityka[Stage],LocFeatures[[#This Row],[Stage]])</f>
        <v>0.92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2993.76</v>
      </c>
      <c r="N19" s="50">
        <f>LocFeatures[[#This Row],[Drop worth gain]]/(LocFeatures[[#This Row],[E. Cost]]-LocFeatures[[#This Row],[Energy gain]])</f>
        <v>635.48026315789468</v>
      </c>
      <c r="O19" s="50">
        <f>LocFeatures[[#This Row],[XP Train Gain]]/(LocFeatures[[#This Row],[E. Cost]]-LocFeatures[[#This Row],[Energy gain]])</f>
        <v>0</v>
      </c>
      <c r="P19" s="50">
        <f>LocFeatures[[#This Row],[XP drop]]/(LocFeatures[[#This Row],[E. Cost]]-LocFeatures[[#This Row],[Energy gain]])</f>
        <v>492.39473684210532</v>
      </c>
      <c r="Q19" s="50">
        <f>(LocFeatures[[#This Row],[XP Train Gain]]+LocFeatures[[#This Row],[XP drop]])/(LocFeatures[[#This Row],[E. Cost]]-LocFeatures[[#This Row],[Energy gain]])</f>
        <v>492.39473684210532</v>
      </c>
      <c r="R19" s="43">
        <f>COUNTIFS(DropAnalityka[Location],LocFeatures[[#This Row],[Location]],DropAnalityka[LVL],LocFeatures[[#This Row],[LVL]],DropAnalityka[Stage],LocFeatures[[#This Row],[Stage]])</f>
        <v>25</v>
      </c>
      <c r="S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0" spans="1:23">
      <c r="A20" s="10" t="s">
        <v>207</v>
      </c>
      <c r="B20" t="s">
        <v>9</v>
      </c>
      <c r="C20">
        <v>8</v>
      </c>
      <c r="D20">
        <v>7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4671.7241379310344</v>
      </c>
      <c r="J20" s="19">
        <f>AVERAGEIFS(DropAnalityka[Energy Drop],DropAnalityka[Location],LocFeatures[[#This Row],[Location]],DropAnalityka[LVL],LocFeatures[[#This Row],[LVL]],DropAnalityka[Stage],LocFeatures[[#This Row],[Stage]])</f>
        <v>1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0" s="50">
        <f>LocFeatures[[#This Row],[Drop worth gain]]/(LocFeatures[[#This Row],[E. Cost]]-LocFeatures[[#This Row],[Energy gain]])</f>
        <v>778.62068965517244</v>
      </c>
      <c r="O20" s="50">
        <f>LocFeatures[[#This Row],[XP Train Gain]]/(LocFeatures[[#This Row],[E. Cost]]-LocFeatures[[#This Row],[Energy gain]])</f>
        <v>321</v>
      </c>
      <c r="P20" s="50">
        <f>LocFeatures[[#This Row],[XP drop]]/(LocFeatures[[#This Row],[E. Cost]]-LocFeatures[[#This Row],[Energy gain]])</f>
        <v>151.72413793103448</v>
      </c>
      <c r="Q20" s="50">
        <f>(LocFeatures[[#This Row],[XP Train Gain]]+LocFeatures[[#This Row],[XP drop]])/(LocFeatures[[#This Row],[E. Cost]]-LocFeatures[[#This Row],[Energy gain]])</f>
        <v>472.72413793103448</v>
      </c>
      <c r="R20" s="43">
        <f>COUNTIFS(DropAnalityka[Location],LocFeatures[[#This Row],[Location]],DropAnalityka[LVL],LocFeatures[[#This Row],[LVL]],DropAnalityka[Stage],LocFeatures[[#This Row],[Stage]])</f>
        <v>29</v>
      </c>
      <c r="S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1" spans="1:23">
      <c r="A21" s="10" t="s">
        <v>207</v>
      </c>
      <c r="B21" t="s">
        <v>9</v>
      </c>
      <c r="C21">
        <v>9</v>
      </c>
      <c r="D21">
        <v>7</v>
      </c>
      <c r="E21">
        <v>642</v>
      </c>
      <c r="F21">
        <v>12</v>
      </c>
      <c r="G21" t="s">
        <v>18</v>
      </c>
      <c r="H21" t="s">
        <v>21</v>
      </c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5741.4850746268658</v>
      </c>
      <c r="J21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1">
        <f>5*LocFeatures[[#This Row],[XP Gain per member]]</f>
        <v>3210</v>
      </c>
      <c r="L21">
        <f>3*LocFeatures[[#This Row],[XP Gain per member]]</f>
        <v>1926</v>
      </c>
      <c r="M21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1" s="50">
        <f>LocFeatures[[#This Row],[Drop worth gain]]/(LocFeatures[[#This Row],[E. Cost]]-LocFeatures[[#This Row],[Energy gain]])</f>
        <v>922.49280575539558</v>
      </c>
      <c r="O21" s="50">
        <f>LocFeatures[[#This Row],[XP Train Gain]]/(LocFeatures[[#This Row],[E. Cost]]-LocFeatures[[#This Row],[Energy gain]])</f>
        <v>309.45323741007195</v>
      </c>
      <c r="P21" s="50">
        <f>LocFeatures[[#This Row],[XP drop]]/(LocFeatures[[#This Row],[E. Cost]]-LocFeatures[[#This Row],[Energy gain]])</f>
        <v>400.27014388489209</v>
      </c>
      <c r="Q21" s="50">
        <f>(LocFeatures[[#This Row],[XP Train Gain]]+LocFeatures[[#This Row],[XP drop]])/(LocFeatures[[#This Row],[E. Cost]]-LocFeatures[[#This Row],[Energy gain]])</f>
        <v>709.72338129496404</v>
      </c>
      <c r="R21" s="43">
        <f>COUNTIFS(DropAnalityka[Location],LocFeatures[[#This Row],[Location]],DropAnalityka[LVL],LocFeatures[[#This Row],[LVL]],DropAnalityka[Stage],LocFeatures[[#This Row],[Stage]])</f>
        <v>67</v>
      </c>
      <c r="S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2" spans="1:23">
      <c r="A22" t="s">
        <v>285</v>
      </c>
      <c r="B22" t="s">
        <v>9</v>
      </c>
      <c r="C22">
        <v>9</v>
      </c>
      <c r="D22">
        <v>6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6265.070422535211</v>
      </c>
      <c r="J22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2" s="50">
        <f>LocFeatures[[#This Row],[Drop worth gain]]/(LocFeatures[[#This Row],[E. Cost]]-LocFeatures[[#This Row],[Energy gain]])</f>
        <v>1192.5469168900804</v>
      </c>
      <c r="O22" s="50">
        <f>LocFeatures[[#This Row],[XP Train Gain]]/(LocFeatures[[#This Row],[E. Cost]]-LocFeatures[[#This Row],[Energy gain]])</f>
        <v>366.61126005361933</v>
      </c>
      <c r="P22" s="50">
        <f>LocFeatures[[#This Row],[XP drop]]/(LocFeatures[[#This Row],[E. Cost]]-LocFeatures[[#This Row],[Energy gain]])</f>
        <v>968.39678284182321</v>
      </c>
      <c r="Q22" s="50">
        <f>(LocFeatures[[#This Row],[XP Train Gain]]+LocFeatures[[#This Row],[XP drop]])/(LocFeatures[[#This Row],[E. Cost]]-LocFeatures[[#This Row],[Energy gain]])</f>
        <v>1335.0080428954425</v>
      </c>
      <c r="R22" s="43">
        <f>COUNTIFS(DropAnalityka[Location],LocFeatures[[#This Row],[Location]],DropAnalityka[LVL],LocFeatures[[#This Row],[LVL]],DropAnalityka[Stage],LocFeatures[[#This Row],[Stage]])</f>
        <v>71</v>
      </c>
      <c r="S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3" spans="1:23">
      <c r="A23" t="s">
        <v>286</v>
      </c>
      <c r="B23" t="s">
        <v>32</v>
      </c>
      <c r="C23">
        <v>5</v>
      </c>
      <c r="D23">
        <v>5</v>
      </c>
      <c r="E23">
        <v>1890</v>
      </c>
      <c r="F23">
        <v>12</v>
      </c>
      <c r="G23" t="s">
        <v>18</v>
      </c>
      <c r="H23" t="s">
        <v>21</v>
      </c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23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23">
        <f>4*LocFeatures[[#This Row],[XP Gain per member]]</f>
        <v>7560</v>
      </c>
      <c r="L23">
        <f>3*LocFeatures[[#This Row],[XP Gain per member]]</f>
        <v>5670</v>
      </c>
      <c r="M23" s="50">
        <f>AVERAGEIFS(DropAnalityka[Exp Gain],DropAnalityka[Location],LocFeatures[[#This Row],[Location]],DropAnalityka[LVL],LocFeatures[[#This Row],[LVL]],DropAnalityka[Stage],LocFeatures[[#This Row],[Stage]])</f>
        <v>0</v>
      </c>
      <c r="N23" s="50">
        <f>LocFeatures[[#This Row],[Drop worth gain]]/(LocFeatures[[#This Row],[E. Cost]]-LocFeatures[[#This Row],[Energy gain]])</f>
        <v>736.45945945945959</v>
      </c>
      <c r="O23" s="50">
        <f>LocFeatures[[#This Row],[XP Train Gain]]/(LocFeatures[[#This Row],[E. Cost]]-LocFeatures[[#This Row],[Energy gain]])</f>
        <v>1379.1891891891894</v>
      </c>
      <c r="P23" s="50">
        <f>LocFeatures[[#This Row],[XP drop]]/(LocFeatures[[#This Row],[E. Cost]]-LocFeatures[[#This Row],[Energy gain]])</f>
        <v>0</v>
      </c>
      <c r="Q23" s="50">
        <f>(LocFeatures[[#This Row],[XP Train Gain]]+LocFeatures[[#This Row],[XP drop]])/(LocFeatures[[#This Row],[E. Cost]]-LocFeatures[[#This Row],[Energy gain]])</f>
        <v>1379.1891891891894</v>
      </c>
      <c r="R23" s="43">
        <f>COUNTIFS(DropAnalityka[Location],LocFeatures[[#This Row],[Location]],DropAnalityka[LVL],LocFeatures[[#This Row],[LVL]],DropAnalityka[Stage],LocFeatures[[#This Row],[Stage]])</f>
        <v>27</v>
      </c>
      <c r="S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24" spans="1:23">
      <c r="A24" s="10" t="s">
        <v>59</v>
      </c>
      <c r="B24" s="10" t="s">
        <v>32</v>
      </c>
      <c r="C24" s="10">
        <v>2</v>
      </c>
      <c r="D24" s="10">
        <v>5</v>
      </c>
      <c r="E24" s="10">
        <v>1500</v>
      </c>
      <c r="F24" s="10">
        <v>10</v>
      </c>
      <c r="G24" s="10"/>
      <c r="H24" s="10"/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4" s="19">
        <f>AVERAGEIFS(DropAnalityka[Energy Drop],DropAnalityka[Location],LocFeatures[[#This Row],[Location]],DropAnalityka[LVL],LocFeatures[[#This Row],[LVL]],DropAnalityka[Stage],LocFeatures[[#This Row],[Stage]])</f>
        <v>1</v>
      </c>
      <c r="K24" s="10">
        <f>4*LocFeatures[[#This Row],[XP Gain per member]]</f>
        <v>6000</v>
      </c>
      <c r="L24">
        <f>3*LocFeatures[[#This Row],[XP Gain per member]]</f>
        <v>4500</v>
      </c>
      <c r="M24" s="50">
        <f>AVERAGEIFS(DropAnalityka[Exp Gain],DropAnalityka[Location],LocFeatures[[#This Row],[Location]],DropAnalityka[LVL],LocFeatures[[#This Row],[LVL]],DropAnalityka[Stage],LocFeatures[[#This Row],[Stage]])</f>
        <v>35822</v>
      </c>
      <c r="N24" s="50">
        <f>LocFeatures[[#This Row],[Drop worth gain]]/(LocFeatures[[#This Row],[E. Cost]]-LocFeatures[[#This Row],[Energy gain]])</f>
        <v>3173</v>
      </c>
      <c r="O24" s="50">
        <f>LocFeatures[[#This Row],[XP Train Gain]]/(LocFeatures[[#This Row],[E. Cost]]-LocFeatures[[#This Row],[Energy gain]])</f>
        <v>1125</v>
      </c>
      <c r="P24" s="50">
        <f>LocFeatures[[#This Row],[XP drop]]/(LocFeatures[[#This Row],[E. Cost]]-LocFeatures[[#This Row],[Energy gain]])</f>
        <v>8955.5</v>
      </c>
      <c r="Q24" s="50">
        <f>(LocFeatures[[#This Row],[XP Train Gain]]+LocFeatures[[#This Row],[XP drop]])/(LocFeatures[[#This Row],[E. Cost]]-LocFeatures[[#This Row],[Energy gain]])</f>
        <v>10080.5</v>
      </c>
      <c r="R24" s="47">
        <f>COUNTIFS(DropAnalityka[Location],LocFeatures[[#This Row],[Location]],DropAnalityka[LVL],LocFeatures[[#This Row],[LVL]],DropAnalityka[Stage],LocFeatures[[#This Row],[Stage]])</f>
        <v>1</v>
      </c>
      <c r="S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U24" s="10"/>
      <c r="V24" s="10"/>
      <c r="W24" s="10"/>
    </row>
    <row r="25" spans="1:23">
      <c r="A25" t="s">
        <v>223</v>
      </c>
      <c r="B25" t="s">
        <v>9</v>
      </c>
      <c r="C25" t="s">
        <v>26</v>
      </c>
      <c r="D25">
        <v>5</v>
      </c>
      <c r="E25">
        <v>0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25" s="19">
        <f>AVERAGEIFS(DropAnalityka[Energy Drop],DropAnalityka[Location],LocFeatures[[#This Row],[Location]],DropAnalityka[LVL],LocFeatures[[#This Row],[LVL]],DropAnalityka[Stage],LocFeatures[[#This Row],[Stage]])</f>
        <v>0</v>
      </c>
      <c r="K25">
        <f>4*LocFeatures[[#This Row],[XP Gain per member]]</f>
        <v>0</v>
      </c>
      <c r="L25">
        <f>3*LocFeatures[[#This Row],[XP Gain per member]]</f>
        <v>0</v>
      </c>
      <c r="M25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25" s="50">
        <f>LocFeatures[[#This Row],[Drop worth gain]]/(LocFeatures[[#This Row],[E. Cost]]-LocFeatures[[#This Row],[Energy gain]])</f>
        <v>1846.9</v>
      </c>
      <c r="O25" s="50">
        <f>LocFeatures[[#This Row],[XP Train Gain]]/(LocFeatures[[#This Row],[E. Cost]]-LocFeatures[[#This Row],[Energy gain]])</f>
        <v>0</v>
      </c>
      <c r="P25" s="50">
        <f>LocFeatures[[#This Row],[XP drop]]/(LocFeatures[[#This Row],[E. Cost]]-LocFeatures[[#This Row],[Energy gain]])</f>
        <v>716.44</v>
      </c>
      <c r="Q25" s="50">
        <f>(LocFeatures[[#This Row],[XP Train Gain]]+LocFeatures[[#This Row],[XP drop]])/(LocFeatures[[#This Row],[E. Cost]]-LocFeatures[[#This Row],[Energy gain]])</f>
        <v>716.44</v>
      </c>
      <c r="R25" s="43">
        <f>COUNTIFS(DropAnalityka[Location],LocFeatures[[#This Row],[Location]],DropAnalityka[LVL],LocFeatures[[#This Row],[LVL]],DropAnalityka[Stage],LocFeatures[[#This Row],[Stage]])</f>
        <v>8</v>
      </c>
      <c r="S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</row>
    <row r="26" spans="1:23">
      <c r="A26" s="10" t="s">
        <v>8</v>
      </c>
      <c r="B26" s="10" t="s">
        <v>30</v>
      </c>
      <c r="C26" s="10">
        <v>3</v>
      </c>
      <c r="D26" s="10">
        <v>4</v>
      </c>
      <c r="E26" s="10">
        <v>1098</v>
      </c>
      <c r="F26" s="10">
        <v>12</v>
      </c>
      <c r="G26" s="10" t="s">
        <v>18</v>
      </c>
      <c r="H26" s="10"/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4147.9811320754716</v>
      </c>
      <c r="J26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26" s="10">
        <f>4*LocFeatures[[#This Row],[XP Gain per member]]</f>
        <v>4392</v>
      </c>
      <c r="L26">
        <f>3*LocFeatures[[#This Row],[XP Gain per member]]</f>
        <v>3294</v>
      </c>
      <c r="M26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26" s="50">
        <f>LocFeatures[[#This Row],[Drop worth gain]]/(LocFeatures[[#This Row],[E. Cost]]-LocFeatures[[#This Row],[Energy gain]])</f>
        <v>1324.3554216867471</v>
      </c>
      <c r="O26" s="50">
        <f>LocFeatures[[#This Row],[XP Train Gain]]/(LocFeatures[[#This Row],[E. Cost]]-LocFeatures[[#This Row],[Energy gain]])</f>
        <v>1051.698795180723</v>
      </c>
      <c r="P26" s="50">
        <f>LocFeatures[[#This Row],[XP drop]]/(LocFeatures[[#This Row],[E. Cost]]-LocFeatures[[#This Row],[Energy gain]])</f>
        <v>350.73493975903614</v>
      </c>
      <c r="Q26" s="50">
        <f>(LocFeatures[[#This Row],[XP Train Gain]]+LocFeatures[[#This Row],[XP drop]])/(LocFeatures[[#This Row],[E. Cost]]-LocFeatures[[#This Row],[Energy gain]])</f>
        <v>1402.433734939759</v>
      </c>
      <c r="R26" s="47">
        <f>COUNTIFS(DropAnalityka[Location],LocFeatures[[#This Row],[Location]],DropAnalityka[LVL],LocFeatures[[#This Row],[LVL]],DropAnalityka[Stage],LocFeatures[[#This Row],[Stage]])</f>
        <v>53</v>
      </c>
      <c r="S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U26" s="10"/>
      <c r="V26" s="10"/>
      <c r="W26" s="10"/>
    </row>
    <row r="27" spans="1:23">
      <c r="A27" s="10" t="s">
        <v>8</v>
      </c>
      <c r="B27" s="10" t="s">
        <v>30</v>
      </c>
      <c r="C27" s="10">
        <v>6</v>
      </c>
      <c r="D27" s="10">
        <v>5</v>
      </c>
      <c r="E27" s="10">
        <v>1116</v>
      </c>
      <c r="F27" s="10">
        <v>12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27" s="19">
        <f>AVERAGEIFS(DropAnalityka[Energy Drop],DropAnalityka[Location],LocFeatures[[#This Row],[Location]],DropAnalityka[LVL],LocFeatures[[#This Row],[LVL]],DropAnalityka[Stage],LocFeatures[[#This Row],[Stage]])</f>
        <v>1</v>
      </c>
      <c r="K27" s="10">
        <f>4*LocFeatures[[#This Row],[XP Gain per member]]</f>
        <v>4464</v>
      </c>
      <c r="L27">
        <f>3*LocFeatures[[#This Row],[XP Gain per member]]</f>
        <v>3348</v>
      </c>
      <c r="M27" s="50">
        <f>AVERAGEIFS(DropAnalityka[Exp Gain],DropAnalityka[Location],LocFeatures[[#This Row],[Location]],DropAnalityka[LVL],LocFeatures[[#This Row],[LVL]],DropAnalityka[Stage],LocFeatures[[#This Row],[Stage]])</f>
        <v>0</v>
      </c>
      <c r="N27" s="50">
        <f>LocFeatures[[#This Row],[Drop worth gain]]/(LocFeatures[[#This Row],[E. Cost]]-LocFeatures[[#This Row],[Energy gain]])</f>
        <v>663</v>
      </c>
      <c r="O27" s="50">
        <f>LocFeatures[[#This Row],[XP Train Gain]]/(LocFeatures[[#This Row],[E. Cost]]-LocFeatures[[#This Row],[Energy gain]])</f>
        <v>837</v>
      </c>
      <c r="P27" s="50">
        <f>LocFeatures[[#This Row],[XP drop]]/(LocFeatures[[#This Row],[E. Cost]]-LocFeatures[[#This Row],[Energy gain]])</f>
        <v>0</v>
      </c>
      <c r="Q27" s="50">
        <f>(LocFeatures[[#This Row],[XP Train Gain]]+LocFeatures[[#This Row],[XP drop]])/(LocFeatures[[#This Row],[E. Cost]]-LocFeatures[[#This Row],[Energy gain]])</f>
        <v>837</v>
      </c>
      <c r="R27" s="47">
        <f>COUNTIFS(DropAnalityka[Location],LocFeatures[[#This Row],[Location]],DropAnalityka[LVL],LocFeatures[[#This Row],[LVL]],DropAnalityka[Stage],LocFeatures[[#This Row],[Stage]])</f>
        <v>1</v>
      </c>
      <c r="S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U27" s="10"/>
      <c r="V27" s="10"/>
      <c r="W27" s="10"/>
    </row>
    <row r="28" spans="1:23">
      <c r="A28" s="10" t="s">
        <v>8</v>
      </c>
      <c r="B28" s="10" t="s">
        <v>32</v>
      </c>
      <c r="C28" s="10">
        <v>3</v>
      </c>
      <c r="D28" s="10">
        <v>5</v>
      </c>
      <c r="E28" s="10">
        <v>1800</v>
      </c>
      <c r="F28" s="10">
        <v>12</v>
      </c>
      <c r="G28" s="10"/>
      <c r="H28" s="10"/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4412.5320512820508</v>
      </c>
      <c r="J28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28" s="10">
        <f>4*LocFeatures[[#This Row],[XP Gain per member]]</f>
        <v>7200</v>
      </c>
      <c r="L28">
        <f>3*LocFeatures[[#This Row],[XP Gain per member]]</f>
        <v>5400</v>
      </c>
      <c r="M28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28" s="50">
        <f>LocFeatures[[#This Row],[Drop worth gain]]/(LocFeatures[[#This Row],[E. Cost]]-LocFeatures[[#This Row],[Energy gain]])</f>
        <v>1097.8548644338116</v>
      </c>
      <c r="O28" s="50">
        <f>LocFeatures[[#This Row],[XP Train Gain]]/(LocFeatures[[#This Row],[E. Cost]]-LocFeatures[[#This Row],[Energy gain]])</f>
        <v>1343.5406698564593</v>
      </c>
      <c r="P28" s="50">
        <f>LocFeatures[[#This Row],[XP drop]]/(LocFeatures[[#This Row],[E. Cost]]-LocFeatures[[#This Row],[Energy gain]])</f>
        <v>308.91228070175441</v>
      </c>
      <c r="Q28" s="50">
        <f>(LocFeatures[[#This Row],[XP Train Gain]]+LocFeatures[[#This Row],[XP drop]])/(LocFeatures[[#This Row],[E. Cost]]-LocFeatures[[#This Row],[Energy gain]])</f>
        <v>1652.4529505582138</v>
      </c>
      <c r="R28" s="47">
        <f>COUNTIFS(DropAnalityka[Location],LocFeatures[[#This Row],[Location]],DropAnalityka[LVL],LocFeatures[[#This Row],[LVL]],DropAnalityka[Stage],LocFeatures[[#This Row],[Stage]])</f>
        <v>156</v>
      </c>
      <c r="S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U28" s="10"/>
      <c r="V28" s="10"/>
      <c r="W28" s="10"/>
    </row>
    <row r="29" spans="1:23">
      <c r="A29" s="10" t="s">
        <v>8</v>
      </c>
      <c r="B29" s="10" t="s">
        <v>32</v>
      </c>
      <c r="C29" s="10">
        <v>13</v>
      </c>
      <c r="D29" s="10">
        <v>5</v>
      </c>
      <c r="E29" s="10">
        <v>1800</v>
      </c>
      <c r="F29" s="10">
        <v>12</v>
      </c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3818.9444444444443</v>
      </c>
      <c r="J29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29" s="10">
        <f>4*LocFeatures[[#This Row],[XP Gain per member]]</f>
        <v>7200</v>
      </c>
      <c r="L29">
        <f>3*LocFeatures[[#This Row],[XP Gain per member]]</f>
        <v>5400</v>
      </c>
      <c r="M29" s="50">
        <f>AVERAGEIFS(DropAnalityka[Exp Gain],DropAnalityka[Location],LocFeatures[[#This Row],[Location]],DropAnalityka[LVL],LocFeatures[[#This Row],[LVL]],DropAnalityka[Stage],LocFeatures[[#This Row],[Stage]])</f>
        <v>400</v>
      </c>
      <c r="N29" s="50">
        <f>LocFeatures[[#This Row],[Drop worth gain]]/(LocFeatures[[#This Row],[E. Cost]]-LocFeatures[[#This Row],[Energy gain]])</f>
        <v>916.54666666666662</v>
      </c>
      <c r="O29" s="50">
        <f>LocFeatures[[#This Row],[XP Train Gain]]/(LocFeatures[[#This Row],[E. Cost]]-LocFeatures[[#This Row],[Energy gain]])</f>
        <v>1296</v>
      </c>
      <c r="P29" s="50">
        <f>LocFeatures[[#This Row],[XP drop]]/(LocFeatures[[#This Row],[E. Cost]]-LocFeatures[[#This Row],[Energy gain]])</f>
        <v>96</v>
      </c>
      <c r="Q29" s="50">
        <f>(LocFeatures[[#This Row],[XP Train Gain]]+LocFeatures[[#This Row],[XP drop]])/(LocFeatures[[#This Row],[E. Cost]]-LocFeatures[[#This Row],[Energy gain]])</f>
        <v>1392</v>
      </c>
      <c r="R29" s="47">
        <f>COUNTIFS(DropAnalityka[Location],LocFeatures[[#This Row],[Location]],DropAnalityka[LVL],LocFeatures[[#This Row],[LVL]],DropAnalityka[Stage],LocFeatures[[#This Row],[Stage]])</f>
        <v>18</v>
      </c>
      <c r="S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T29">
        <v>92</v>
      </c>
      <c r="U29" s="10" t="s">
        <v>246</v>
      </c>
    </row>
    <row r="30" spans="1:23">
      <c r="A30" t="s">
        <v>8</v>
      </c>
      <c r="B30" t="s">
        <v>9</v>
      </c>
      <c r="C30">
        <v>3</v>
      </c>
      <c r="D30">
        <v>3</v>
      </c>
      <c r="E30">
        <v>642</v>
      </c>
      <c r="F30">
        <v>12</v>
      </c>
      <c r="G30" t="s">
        <v>18</v>
      </c>
      <c r="H30" t="s">
        <v>21</v>
      </c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0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0">
        <f>4*LocFeatures[[#This Row],[XP Gain per member]]</f>
        <v>2568</v>
      </c>
      <c r="L30">
        <f>3*LocFeatures[[#This Row],[XP Gain per member]]</f>
        <v>1926</v>
      </c>
      <c r="M30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0" s="50">
        <f>LocFeatures[[#This Row],[Drop worth gain]]/(LocFeatures[[#This Row],[E. Cost]]-LocFeatures[[#This Row],[Energy gain]])</f>
        <v>1284.4719101123596</v>
      </c>
      <c r="O30" s="50">
        <f>LocFeatures[[#This Row],[XP Train Gain]]/(LocFeatures[[#This Row],[E. Cost]]-LocFeatures[[#This Row],[Energy gain]])</f>
        <v>887.25842696629206</v>
      </c>
      <c r="P30" s="50">
        <f>LocFeatures[[#This Row],[XP drop]]/(LocFeatures[[#This Row],[E. Cost]]-LocFeatures[[#This Row],[Energy gain]])</f>
        <v>80.898876404494388</v>
      </c>
      <c r="Q30" s="50">
        <f>(LocFeatures[[#This Row],[XP Train Gain]]+LocFeatures[[#This Row],[XP drop]])/(LocFeatures[[#This Row],[E. Cost]]-LocFeatures[[#This Row],[Energy gain]])</f>
        <v>968.15730337078639</v>
      </c>
      <c r="R30" s="43">
        <f>COUNTIFS(DropAnalityka[Location],LocFeatures[[#This Row],[Location]],DropAnalityka[LVL],LocFeatures[[#This Row],[LVL]],DropAnalityka[Stage],LocFeatures[[#This Row],[Stage]])</f>
        <v>41</v>
      </c>
      <c r="S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31" spans="1:23">
      <c r="A31" t="s">
        <v>8</v>
      </c>
      <c r="B31" t="s">
        <v>9</v>
      </c>
      <c r="C31">
        <v>3</v>
      </c>
      <c r="D31">
        <v>3</v>
      </c>
      <c r="I3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2788.2439024390246</v>
      </c>
      <c r="J31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31">
        <f>4*LocFeatures[[#This Row],[XP Gain per member]]</f>
        <v>0</v>
      </c>
      <c r="L31">
        <f>3*LocFeatures[[#This Row],[XP Gain per member]]</f>
        <v>0</v>
      </c>
      <c r="M31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31" s="50">
        <f>LocFeatures[[#This Row],[Drop worth gain]]/(LocFeatures[[#This Row],[E. Cost]]-LocFeatures[[#This Row],[Energy gain]])</f>
        <v>1284.4719101123596</v>
      </c>
      <c r="O31" s="50">
        <f>LocFeatures[[#This Row],[XP Train Gain]]/(LocFeatures[[#This Row],[E. Cost]]-LocFeatures[[#This Row],[Energy gain]])</f>
        <v>0</v>
      </c>
      <c r="P31" s="50">
        <f>LocFeatures[[#This Row],[XP drop]]/(LocFeatures[[#This Row],[E. Cost]]-LocFeatures[[#This Row],[Energy gain]])</f>
        <v>80.898876404494388</v>
      </c>
      <c r="Q31" s="50">
        <f>(LocFeatures[[#This Row],[XP Train Gain]]+LocFeatures[[#This Row],[XP drop]])/(LocFeatures[[#This Row],[E. Cost]]-LocFeatures[[#This Row],[Energy gain]])</f>
        <v>80.898876404494388</v>
      </c>
      <c r="R31" s="43">
        <f>COUNTIFS(DropAnalityka[Location],LocFeatures[[#This Row],[Location]],DropAnalityka[LVL],LocFeatures[[#This Row],[LVL]],DropAnalityka[Stage],LocFeatures[[#This Row],[Stage]])</f>
        <v>41</v>
      </c>
      <c r="S3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32" spans="1:23">
      <c r="A32" s="10" t="s">
        <v>319</v>
      </c>
      <c r="B32" s="10" t="s">
        <v>30</v>
      </c>
      <c r="C32" s="10">
        <v>1</v>
      </c>
      <c r="D32">
        <v>4</v>
      </c>
      <c r="E32">
        <f>1524*3/4</f>
        <v>1143</v>
      </c>
      <c r="F32">
        <v>12</v>
      </c>
      <c r="G32" t="s">
        <v>18</v>
      </c>
      <c r="H32" t="s">
        <v>21</v>
      </c>
      <c r="I3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2" s="19">
        <f>AVERAGEIFS(DropAnalityka[Energy Drop],DropAnalityka[Location],LocFeatures[[#This Row],[Location]],DropAnalityka[LVL],LocFeatures[[#This Row],[LVL]],DropAnalityka[Stage],LocFeatures[[#This Row],[Stage]])</f>
        <v>0.875</v>
      </c>
      <c r="K32">
        <f>4*LocFeatures[[#This Row],[XP Gain per member]]</f>
        <v>4572</v>
      </c>
      <c r="L32">
        <f>3*LocFeatures[[#This Row],[XP Gain per member]]</f>
        <v>3429</v>
      </c>
      <c r="M32" s="50">
        <f>AVERAGEIFS(DropAnalityka[Exp Gain],DropAnalityka[Location],LocFeatures[[#This Row],[Location]],DropAnalityka[LVL],LocFeatures[[#This Row],[LVL]],DropAnalityka[Stage],LocFeatures[[#This Row],[Stage]])</f>
        <v>0</v>
      </c>
      <c r="N32" s="50">
        <f>LocFeatures[[#This Row],[Drop worth gain]]/(LocFeatures[[#This Row],[E. Cost]]-LocFeatures[[#This Row],[Energy gain]])</f>
        <v>1138.4000000000001</v>
      </c>
      <c r="O32" s="50">
        <f>LocFeatures[[#This Row],[XP Train Gain]]/(LocFeatures[[#This Row],[E. Cost]]-LocFeatures[[#This Row],[Energy gain]])</f>
        <v>1097.28</v>
      </c>
      <c r="P32" s="50">
        <f>LocFeatures[[#This Row],[XP drop]]/(LocFeatures[[#This Row],[E. Cost]]-LocFeatures[[#This Row],[Energy gain]])</f>
        <v>0</v>
      </c>
      <c r="Q32" s="50">
        <f>(LocFeatures[[#This Row],[XP Train Gain]]+LocFeatures[[#This Row],[XP drop]])/(LocFeatures[[#This Row],[E. Cost]]-LocFeatures[[#This Row],[Energy gain]])</f>
        <v>1097.28</v>
      </c>
      <c r="R32" s="43">
        <f>COUNTIFS(DropAnalityka[Location],LocFeatures[[#This Row],[Location]],DropAnalityka[LVL],LocFeatures[[#This Row],[LVL]],DropAnalityka[Stage],LocFeatures[[#This Row],[Stage]])</f>
        <v>8</v>
      </c>
      <c r="S3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33" spans="9:18">
      <c r="I33" s="43"/>
      <c r="M33" s="43"/>
      <c r="O33" s="48"/>
      <c r="P33" s="48" t="e">
        <f>LocFeatures[[#This Row],[XP drop]]/(LocFeatures[[#This Row],[E. Cost]]-LocFeatures[[#This Row],[Energy gain]])</f>
        <v>#DIV/0!</v>
      </c>
      <c r="R33" s="43"/>
    </row>
    <row r="34" spans="9:18">
      <c r="I34" s="43"/>
      <c r="M34" s="43"/>
      <c r="O34" s="48"/>
      <c r="P34" s="48" t="e">
        <f>LocFeatures[[#This Row],[XP drop]]/(LocFeatures[[#This Row],[E. Cost]]-LocFeatures[[#This Row],[Energy gain]])</f>
        <v>#DIV/0!</v>
      </c>
      <c r="R34" s="43"/>
    </row>
    <row r="35" spans="9:18">
      <c r="I35" s="43"/>
      <c r="M35" s="43"/>
      <c r="O35" s="48"/>
      <c r="P35" s="48" t="e">
        <f>LocFeatures[[#This Row],[XP drop]]/(LocFeatures[[#This Row],[E. Cost]]-LocFeatures[[#This Row],[Energy gain]])</f>
        <v>#DIV/0!</v>
      </c>
      <c r="R35" s="43"/>
    </row>
    <row r="36" spans="9:18">
      <c r="I36" s="43"/>
      <c r="M36" s="43"/>
      <c r="O36" s="48"/>
      <c r="P36" s="48" t="e">
        <f>LocFeatures[[#This Row],[XP drop]]/(LocFeatures[[#This Row],[E. Cost]]-LocFeatures[[#This Row],[Energy gain]])</f>
        <v>#DIV/0!</v>
      </c>
      <c r="R36" s="43"/>
    </row>
    <row r="37" spans="9:18">
      <c r="I37" s="43"/>
      <c r="M37" s="43"/>
      <c r="O37" s="48"/>
      <c r="P37" s="48" t="e">
        <f>LocFeatures[[#This Row],[XP drop]]/(LocFeatures[[#This Row],[E. Cost]]-LocFeatures[[#This Row],[Energy gain]])</f>
        <v>#DIV/0!</v>
      </c>
      <c r="R37" s="43"/>
    </row>
    <row r="38" spans="9:18">
      <c r="I38" s="43"/>
      <c r="M38" s="43"/>
      <c r="O38" s="48"/>
      <c r="P38" s="48" t="e">
        <f>LocFeatures[[#This Row],[XP drop]]/(LocFeatures[[#This Row],[E. Cost]]-LocFeatures[[#This Row],[Energy gain]])</f>
        <v>#DIV/0!</v>
      </c>
      <c r="R38" s="43"/>
    </row>
    <row r="39" spans="9:18">
      <c r="I39" s="43"/>
      <c r="M39" s="43"/>
      <c r="O39" s="48"/>
      <c r="P39" s="48" t="e">
        <f>LocFeatures[[#This Row],[XP drop]]/(LocFeatures[[#This Row],[E. Cost]]-LocFeatures[[#This Row],[Energy gain]])</f>
        <v>#DIV/0!</v>
      </c>
      <c r="R39" s="43"/>
    </row>
    <row r="40" spans="9:18">
      <c r="I40" s="43"/>
      <c r="M40" s="43"/>
      <c r="O40" s="48"/>
      <c r="P40" s="48" t="e">
        <f>LocFeatures[[#This Row],[XP drop]]/(LocFeatures[[#This Row],[E. Cost]]-LocFeatures[[#This Row],[Energy gain]])</f>
        <v>#DIV/0!</v>
      </c>
      <c r="R40" s="43"/>
    </row>
    <row r="41" spans="9:18">
      <c r="I41" s="43"/>
      <c r="M41" s="43"/>
      <c r="O41" s="48"/>
      <c r="P41" s="48" t="e">
        <f>LocFeatures[[#This Row],[XP drop]]/(LocFeatures[[#This Row],[E. Cost]]-LocFeatures[[#This Row],[Energy gain]])</f>
        <v>#DIV/0!</v>
      </c>
      <c r="R41" s="43"/>
    </row>
    <row r="42" spans="9:18">
      <c r="I42" s="43"/>
      <c r="M42" s="43"/>
      <c r="O42" s="48"/>
      <c r="P42" s="48" t="e">
        <f>LocFeatures[[#This Row],[XP drop]]/(LocFeatures[[#This Row],[E. Cost]]-LocFeatures[[#This Row],[Energy gain]])</f>
        <v>#DIV/0!</v>
      </c>
      <c r="R42" s="43"/>
    </row>
    <row r="43" spans="9:18">
      <c r="I43" s="43"/>
      <c r="M43" s="43"/>
      <c r="O43" s="48"/>
      <c r="P43" s="48" t="e">
        <f>LocFeatures[[#This Row],[XP drop]]/(LocFeatures[[#This Row],[E. Cost]]-LocFeatures[[#This Row],[Energy gain]])</f>
        <v>#DIV/0!</v>
      </c>
      <c r="R43" s="43"/>
    </row>
    <row r="44" spans="9:18">
      <c r="I44" s="43"/>
      <c r="M44" s="43"/>
      <c r="O44" s="48"/>
      <c r="P44" s="48" t="e">
        <f>LocFeatures[[#This Row],[XP drop]]/(LocFeatures[[#This Row],[E. Cost]]-LocFeatures[[#This Row],[Energy gain]])</f>
        <v>#DIV/0!</v>
      </c>
      <c r="R44" s="43"/>
    </row>
    <row r="45" spans="9:18">
      <c r="I45" s="43"/>
      <c r="M45" s="43"/>
      <c r="O45" s="48"/>
      <c r="P45" s="48" t="e">
        <f>LocFeatures[[#This Row],[XP drop]]/(LocFeatures[[#This Row],[E. Cost]]-LocFeatures[[#This Row],[Energy gain]])</f>
        <v>#DIV/0!</v>
      </c>
      <c r="R45" s="43"/>
    </row>
    <row r="46" spans="9:18">
      <c r="I46" s="43"/>
      <c r="M46" s="43"/>
      <c r="O46" s="48"/>
      <c r="P46" s="48" t="e">
        <f>LocFeatures[[#This Row],[XP drop]]/(LocFeatures[[#This Row],[E. Cost]]-LocFeatures[[#This Row],[Energy gain]])</f>
        <v>#DIV/0!</v>
      </c>
      <c r="R46" s="43"/>
    </row>
    <row r="47" spans="9:18">
      <c r="I47" s="43"/>
      <c r="M47" s="43"/>
      <c r="O47" s="48"/>
      <c r="P47" s="48" t="e">
        <f>LocFeatures[[#This Row],[XP drop]]/(LocFeatures[[#This Row],[E. Cost]]-LocFeatures[[#This Row],[Energy gain]])</f>
        <v>#DIV/0!</v>
      </c>
      <c r="R47" s="43"/>
    </row>
    <row r="48" spans="9:18">
      <c r="I48" s="43"/>
      <c r="M48" s="43"/>
      <c r="O48" s="48"/>
      <c r="P48" s="48" t="e">
        <f>LocFeatures[[#This Row],[XP drop]]/(LocFeatures[[#This Row],[E. Cost]]-LocFeatures[[#This Row],[Energy gain]])</f>
        <v>#DIV/0!</v>
      </c>
      <c r="R48" s="43"/>
    </row>
    <row r="49" spans="9:18">
      <c r="I49" s="43"/>
      <c r="M49" s="43"/>
      <c r="O49" s="48"/>
      <c r="P49" s="48" t="e">
        <f>LocFeatures[[#This Row],[XP drop]]/(LocFeatures[[#This Row],[E. Cost]]-LocFeatures[[#This Row],[Energy gain]])</f>
        <v>#DIV/0!</v>
      </c>
      <c r="R49" s="43"/>
    </row>
    <row r="50" spans="9:18">
      <c r="I50" s="43"/>
      <c r="M50" s="43"/>
      <c r="O50" s="48"/>
      <c r="P50" s="48" t="e">
        <f>LocFeatures[[#This Row],[XP drop]]/(LocFeatures[[#This Row],[E. Cost]]-LocFeatures[[#This Row],[Energy gain]])</f>
        <v>#DIV/0!</v>
      </c>
      <c r="R50" s="43"/>
    </row>
    <row r="51" spans="9:18">
      <c r="I51" s="43"/>
      <c r="M51" s="43"/>
      <c r="O51" s="48"/>
      <c r="P51" s="48" t="e">
        <f>LocFeatures[[#This Row],[XP drop]]/(LocFeatures[[#This Row],[E. Cost]]-LocFeatures[[#This Row],[Energy gain]])</f>
        <v>#DIV/0!</v>
      </c>
      <c r="R51" s="43"/>
    </row>
    <row r="52" spans="9:18">
      <c r="I52" s="43"/>
      <c r="M52" s="43"/>
      <c r="O52" s="48"/>
      <c r="P52" s="48" t="e">
        <f>LocFeatures[[#This Row],[XP drop]]/(LocFeatures[[#This Row],[E. Cost]]-LocFeatures[[#This Row],[Energy gain]])</f>
        <v>#DIV/0!</v>
      </c>
      <c r="R52" s="43"/>
    </row>
    <row r="53" spans="9:18">
      <c r="I53" s="43"/>
      <c r="M53" s="43"/>
      <c r="O53" s="48"/>
      <c r="P53" s="48" t="e">
        <f>LocFeatures[[#This Row],[XP drop]]/(LocFeatures[[#This Row],[E. Cost]]-LocFeatures[[#This Row],[Energy gain]])</f>
        <v>#DIV/0!</v>
      </c>
      <c r="R53" s="43"/>
    </row>
    <row r="54" spans="9:18">
      <c r="I54" s="43"/>
      <c r="M54" s="43"/>
      <c r="O54" s="48"/>
      <c r="P54" s="48" t="e">
        <f>LocFeatures[[#This Row],[XP drop]]/(LocFeatures[[#This Row],[E. Cost]]-LocFeatures[[#This Row],[Energy gain]])</f>
        <v>#DIV/0!</v>
      </c>
      <c r="R54" s="43"/>
    </row>
    <row r="55" spans="9:18">
      <c r="I55" s="43"/>
      <c r="M55" s="43"/>
      <c r="O55" s="48"/>
      <c r="P55" s="48" t="e">
        <f>LocFeatures[[#This Row],[XP drop]]/(LocFeatures[[#This Row],[E. Cost]]-LocFeatures[[#This Row],[Energy gain]])</f>
        <v>#DIV/0!</v>
      </c>
      <c r="R55" s="43"/>
    </row>
    <row r="56" spans="9:18">
      <c r="I56" s="43"/>
      <c r="M56" s="43"/>
      <c r="O56" s="48"/>
      <c r="P56" s="48" t="e">
        <f>LocFeatures[[#This Row],[XP drop]]/(LocFeatures[[#This Row],[E. Cost]]-LocFeatures[[#This Row],[Energy gain]])</f>
        <v>#DIV/0!</v>
      </c>
      <c r="R56" s="43"/>
    </row>
    <row r="57" spans="9:18">
      <c r="I57" s="43"/>
      <c r="M57" s="43"/>
      <c r="O57" s="48"/>
      <c r="P57" s="48" t="e">
        <f>LocFeatures[[#This Row],[XP drop]]/(LocFeatures[[#This Row],[E. Cost]]-LocFeatures[[#This Row],[Energy gain]])</f>
        <v>#DIV/0!</v>
      </c>
      <c r="R57" s="43"/>
    </row>
    <row r="58" spans="9:18">
      <c r="I58" s="43"/>
      <c r="M58" s="43"/>
      <c r="O58" s="48"/>
      <c r="P58" s="48" t="e">
        <f>LocFeatures[[#This Row],[XP drop]]/(LocFeatures[[#This Row],[E. Cost]]-LocFeatures[[#This Row],[Energy gain]])</f>
        <v>#DIV/0!</v>
      </c>
      <c r="R58" s="43"/>
    </row>
    <row r="59" spans="9:18">
      <c r="I59" s="43"/>
      <c r="M59" s="43"/>
      <c r="O59" s="48"/>
      <c r="P59" s="48" t="e">
        <f>LocFeatures[[#This Row],[XP drop]]/(LocFeatures[[#This Row],[E. Cost]]-LocFeatures[[#This Row],[Energy gain]])</f>
        <v>#DIV/0!</v>
      </c>
      <c r="R59" s="43"/>
    </row>
    <row r="60" spans="9:18">
      <c r="I60" s="43"/>
      <c r="M60" s="43"/>
      <c r="O60" s="48"/>
      <c r="P60" s="48" t="e">
        <f>LocFeatures[[#This Row],[XP drop]]/(LocFeatures[[#This Row],[E. Cost]]-LocFeatures[[#This Row],[Energy gain]])</f>
        <v>#DIV/0!</v>
      </c>
      <c r="R60" s="43"/>
    </row>
    <row r="61" spans="9:18">
      <c r="I61" s="43"/>
      <c r="M61" s="43"/>
      <c r="O61" s="48"/>
      <c r="P61" s="48" t="e">
        <f>LocFeatures[[#This Row],[XP drop]]/(LocFeatures[[#This Row],[E. Cost]]-LocFeatures[[#This Row],[Energy gain]])</f>
        <v>#DIV/0!</v>
      </c>
      <c r="R61" s="43"/>
    </row>
    <row r="62" spans="9:18">
      <c r="I62" s="43"/>
      <c r="M62" s="43"/>
      <c r="O62" s="48"/>
      <c r="P62" s="48" t="e">
        <f>LocFeatures[[#This Row],[XP drop]]/(LocFeatures[[#This Row],[E. Cost]]-LocFeatures[[#This Row],[Energy gain]])</f>
        <v>#DIV/0!</v>
      </c>
      <c r="R62" s="43"/>
    </row>
    <row r="63" spans="9:18">
      <c r="I63" s="43"/>
      <c r="M63" s="43"/>
      <c r="O63" s="48"/>
      <c r="P63" s="48" t="e">
        <f>LocFeatures[[#This Row],[XP drop]]/(LocFeatures[[#This Row],[E. Cost]]-LocFeatures[[#This Row],[Energy gain]])</f>
        <v>#DIV/0!</v>
      </c>
      <c r="R63" s="43"/>
    </row>
    <row r="64" spans="9:18">
      <c r="I64" s="43"/>
      <c r="M64" s="43"/>
      <c r="O64" s="48"/>
      <c r="P64" s="48" t="e">
        <f>LocFeatures[[#This Row],[XP drop]]/(LocFeatures[[#This Row],[E. Cost]]-LocFeatures[[#This Row],[Energy gain]])</f>
        <v>#DIV/0!</v>
      </c>
      <c r="R64" s="43"/>
    </row>
    <row r="65" spans="9:18">
      <c r="I65" s="43"/>
      <c r="M65" s="43"/>
      <c r="O65" s="48"/>
      <c r="P65" s="48" t="e">
        <f>LocFeatures[[#This Row],[XP drop]]/(LocFeatures[[#This Row],[E. Cost]]-LocFeatures[[#This Row],[Energy gain]])</f>
        <v>#DIV/0!</v>
      </c>
      <c r="R65" s="43"/>
    </row>
    <row r="66" spans="9:18">
      <c r="I66" s="43"/>
      <c r="M66" s="43"/>
      <c r="O66" s="48"/>
      <c r="P66" s="48" t="e">
        <f>LocFeatures[[#This Row],[XP drop]]/(LocFeatures[[#This Row],[E. Cost]]-LocFeatures[[#This Row],[Energy gain]])</f>
        <v>#DIV/0!</v>
      </c>
      <c r="R66" s="43"/>
    </row>
    <row r="67" spans="9:18">
      <c r="I67" s="43"/>
      <c r="M67" s="43"/>
      <c r="O67" s="48"/>
      <c r="P67" s="48" t="e">
        <f>LocFeatures[[#This Row],[XP drop]]/(LocFeatures[[#This Row],[E. Cost]]-LocFeatures[[#This Row],[Energy gain]])</f>
        <v>#DIV/0!</v>
      </c>
      <c r="R67" s="43"/>
    </row>
    <row r="68" spans="9:18">
      <c r="I68" s="43"/>
      <c r="M68" s="43"/>
      <c r="O68" s="48"/>
      <c r="P68" s="48" t="e">
        <f>LocFeatures[[#This Row],[XP drop]]/(LocFeatures[[#This Row],[E. Cost]]-LocFeatures[[#This Row],[Energy gain]])</f>
        <v>#DIV/0!</v>
      </c>
      <c r="R68" s="43"/>
    </row>
    <row r="69" spans="9:18">
      <c r="I69" s="43"/>
      <c r="M69" s="43"/>
      <c r="O69" s="48"/>
      <c r="P69" s="48" t="e">
        <f>LocFeatures[[#This Row],[XP drop]]/(LocFeatures[[#This Row],[E. Cost]]-LocFeatures[[#This Row],[Energy gain]])</f>
        <v>#DIV/0!</v>
      </c>
      <c r="R69" s="43"/>
    </row>
    <row r="70" spans="9:18">
      <c r="I70" s="43"/>
      <c r="M70" s="43"/>
      <c r="O70" s="48"/>
      <c r="P70" s="48" t="e">
        <f>LocFeatures[[#This Row],[XP drop]]/(LocFeatures[[#This Row],[E. Cost]]-LocFeatures[[#This Row],[Energy gain]])</f>
        <v>#DIV/0!</v>
      </c>
      <c r="R70" s="43"/>
    </row>
    <row r="71" spans="9:18">
      <c r="I71" s="43"/>
      <c r="M71" s="43"/>
      <c r="O71" s="48"/>
      <c r="P71" s="48" t="e">
        <f>LocFeatures[[#This Row],[XP drop]]/(LocFeatures[[#This Row],[E. Cost]]-LocFeatures[[#This Row],[Energy gain]])</f>
        <v>#DIV/0!</v>
      </c>
      <c r="R71" s="43"/>
    </row>
    <row r="72" spans="9:18">
      <c r="I72" s="43"/>
      <c r="M72" s="43"/>
      <c r="O72" s="48"/>
      <c r="P72" s="48" t="e">
        <f>LocFeatures[[#This Row],[XP drop]]/(LocFeatures[[#This Row],[E. Cost]]-LocFeatures[[#This Row],[Energy gain]])</f>
        <v>#DIV/0!</v>
      </c>
      <c r="R72" s="43"/>
    </row>
    <row r="73" spans="9:18">
      <c r="I73" s="43"/>
      <c r="M73" s="43"/>
      <c r="O73" s="48"/>
      <c r="P73" s="48" t="e">
        <f>LocFeatures[[#This Row],[XP drop]]/(LocFeatures[[#This Row],[E. Cost]]-LocFeatures[[#This Row],[Energy gain]])</f>
        <v>#DIV/0!</v>
      </c>
      <c r="R73" s="43"/>
    </row>
    <row r="74" spans="9:18">
      <c r="I74" s="43"/>
      <c r="M74" s="43"/>
      <c r="O74" s="48"/>
      <c r="P74" s="48" t="e">
        <f>LocFeatures[[#This Row],[XP drop]]/(LocFeatures[[#This Row],[E. Cost]]-LocFeatures[[#This Row],[Energy gain]])</f>
        <v>#DIV/0!</v>
      </c>
      <c r="R74" s="43"/>
    </row>
    <row r="75" spans="9:18">
      <c r="I75" s="43"/>
      <c r="M75" s="43"/>
      <c r="O75" s="48"/>
      <c r="P75" s="48" t="e">
        <f>LocFeatures[[#This Row],[XP drop]]/(LocFeatures[[#This Row],[E. Cost]]-LocFeatures[[#This Row],[Energy gain]])</f>
        <v>#DIV/0!</v>
      </c>
      <c r="R75" s="43"/>
    </row>
    <row r="76" spans="9:18">
      <c r="I76" s="43"/>
      <c r="M76" s="43"/>
      <c r="O76" s="48"/>
      <c r="P76" s="48" t="e">
        <f>LocFeatures[[#This Row],[XP drop]]/(LocFeatures[[#This Row],[E. Cost]]-LocFeatures[[#This Row],[Energy gain]])</f>
        <v>#DIV/0!</v>
      </c>
      <c r="R76" s="43"/>
    </row>
    <row r="77" spans="9:18">
      <c r="I77" s="43"/>
      <c r="M77" s="43"/>
      <c r="O77" s="48"/>
      <c r="P77" s="48" t="e">
        <f>LocFeatures[[#This Row],[XP drop]]/(LocFeatures[[#This Row],[E. Cost]]-LocFeatures[[#This Row],[Energy gain]])</f>
        <v>#DIV/0!</v>
      </c>
      <c r="R77" s="43"/>
    </row>
    <row r="78" spans="9:18">
      <c r="I78" s="43"/>
      <c r="M78" s="43"/>
      <c r="O78" s="48"/>
      <c r="P78" s="48" t="e">
        <f>LocFeatures[[#This Row],[XP drop]]/(LocFeatures[[#This Row],[E. Cost]]-LocFeatures[[#This Row],[Energy gain]])</f>
        <v>#DIV/0!</v>
      </c>
      <c r="R78" s="43"/>
    </row>
    <row r="79" spans="9:18">
      <c r="I79" s="43"/>
      <c r="M79" s="43"/>
      <c r="O79" s="48"/>
      <c r="P79" s="48" t="e">
        <f>LocFeatures[[#This Row],[XP drop]]/(LocFeatures[[#This Row],[E. Cost]]-LocFeatures[[#This Row],[Energy gain]])</f>
        <v>#DIV/0!</v>
      </c>
      <c r="R79" s="43"/>
    </row>
    <row r="80" spans="9:18">
      <c r="I80" s="43"/>
      <c r="M80" s="43"/>
      <c r="O80" s="48"/>
      <c r="P80" s="48" t="e">
        <f>LocFeatures[[#This Row],[XP drop]]/(LocFeatures[[#This Row],[E. Cost]]-LocFeatures[[#This Row],[Energy gain]])</f>
        <v>#DIV/0!</v>
      </c>
      <c r="R80" s="43"/>
    </row>
    <row r="81" spans="9:18">
      <c r="I81" s="43"/>
      <c r="M81" s="43"/>
      <c r="O81" s="48"/>
      <c r="P81" s="48" t="e">
        <f>LocFeatures[[#This Row],[XP drop]]/(LocFeatures[[#This Row],[E. Cost]]-LocFeatures[[#This Row],[Energy gain]])</f>
        <v>#DIV/0!</v>
      </c>
      <c r="R81" s="43"/>
    </row>
    <row r="82" spans="9:18">
      <c r="I82" s="43"/>
      <c r="M82" s="43"/>
      <c r="O82" s="48"/>
      <c r="P82" s="48" t="e">
        <f>LocFeatures[[#This Row],[XP drop]]/(LocFeatures[[#This Row],[E. Cost]]-LocFeatures[[#This Row],[Energy gain]])</f>
        <v>#DIV/0!</v>
      </c>
      <c r="R82" s="43"/>
    </row>
    <row r="83" spans="9:18">
      <c r="I83" s="43"/>
      <c r="M83" s="43"/>
      <c r="O83" s="48"/>
      <c r="P83" s="48" t="e">
        <f>LocFeatures[[#This Row],[XP drop]]/(LocFeatures[[#This Row],[E. Cost]]-LocFeatures[[#This Row],[Energy gain]])</f>
        <v>#DIV/0!</v>
      </c>
      <c r="R83" s="43"/>
    </row>
    <row r="84" spans="9:18">
      <c r="I84" s="43"/>
      <c r="M84" s="43"/>
      <c r="O84" s="48"/>
      <c r="P84" s="48" t="e">
        <f>LocFeatures[[#This Row],[XP drop]]/(LocFeatures[[#This Row],[E. Cost]]-LocFeatures[[#This Row],[Energy gain]])</f>
        <v>#DIV/0!</v>
      </c>
      <c r="R84" s="43"/>
    </row>
    <row r="85" spans="9:18">
      <c r="I85" s="43"/>
      <c r="M85" s="43"/>
      <c r="O85" s="48"/>
      <c r="P85" s="48" t="e">
        <f>LocFeatures[[#This Row],[XP drop]]/(LocFeatures[[#This Row],[E. Cost]]-LocFeatures[[#This Row],[Energy gain]])</f>
        <v>#DIV/0!</v>
      </c>
      <c r="R85" s="43"/>
    </row>
    <row r="86" spans="9:18">
      <c r="I86" s="43"/>
      <c r="M86" s="43"/>
      <c r="O86" s="48"/>
      <c r="P86" s="48" t="e">
        <f>LocFeatures[[#This Row],[XP drop]]/(LocFeatures[[#This Row],[E. Cost]]-LocFeatures[[#This Row],[Energy gain]])</f>
        <v>#DIV/0!</v>
      </c>
      <c r="R86" s="43"/>
    </row>
    <row r="87" spans="9:18">
      <c r="I87" s="43"/>
      <c r="M87" s="43"/>
      <c r="O87" s="48"/>
      <c r="P87" s="48" t="e">
        <f>LocFeatures[[#This Row],[XP drop]]/(LocFeatures[[#This Row],[E. Cost]]-LocFeatures[[#This Row],[Energy gain]])</f>
        <v>#DIV/0!</v>
      </c>
      <c r="R87" s="43"/>
    </row>
    <row r="88" spans="9:18">
      <c r="I88" s="43"/>
      <c r="M88" s="43"/>
      <c r="O88" s="48"/>
      <c r="P88" s="48" t="e">
        <f>LocFeatures[[#This Row],[XP drop]]/(LocFeatures[[#This Row],[E. Cost]]-LocFeatures[[#This Row],[Energy gain]])</f>
        <v>#DIV/0!</v>
      </c>
      <c r="R88" s="43"/>
    </row>
    <row r="89" spans="9:18">
      <c r="I89" s="43"/>
      <c r="M89" s="43"/>
      <c r="O89" s="48"/>
      <c r="P89" s="48" t="e">
        <f>LocFeatures[[#This Row],[XP drop]]/(LocFeatures[[#This Row],[E. Cost]]-LocFeatures[[#This Row],[Energy gain]])</f>
        <v>#DIV/0!</v>
      </c>
      <c r="R89" s="43"/>
    </row>
    <row r="90" spans="9:18">
      <c r="I90" s="43"/>
      <c r="M90" s="43"/>
      <c r="O90" s="48"/>
      <c r="P90" s="48" t="e">
        <f>LocFeatures[[#This Row],[XP drop]]/(LocFeatures[[#This Row],[E. Cost]]-LocFeatures[[#This Row],[Energy gain]])</f>
        <v>#DIV/0!</v>
      </c>
      <c r="R90" s="43"/>
    </row>
    <row r="91" spans="9:18">
      <c r="I91" s="43"/>
      <c r="M91" s="43"/>
      <c r="O91" s="48"/>
      <c r="P91" s="48" t="e">
        <f>LocFeatures[[#This Row],[XP drop]]/(LocFeatures[[#This Row],[E. Cost]]-LocFeatures[[#This Row],[Energy gain]])</f>
        <v>#DIV/0!</v>
      </c>
      <c r="R91" s="43"/>
    </row>
    <row r="92" spans="9:18">
      <c r="I92" s="43"/>
      <c r="M92" s="43"/>
      <c r="O92" s="48"/>
      <c r="P92" s="48" t="e">
        <f>LocFeatures[[#This Row],[XP drop]]/(LocFeatures[[#This Row],[E. Cost]]-LocFeatures[[#This Row],[Energy gain]])</f>
        <v>#DIV/0!</v>
      </c>
      <c r="R92" s="43"/>
    </row>
    <row r="93" spans="9:18">
      <c r="I93" s="43"/>
      <c r="M93" s="43"/>
      <c r="O93" s="48"/>
      <c r="P93" s="48" t="e">
        <f>LocFeatures[[#This Row],[XP drop]]/(LocFeatures[[#This Row],[E. Cost]]-LocFeatures[[#This Row],[Energy gain]])</f>
        <v>#DIV/0!</v>
      </c>
      <c r="R93" s="43"/>
    </row>
    <row r="94" spans="9:18">
      <c r="I94" s="43"/>
      <c r="M94" s="43"/>
      <c r="O94" s="48"/>
      <c r="P94" s="48" t="e">
        <f>LocFeatures[[#This Row],[XP drop]]/(LocFeatures[[#This Row],[E. Cost]]-LocFeatures[[#This Row],[Energy gain]])</f>
        <v>#DIV/0!</v>
      </c>
      <c r="R94" s="4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8"/>
  <sheetViews>
    <sheetView zoomScaleNormal="100" workbookViewId="0">
      <selection activeCell="A11" sqref="A11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269</v>
      </c>
    </row>
    <row r="2" spans="1:23">
      <c r="R2" s="227" t="s">
        <v>273</v>
      </c>
      <c r="S2" s="227"/>
      <c r="T2" s="227"/>
      <c r="U2" s="227"/>
      <c r="V2" s="227"/>
      <c r="W2" s="227"/>
    </row>
    <row r="3" spans="1:23" ht="15" thickBot="1">
      <c r="B3" s="11" t="s">
        <v>68</v>
      </c>
      <c r="G3" s="11" t="s">
        <v>259</v>
      </c>
      <c r="H3" s="11" t="s">
        <v>142</v>
      </c>
      <c r="Q3" s="6" t="s">
        <v>33</v>
      </c>
      <c r="R3" s="115" t="s">
        <v>274</v>
      </c>
      <c r="S3" s="116" t="s">
        <v>275</v>
      </c>
      <c r="T3" s="116" t="s">
        <v>276</v>
      </c>
      <c r="U3" s="116" t="s">
        <v>277</v>
      </c>
      <c r="V3" s="116" t="s">
        <v>278</v>
      </c>
      <c r="W3" s="117" t="s">
        <v>279</v>
      </c>
    </row>
    <row r="4" spans="1:23">
      <c r="A4" s="11" t="s">
        <v>64</v>
      </c>
      <c r="B4" t="s">
        <v>67</v>
      </c>
      <c r="C4" t="s">
        <v>69</v>
      </c>
      <c r="D4" t="s">
        <v>70</v>
      </c>
      <c r="E4" t="s">
        <v>126</v>
      </c>
      <c r="G4" s="11" t="s">
        <v>64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66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60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271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270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292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66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260</v>
      </c>
      <c r="H15" s="11" t="s">
        <v>142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64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66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173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139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36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2293.9793814432992</v>
      </c>
      <c r="C20" s="1">
        <v>0</v>
      </c>
      <c r="D20" s="1">
        <v>0.68041237113402064</v>
      </c>
      <c r="E20" s="43">
        <v>96</v>
      </c>
      <c r="G20" s="12" t="s">
        <v>207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9</v>
      </c>
      <c r="B21" s="1">
        <v>2293.9793814432992</v>
      </c>
      <c r="C21" s="1">
        <v>0</v>
      </c>
      <c r="D21" s="1">
        <v>0.68041237113402064</v>
      </c>
      <c r="E21" s="43">
        <v>96</v>
      </c>
      <c r="G21" s="12" t="s">
        <v>262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4</v>
      </c>
      <c r="B22" s="1">
        <v>1267.7142857142858</v>
      </c>
      <c r="C22" s="1">
        <v>0</v>
      </c>
      <c r="D22" s="1">
        <v>0.7142857142857143</v>
      </c>
      <c r="E22" s="43">
        <v>7</v>
      </c>
      <c r="G22" s="12" t="s">
        <v>66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4">
        <v>5</v>
      </c>
      <c r="B23" s="1">
        <v>1404</v>
      </c>
      <c r="C23" s="1">
        <v>0</v>
      </c>
      <c r="D23" s="1">
        <v>0.66666666666666663</v>
      </c>
      <c r="E23" s="43">
        <v>3</v>
      </c>
    </row>
    <row r="24" spans="1:14">
      <c r="A24" s="14">
        <v>7</v>
      </c>
      <c r="B24" s="1">
        <v>2319.9516129032259</v>
      </c>
      <c r="C24" s="1">
        <v>0</v>
      </c>
      <c r="D24" s="1">
        <v>0.58064516129032262</v>
      </c>
      <c r="E24" s="43">
        <v>62</v>
      </c>
    </row>
    <row r="25" spans="1:14">
      <c r="A25" s="14">
        <v>9</v>
      </c>
      <c r="B25" s="1">
        <v>2623.72</v>
      </c>
      <c r="C25" s="1">
        <v>0</v>
      </c>
      <c r="D25" s="1">
        <v>0.92</v>
      </c>
      <c r="E25" s="43">
        <v>24</v>
      </c>
    </row>
    <row r="26" spans="1:14">
      <c r="A26" s="12" t="s">
        <v>59</v>
      </c>
      <c r="B26" s="1">
        <v>1192</v>
      </c>
      <c r="C26" s="1">
        <v>0</v>
      </c>
      <c r="D26" s="1">
        <v>1</v>
      </c>
      <c r="E26" s="43">
        <v>1</v>
      </c>
    </row>
    <row r="27" spans="1:14">
      <c r="A27" s="13" t="s">
        <v>32</v>
      </c>
      <c r="B27" s="1">
        <v>1192</v>
      </c>
      <c r="C27" s="1">
        <v>0</v>
      </c>
      <c r="D27" s="1">
        <v>1</v>
      </c>
      <c r="E27" s="43">
        <v>1</v>
      </c>
    </row>
    <row r="28" spans="1:14">
      <c r="A28" s="14">
        <v>2</v>
      </c>
      <c r="B28" s="1">
        <v>1192</v>
      </c>
      <c r="C28" s="1">
        <v>0</v>
      </c>
      <c r="D28" s="1">
        <v>1</v>
      </c>
      <c r="E28" s="43">
        <v>1</v>
      </c>
    </row>
    <row r="29" spans="1:14">
      <c r="A29" s="12" t="s">
        <v>8</v>
      </c>
      <c r="B29" s="1">
        <v>1458.825925925926</v>
      </c>
      <c r="C29" s="1">
        <v>912.60526315789468</v>
      </c>
      <c r="D29" s="1">
        <v>0.92962962962962958</v>
      </c>
      <c r="E29" s="43">
        <v>78</v>
      </c>
    </row>
    <row r="30" spans="1:14">
      <c r="A30" s="13" t="s">
        <v>30</v>
      </c>
      <c r="B30" s="1">
        <v>1422.1666666666667</v>
      </c>
      <c r="C30" s="1">
        <v>607.5094339622641</v>
      </c>
      <c r="D30" s="1">
        <v>0.87037037037037035</v>
      </c>
      <c r="E30" s="43">
        <v>21</v>
      </c>
    </row>
    <row r="31" spans="1:14">
      <c r="A31" s="14">
        <v>3</v>
      </c>
      <c r="B31" s="1">
        <v>1420.6981132075471</v>
      </c>
      <c r="C31" s="1">
        <v>597.03846153846155</v>
      </c>
      <c r="D31" s="1">
        <v>0.86792452830188682</v>
      </c>
      <c r="E31" s="43">
        <v>21</v>
      </c>
    </row>
    <row r="32" spans="1:14">
      <c r="A32" s="14">
        <v>6</v>
      </c>
      <c r="B32" s="1">
        <v>1500</v>
      </c>
      <c r="C32" s="1">
        <v>1152</v>
      </c>
      <c r="D32" s="1">
        <v>1</v>
      </c>
      <c r="E32" s="43"/>
    </row>
    <row r="33" spans="1:5">
      <c r="A33" s="13" t="s">
        <v>32</v>
      </c>
      <c r="B33" s="1">
        <v>1525.316091954023</v>
      </c>
      <c r="C33" s="1">
        <v>1159.0116959064328</v>
      </c>
      <c r="D33" s="1">
        <v>0.96551724137931039</v>
      </c>
      <c r="E33" s="43">
        <v>43</v>
      </c>
    </row>
    <row r="34" spans="1:5">
      <c r="A34" s="14">
        <v>3</v>
      </c>
      <c r="B34" s="1">
        <v>1519.1730769230769</v>
      </c>
      <c r="C34" s="1">
        <v>1149.437908496732</v>
      </c>
      <c r="D34" s="1">
        <v>0.98076923076923073</v>
      </c>
      <c r="E34" s="43">
        <v>40</v>
      </c>
    </row>
    <row r="35" spans="1:5">
      <c r="A35" s="14">
        <v>13</v>
      </c>
      <c r="B35" s="1">
        <v>1578.5555555555557</v>
      </c>
      <c r="C35" s="1">
        <v>1240.3888888888889</v>
      </c>
      <c r="D35" s="1">
        <v>0.83333333333333337</v>
      </c>
      <c r="E35" s="43">
        <v>3</v>
      </c>
    </row>
    <row r="36" spans="1:5">
      <c r="A36" s="13" t="s">
        <v>9</v>
      </c>
      <c r="B36" s="1">
        <v>1230.5</v>
      </c>
      <c r="C36" s="1">
        <v>294.38095238095241</v>
      </c>
      <c r="D36" s="1">
        <v>0.8571428571428571</v>
      </c>
      <c r="E36" s="43">
        <v>14</v>
      </c>
    </row>
    <row r="37" spans="1:5">
      <c r="A37" s="14">
        <v>1</v>
      </c>
      <c r="B37" s="1">
        <v>1315</v>
      </c>
      <c r="C37" s="1">
        <v>912</v>
      </c>
      <c r="D37" s="1">
        <v>2</v>
      </c>
      <c r="E37" s="43"/>
    </row>
    <row r="38" spans="1:5">
      <c r="A38" s="14">
        <v>3</v>
      </c>
      <c r="B38" s="1">
        <v>1228.439024390244</v>
      </c>
      <c r="C38" s="1">
        <v>279.3170731707317</v>
      </c>
      <c r="D38" s="1">
        <v>0.82926829268292679</v>
      </c>
      <c r="E38" s="43">
        <v>14</v>
      </c>
    </row>
    <row r="39" spans="1:5">
      <c r="A39" s="12" t="s">
        <v>172</v>
      </c>
      <c r="B39" s="1">
        <v>3625.4257425742576</v>
      </c>
      <c r="C39" s="1">
        <v>4470.3861386138615</v>
      </c>
      <c r="D39" s="1">
        <v>1.0066006600660067</v>
      </c>
      <c r="E39" s="43">
        <v>285</v>
      </c>
    </row>
    <row r="40" spans="1:5">
      <c r="A40" s="13" t="s">
        <v>9</v>
      </c>
      <c r="B40" s="1">
        <v>3625.4257425742576</v>
      </c>
      <c r="C40" s="1">
        <v>4470.3861386138615</v>
      </c>
      <c r="D40" s="1">
        <v>1.0066006600660067</v>
      </c>
      <c r="E40" s="43">
        <v>285</v>
      </c>
    </row>
    <row r="41" spans="1:5">
      <c r="A41" s="14">
        <v>3</v>
      </c>
      <c r="B41" s="1">
        <v>1603</v>
      </c>
      <c r="C41" s="1">
        <v>1752</v>
      </c>
      <c r="D41" s="1">
        <v>1</v>
      </c>
      <c r="E41" s="43"/>
    </row>
    <row r="42" spans="1:5">
      <c r="A42" s="14">
        <v>4</v>
      </c>
      <c r="B42" s="1">
        <v>1657</v>
      </c>
      <c r="C42" s="1">
        <v>3168</v>
      </c>
      <c r="D42" s="1">
        <v>2</v>
      </c>
      <c r="E42" s="43"/>
    </row>
    <row r="43" spans="1:5">
      <c r="A43" s="14">
        <v>5</v>
      </c>
      <c r="B43" s="1">
        <v>2308.8125</v>
      </c>
      <c r="C43" s="1">
        <v>3085.6875</v>
      </c>
      <c r="D43" s="1">
        <v>1.75</v>
      </c>
      <c r="E43" s="43">
        <v>6</v>
      </c>
    </row>
    <row r="44" spans="1:5">
      <c r="A44" s="14">
        <v>6</v>
      </c>
      <c r="B44" s="1">
        <v>2534.2727272727275</v>
      </c>
      <c r="C44" s="1">
        <v>2383.5454545454545</v>
      </c>
      <c r="D44" s="1">
        <v>0.90909090909090906</v>
      </c>
      <c r="E44" s="43">
        <v>6</v>
      </c>
    </row>
    <row r="45" spans="1:5">
      <c r="A45" s="14">
        <v>7</v>
      </c>
      <c r="B45" s="1">
        <v>3058.48</v>
      </c>
      <c r="C45" s="1">
        <v>2632.72</v>
      </c>
      <c r="D45" s="1">
        <v>1.1000000000000001</v>
      </c>
      <c r="E45" s="43">
        <v>49</v>
      </c>
    </row>
    <row r="46" spans="1:5">
      <c r="A46" s="14">
        <v>8</v>
      </c>
      <c r="B46" s="1">
        <v>3450.9459459459458</v>
      </c>
      <c r="C46" s="1">
        <v>3394.864864864865</v>
      </c>
      <c r="D46" s="1">
        <v>0.89189189189189189</v>
      </c>
      <c r="E46" s="43">
        <v>37</v>
      </c>
    </row>
    <row r="47" spans="1:5">
      <c r="A47" s="14">
        <v>10</v>
      </c>
      <c r="B47" s="1">
        <v>4009.7165775401068</v>
      </c>
      <c r="C47" s="1">
        <v>5437.2780748663099</v>
      </c>
      <c r="D47" s="1">
        <v>0.94117647058823528</v>
      </c>
      <c r="E47" s="43">
        <v>187</v>
      </c>
    </row>
    <row r="48" spans="1:5">
      <c r="A48" s="12" t="s">
        <v>66</v>
      </c>
      <c r="B48" s="1">
        <v>2196.140762463343</v>
      </c>
      <c r="C48" s="1">
        <v>1988.6220472440946</v>
      </c>
      <c r="D48" s="1">
        <v>0.91006842619745842</v>
      </c>
      <c r="E48" s="43">
        <v>563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142</v>
      </c>
    </row>
    <row r="6" spans="1:23">
      <c r="B6" s="15">
        <v>0</v>
      </c>
      <c r="J6" s="15" t="s">
        <v>815</v>
      </c>
      <c r="K6" s="15" t="s">
        <v>816</v>
      </c>
      <c r="L6" s="15">
        <v>0.2</v>
      </c>
      <c r="T6" s="15" t="s">
        <v>817</v>
      </c>
      <c r="U6" s="15" t="s">
        <v>818</v>
      </c>
      <c r="V6" s="15" t="s">
        <v>809</v>
      </c>
      <c r="W6" s="15" t="s">
        <v>810</v>
      </c>
    </row>
    <row r="7" spans="1:23">
      <c r="B7" s="15">
        <v>0.2</v>
      </c>
      <c r="H7" s="15" t="s">
        <v>817</v>
      </c>
      <c r="I7" s="15" t="s">
        <v>818</v>
      </c>
      <c r="L7" s="15">
        <v>0</v>
      </c>
      <c r="R7" s="15" t="s">
        <v>815</v>
      </c>
      <c r="S7" s="15" t="s">
        <v>816</v>
      </c>
    </row>
    <row r="8" spans="1:23">
      <c r="B8" s="50">
        <v>2</v>
      </c>
      <c r="F8" s="50" t="s">
        <v>811</v>
      </c>
      <c r="G8" s="50" t="s">
        <v>812</v>
      </c>
      <c r="L8" s="50">
        <v>2</v>
      </c>
      <c r="P8" s="50" t="s">
        <v>811</v>
      </c>
      <c r="Q8" s="50" t="s">
        <v>812</v>
      </c>
    </row>
    <row r="9" spans="1:23">
      <c r="B9" s="50">
        <v>1</v>
      </c>
      <c r="D9" s="50" t="s">
        <v>813</v>
      </c>
      <c r="E9" s="50" t="s">
        <v>814</v>
      </c>
      <c r="L9" s="50">
        <v>1</v>
      </c>
      <c r="N9" s="50" t="s">
        <v>813</v>
      </c>
      <c r="O9" s="50" t="s">
        <v>814</v>
      </c>
    </row>
    <row r="10" spans="1:23">
      <c r="B10" s="50">
        <v>0</v>
      </c>
      <c r="L10" s="50">
        <v>0</v>
      </c>
    </row>
    <row r="11" spans="1:23">
      <c r="A11" s="11" t="s">
        <v>64</v>
      </c>
      <c r="B11" t="s">
        <v>807</v>
      </c>
      <c r="C11" t="s">
        <v>808</v>
      </c>
      <c r="L11" t="s">
        <v>807</v>
      </c>
      <c r="M11" t="s">
        <v>808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66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H54" sqref="H54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7.375" customWidth="1"/>
    <col min="8" max="8" width="6.875" customWidth="1"/>
    <col min="9" max="9" width="7.5" customWidth="1"/>
    <col min="10" max="10" width="12.8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112</v>
      </c>
      <c r="B1" s="134" t="s">
        <v>111</v>
      </c>
      <c r="C1" s="135" t="s">
        <v>300</v>
      </c>
      <c r="D1" s="135" t="s">
        <v>301</v>
      </c>
      <c r="E1" s="135" t="s">
        <v>302</v>
      </c>
      <c r="F1" s="134" t="s">
        <v>110</v>
      </c>
      <c r="G1" s="134" t="s">
        <v>109</v>
      </c>
      <c r="H1" s="134" t="s">
        <v>108</v>
      </c>
      <c r="I1" s="134" t="s">
        <v>107</v>
      </c>
      <c r="J1" s="134" t="s">
        <v>106</v>
      </c>
      <c r="K1" s="134" t="s">
        <v>105</v>
      </c>
      <c r="L1" s="134" t="s">
        <v>104</v>
      </c>
      <c r="M1" s="136" t="s">
        <v>103</v>
      </c>
      <c r="N1" s="134" t="s">
        <v>102</v>
      </c>
      <c r="O1" s="134" t="s">
        <v>101</v>
      </c>
      <c r="P1" s="134" t="s">
        <v>100</v>
      </c>
      <c r="Q1" s="134" t="s">
        <v>99</v>
      </c>
      <c r="R1" s="135" t="s">
        <v>303</v>
      </c>
      <c r="S1" s="134" t="s">
        <v>98</v>
      </c>
      <c r="T1" s="137" t="s">
        <v>97</v>
      </c>
      <c r="U1" s="136" t="s">
        <v>96</v>
      </c>
      <c r="V1" s="35"/>
      <c r="W1" s="35"/>
      <c r="X1" s="130" t="s">
        <v>297</v>
      </c>
      <c r="Y1" s="130" t="s">
        <v>294</v>
      </c>
      <c r="Z1" s="130" t="s">
        <v>295</v>
      </c>
      <c r="AA1" s="130" t="s">
        <v>296</v>
      </c>
      <c r="AB1" s="140" t="s">
        <v>342</v>
      </c>
      <c r="AC1" s="35"/>
      <c r="AD1" s="35"/>
      <c r="AE1" s="35"/>
      <c r="AP1" s="130"/>
      <c r="AQ1" s="130"/>
    </row>
    <row r="2" spans="1:47" ht="15" thickBot="1">
      <c r="A2" s="131" t="s">
        <v>95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86</v>
      </c>
      <c r="Y2" s="18">
        <v>0.37</v>
      </c>
      <c r="Z2" s="18"/>
      <c r="AA2" s="18"/>
      <c r="AB2" s="18"/>
      <c r="AC2" s="18"/>
      <c r="AD2" s="18"/>
      <c r="AF2" s="15"/>
      <c r="AG2" s="15" t="s">
        <v>804</v>
      </c>
      <c r="AH2" s="15" t="s">
        <v>806</v>
      </c>
      <c r="AI2" t="s">
        <v>805</v>
      </c>
      <c r="AJ2" s="15" t="s">
        <v>801</v>
      </c>
      <c r="AK2" s="15" t="s">
        <v>802</v>
      </c>
      <c r="AL2" s="15" t="s">
        <v>803</v>
      </c>
      <c r="AM2" s="15" t="s">
        <v>33</v>
      </c>
      <c r="AN2" s="15" t="s">
        <v>795</v>
      </c>
      <c r="AO2" t="s">
        <v>796</v>
      </c>
      <c r="AP2" t="s">
        <v>797</v>
      </c>
      <c r="AQ2" s="15" t="s">
        <v>798</v>
      </c>
      <c r="AR2" s="15" t="s">
        <v>799</v>
      </c>
      <c r="AS2" s="15" t="s">
        <v>800</v>
      </c>
      <c r="AT2" s="15" t="s">
        <v>819</v>
      </c>
      <c r="AU2" s="15" t="s">
        <v>820</v>
      </c>
    </row>
    <row r="3" spans="1:47" ht="15" thickBot="1">
      <c r="A3" s="131" t="s">
        <v>94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84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94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85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94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342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94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86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85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93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88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114</v>
      </c>
      <c r="Y9" s="34" t="s">
        <v>92</v>
      </c>
      <c r="Z9" s="33" t="s">
        <v>91</v>
      </c>
      <c r="AA9" s="32" t="s">
        <v>90</v>
      </c>
      <c r="AB9" s="31" t="s">
        <v>89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87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115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113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115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88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115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87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113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88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87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113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113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87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28" t="s">
        <v>315</v>
      </c>
      <c r="X19" s="228"/>
      <c r="Y19" s="228"/>
      <c r="Z19" s="228"/>
      <c r="AA19" s="228"/>
      <c r="AB19" s="228"/>
      <c r="AC19" s="228"/>
      <c r="AD19" s="228"/>
      <c r="AE19" s="228"/>
      <c r="AF19" s="228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87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83</v>
      </c>
      <c r="X20" s="18" t="s">
        <v>82</v>
      </c>
      <c r="Y20" s="18" t="s">
        <v>81</v>
      </c>
      <c r="Z20" s="18" t="s">
        <v>308</v>
      </c>
      <c r="AA20" s="18" t="s">
        <v>309</v>
      </c>
      <c r="AB20" s="18" t="s">
        <v>310</v>
      </c>
      <c r="AC20" s="18" t="s">
        <v>311</v>
      </c>
      <c r="AD20" s="18" t="s">
        <v>312</v>
      </c>
      <c r="AE20" s="18" t="s">
        <v>313</v>
      </c>
      <c r="AF20" t="s">
        <v>314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87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305</v>
      </c>
      <c r="X21" s="18">
        <v>0</v>
      </c>
      <c r="Y21" s="18">
        <v>0</v>
      </c>
      <c r="Z21" s="18" t="s">
        <v>86</v>
      </c>
      <c r="AA21" s="18" t="s">
        <v>84</v>
      </c>
      <c r="AB21" s="18" t="s">
        <v>304</v>
      </c>
      <c r="AC21">
        <v>2</v>
      </c>
      <c r="AD21" s="18" t="s">
        <v>82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87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305</v>
      </c>
      <c r="X22" s="18">
        <v>0</v>
      </c>
      <c r="Y22" s="18">
        <v>0</v>
      </c>
      <c r="Z22" s="18" t="s">
        <v>85</v>
      </c>
      <c r="AA22" s="18" t="s">
        <v>84</v>
      </c>
      <c r="AB22" s="18" t="s">
        <v>304</v>
      </c>
      <c r="AC22">
        <v>2</v>
      </c>
      <c r="AD22" s="18" t="s">
        <v>82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113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306</v>
      </c>
      <c r="X23" s="18">
        <v>0</v>
      </c>
      <c r="Y23" s="18">
        <v>0</v>
      </c>
      <c r="Z23" s="18" t="s">
        <v>86</v>
      </c>
      <c r="AA23" s="18" t="s">
        <v>84</v>
      </c>
      <c r="AB23" s="18" t="s">
        <v>304</v>
      </c>
      <c r="AC23">
        <v>2</v>
      </c>
      <c r="AD23" s="18" t="s">
        <v>82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113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307</v>
      </c>
      <c r="X24" s="18">
        <v>0</v>
      </c>
      <c r="Y24" s="18">
        <v>0</v>
      </c>
      <c r="Z24" s="18" t="s">
        <v>86</v>
      </c>
      <c r="AA24" s="18" t="s">
        <v>84</v>
      </c>
      <c r="AB24" s="18" t="s">
        <v>304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113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307</v>
      </c>
      <c r="X25" s="18">
        <v>0</v>
      </c>
      <c r="Y25" s="18">
        <v>0</v>
      </c>
      <c r="Z25" s="18" t="s">
        <v>85</v>
      </c>
      <c r="AA25" s="18" t="s">
        <v>84</v>
      </c>
      <c r="AB25" s="18" t="s">
        <v>304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88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307</v>
      </c>
      <c r="X26" s="18">
        <v>0</v>
      </c>
      <c r="Y26" s="18">
        <v>0</v>
      </c>
      <c r="Z26" s="18" t="s">
        <v>86</v>
      </c>
      <c r="AA26" s="18" t="s">
        <v>84</v>
      </c>
      <c r="AB26" s="18" t="s">
        <v>304</v>
      </c>
      <c r="AC26">
        <v>2</v>
      </c>
      <c r="AD26" s="18" t="s">
        <v>82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88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305</v>
      </c>
      <c r="X27" s="18">
        <v>0.2</v>
      </c>
      <c r="Y27" s="18">
        <v>0</v>
      </c>
      <c r="Z27" s="18" t="s">
        <v>86</v>
      </c>
      <c r="AA27" s="18" t="s">
        <v>84</v>
      </c>
      <c r="AB27" s="18" t="s">
        <v>304</v>
      </c>
      <c r="AC27">
        <v>2</v>
      </c>
      <c r="AD27" s="18" t="s">
        <v>83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88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306</v>
      </c>
      <c r="X28" s="18">
        <v>0.2</v>
      </c>
      <c r="Y28" s="18">
        <v>0</v>
      </c>
      <c r="Z28" s="18" t="s">
        <v>86</v>
      </c>
      <c r="AA28" s="18" t="s">
        <v>84</v>
      </c>
      <c r="AB28" s="18" t="s">
        <v>304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306</v>
      </c>
      <c r="X29" s="18">
        <v>0.2</v>
      </c>
      <c r="Y29" s="18">
        <v>0</v>
      </c>
      <c r="Z29" s="18" t="s">
        <v>86</v>
      </c>
      <c r="AA29" s="18" t="s">
        <v>84</v>
      </c>
      <c r="AB29" s="18" t="s">
        <v>304</v>
      </c>
      <c r="AC29">
        <v>2</v>
      </c>
      <c r="AD29" s="18" t="s">
        <v>83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306</v>
      </c>
      <c r="X30" s="18">
        <v>0.2</v>
      </c>
      <c r="Y30" s="18">
        <v>0</v>
      </c>
      <c r="Z30" s="18" t="s">
        <v>85</v>
      </c>
      <c r="AA30" s="18" t="s">
        <v>84</v>
      </c>
      <c r="AB30" s="18" t="s">
        <v>304</v>
      </c>
      <c r="AC30">
        <v>2</v>
      </c>
      <c r="AD30" s="18" t="s">
        <v>83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307</v>
      </c>
      <c r="X31" s="18">
        <v>0.2</v>
      </c>
      <c r="Y31" s="18">
        <v>0</v>
      </c>
      <c r="Z31" s="18" t="s">
        <v>86</v>
      </c>
      <c r="AA31" s="18" t="s">
        <v>84</v>
      </c>
      <c r="AB31" s="18" t="s">
        <v>304</v>
      </c>
      <c r="AC31">
        <v>2</v>
      </c>
      <c r="AD31" s="18" t="s">
        <v>82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305</v>
      </c>
      <c r="X32" s="132">
        <v>0.2</v>
      </c>
      <c r="Y32" s="132">
        <v>0.2</v>
      </c>
      <c r="Z32" s="18" t="s">
        <v>86</v>
      </c>
      <c r="AA32" s="18" t="s">
        <v>84</v>
      </c>
      <c r="AB32" s="18" t="s">
        <v>304</v>
      </c>
      <c r="AC32">
        <v>2</v>
      </c>
      <c r="AD32" s="18" t="s">
        <v>83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305</v>
      </c>
      <c r="X33" s="132">
        <v>0.2</v>
      </c>
      <c r="Y33" s="132">
        <v>0.2</v>
      </c>
      <c r="Z33" s="18" t="s">
        <v>85</v>
      </c>
      <c r="AA33" s="18" t="s">
        <v>84</v>
      </c>
      <c r="AB33" s="18" t="s">
        <v>304</v>
      </c>
      <c r="AC33">
        <v>3</v>
      </c>
      <c r="AD33" s="18" t="s">
        <v>83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316</v>
      </c>
      <c r="X34" s="132">
        <v>0.2</v>
      </c>
      <c r="Y34" s="132">
        <v>0.2</v>
      </c>
      <c r="Z34" s="18" t="s">
        <v>85</v>
      </c>
      <c r="AA34" s="18" t="s">
        <v>84</v>
      </c>
      <c r="AB34" s="18" t="s">
        <v>304</v>
      </c>
      <c r="AC34">
        <v>3</v>
      </c>
      <c r="AD34" s="18" t="s">
        <v>83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316</v>
      </c>
      <c r="X35" s="132">
        <v>0.2</v>
      </c>
      <c r="Y35" s="132">
        <v>0.2</v>
      </c>
      <c r="Z35" s="18" t="s">
        <v>86</v>
      </c>
      <c r="AA35" s="18" t="s">
        <v>84</v>
      </c>
      <c r="AB35" s="18" t="s">
        <v>304</v>
      </c>
      <c r="AC35">
        <v>2</v>
      </c>
      <c r="AD35" s="18" t="s">
        <v>82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317</v>
      </c>
      <c r="X36" s="132">
        <v>0.2</v>
      </c>
      <c r="Y36" s="132">
        <v>0.2</v>
      </c>
      <c r="Z36" s="18" t="s">
        <v>86</v>
      </c>
      <c r="AA36" s="18" t="s">
        <v>84</v>
      </c>
      <c r="AB36" s="18" t="s">
        <v>304</v>
      </c>
      <c r="AC36">
        <v>2</v>
      </c>
      <c r="AD36" s="18" t="s">
        <v>82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366</v>
      </c>
      <c r="C39" s="21" t="s">
        <v>374</v>
      </c>
      <c r="D39" s="21"/>
      <c r="E39" s="21"/>
      <c r="F39" s="20"/>
      <c r="G39" s="159"/>
      <c r="H39" s="20">
        <v>0.1</v>
      </c>
      <c r="I39" s="20">
        <v>0.06</v>
      </c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368</v>
      </c>
      <c r="C40" s="21" t="s">
        <v>373</v>
      </c>
      <c r="D40" s="21"/>
      <c r="E40" s="21"/>
      <c r="F40" s="20"/>
      <c r="G40" s="159"/>
      <c r="H40" s="20">
        <v>0.37</v>
      </c>
      <c r="I40" s="20">
        <v>7.0000000000000007E-2</v>
      </c>
      <c r="J40" s="20"/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369</v>
      </c>
      <c r="C41" s="21" t="s">
        <v>374</v>
      </c>
      <c r="D41" s="21"/>
      <c r="E41" s="21"/>
      <c r="F41" s="20"/>
      <c r="G41" s="159"/>
      <c r="H41" s="20"/>
      <c r="I41" s="20"/>
      <c r="J41" s="20">
        <v>0.15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370</v>
      </c>
      <c r="C42" s="21" t="s">
        <v>373</v>
      </c>
      <c r="D42" s="21"/>
      <c r="E42" s="21"/>
      <c r="F42" s="20"/>
      <c r="G42" s="159"/>
      <c r="H42" s="20">
        <v>0.37</v>
      </c>
      <c r="I42" s="20">
        <v>0.03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371</v>
      </c>
      <c r="C43" s="21" t="s">
        <v>373</v>
      </c>
      <c r="D43" s="21"/>
      <c r="E43" s="21"/>
      <c r="F43" s="20"/>
      <c r="G43" s="159"/>
      <c r="H43" s="20">
        <v>0.09</v>
      </c>
      <c r="I43" s="20"/>
      <c r="J43" s="20">
        <v>0.04</v>
      </c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372</v>
      </c>
      <c r="C44" s="21" t="s">
        <v>373</v>
      </c>
      <c r="D44" s="21"/>
      <c r="E44" s="21"/>
      <c r="F44" s="20"/>
      <c r="G44" s="159"/>
      <c r="H44" s="20">
        <v>0.37</v>
      </c>
      <c r="I44" s="20">
        <v>0.09</v>
      </c>
      <c r="J44" s="159">
        <v>0.04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367</v>
      </c>
      <c r="C45" s="21"/>
      <c r="D45" s="21"/>
      <c r="E45" s="21"/>
      <c r="F45" s="20"/>
      <c r="G45" s="20"/>
      <c r="H45" s="20">
        <v>0.25</v>
      </c>
      <c r="I45" s="20"/>
      <c r="J45" s="20">
        <v>0.27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2.5499999999999998</v>
      </c>
      <c r="G46" s="20">
        <f>$G$2+I46+L46*$Z$4+D46*0.4</f>
        <v>1.75</v>
      </c>
      <c r="H46" s="20">
        <f>SUM(H39:H45)</f>
        <v>1.5499999999999998</v>
      </c>
      <c r="I46" s="20">
        <f>SUM(I39:I45)</f>
        <v>0.25</v>
      </c>
      <c r="J46" s="20">
        <f>SUM(J39:J45)+0.15</f>
        <v>0.65</v>
      </c>
      <c r="K46" s="22"/>
      <c r="L46" s="22"/>
      <c r="M46" s="10"/>
      <c r="N46" s="37">
        <f t="shared" ref="N46:O46" si="50">N$2*$F46</f>
        <v>1876.8</v>
      </c>
      <c r="O46" s="37">
        <f t="shared" si="50"/>
        <v>5355</v>
      </c>
      <c r="P46" s="37">
        <f t="shared" ref="P46" si="51">O46*G46</f>
        <v>9371.25</v>
      </c>
      <c r="Q46" s="20">
        <v>0.15</v>
      </c>
      <c r="R46" s="20">
        <f t="shared" ref="R46" si="52">MINA(Q46+M46*$AA$3+0.12*E46+J46, 1)</f>
        <v>0.8</v>
      </c>
      <c r="S46" s="37">
        <f t="shared" ref="S46" si="53">R46*P46+(1-R46)*O46</f>
        <v>8568</v>
      </c>
      <c r="T46" s="138">
        <v>7547.956500000003</v>
      </c>
      <c r="U46" s="139">
        <f t="shared" ref="U46" si="54">S46/T46-1</f>
        <v>0.13514167708836111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366</v>
      </c>
      <c r="C48" s="21"/>
      <c r="D48" s="21"/>
      <c r="E48" s="21"/>
      <c r="F48" s="20"/>
      <c r="G48" s="159"/>
      <c r="H48" s="20">
        <v>0.1</v>
      </c>
      <c r="I48" s="20">
        <v>0.06</v>
      </c>
      <c r="J48" s="20"/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368</v>
      </c>
      <c r="C49" s="21" t="s">
        <v>373</v>
      </c>
      <c r="D49" s="21"/>
      <c r="E49" s="21"/>
      <c r="F49" s="20"/>
      <c r="G49" s="159"/>
      <c r="H49" s="20">
        <v>0.37</v>
      </c>
      <c r="I49" s="20">
        <v>7.0000000000000007E-2</v>
      </c>
      <c r="J49" s="20"/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369</v>
      </c>
      <c r="C50" s="21"/>
      <c r="D50" s="21"/>
      <c r="E50" s="21"/>
      <c r="F50" s="20"/>
      <c r="G50" s="159"/>
      <c r="H50" s="20"/>
      <c r="I50" s="20"/>
      <c r="J50" s="20">
        <v>0.15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370</v>
      </c>
      <c r="C51" s="21"/>
      <c r="D51" s="21"/>
      <c r="E51" s="21"/>
      <c r="F51" s="20"/>
      <c r="G51" s="159"/>
      <c r="H51" s="20">
        <v>0.37</v>
      </c>
      <c r="I51" s="20">
        <v>0.03</v>
      </c>
      <c r="J51" s="20"/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371</v>
      </c>
      <c r="C52" s="21"/>
      <c r="D52" s="21"/>
      <c r="E52" s="21"/>
      <c r="F52" s="20"/>
      <c r="G52" s="159"/>
      <c r="H52" s="20">
        <v>0.16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372</v>
      </c>
      <c r="C53" s="21" t="s">
        <v>373</v>
      </c>
      <c r="D53" s="21"/>
      <c r="E53" s="21"/>
      <c r="F53" s="20"/>
      <c r="G53" s="159"/>
      <c r="H53" s="20">
        <v>0.37</v>
      </c>
      <c r="I53" s="20">
        <v>0.09</v>
      </c>
      <c r="J53" s="159">
        <v>0.04</v>
      </c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367</v>
      </c>
      <c r="C54" s="21"/>
      <c r="D54" s="21"/>
      <c r="E54" s="21"/>
      <c r="F54" s="20"/>
      <c r="G54" s="20"/>
      <c r="H54" s="20">
        <v>0.25</v>
      </c>
      <c r="I54" s="20"/>
      <c r="J54" s="20">
        <v>0.27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2.62</v>
      </c>
      <c r="G55" s="20">
        <f t="shared" ref="G55" si="56">$G$2+I55+L55*$Z$4+D55*0.4</f>
        <v>1.75</v>
      </c>
      <c r="H55" s="20">
        <f>SUM(H48:H54)</f>
        <v>1.62</v>
      </c>
      <c r="I55" s="20">
        <f>SUM(I48:I54)</f>
        <v>0.25</v>
      </c>
      <c r="J55" s="20">
        <f>SUM(J48:J54)+0.15</f>
        <v>0.61</v>
      </c>
      <c r="K55" s="22"/>
      <c r="L55" s="22"/>
      <c r="M55" s="10"/>
      <c r="N55" s="37">
        <f t="shared" ref="N55:O55" si="57">N$2*$F55</f>
        <v>1928.3200000000002</v>
      </c>
      <c r="O55" s="37">
        <f t="shared" si="57"/>
        <v>5502</v>
      </c>
      <c r="P55" s="37">
        <f t="shared" ref="P55" si="58">O55*G55</f>
        <v>9628.5</v>
      </c>
      <c r="Q55" s="20">
        <v>0.15</v>
      </c>
      <c r="R55" s="20">
        <f t="shared" ref="R55" si="59">MINA(Q55+M55*$AA$3+0.12*E55+J55, 1)</f>
        <v>0.76</v>
      </c>
      <c r="S55" s="37">
        <f t="shared" ref="S55" si="60">R55*P55+(1-R55)*O55</f>
        <v>8638.14</v>
      </c>
      <c r="T55" s="138">
        <v>7547.956500000003</v>
      </c>
      <c r="U55" s="139">
        <f t="shared" ref="U55" si="61">S55/T55-1</f>
        <v>0.14443425846452551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F20" sqref="F20"/>
    </sheetView>
  </sheetViews>
  <sheetFormatPr defaultRowHeight="14.25"/>
  <cols>
    <col min="6" max="6" width="9.625" customWidth="1"/>
  </cols>
  <sheetData>
    <row r="1" spans="1:12">
      <c r="A1" t="s">
        <v>202</v>
      </c>
      <c r="B1" t="s">
        <v>193</v>
      </c>
      <c r="C1" t="s">
        <v>340</v>
      </c>
      <c r="D1" t="s">
        <v>336</v>
      </c>
      <c r="E1" t="s">
        <v>337</v>
      </c>
      <c r="F1" t="s">
        <v>338</v>
      </c>
      <c r="G1" t="s">
        <v>339</v>
      </c>
      <c r="H1" t="s">
        <v>341</v>
      </c>
      <c r="I1" t="s">
        <v>159</v>
      </c>
      <c r="J1" t="s">
        <v>196</v>
      </c>
      <c r="K1" t="s">
        <v>304</v>
      </c>
      <c r="L1" t="s">
        <v>331</v>
      </c>
    </row>
    <row r="2" spans="1:12">
      <c r="A2" t="s">
        <v>26</v>
      </c>
      <c r="B2" t="s">
        <v>298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299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298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299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298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299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298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299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332</v>
      </c>
      <c r="B1" t="s">
        <v>362</v>
      </c>
      <c r="C1" t="s">
        <v>193</v>
      </c>
      <c r="D1" t="s">
        <v>194</v>
      </c>
      <c r="E1" t="s">
        <v>334</v>
      </c>
      <c r="F1" t="s">
        <v>202</v>
      </c>
      <c r="G1" t="s">
        <v>195</v>
      </c>
      <c r="H1" t="s">
        <v>196</v>
      </c>
      <c r="I1" t="s">
        <v>197</v>
      </c>
      <c r="J1" t="s">
        <v>159</v>
      </c>
      <c r="K1" t="s">
        <v>198</v>
      </c>
      <c r="L1" t="s">
        <v>199</v>
      </c>
      <c r="M1" t="s">
        <v>200</v>
      </c>
      <c r="N1" t="s">
        <v>304</v>
      </c>
      <c r="O1" t="s">
        <v>201</v>
      </c>
      <c r="P1" t="s">
        <v>331</v>
      </c>
      <c r="Q1" t="s">
        <v>203</v>
      </c>
      <c r="R1" t="s">
        <v>360</v>
      </c>
      <c r="S1" t="s">
        <v>361</v>
      </c>
    </row>
    <row r="2" spans="1:19" hidden="1">
      <c r="A2" t="s">
        <v>335</v>
      </c>
      <c r="B2" t="s">
        <v>335</v>
      </c>
      <c r="C2" t="s">
        <v>333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335</v>
      </c>
      <c r="B3" t="s">
        <v>335</v>
      </c>
      <c r="C3" t="s">
        <v>184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335</v>
      </c>
      <c r="B4" t="s">
        <v>335</v>
      </c>
      <c r="C4" t="s">
        <v>184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335</v>
      </c>
      <c r="B5" t="s">
        <v>335</v>
      </c>
      <c r="C5" t="s">
        <v>184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335</v>
      </c>
      <c r="B6" t="s">
        <v>335</v>
      </c>
      <c r="C6" t="s">
        <v>333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335</v>
      </c>
      <c r="B7" t="s">
        <v>335</v>
      </c>
      <c r="C7" t="s">
        <v>184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343</v>
      </c>
      <c r="B8" t="s">
        <v>343</v>
      </c>
      <c r="C8" t="s">
        <v>153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343</v>
      </c>
      <c r="B9" t="s">
        <v>343</v>
      </c>
      <c r="C9" t="s">
        <v>190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343</v>
      </c>
      <c r="B10" t="s">
        <v>343</v>
      </c>
      <c r="C10" t="s">
        <v>153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343</v>
      </c>
      <c r="B11" t="s">
        <v>343</v>
      </c>
      <c r="C11" t="s">
        <v>153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343</v>
      </c>
      <c r="B12" s="142" t="s">
        <v>343</v>
      </c>
      <c r="C12" s="142" t="s">
        <v>190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343</v>
      </c>
      <c r="B13" t="s">
        <v>343</v>
      </c>
      <c r="C13" t="s">
        <v>153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344</v>
      </c>
      <c r="B14" t="s">
        <v>344</v>
      </c>
      <c r="C14" t="s">
        <v>86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344</v>
      </c>
      <c r="B15" t="s">
        <v>344</v>
      </c>
      <c r="C15" t="s">
        <v>86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344</v>
      </c>
      <c r="B16" t="s">
        <v>344</v>
      </c>
      <c r="C16" t="s">
        <v>86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344</v>
      </c>
      <c r="B17" t="s">
        <v>344</v>
      </c>
      <c r="C17" t="s">
        <v>86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344</v>
      </c>
      <c r="B18" t="s">
        <v>344</v>
      </c>
      <c r="C18" t="s">
        <v>84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344</v>
      </c>
      <c r="B19" t="s">
        <v>344</v>
      </c>
      <c r="C19" t="s">
        <v>84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150</v>
      </c>
      <c r="B20" t="s">
        <v>150</v>
      </c>
      <c r="C20" t="s">
        <v>151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150</v>
      </c>
      <c r="B21" t="s">
        <v>150</v>
      </c>
      <c r="C21" t="s">
        <v>190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150</v>
      </c>
      <c r="B22" t="s">
        <v>150</v>
      </c>
      <c r="C22" t="s">
        <v>151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150</v>
      </c>
      <c r="B23" t="s">
        <v>150</v>
      </c>
      <c r="C23" t="s">
        <v>190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150</v>
      </c>
      <c r="B24" t="s">
        <v>150</v>
      </c>
      <c r="C24" t="s">
        <v>151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150</v>
      </c>
      <c r="B25" t="s">
        <v>150</v>
      </c>
      <c r="C25" t="s">
        <v>151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186</v>
      </c>
      <c r="C26" t="s">
        <v>84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363</v>
      </c>
    </row>
    <row r="27" spans="1:19" hidden="1">
      <c r="A27" t="s">
        <v>186</v>
      </c>
      <c r="B27" t="s">
        <v>186</v>
      </c>
      <c r="C27" t="s">
        <v>147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186</v>
      </c>
    </row>
    <row r="28" spans="1:19" hidden="1">
      <c r="A28" t="s">
        <v>186</v>
      </c>
      <c r="B28" t="s">
        <v>186</v>
      </c>
      <c r="C28" t="s">
        <v>151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186</v>
      </c>
    </row>
    <row r="29" spans="1:19" hidden="1">
      <c r="A29" t="s">
        <v>186</v>
      </c>
      <c r="B29" t="s">
        <v>186</v>
      </c>
      <c r="C29" t="s">
        <v>190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186</v>
      </c>
    </row>
    <row r="30" spans="1:19" hidden="1">
      <c r="A30" t="s">
        <v>186</v>
      </c>
      <c r="B30" t="s">
        <v>186</v>
      </c>
      <c r="C30" t="s">
        <v>84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186</v>
      </c>
    </row>
    <row r="31" spans="1:19" hidden="1">
      <c r="A31" s="142" t="s">
        <v>186</v>
      </c>
      <c r="B31" s="142"/>
      <c r="C31" s="142" t="s">
        <v>147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186</v>
      </c>
    </row>
    <row r="32" spans="1:19" hidden="1">
      <c r="A32" t="s">
        <v>144</v>
      </c>
      <c r="B32" t="s">
        <v>144</v>
      </c>
      <c r="C32" t="s">
        <v>148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144</v>
      </c>
      <c r="B33" t="s">
        <v>144</v>
      </c>
      <c r="C33" t="s">
        <v>190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144</v>
      </c>
      <c r="B34" t="s">
        <v>144</v>
      </c>
      <c r="C34" t="s">
        <v>190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144</v>
      </c>
      <c r="B35" t="s">
        <v>144</v>
      </c>
      <c r="C35" t="s">
        <v>148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144</v>
      </c>
      <c r="B36" t="s">
        <v>144</v>
      </c>
      <c r="C36" t="s">
        <v>148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144</v>
      </c>
      <c r="B37" t="s">
        <v>144</v>
      </c>
      <c r="C37" t="s">
        <v>148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345</v>
      </c>
      <c r="B38" s="146" t="s">
        <v>345</v>
      </c>
      <c r="C38" s="146" t="s">
        <v>148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345</v>
      </c>
      <c r="B39" t="s">
        <v>345</v>
      </c>
      <c r="C39" t="s">
        <v>148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345</v>
      </c>
      <c r="B40" t="s">
        <v>345</v>
      </c>
      <c r="C40" t="s">
        <v>148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345</v>
      </c>
      <c r="B41" t="s">
        <v>345</v>
      </c>
      <c r="C41" t="s">
        <v>147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345</v>
      </c>
      <c r="B42" t="s">
        <v>345</v>
      </c>
      <c r="C42" t="s">
        <v>148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345</v>
      </c>
      <c r="B43" t="s">
        <v>186</v>
      </c>
      <c r="C43" t="s">
        <v>147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364</v>
      </c>
    </row>
    <row r="44" spans="1:19" hidden="1">
      <c r="A44" t="s">
        <v>346</v>
      </c>
      <c r="B44" t="s">
        <v>346</v>
      </c>
      <c r="C44" t="s">
        <v>153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346</v>
      </c>
      <c r="B45" t="s">
        <v>346</v>
      </c>
      <c r="C45" t="s">
        <v>153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346</v>
      </c>
      <c r="B46" t="s">
        <v>346</v>
      </c>
      <c r="C46" t="s">
        <v>153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346</v>
      </c>
      <c r="B47" s="2" t="s">
        <v>346</v>
      </c>
      <c r="C47" s="2" t="s">
        <v>147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204</v>
      </c>
    </row>
    <row r="48" spans="1:19" hidden="1">
      <c r="A48" t="s">
        <v>346</v>
      </c>
      <c r="B48" t="s">
        <v>346</v>
      </c>
      <c r="C48" t="s">
        <v>153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346</v>
      </c>
      <c r="B49" s="2" t="s">
        <v>346</v>
      </c>
      <c r="C49" s="2" t="s">
        <v>147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204</v>
      </c>
    </row>
    <row r="50" spans="1:19" hidden="1">
      <c r="A50" t="s">
        <v>134</v>
      </c>
      <c r="B50" t="s">
        <v>134</v>
      </c>
      <c r="C50" t="s">
        <v>147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134</v>
      </c>
      <c r="B51" t="s">
        <v>134</v>
      </c>
      <c r="C51" t="s">
        <v>147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134</v>
      </c>
      <c r="B52" t="s">
        <v>134</v>
      </c>
      <c r="C52" t="s">
        <v>147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134</v>
      </c>
      <c r="B53" s="149" t="s">
        <v>134</v>
      </c>
      <c r="C53" s="149" t="s">
        <v>151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134</v>
      </c>
      <c r="B54" t="s">
        <v>134</v>
      </c>
      <c r="C54" t="s">
        <v>147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134</v>
      </c>
      <c r="B55" s="149" t="s">
        <v>134</v>
      </c>
      <c r="C55" s="149" t="s">
        <v>190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149</v>
      </c>
      <c r="B56" t="s">
        <v>149</v>
      </c>
      <c r="C56" t="s">
        <v>148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149</v>
      </c>
      <c r="B57" t="s">
        <v>149</v>
      </c>
      <c r="C57" t="s">
        <v>148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149</v>
      </c>
      <c r="B58" t="s">
        <v>149</v>
      </c>
      <c r="C58" t="s">
        <v>190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149</v>
      </c>
      <c r="B59" t="s">
        <v>149</v>
      </c>
      <c r="C59" t="s">
        <v>148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149</v>
      </c>
      <c r="B60" t="s">
        <v>149</v>
      </c>
      <c r="C60" t="s">
        <v>148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149</v>
      </c>
      <c r="B61" s="142" t="s">
        <v>149</v>
      </c>
      <c r="C61" s="142" t="s">
        <v>190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145</v>
      </c>
      <c r="B62" t="s">
        <v>145</v>
      </c>
      <c r="C62" t="s">
        <v>84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145</v>
      </c>
    </row>
    <row r="63" spans="1:19" hidden="1">
      <c r="A63" s="10"/>
      <c r="B63" s="10"/>
      <c r="C63" s="10" t="s">
        <v>147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363</v>
      </c>
    </row>
    <row r="64" spans="1:19" hidden="1">
      <c r="C64" t="s">
        <v>84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363</v>
      </c>
    </row>
    <row r="65" spans="1:19" hidden="1">
      <c r="C65" t="s">
        <v>84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363</v>
      </c>
    </row>
    <row r="66" spans="1:19" hidden="1">
      <c r="C66" t="s">
        <v>190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363</v>
      </c>
    </row>
    <row r="67" spans="1:19" hidden="1">
      <c r="A67" t="s">
        <v>145</v>
      </c>
      <c r="B67" t="s">
        <v>145</v>
      </c>
      <c r="C67" t="s">
        <v>84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145</v>
      </c>
    </row>
    <row r="68" spans="1:19" hidden="1">
      <c r="A68" t="s">
        <v>356</v>
      </c>
      <c r="B68" t="s">
        <v>356</v>
      </c>
      <c r="C68" t="s">
        <v>84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356</v>
      </c>
      <c r="B69" t="s">
        <v>356</v>
      </c>
      <c r="C69" t="s">
        <v>84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356</v>
      </c>
      <c r="B70" t="s">
        <v>356</v>
      </c>
      <c r="C70" t="s">
        <v>84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356</v>
      </c>
      <c r="B71" t="s">
        <v>356</v>
      </c>
      <c r="C71" t="s">
        <v>84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356</v>
      </c>
      <c r="B72" t="s">
        <v>356</v>
      </c>
      <c r="C72" t="s">
        <v>84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356</v>
      </c>
      <c r="B73" t="s">
        <v>356</v>
      </c>
      <c r="C73" t="s">
        <v>84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357</v>
      </c>
      <c r="B74" t="s">
        <v>357</v>
      </c>
      <c r="C74" t="s">
        <v>147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357</v>
      </c>
      <c r="B75" t="s">
        <v>357</v>
      </c>
      <c r="C75" t="s">
        <v>147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357</v>
      </c>
      <c r="B76" t="s">
        <v>357</v>
      </c>
      <c r="C76" t="s">
        <v>147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357</v>
      </c>
      <c r="B77" t="s">
        <v>357</v>
      </c>
      <c r="C77" t="s">
        <v>147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357</v>
      </c>
      <c r="B78" t="s">
        <v>357</v>
      </c>
      <c r="C78" t="s">
        <v>147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357</v>
      </c>
      <c r="B79" t="s">
        <v>357</v>
      </c>
      <c r="C79" t="s">
        <v>147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358</v>
      </c>
      <c r="B80" t="s">
        <v>358</v>
      </c>
      <c r="C80" t="s">
        <v>86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358</v>
      </c>
      <c r="B81" t="s">
        <v>358</v>
      </c>
      <c r="C81" t="s">
        <v>86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358</v>
      </c>
      <c r="B82" t="s">
        <v>358</v>
      </c>
      <c r="C82" t="s">
        <v>86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358</v>
      </c>
      <c r="B83" t="s">
        <v>358</v>
      </c>
      <c r="C83" t="s">
        <v>84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358</v>
      </c>
      <c r="B84" t="s">
        <v>358</v>
      </c>
      <c r="C84" t="s">
        <v>84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358</v>
      </c>
      <c r="B85" t="s">
        <v>358</v>
      </c>
      <c r="C85" t="s">
        <v>86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147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147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147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147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147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186</v>
      </c>
      <c r="C91" s="2" t="s">
        <v>147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204</v>
      </c>
      <c r="S91" s="2" t="s">
        <v>364</v>
      </c>
    </row>
    <row r="92" spans="1:19" hidden="1">
      <c r="C92" t="s">
        <v>147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190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363</v>
      </c>
    </row>
    <row r="94" spans="1:19" hidden="1">
      <c r="C94" t="s">
        <v>147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147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147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147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147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145</v>
      </c>
      <c r="C99" t="s">
        <v>147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145</v>
      </c>
    </row>
    <row r="100" spans="1:19" hidden="1">
      <c r="C100" t="s">
        <v>147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147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147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147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147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147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147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147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147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147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147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147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147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147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147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147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147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147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147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147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84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84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145</v>
      </c>
      <c r="C122" s="2" t="s">
        <v>147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204</v>
      </c>
      <c r="S122" s="2" t="s">
        <v>363</v>
      </c>
    </row>
    <row r="123" spans="1:19" hidden="1">
      <c r="C123" t="s">
        <v>84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363</v>
      </c>
    </row>
    <row r="124" spans="1:19" hidden="1">
      <c r="C124" t="s">
        <v>84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145</v>
      </c>
      <c r="B125" t="s">
        <v>145</v>
      </c>
      <c r="C125" t="s">
        <v>190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145</v>
      </c>
    </row>
    <row r="126" spans="1:19" hidden="1">
      <c r="C126" t="s">
        <v>84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84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363</v>
      </c>
    </row>
    <row r="128" spans="1:19" hidden="1">
      <c r="C128" t="s">
        <v>84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84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84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145</v>
      </c>
      <c r="B131" t="s">
        <v>145</v>
      </c>
      <c r="C131" t="s">
        <v>190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145</v>
      </c>
    </row>
    <row r="132" spans="1:19" hidden="1">
      <c r="C132" t="s">
        <v>84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363</v>
      </c>
    </row>
    <row r="133" spans="1:19" hidden="1">
      <c r="C133" t="s">
        <v>84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84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84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84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84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363</v>
      </c>
    </row>
    <row r="138" spans="1:19" hidden="1">
      <c r="C138" t="s">
        <v>84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148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148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148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148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148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204</v>
      </c>
      <c r="S143" t="s">
        <v>149</v>
      </c>
    </row>
    <row r="144" spans="1:19" hidden="1">
      <c r="C144" t="s">
        <v>148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148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204</v>
      </c>
    </row>
    <row r="146" spans="1:18" hidden="1">
      <c r="C146" t="s">
        <v>148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148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148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148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148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148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148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148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148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148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148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148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148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148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148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148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148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148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148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148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148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190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190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190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363</v>
      </c>
    </row>
    <row r="170" spans="1:19" hidden="1">
      <c r="A170" t="s">
        <v>145</v>
      </c>
      <c r="B170" t="s">
        <v>145</v>
      </c>
      <c r="C170" t="s">
        <v>147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145</v>
      </c>
    </row>
    <row r="171" spans="1:19" hidden="1">
      <c r="C171" t="s">
        <v>190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84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363</v>
      </c>
    </row>
    <row r="173" spans="1:19" hidden="1">
      <c r="C173" t="s">
        <v>190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190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68</v>
      </c>
    </row>
    <row r="4" spans="1:10">
      <c r="A4" s="11" t="s">
        <v>64</v>
      </c>
      <c r="B4" t="s">
        <v>347</v>
      </c>
      <c r="C4" t="s">
        <v>348</v>
      </c>
      <c r="D4" t="s">
        <v>349</v>
      </c>
      <c r="E4" t="s">
        <v>350</v>
      </c>
      <c r="F4" t="s">
        <v>351</v>
      </c>
      <c r="G4" t="s">
        <v>352</v>
      </c>
      <c r="H4" t="s">
        <v>353</v>
      </c>
      <c r="I4" t="s">
        <v>354</v>
      </c>
      <c r="J4" t="s">
        <v>355</v>
      </c>
    </row>
    <row r="5" spans="1:10">
      <c r="A5" s="12" t="s">
        <v>186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144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335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134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150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149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145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66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68</v>
      </c>
    </row>
    <row r="22" spans="1:10">
      <c r="A22" s="11" t="s">
        <v>64</v>
      </c>
      <c r="B22" t="s">
        <v>347</v>
      </c>
      <c r="C22" t="s">
        <v>348</v>
      </c>
      <c r="D22" t="s">
        <v>349</v>
      </c>
      <c r="E22" t="s">
        <v>350</v>
      </c>
      <c r="F22" t="s">
        <v>351</v>
      </c>
      <c r="G22" t="s">
        <v>352</v>
      </c>
      <c r="H22" t="s">
        <v>353</v>
      </c>
      <c r="I22" t="s">
        <v>354</v>
      </c>
      <c r="J22" t="s">
        <v>355</v>
      </c>
    </row>
    <row r="23" spans="1:10">
      <c r="A23" s="12" t="s">
        <v>186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144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149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145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335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134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150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65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66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123</v>
      </c>
      <c r="C1" s="41" t="s">
        <v>124</v>
      </c>
      <c r="D1" s="42" t="s">
        <v>125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features'!$Q$4</f>
        <v>255702.5316455696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326</v>
      </c>
      <c r="B6" t="s">
        <v>3</v>
      </c>
      <c r="C6" t="s">
        <v>2</v>
      </c>
      <c r="D6" t="s">
        <v>323</v>
      </c>
      <c r="E6" t="s">
        <v>322</v>
      </c>
      <c r="F6" t="s">
        <v>324</v>
      </c>
      <c r="G6" t="s">
        <v>325</v>
      </c>
      <c r="H6" t="s">
        <v>38</v>
      </c>
      <c r="I6" t="s">
        <v>37</v>
      </c>
      <c r="J6" t="s">
        <v>51</v>
      </c>
      <c r="K6" t="s">
        <v>52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39</v>
      </c>
      <c r="Q6" s="4" t="s">
        <v>40</v>
      </c>
      <c r="R6" s="4" t="s">
        <v>41</v>
      </c>
      <c r="S6" s="4" t="s">
        <v>131</v>
      </c>
      <c r="T6" s="4" t="s">
        <v>135</v>
      </c>
      <c r="U6" s="4" t="s">
        <v>136</v>
      </c>
      <c r="V6" s="4" t="s">
        <v>137</v>
      </c>
      <c r="W6" s="4" t="s">
        <v>138</v>
      </c>
      <c r="X6" s="4" t="s">
        <v>136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662177.71084337356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4147.9811320754716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53</v>
      </c>
      <c r="B8" s="1">
        <f t="shared" si="0"/>
        <v>1051698.7951807228</v>
      </c>
      <c r="C8" s="1">
        <f t="shared" si="1"/>
        <v>662177.71084337356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4147.9811320754716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49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4147.9811320754716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50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4147.9811320754716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759223.83720930223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3224.358024691358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53</v>
      </c>
      <c r="B12" s="1">
        <f t="shared" si="0"/>
        <v>1068069.7674418604</v>
      </c>
      <c r="C12" s="1">
        <f t="shared" si="1"/>
        <v>759223.83720930223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3224.358024691358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49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3224.358024691358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50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3224.358024691358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548927.43221690587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4412.5320512820508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53</v>
      </c>
      <c r="B16" s="1">
        <f t="shared" si="3"/>
        <v>1343540.6698564594</v>
      </c>
      <c r="C16" s="1">
        <f t="shared" si="4"/>
        <v>548927.43221690587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4412.5320512820508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49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4412.5320512820508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50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4412.5320512820508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62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4412.5320512820508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61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4412.5320512820508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63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4412.5320512820508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62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60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3789.9479166666665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61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60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3789.9479166666665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63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60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3789.9479166666665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62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3224.358024691358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61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3224.358024691358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63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3224.358024691358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127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3224.358024691358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341650.72674418602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3224.358024691358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128</v>
      </c>
      <c r="B30" s="1">
        <f t="shared" ref="B30" si="19">(2*$J30+$K30)/($R30-$Q30)*O30</f>
        <v>640841.86046511622</v>
      </c>
      <c r="C30" s="1">
        <f t="shared" ref="C30" si="20">($J30+$K30)/($R30-$Q30)*P30</f>
        <v>341650.72674418602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3224.358024691358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127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4412.5320512820508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247017.34449760761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4412.5320512820508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127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4964.7241379310344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365355.16917293228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4964.7241379310344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321</v>
      </c>
      <c r="B35" s="1">
        <f t="shared" ref="B35" si="23">(2*$J35+$K35)/($R35-$Q35)*O35</f>
        <v>6929903.2330827061</v>
      </c>
      <c r="C35" s="1">
        <f t="shared" ref="C35" si="24">($J35+$K35)/($R35-$Q35)*P35</f>
        <v>5392642.2969924808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4964.7241379310344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321</v>
      </c>
      <c r="B36" s="1">
        <f t="shared" si="21"/>
        <v>5856926.345864661</v>
      </c>
      <c r="C36" s="1">
        <f t="shared" si="22"/>
        <v>5798592.4849624056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4964.7241379310344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320</v>
      </c>
      <c r="B37" s="1">
        <f t="shared" ref="B37" si="26">(2*$J37+$K37)/($R37-$Q37)*O37</f>
        <v>8315883.8796992479</v>
      </c>
      <c r="C37" s="1">
        <f t="shared" ref="C37" si="27">($J37+$K37)/($R37-$Q37)*P37</f>
        <v>5392642.2969924808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4964.7241379310344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6204542.6729323305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4964.7241379310344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43</v>
      </c>
      <c r="C41" t="s">
        <v>44</v>
      </c>
      <c r="D41" t="s">
        <v>45</v>
      </c>
      <c r="E41" t="s">
        <v>46</v>
      </c>
      <c r="F41" t="s">
        <v>47</v>
      </c>
    </row>
    <row r="42" spans="1:18">
      <c r="A42" t="s">
        <v>42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48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154</v>
      </c>
      <c r="B1" t="s">
        <v>155</v>
      </c>
      <c r="C1" t="s">
        <v>156</v>
      </c>
      <c r="D1" t="s">
        <v>160</v>
      </c>
      <c r="E1" t="s">
        <v>157</v>
      </c>
      <c r="F1" t="s">
        <v>10</v>
      </c>
    </row>
    <row r="2" spans="1:6">
      <c r="A2" t="s">
        <v>144</v>
      </c>
      <c r="B2" t="s">
        <v>188</v>
      </c>
      <c r="C2" t="s">
        <v>164</v>
      </c>
      <c r="D2" t="s">
        <v>169</v>
      </c>
      <c r="E2" t="s">
        <v>170</v>
      </c>
      <c r="F2" t="s">
        <v>191</v>
      </c>
    </row>
    <row r="3" spans="1:6">
      <c r="A3" t="s">
        <v>145</v>
      </c>
      <c r="B3" t="s">
        <v>188</v>
      </c>
      <c r="C3" t="s">
        <v>168</v>
      </c>
      <c r="D3" t="s">
        <v>166</v>
      </c>
      <c r="E3" t="s">
        <v>167</v>
      </c>
      <c r="F3" t="s">
        <v>191</v>
      </c>
    </row>
    <row r="4" spans="1:6">
      <c r="A4" t="s">
        <v>146</v>
      </c>
      <c r="B4" t="s">
        <v>188</v>
      </c>
      <c r="C4" t="s">
        <v>147</v>
      </c>
      <c r="D4" t="s">
        <v>169</v>
      </c>
      <c r="E4" t="s">
        <v>171</v>
      </c>
      <c r="F4" t="s">
        <v>359</v>
      </c>
    </row>
    <row r="5" spans="1:6">
      <c r="A5" t="s">
        <v>149</v>
      </c>
      <c r="B5" t="s">
        <v>148</v>
      </c>
      <c r="C5" t="s">
        <v>164</v>
      </c>
      <c r="D5" t="s">
        <v>183</v>
      </c>
      <c r="E5" t="s">
        <v>165</v>
      </c>
      <c r="F5" t="s">
        <v>192</v>
      </c>
    </row>
    <row r="6" spans="1:6">
      <c r="A6" t="s">
        <v>150</v>
      </c>
      <c r="B6" t="s">
        <v>151</v>
      </c>
      <c r="C6" t="s">
        <v>152</v>
      </c>
      <c r="D6" t="s">
        <v>163</v>
      </c>
      <c r="E6" t="s">
        <v>158</v>
      </c>
      <c r="F6" t="s">
        <v>192</v>
      </c>
    </row>
    <row r="7" spans="1:6">
      <c r="A7" t="s">
        <v>134</v>
      </c>
      <c r="B7" t="s">
        <v>184</v>
      </c>
      <c r="C7" t="s">
        <v>185</v>
      </c>
    </row>
    <row r="8" spans="1:6">
      <c r="A8" t="s">
        <v>186</v>
      </c>
      <c r="B8" t="s">
        <v>153</v>
      </c>
      <c r="C8" t="s">
        <v>84</v>
      </c>
      <c r="D8" t="s">
        <v>187</v>
      </c>
      <c r="F8" t="s">
        <v>359</v>
      </c>
    </row>
    <row r="9" spans="1:6">
      <c r="A9" t="s">
        <v>189</v>
      </c>
      <c r="B9" t="s">
        <v>151</v>
      </c>
      <c r="C9" t="s">
        <v>190</v>
      </c>
      <c r="D9" t="s">
        <v>169</v>
      </c>
      <c r="F9" t="s">
        <v>359</v>
      </c>
    </row>
    <row r="10" spans="1:6">
      <c r="A10" t="s">
        <v>208</v>
      </c>
      <c r="B10" t="s">
        <v>153</v>
      </c>
      <c r="C10" t="s">
        <v>84</v>
      </c>
    </row>
    <row r="11" spans="1:6">
      <c r="A11" t="s">
        <v>209</v>
      </c>
      <c r="B11" t="s">
        <v>148</v>
      </c>
      <c r="C11" t="s">
        <v>84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846</v>
      </c>
      <c r="H1" t="s">
        <v>5</v>
      </c>
    </row>
    <row r="2" spans="1:8">
      <c r="A2" t="s">
        <v>823</v>
      </c>
      <c r="C2" t="s">
        <v>822</v>
      </c>
      <c r="D2" t="s">
        <v>246</v>
      </c>
      <c r="E2" t="s">
        <v>149</v>
      </c>
      <c r="F2" t="s">
        <v>150</v>
      </c>
      <c r="G2" t="s">
        <v>186</v>
      </c>
      <c r="H2">
        <v>49</v>
      </c>
    </row>
    <row r="3" spans="1:8">
      <c r="A3" t="s">
        <v>824</v>
      </c>
      <c r="C3" t="s">
        <v>822</v>
      </c>
      <c r="D3" t="s">
        <v>246</v>
      </c>
      <c r="E3" t="s">
        <v>149</v>
      </c>
      <c r="F3" t="s">
        <v>150</v>
      </c>
      <c r="G3" t="s">
        <v>186</v>
      </c>
      <c r="H3">
        <v>29</v>
      </c>
    </row>
    <row r="4" spans="1:8">
      <c r="A4" t="s">
        <v>825</v>
      </c>
      <c r="C4" t="s">
        <v>822</v>
      </c>
      <c r="D4" t="s">
        <v>144</v>
      </c>
      <c r="E4" t="s">
        <v>149</v>
      </c>
      <c r="F4" t="s">
        <v>150</v>
      </c>
      <c r="G4" t="s">
        <v>186</v>
      </c>
      <c r="H4">
        <v>30</v>
      </c>
    </row>
    <row r="5" spans="1:8">
      <c r="A5" t="s">
        <v>824</v>
      </c>
      <c r="C5" t="s">
        <v>822</v>
      </c>
      <c r="D5" t="s">
        <v>246</v>
      </c>
      <c r="E5" t="s">
        <v>149</v>
      </c>
      <c r="F5" t="s">
        <v>150</v>
      </c>
      <c r="G5" t="s">
        <v>186</v>
      </c>
      <c r="H5">
        <v>31</v>
      </c>
    </row>
    <row r="6" spans="1:8">
      <c r="A6" t="s">
        <v>823</v>
      </c>
      <c r="C6" t="s">
        <v>822</v>
      </c>
      <c r="D6" t="s">
        <v>246</v>
      </c>
      <c r="E6" t="s">
        <v>149</v>
      </c>
      <c r="F6" t="s">
        <v>150</v>
      </c>
      <c r="G6" t="s">
        <v>186</v>
      </c>
      <c r="H6">
        <v>50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7"/>
  <sheetViews>
    <sheetView tabSelected="1" workbookViewId="0">
      <pane ySplit="1" topLeftCell="A2" activePane="bottomLeft" state="frozen"/>
      <selection pane="bottomLeft" activeCell="K10" sqref="K10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7" width="10.5" style="169" bestFit="1" customWidth="1"/>
    <col min="18" max="18" width="10.625" style="169" bestFit="1" customWidth="1"/>
    <col min="19" max="19" width="10.5" style="169" bestFit="1" customWidth="1"/>
    <col min="20" max="16384" width="9" style="169"/>
  </cols>
  <sheetData>
    <row r="1" spans="1:20">
      <c r="A1" s="170" t="s">
        <v>777</v>
      </c>
      <c r="B1" s="170" t="s">
        <v>778</v>
      </c>
      <c r="C1" s="170" t="s">
        <v>154</v>
      </c>
      <c r="D1" s="170" t="s">
        <v>774</v>
      </c>
      <c r="E1" s="170" t="s">
        <v>773</v>
      </c>
      <c r="F1" s="170" t="s">
        <v>772</v>
      </c>
      <c r="G1" s="170" t="s">
        <v>365</v>
      </c>
      <c r="H1" s="170" t="s">
        <v>771</v>
      </c>
      <c r="I1" s="170" t="s">
        <v>770</v>
      </c>
      <c r="J1" s="170" t="s">
        <v>769</v>
      </c>
      <c r="K1" s="170" t="s">
        <v>768</v>
      </c>
      <c r="L1" s="170" t="s">
        <v>767</v>
      </c>
      <c r="M1" s="170" t="s">
        <v>766</v>
      </c>
      <c r="N1" s="170" t="s">
        <v>765</v>
      </c>
      <c r="O1" s="170" t="s">
        <v>776</v>
      </c>
      <c r="P1" s="194" t="s">
        <v>853</v>
      </c>
      <c r="Q1" s="170" t="s">
        <v>780</v>
      </c>
      <c r="R1" s="170" t="s">
        <v>781</v>
      </c>
      <c r="S1" s="170" t="s">
        <v>782</v>
      </c>
      <c r="T1" s="170" t="s">
        <v>779</v>
      </c>
    </row>
    <row r="2" spans="1:20">
      <c r="A2" s="183">
        <v>188</v>
      </c>
      <c r="B2" s="170" t="s">
        <v>144</v>
      </c>
      <c r="C2" s="170" t="s">
        <v>358</v>
      </c>
      <c r="D2" s="170">
        <v>3</v>
      </c>
      <c r="E2" s="170" t="s">
        <v>272</v>
      </c>
      <c r="F2" s="170">
        <v>5</v>
      </c>
      <c r="G2" s="170">
        <v>5</v>
      </c>
      <c r="H2" s="170">
        <v>4</v>
      </c>
      <c r="I2" s="170">
        <v>3</v>
      </c>
      <c r="J2" s="170">
        <v>5</v>
      </c>
      <c r="K2" s="170">
        <v>4</v>
      </c>
      <c r="L2" s="170">
        <v>5</v>
      </c>
      <c r="M2" s="170">
        <v>4</v>
      </c>
      <c r="N2" s="170"/>
      <c r="O2" s="170" t="s">
        <v>204</v>
      </c>
      <c r="P2" s="170"/>
      <c r="Q2" s="180">
        <f>SUM(Tabela2[[#This Row],[G]]+Tabela2[[#This Row],[D]]+Tabela2[[#This Row],[N]]+Tabela2[[#This Row],[HM]])</f>
        <v>18</v>
      </c>
      <c r="R2" s="180">
        <f>SUM(Tabela2[[#This Row],[AO]]+Tabela2[[#This Row],[AD]]+Tabela2[[#This Row],[GWO]]+Tabela2[[#This Row],[GWD]])</f>
        <v>17</v>
      </c>
      <c r="S2" s="180">
        <f>Tabela2[[#This Row],[GWO]]+Tabela2[[#This Row],[GWD]]</f>
        <v>9</v>
      </c>
      <c r="T2" s="180">
        <f>SUM(Tabela2[[#This Row],[G]:[GWD]])</f>
        <v>35</v>
      </c>
    </row>
    <row r="3" spans="1:20" ht="30">
      <c r="A3" s="183">
        <v>271</v>
      </c>
      <c r="B3" s="172" t="s">
        <v>452</v>
      </c>
      <c r="C3" s="172" t="s">
        <v>451</v>
      </c>
      <c r="D3" s="172">
        <v>4</v>
      </c>
      <c r="E3" s="172" t="s">
        <v>250</v>
      </c>
      <c r="F3" s="172">
        <v>5</v>
      </c>
      <c r="G3" s="172">
        <v>3</v>
      </c>
      <c r="H3" s="172">
        <v>3</v>
      </c>
      <c r="I3" s="172">
        <v>4</v>
      </c>
      <c r="J3" s="172">
        <v>5</v>
      </c>
      <c r="K3" s="172">
        <v>5</v>
      </c>
      <c r="L3" s="172">
        <v>5</v>
      </c>
      <c r="M3" s="172">
        <v>5</v>
      </c>
      <c r="N3" s="170"/>
      <c r="O3" s="170"/>
      <c r="P3" s="170"/>
      <c r="Q3" s="180">
        <f>SUM(Tabela2[[#This Row],[G]]+Tabela2[[#This Row],[D]]+Tabela2[[#This Row],[N]]+Tabela2[[#This Row],[HM]])</f>
        <v>16</v>
      </c>
      <c r="R3" s="180">
        <f>SUM(Tabela2[[#This Row],[AO]]+Tabela2[[#This Row],[AD]]+Tabela2[[#This Row],[GWO]]+Tabela2[[#This Row],[GWD]])</f>
        <v>19</v>
      </c>
      <c r="S3" s="180">
        <f>Tabela2[[#This Row],[GWO]]+Tabela2[[#This Row],[GWD]]</f>
        <v>10</v>
      </c>
      <c r="T3" s="180">
        <f>SUM(Tabela2[[#This Row],[G]:[GWD]])</f>
        <v>35</v>
      </c>
    </row>
    <row r="4" spans="1:20">
      <c r="A4" s="183">
        <v>225</v>
      </c>
      <c r="B4" s="175" t="s">
        <v>496</v>
      </c>
      <c r="C4" s="175" t="s">
        <v>184</v>
      </c>
      <c r="D4" s="175">
        <v>4</v>
      </c>
      <c r="E4" s="175" t="s">
        <v>18</v>
      </c>
      <c r="F4" s="175">
        <v>3</v>
      </c>
      <c r="G4" s="175">
        <v>5</v>
      </c>
      <c r="H4" s="175">
        <v>3</v>
      </c>
      <c r="I4" s="175">
        <v>5</v>
      </c>
      <c r="J4" s="175">
        <v>5</v>
      </c>
      <c r="K4" s="175">
        <v>5</v>
      </c>
      <c r="L4" s="175">
        <v>4</v>
      </c>
      <c r="M4" s="175">
        <v>5</v>
      </c>
      <c r="N4" s="170"/>
      <c r="O4" s="170"/>
      <c r="P4" s="170"/>
      <c r="Q4" s="180">
        <f>SUM(Tabela2[[#This Row],[G]]+Tabela2[[#This Row],[D]]+Tabela2[[#This Row],[N]]+Tabela2[[#This Row],[HM]])</f>
        <v>16</v>
      </c>
      <c r="R4" s="180">
        <f>SUM(Tabela2[[#This Row],[AO]]+Tabela2[[#This Row],[AD]]+Tabela2[[#This Row],[GWO]]+Tabela2[[#This Row],[GWD]])</f>
        <v>19</v>
      </c>
      <c r="S4" s="180">
        <f>Tabela2[[#This Row],[GWO]]+Tabela2[[#This Row],[GWD]]</f>
        <v>9</v>
      </c>
      <c r="T4" s="180">
        <f>SUM(Tabela2[[#This Row],[G]:[GWD]])</f>
        <v>35</v>
      </c>
    </row>
    <row r="5" spans="1:20">
      <c r="A5" s="183">
        <v>118</v>
      </c>
      <c r="B5" s="172" t="s">
        <v>149</v>
      </c>
      <c r="C5" s="172" t="s">
        <v>552</v>
      </c>
      <c r="D5" s="172">
        <v>3</v>
      </c>
      <c r="E5" s="172" t="s">
        <v>250</v>
      </c>
      <c r="F5" s="172">
        <v>5</v>
      </c>
      <c r="G5" s="172">
        <v>4</v>
      </c>
      <c r="H5" s="172">
        <v>3</v>
      </c>
      <c r="I5" s="172">
        <v>5</v>
      </c>
      <c r="J5" s="172">
        <v>5</v>
      </c>
      <c r="K5" s="172">
        <v>5</v>
      </c>
      <c r="L5" s="172">
        <v>4</v>
      </c>
      <c r="M5" s="172">
        <v>3</v>
      </c>
      <c r="N5" s="170"/>
      <c r="O5" s="170" t="s">
        <v>204</v>
      </c>
      <c r="P5" s="170"/>
      <c r="Q5" s="180">
        <f>SUM(Tabela2[[#This Row],[G]]+Tabela2[[#This Row],[D]]+Tabela2[[#This Row],[N]]+Tabela2[[#This Row],[HM]])</f>
        <v>17</v>
      </c>
      <c r="R5" s="180">
        <f>SUM(Tabela2[[#This Row],[AO]]+Tabela2[[#This Row],[AD]]+Tabela2[[#This Row],[GWO]]+Tabela2[[#This Row],[GWD]])</f>
        <v>17</v>
      </c>
      <c r="S5" s="180">
        <f>Tabela2[[#This Row],[GWO]]+Tabela2[[#This Row],[GWD]]</f>
        <v>7</v>
      </c>
      <c r="T5" s="180">
        <f>SUM(Tabela2[[#This Row],[G]:[GWD]])</f>
        <v>34</v>
      </c>
    </row>
    <row r="6" spans="1:20">
      <c r="A6" s="183">
        <v>325</v>
      </c>
      <c r="B6" s="170" t="s">
        <v>377</v>
      </c>
      <c r="C6" s="170" t="s">
        <v>376</v>
      </c>
      <c r="D6" s="170">
        <v>4</v>
      </c>
      <c r="E6" s="170" t="s">
        <v>272</v>
      </c>
      <c r="F6" s="170">
        <v>3</v>
      </c>
      <c r="G6" s="170">
        <v>3</v>
      </c>
      <c r="H6" s="170">
        <v>3</v>
      </c>
      <c r="I6" s="170">
        <v>5</v>
      </c>
      <c r="J6" s="170">
        <v>5</v>
      </c>
      <c r="K6" s="170">
        <v>5</v>
      </c>
      <c r="L6" s="170">
        <v>5</v>
      </c>
      <c r="M6" s="170">
        <v>4</v>
      </c>
      <c r="N6" s="170"/>
      <c r="O6" s="170"/>
      <c r="P6" s="170"/>
      <c r="Q6" s="180">
        <f>SUM(Tabela2[[#This Row],[G]]+Tabela2[[#This Row],[D]]+Tabela2[[#This Row],[N]]+Tabela2[[#This Row],[HM]])</f>
        <v>14</v>
      </c>
      <c r="R6" s="180">
        <f>SUM(Tabela2[[#This Row],[AO]]+Tabela2[[#This Row],[AD]]+Tabela2[[#This Row],[GWO]]+Tabela2[[#This Row],[GWD]])</f>
        <v>19</v>
      </c>
      <c r="S6" s="180">
        <f>Tabela2[[#This Row],[GWO]]+Tabela2[[#This Row],[GWD]]</f>
        <v>9</v>
      </c>
      <c r="T6" s="180">
        <f>SUM(Tabela2[[#This Row],[G]:[GWD]])</f>
        <v>33</v>
      </c>
    </row>
    <row r="7" spans="1:20" ht="30">
      <c r="A7" s="183">
        <v>242</v>
      </c>
      <c r="B7" s="174" t="s">
        <v>480</v>
      </c>
      <c r="C7" s="174" t="s">
        <v>386</v>
      </c>
      <c r="D7" s="174">
        <v>4</v>
      </c>
      <c r="E7" s="174" t="s">
        <v>249</v>
      </c>
      <c r="F7" s="174">
        <v>5</v>
      </c>
      <c r="G7" s="174">
        <v>5</v>
      </c>
      <c r="H7" s="174">
        <v>1</v>
      </c>
      <c r="I7" s="174">
        <v>5</v>
      </c>
      <c r="J7" s="174">
        <v>2</v>
      </c>
      <c r="K7" s="174">
        <v>1</v>
      </c>
      <c r="L7" s="174">
        <v>5</v>
      </c>
      <c r="M7" s="174">
        <v>5</v>
      </c>
      <c r="N7" s="170"/>
      <c r="O7" s="170"/>
      <c r="P7" s="170"/>
      <c r="Q7" s="180">
        <f>SUM(Tabela2[[#This Row],[G]]+Tabela2[[#This Row],[D]]+Tabela2[[#This Row],[N]]+Tabela2[[#This Row],[HM]])</f>
        <v>12</v>
      </c>
      <c r="R7" s="180">
        <f>SUM(Tabela2[[#This Row],[AO]]+Tabela2[[#This Row],[AD]]+Tabela2[[#This Row],[GWO]]+Tabela2[[#This Row],[GWD]])</f>
        <v>17</v>
      </c>
      <c r="S7" s="180">
        <f>Tabela2[[#This Row],[GWO]]+Tabela2[[#This Row],[GWD]]</f>
        <v>10</v>
      </c>
      <c r="T7" s="180">
        <f>SUM(Tabela2[[#This Row],[G]:[GWD]])</f>
        <v>29</v>
      </c>
    </row>
    <row r="8" spans="1:20" ht="30">
      <c r="A8" s="183">
        <v>228</v>
      </c>
      <c r="B8" s="174" t="s">
        <v>493</v>
      </c>
      <c r="C8" s="174" t="s">
        <v>415</v>
      </c>
      <c r="D8" s="174">
        <v>4</v>
      </c>
      <c r="E8" s="174" t="s">
        <v>249</v>
      </c>
      <c r="F8" s="174">
        <v>2</v>
      </c>
      <c r="G8" s="174">
        <v>3</v>
      </c>
      <c r="H8" s="174">
        <v>1</v>
      </c>
      <c r="I8" s="174">
        <v>4</v>
      </c>
      <c r="J8" s="174">
        <v>5</v>
      </c>
      <c r="K8" s="174">
        <v>1</v>
      </c>
      <c r="L8" s="174">
        <v>5</v>
      </c>
      <c r="M8" s="174">
        <v>5</v>
      </c>
      <c r="N8" s="170"/>
      <c r="O8" s="170" t="s">
        <v>204</v>
      </c>
      <c r="P8" s="170"/>
      <c r="Q8" s="180">
        <f>SUM(Tabela2[[#This Row],[G]]+Tabela2[[#This Row],[D]]+Tabela2[[#This Row],[N]]+Tabela2[[#This Row],[HM]])</f>
        <v>7</v>
      </c>
      <c r="R8" s="180">
        <f>SUM(Tabela2[[#This Row],[AO]]+Tabela2[[#This Row],[AD]]+Tabela2[[#This Row],[GWO]]+Tabela2[[#This Row],[GWD]])</f>
        <v>19</v>
      </c>
      <c r="S8" s="180">
        <f>Tabela2[[#This Row],[GWO]]+Tabela2[[#This Row],[GWD]]</f>
        <v>10</v>
      </c>
      <c r="T8" s="180">
        <f>SUM(Tabela2[[#This Row],[G]:[GWD]])</f>
        <v>26</v>
      </c>
    </row>
    <row r="9" spans="1:20" ht="30">
      <c r="A9" s="183">
        <v>284</v>
      </c>
      <c r="B9" s="171" t="s">
        <v>436</v>
      </c>
      <c r="C9" s="171" t="s">
        <v>407</v>
      </c>
      <c r="D9" s="171">
        <v>4</v>
      </c>
      <c r="E9" s="171" t="s">
        <v>251</v>
      </c>
      <c r="F9" s="171">
        <v>2</v>
      </c>
      <c r="G9" s="171">
        <v>2</v>
      </c>
      <c r="H9" s="171">
        <v>4</v>
      </c>
      <c r="I9" s="171">
        <v>4</v>
      </c>
      <c r="J9" s="171">
        <v>4</v>
      </c>
      <c r="K9" s="171">
        <v>1</v>
      </c>
      <c r="L9" s="171">
        <v>5</v>
      </c>
      <c r="M9" s="171">
        <v>4</v>
      </c>
      <c r="N9" s="170"/>
      <c r="O9" s="170"/>
      <c r="P9" s="170"/>
      <c r="Q9" s="180">
        <f>SUM(Tabela2[[#This Row],[G]]+Tabela2[[#This Row],[D]]+Tabela2[[#This Row],[N]]+Tabela2[[#This Row],[HM]])</f>
        <v>9</v>
      </c>
      <c r="R9" s="180">
        <f>SUM(Tabela2[[#This Row],[AO]]+Tabela2[[#This Row],[AD]]+Tabela2[[#This Row],[GWO]]+Tabela2[[#This Row],[GWD]])</f>
        <v>17</v>
      </c>
      <c r="S9" s="180">
        <f>Tabela2[[#This Row],[GWO]]+Tabela2[[#This Row],[GWD]]</f>
        <v>9</v>
      </c>
      <c r="T9" s="180">
        <f>SUM(Tabela2[[#This Row],[G]:[GWD]])</f>
        <v>26</v>
      </c>
    </row>
    <row r="10" spans="1:20">
      <c r="A10" s="183">
        <v>197</v>
      </c>
      <c r="B10" s="170" t="s">
        <v>145</v>
      </c>
      <c r="C10" s="170" t="s">
        <v>267</v>
      </c>
      <c r="D10" s="170">
        <v>3</v>
      </c>
      <c r="E10" s="170" t="s">
        <v>272</v>
      </c>
      <c r="F10" s="170">
        <v>4</v>
      </c>
      <c r="G10" s="170">
        <v>2</v>
      </c>
      <c r="H10" s="170">
        <v>1</v>
      </c>
      <c r="I10" s="170">
        <v>3</v>
      </c>
      <c r="J10" s="170">
        <v>4</v>
      </c>
      <c r="K10" s="170">
        <v>3</v>
      </c>
      <c r="L10" s="170">
        <v>4</v>
      </c>
      <c r="M10" s="170">
        <v>4</v>
      </c>
      <c r="N10" s="170"/>
      <c r="O10" s="170" t="s">
        <v>204</v>
      </c>
      <c r="P10" s="170"/>
      <c r="Q10" s="180">
        <f>SUM(Tabela2[[#This Row],[G]]+Tabela2[[#This Row],[D]]+Tabela2[[#This Row],[N]]+Tabela2[[#This Row],[HM]])</f>
        <v>10</v>
      </c>
      <c r="R10" s="180">
        <f>SUM(Tabela2[[#This Row],[AO]]+Tabela2[[#This Row],[AD]]+Tabela2[[#This Row],[GWO]]+Tabela2[[#This Row],[GWD]])</f>
        <v>15</v>
      </c>
      <c r="S10" s="180">
        <f>Tabela2[[#This Row],[GWO]]+Tabela2[[#This Row],[GWD]]</f>
        <v>8</v>
      </c>
      <c r="T10" s="180">
        <f>SUM(Tabela2[[#This Row],[G]:[GWD]])</f>
        <v>25</v>
      </c>
    </row>
    <row r="11" spans="1:20">
      <c r="A11" s="183">
        <v>324</v>
      </c>
      <c r="B11" s="170" t="s">
        <v>379</v>
      </c>
      <c r="C11" s="170" t="s">
        <v>378</v>
      </c>
      <c r="D11" s="170">
        <v>4</v>
      </c>
      <c r="E11" s="170" t="s">
        <v>272</v>
      </c>
      <c r="F11" s="170">
        <v>3</v>
      </c>
      <c r="G11" s="170">
        <v>4</v>
      </c>
      <c r="H11" s="170">
        <v>1</v>
      </c>
      <c r="I11" s="170">
        <v>2</v>
      </c>
      <c r="J11" s="170">
        <v>4</v>
      </c>
      <c r="K11" s="170">
        <v>2</v>
      </c>
      <c r="L11" s="170">
        <v>5</v>
      </c>
      <c r="M11" s="170">
        <v>4</v>
      </c>
      <c r="N11" s="170"/>
      <c r="O11" s="170"/>
      <c r="P11" s="170"/>
      <c r="Q11" s="180">
        <f>SUM(Tabela2[[#This Row],[G]]+Tabela2[[#This Row],[D]]+Tabela2[[#This Row],[N]]+Tabela2[[#This Row],[HM]])</f>
        <v>10</v>
      </c>
      <c r="R11" s="180">
        <f>SUM(Tabela2[[#This Row],[AO]]+Tabela2[[#This Row],[AD]]+Tabela2[[#This Row],[GWO]]+Tabela2[[#This Row],[GWD]])</f>
        <v>15</v>
      </c>
      <c r="S11" s="180">
        <f>Tabela2[[#This Row],[GWO]]+Tabela2[[#This Row],[GWD]]</f>
        <v>9</v>
      </c>
      <c r="T11" s="180">
        <f>SUM(Tabela2[[#This Row],[G]:[GWD]])</f>
        <v>25</v>
      </c>
    </row>
    <row r="12" spans="1:20" ht="30">
      <c r="A12" s="183">
        <v>304</v>
      </c>
      <c r="B12" s="170" t="s">
        <v>413</v>
      </c>
      <c r="C12" s="170" t="s">
        <v>412</v>
      </c>
      <c r="D12" s="170">
        <v>4</v>
      </c>
      <c r="E12" s="170" t="s">
        <v>272</v>
      </c>
      <c r="F12" s="170">
        <v>1</v>
      </c>
      <c r="G12" s="170">
        <v>2</v>
      </c>
      <c r="H12" s="170">
        <v>1</v>
      </c>
      <c r="I12" s="170">
        <v>2</v>
      </c>
      <c r="J12" s="170">
        <v>4</v>
      </c>
      <c r="K12" s="170">
        <v>4</v>
      </c>
      <c r="L12" s="170">
        <v>5</v>
      </c>
      <c r="M12" s="170">
        <v>5</v>
      </c>
      <c r="N12" s="170"/>
      <c r="O12" s="170"/>
      <c r="P12" s="170"/>
      <c r="Q12" s="180">
        <f>SUM(Tabela2[[#This Row],[G]]+Tabela2[[#This Row],[D]]+Tabela2[[#This Row],[N]]+Tabela2[[#This Row],[HM]])</f>
        <v>8</v>
      </c>
      <c r="R12" s="180">
        <f>SUM(Tabela2[[#This Row],[AO]]+Tabela2[[#This Row],[AD]]+Tabela2[[#This Row],[GWO]]+Tabela2[[#This Row],[GWD]])</f>
        <v>16</v>
      </c>
      <c r="S12" s="180">
        <f>Tabela2[[#This Row],[GWO]]+Tabela2[[#This Row],[GWD]]</f>
        <v>10</v>
      </c>
      <c r="T12" s="180">
        <f>SUM(Tabela2[[#This Row],[G]:[GWD]])</f>
        <v>24</v>
      </c>
    </row>
    <row r="13" spans="1:20">
      <c r="A13" s="183">
        <v>218</v>
      </c>
      <c r="B13" s="175" t="s">
        <v>502</v>
      </c>
      <c r="C13" s="175" t="s">
        <v>384</v>
      </c>
      <c r="D13" s="175">
        <v>4</v>
      </c>
      <c r="E13" s="175" t="s">
        <v>18</v>
      </c>
      <c r="F13" s="175">
        <v>2</v>
      </c>
      <c r="G13" s="175">
        <v>5</v>
      </c>
      <c r="H13" s="175">
        <v>2</v>
      </c>
      <c r="I13" s="175">
        <v>3</v>
      </c>
      <c r="J13" s="175">
        <v>2</v>
      </c>
      <c r="K13" s="175">
        <v>4</v>
      </c>
      <c r="L13" s="175">
        <v>4</v>
      </c>
      <c r="M13" s="175">
        <v>2</v>
      </c>
      <c r="N13" s="170"/>
      <c r="O13" s="170"/>
      <c r="P13" s="170"/>
      <c r="Q13" s="180">
        <f>SUM(Tabela2[[#This Row],[G]]+Tabela2[[#This Row],[D]]+Tabela2[[#This Row],[N]]+Tabela2[[#This Row],[HM]])</f>
        <v>13</v>
      </c>
      <c r="R13" s="180">
        <f>SUM(Tabela2[[#This Row],[AO]]+Tabela2[[#This Row],[AD]]+Tabela2[[#This Row],[GWO]]+Tabela2[[#This Row],[GWD]])</f>
        <v>11</v>
      </c>
      <c r="S13" s="180">
        <f>Tabela2[[#This Row],[GWO]]+Tabela2[[#This Row],[GWD]]</f>
        <v>6</v>
      </c>
      <c r="T13" s="180">
        <f>SUM(Tabela2[[#This Row],[G]:[GWD]])</f>
        <v>24</v>
      </c>
    </row>
    <row r="14" spans="1:20">
      <c r="A14" s="183">
        <v>247</v>
      </c>
      <c r="B14" s="174" t="s">
        <v>475</v>
      </c>
      <c r="C14" s="174" t="s">
        <v>225</v>
      </c>
      <c r="D14" s="174">
        <v>4</v>
      </c>
      <c r="E14" s="174" t="s">
        <v>249</v>
      </c>
      <c r="F14" s="174">
        <v>1</v>
      </c>
      <c r="G14" s="174">
        <v>2</v>
      </c>
      <c r="H14" s="174">
        <v>1</v>
      </c>
      <c r="I14" s="174">
        <v>4</v>
      </c>
      <c r="J14" s="174">
        <v>5</v>
      </c>
      <c r="K14" s="174">
        <v>5</v>
      </c>
      <c r="L14" s="174">
        <v>3</v>
      </c>
      <c r="M14" s="174">
        <v>3</v>
      </c>
      <c r="N14" s="170"/>
      <c r="O14" s="170"/>
      <c r="P14" s="170"/>
      <c r="Q14" s="180">
        <f>SUM(Tabela2[[#This Row],[G]]+Tabela2[[#This Row],[D]]+Tabela2[[#This Row],[N]]+Tabela2[[#This Row],[HM]])</f>
        <v>9</v>
      </c>
      <c r="R14" s="180">
        <f>SUM(Tabela2[[#This Row],[AO]]+Tabela2[[#This Row],[AD]]+Tabela2[[#This Row],[GWO]]+Tabela2[[#This Row],[GWD]])</f>
        <v>15</v>
      </c>
      <c r="S14" s="180">
        <f>Tabela2[[#This Row],[GWO]]+Tabela2[[#This Row],[GWD]]</f>
        <v>6</v>
      </c>
      <c r="T14" s="180">
        <f>SUM(Tabela2[[#This Row],[G]:[GWD]])</f>
        <v>24</v>
      </c>
    </row>
    <row r="15" spans="1:20">
      <c r="A15" s="183">
        <v>19</v>
      </c>
      <c r="B15" s="174" t="s">
        <v>146</v>
      </c>
      <c r="C15" s="174" t="s">
        <v>725</v>
      </c>
      <c r="D15" s="174">
        <v>2</v>
      </c>
      <c r="E15" s="174" t="s">
        <v>249</v>
      </c>
      <c r="F15" s="174">
        <v>3</v>
      </c>
      <c r="G15" s="174">
        <v>4</v>
      </c>
      <c r="H15" s="174">
        <v>1</v>
      </c>
      <c r="I15" s="174">
        <v>3</v>
      </c>
      <c r="J15" s="174">
        <v>3</v>
      </c>
      <c r="K15" s="174">
        <v>3</v>
      </c>
      <c r="L15" s="174">
        <v>3</v>
      </c>
      <c r="M15" s="174">
        <v>3</v>
      </c>
      <c r="N15" s="174" t="s">
        <v>445</v>
      </c>
      <c r="O15" s="174" t="s">
        <v>204</v>
      </c>
      <c r="P15" s="174"/>
      <c r="Q15" s="185">
        <f>SUM(Tabela2[[#This Row],[G]]+Tabela2[[#This Row],[D]]+Tabela2[[#This Row],[N]]+Tabela2[[#This Row],[HM]])</f>
        <v>11</v>
      </c>
      <c r="R15" s="185">
        <f>SUM(Tabela2[[#This Row],[AO]]+Tabela2[[#This Row],[AD]]+Tabela2[[#This Row],[GWO]]+Tabela2[[#This Row],[GWD]])</f>
        <v>12</v>
      </c>
      <c r="S15" s="185">
        <f>Tabela2[[#This Row],[GWO]]+Tabela2[[#This Row],[GWD]]</f>
        <v>6</v>
      </c>
      <c r="T15" s="180">
        <f>SUM(Tabela2[[#This Row],[G]:[GWD]])</f>
        <v>23</v>
      </c>
    </row>
    <row r="16" spans="1:20" ht="30">
      <c r="A16" s="183">
        <v>52</v>
      </c>
      <c r="B16" s="175" t="s">
        <v>699</v>
      </c>
      <c r="C16" s="175" t="s">
        <v>568</v>
      </c>
      <c r="D16" s="175">
        <v>3</v>
      </c>
      <c r="E16" s="175" t="s">
        <v>18</v>
      </c>
      <c r="F16" s="175">
        <v>1</v>
      </c>
      <c r="G16" s="175">
        <v>3</v>
      </c>
      <c r="H16" s="175">
        <v>5</v>
      </c>
      <c r="I16" s="175">
        <v>4</v>
      </c>
      <c r="J16" s="175">
        <v>2</v>
      </c>
      <c r="K16" s="175">
        <v>1</v>
      </c>
      <c r="L16" s="175">
        <v>5</v>
      </c>
      <c r="M16" s="175">
        <v>2</v>
      </c>
      <c r="N16" s="170"/>
      <c r="O16" s="170" t="s">
        <v>783</v>
      </c>
      <c r="P16" s="194" t="s">
        <v>204</v>
      </c>
      <c r="Q16" s="180">
        <f>SUM(Tabela2[[#This Row],[G]]+Tabela2[[#This Row],[D]]+Tabela2[[#This Row],[N]]+Tabela2[[#This Row],[HM]])</f>
        <v>10</v>
      </c>
      <c r="R16" s="180">
        <f>SUM(Tabela2[[#This Row],[AO]]+Tabela2[[#This Row],[AD]]+Tabela2[[#This Row],[GWO]]+Tabela2[[#This Row],[GWD]])</f>
        <v>13</v>
      </c>
      <c r="S16" s="180">
        <f>Tabela2[[#This Row],[GWO]]+Tabela2[[#This Row],[GWD]]</f>
        <v>7</v>
      </c>
      <c r="T16" s="180">
        <f>SUM(Tabela2[[#This Row],[G]:[GWD]])</f>
        <v>23</v>
      </c>
    </row>
    <row r="17" spans="1:20" ht="30">
      <c r="A17" s="183">
        <v>255</v>
      </c>
      <c r="B17" s="172" t="s">
        <v>467</v>
      </c>
      <c r="C17" s="172" t="s">
        <v>357</v>
      </c>
      <c r="D17" s="172">
        <v>4</v>
      </c>
      <c r="E17" s="172" t="s">
        <v>250</v>
      </c>
      <c r="F17" s="172">
        <v>3</v>
      </c>
      <c r="G17" s="172">
        <v>3</v>
      </c>
      <c r="H17" s="172">
        <v>1</v>
      </c>
      <c r="I17" s="172">
        <v>1</v>
      </c>
      <c r="J17" s="172">
        <v>3</v>
      </c>
      <c r="K17" s="172">
        <v>5</v>
      </c>
      <c r="L17" s="172">
        <v>4</v>
      </c>
      <c r="M17" s="172">
        <v>3</v>
      </c>
      <c r="N17" s="170"/>
      <c r="O17" s="170"/>
      <c r="P17" s="170"/>
      <c r="Q17" s="180">
        <f>SUM(Tabela2[[#This Row],[G]]+Tabela2[[#This Row],[D]]+Tabela2[[#This Row],[N]]+Tabela2[[#This Row],[HM]])</f>
        <v>12</v>
      </c>
      <c r="R17" s="180">
        <f>SUM(Tabela2[[#This Row],[AO]]+Tabela2[[#This Row],[AD]]+Tabela2[[#This Row],[GWO]]+Tabela2[[#This Row],[GWD]])</f>
        <v>11</v>
      </c>
      <c r="S17" s="180">
        <f>Tabela2[[#This Row],[GWO]]+Tabela2[[#This Row],[GWD]]</f>
        <v>7</v>
      </c>
      <c r="T17" s="180">
        <f>SUM(Tabela2[[#This Row],[G]:[GWD]])</f>
        <v>23</v>
      </c>
    </row>
    <row r="18" spans="1:20" ht="30">
      <c r="A18" s="183">
        <v>103</v>
      </c>
      <c r="B18" s="174" t="s">
        <v>641</v>
      </c>
      <c r="C18" s="174" t="s">
        <v>528</v>
      </c>
      <c r="D18" s="174">
        <v>3</v>
      </c>
      <c r="E18" s="174" t="s">
        <v>249</v>
      </c>
      <c r="F18" s="174">
        <v>3</v>
      </c>
      <c r="G18" s="174">
        <v>4</v>
      </c>
      <c r="H18" s="174">
        <v>1</v>
      </c>
      <c r="I18" s="174">
        <v>4</v>
      </c>
      <c r="J18" s="174">
        <v>2</v>
      </c>
      <c r="K18" s="174">
        <v>2</v>
      </c>
      <c r="L18" s="174">
        <v>4</v>
      </c>
      <c r="M18" s="174">
        <v>2</v>
      </c>
      <c r="N18" s="170"/>
      <c r="O18" s="170" t="s">
        <v>204</v>
      </c>
      <c r="P18" s="170"/>
      <c r="Q18" s="180">
        <f>SUM(Tabela2[[#This Row],[G]]+Tabela2[[#This Row],[D]]+Tabela2[[#This Row],[N]]+Tabela2[[#This Row],[HM]])</f>
        <v>10</v>
      </c>
      <c r="R18" s="180">
        <f>SUM(Tabela2[[#This Row],[AO]]+Tabela2[[#This Row],[AD]]+Tabela2[[#This Row],[GWO]]+Tabela2[[#This Row],[GWD]])</f>
        <v>12</v>
      </c>
      <c r="S18" s="180">
        <f>Tabela2[[#This Row],[GWO]]+Tabela2[[#This Row],[GWD]]</f>
        <v>6</v>
      </c>
      <c r="T18" s="180">
        <f>SUM(Tabela2[[#This Row],[G]:[GWD]])</f>
        <v>22</v>
      </c>
    </row>
    <row r="19" spans="1:20">
      <c r="A19" s="183">
        <v>107</v>
      </c>
      <c r="B19" s="174" t="s">
        <v>637</v>
      </c>
      <c r="C19" s="174" t="s">
        <v>521</v>
      </c>
      <c r="D19" s="174">
        <v>3</v>
      </c>
      <c r="E19" s="174" t="s">
        <v>249</v>
      </c>
      <c r="F19" s="174">
        <v>2</v>
      </c>
      <c r="G19" s="174">
        <v>3</v>
      </c>
      <c r="H19" s="174">
        <v>3</v>
      </c>
      <c r="I19" s="174">
        <v>3</v>
      </c>
      <c r="J19" s="174">
        <v>3</v>
      </c>
      <c r="K19" s="174">
        <v>1</v>
      </c>
      <c r="L19" s="174">
        <v>4</v>
      </c>
      <c r="M19" s="174">
        <v>3</v>
      </c>
      <c r="N19" s="170"/>
      <c r="O19" s="170"/>
      <c r="P19" s="194" t="s">
        <v>204</v>
      </c>
      <c r="Q19" s="180">
        <f>SUM(Tabela2[[#This Row],[G]]+Tabela2[[#This Row],[D]]+Tabela2[[#This Row],[N]]+Tabela2[[#This Row],[HM]])</f>
        <v>9</v>
      </c>
      <c r="R19" s="180">
        <f>SUM(Tabela2[[#This Row],[AO]]+Tabela2[[#This Row],[AD]]+Tabela2[[#This Row],[GWO]]+Tabela2[[#This Row],[GWD]])</f>
        <v>13</v>
      </c>
      <c r="S19" s="180">
        <f>Tabela2[[#This Row],[GWO]]+Tabela2[[#This Row],[GWD]]</f>
        <v>7</v>
      </c>
      <c r="T19" s="180">
        <f>SUM(Tabela2[[#This Row],[G]:[GWD]])</f>
        <v>22</v>
      </c>
    </row>
    <row r="20" spans="1:20">
      <c r="A20" s="183">
        <v>199</v>
      </c>
      <c r="B20" s="170" t="s">
        <v>522</v>
      </c>
      <c r="C20" s="170" t="s">
        <v>521</v>
      </c>
      <c r="D20" s="170">
        <v>3</v>
      </c>
      <c r="E20" s="170" t="s">
        <v>272</v>
      </c>
      <c r="F20" s="170">
        <v>1</v>
      </c>
      <c r="G20" s="170">
        <v>2</v>
      </c>
      <c r="H20" s="170">
        <v>4</v>
      </c>
      <c r="I20" s="170">
        <v>3</v>
      </c>
      <c r="J20" s="170">
        <v>4</v>
      </c>
      <c r="K20" s="170">
        <v>1</v>
      </c>
      <c r="L20" s="170">
        <v>4</v>
      </c>
      <c r="M20" s="170">
        <v>3</v>
      </c>
      <c r="N20" s="170"/>
      <c r="O20" s="170"/>
      <c r="P20" s="194" t="s">
        <v>204</v>
      </c>
      <c r="Q20" s="180">
        <f>SUM(Tabela2[[#This Row],[G]]+Tabela2[[#This Row],[D]]+Tabela2[[#This Row],[N]]+Tabela2[[#This Row],[HM]])</f>
        <v>8</v>
      </c>
      <c r="R20" s="180">
        <f>SUM(Tabela2[[#This Row],[AO]]+Tabela2[[#This Row],[AD]]+Tabela2[[#This Row],[GWO]]+Tabela2[[#This Row],[GWD]])</f>
        <v>14</v>
      </c>
      <c r="S20" s="180">
        <f>Tabela2[[#This Row],[GWO]]+Tabela2[[#This Row],[GWD]]</f>
        <v>7</v>
      </c>
      <c r="T20" s="180">
        <f>SUM(Tabela2[[#This Row],[G]:[GWD]])</f>
        <v>22</v>
      </c>
    </row>
    <row r="21" spans="1:20" ht="30">
      <c r="A21" s="183">
        <v>204</v>
      </c>
      <c r="B21" s="175" t="s">
        <v>516</v>
      </c>
      <c r="C21" s="175" t="s">
        <v>412</v>
      </c>
      <c r="D21" s="175">
        <v>4</v>
      </c>
      <c r="E21" s="175" t="s">
        <v>18</v>
      </c>
      <c r="F21" s="175">
        <v>1</v>
      </c>
      <c r="G21" s="175">
        <v>1</v>
      </c>
      <c r="H21" s="175">
        <v>1</v>
      </c>
      <c r="I21" s="175">
        <v>3</v>
      </c>
      <c r="J21" s="175">
        <v>5</v>
      </c>
      <c r="K21" s="175">
        <v>3</v>
      </c>
      <c r="L21" s="175">
        <v>4</v>
      </c>
      <c r="M21" s="175">
        <v>4</v>
      </c>
      <c r="N21" s="170"/>
      <c r="O21" s="170"/>
      <c r="P21" s="170"/>
      <c r="Q21" s="180">
        <f>SUM(Tabela2[[#This Row],[G]]+Tabela2[[#This Row],[D]]+Tabela2[[#This Row],[N]]+Tabela2[[#This Row],[HM]])</f>
        <v>6</v>
      </c>
      <c r="R21" s="180">
        <f>SUM(Tabela2[[#This Row],[AO]]+Tabela2[[#This Row],[AD]]+Tabela2[[#This Row],[GWO]]+Tabela2[[#This Row],[GWD]])</f>
        <v>16</v>
      </c>
      <c r="S21" s="180">
        <f>Tabela2[[#This Row],[GWO]]+Tabela2[[#This Row],[GWD]]</f>
        <v>8</v>
      </c>
      <c r="T21" s="180">
        <f>SUM(Tabela2[[#This Row],[G]:[GWD]])</f>
        <v>22</v>
      </c>
    </row>
    <row r="22" spans="1:20" ht="30">
      <c r="A22" s="183">
        <v>240</v>
      </c>
      <c r="B22" s="174" t="s">
        <v>482</v>
      </c>
      <c r="C22" s="174" t="s">
        <v>344</v>
      </c>
      <c r="D22" s="174">
        <v>4</v>
      </c>
      <c r="E22" s="174" t="s">
        <v>249</v>
      </c>
      <c r="F22" s="174">
        <v>1</v>
      </c>
      <c r="G22" s="174">
        <v>2</v>
      </c>
      <c r="H22" s="174">
        <v>1</v>
      </c>
      <c r="I22" s="174">
        <v>5</v>
      </c>
      <c r="J22" s="174">
        <v>3</v>
      </c>
      <c r="K22" s="174">
        <v>3</v>
      </c>
      <c r="L22" s="174">
        <v>5</v>
      </c>
      <c r="M22" s="174">
        <v>2</v>
      </c>
      <c r="N22" s="170"/>
      <c r="O22" s="170"/>
      <c r="P22" s="170"/>
      <c r="Q22" s="180">
        <f>SUM(Tabela2[[#This Row],[G]]+Tabela2[[#This Row],[D]]+Tabela2[[#This Row],[N]]+Tabela2[[#This Row],[HM]])</f>
        <v>7</v>
      </c>
      <c r="R22" s="180">
        <f>SUM(Tabela2[[#This Row],[AO]]+Tabela2[[#This Row],[AD]]+Tabela2[[#This Row],[GWO]]+Tabela2[[#This Row],[GWD]])</f>
        <v>15</v>
      </c>
      <c r="S22" s="180">
        <f>Tabela2[[#This Row],[GWO]]+Tabela2[[#This Row],[GWD]]</f>
        <v>7</v>
      </c>
      <c r="T22" s="180">
        <f>SUM(Tabela2[[#This Row],[G]:[GWD]])</f>
        <v>22</v>
      </c>
    </row>
    <row r="23" spans="1:20" ht="30">
      <c r="A23" s="183">
        <v>80</v>
      </c>
      <c r="B23" s="174" t="s">
        <v>664</v>
      </c>
      <c r="C23" s="174" t="s">
        <v>572</v>
      </c>
      <c r="D23" s="174">
        <v>3</v>
      </c>
      <c r="E23" s="174" t="s">
        <v>249</v>
      </c>
      <c r="F23" s="174">
        <v>3</v>
      </c>
      <c r="G23" s="174">
        <v>3</v>
      </c>
      <c r="H23" s="174">
        <v>1</v>
      </c>
      <c r="I23" s="174">
        <v>1</v>
      </c>
      <c r="J23" s="174">
        <v>3</v>
      </c>
      <c r="K23" s="174">
        <v>4</v>
      </c>
      <c r="L23" s="174">
        <v>4</v>
      </c>
      <c r="M23" s="174">
        <v>2</v>
      </c>
      <c r="N23" s="170"/>
      <c r="O23" s="170"/>
      <c r="P23" s="194" t="s">
        <v>204</v>
      </c>
      <c r="Q23" s="180">
        <f>SUM(Tabela2[[#This Row],[G]]+Tabela2[[#This Row],[D]]+Tabela2[[#This Row],[N]]+Tabela2[[#This Row],[HM]])</f>
        <v>11</v>
      </c>
      <c r="R23" s="180">
        <f>SUM(Tabela2[[#This Row],[AO]]+Tabela2[[#This Row],[AD]]+Tabela2[[#This Row],[GWO]]+Tabela2[[#This Row],[GWD]])</f>
        <v>10</v>
      </c>
      <c r="S23" s="180">
        <f>Tabela2[[#This Row],[GWO]]+Tabela2[[#This Row],[GWD]]</f>
        <v>6</v>
      </c>
      <c r="T23" s="180">
        <f>SUM(Tabela2[[#This Row],[G]:[GWD]])</f>
        <v>21</v>
      </c>
    </row>
    <row r="24" spans="1:20">
      <c r="A24" s="183">
        <v>58</v>
      </c>
      <c r="B24" s="175" t="s">
        <v>691</v>
      </c>
      <c r="C24" s="175" t="s">
        <v>690</v>
      </c>
      <c r="D24" s="175">
        <v>3</v>
      </c>
      <c r="E24" s="175" t="s">
        <v>18</v>
      </c>
      <c r="F24" s="175">
        <v>3</v>
      </c>
      <c r="G24" s="175">
        <v>5</v>
      </c>
      <c r="H24" s="175">
        <v>1</v>
      </c>
      <c r="I24" s="175">
        <v>2</v>
      </c>
      <c r="J24" s="175">
        <v>2</v>
      </c>
      <c r="K24" s="175">
        <v>4</v>
      </c>
      <c r="L24" s="175">
        <v>2</v>
      </c>
      <c r="M24" s="175">
        <v>2</v>
      </c>
      <c r="N24" s="170"/>
      <c r="O24" s="170" t="s">
        <v>204</v>
      </c>
      <c r="P24" s="170"/>
      <c r="Q24" s="180">
        <f>SUM(Tabela2[[#This Row],[G]]+Tabela2[[#This Row],[D]]+Tabela2[[#This Row],[N]]+Tabela2[[#This Row],[HM]])</f>
        <v>13</v>
      </c>
      <c r="R24" s="180">
        <f>SUM(Tabela2[[#This Row],[AO]]+Tabela2[[#This Row],[AD]]+Tabela2[[#This Row],[GWO]]+Tabela2[[#This Row],[GWD]])</f>
        <v>8</v>
      </c>
      <c r="S24" s="180">
        <f>Tabela2[[#This Row],[GWO]]+Tabela2[[#This Row],[GWD]]</f>
        <v>4</v>
      </c>
      <c r="T24" s="180">
        <f>SUM(Tabela2[[#This Row],[G]:[GWD]])</f>
        <v>21</v>
      </c>
    </row>
    <row r="25" spans="1:20">
      <c r="A25" s="183">
        <v>256</v>
      </c>
      <c r="B25" s="172" t="s">
        <v>466</v>
      </c>
      <c r="C25" s="172" t="s">
        <v>210</v>
      </c>
      <c r="D25" s="172">
        <v>4</v>
      </c>
      <c r="E25" s="172" t="s">
        <v>250</v>
      </c>
      <c r="F25" s="172">
        <v>5</v>
      </c>
      <c r="G25" s="172">
        <v>1</v>
      </c>
      <c r="H25" s="172">
        <v>2</v>
      </c>
      <c r="I25" s="172">
        <v>5</v>
      </c>
      <c r="J25" s="172">
        <v>1</v>
      </c>
      <c r="K25" s="172">
        <v>1</v>
      </c>
      <c r="L25" s="172">
        <v>5</v>
      </c>
      <c r="M25" s="172">
        <v>1</v>
      </c>
      <c r="N25" s="170"/>
      <c r="O25" s="170"/>
      <c r="P25" s="170"/>
      <c r="Q25" s="180">
        <f>SUM(Tabela2[[#This Row],[G]]+Tabela2[[#This Row],[D]]+Tabela2[[#This Row],[N]]+Tabela2[[#This Row],[HM]])</f>
        <v>9</v>
      </c>
      <c r="R25" s="180">
        <f>SUM(Tabela2[[#This Row],[AO]]+Tabela2[[#This Row],[AD]]+Tabela2[[#This Row],[GWO]]+Tabela2[[#This Row],[GWD]])</f>
        <v>12</v>
      </c>
      <c r="S25" s="180">
        <f>Tabela2[[#This Row],[GWO]]+Tabela2[[#This Row],[GWD]]</f>
        <v>6</v>
      </c>
      <c r="T25" s="180">
        <f>SUM(Tabela2[[#This Row],[G]:[GWD]])</f>
        <v>21</v>
      </c>
    </row>
    <row r="26" spans="1:20" ht="30">
      <c r="A26" s="183">
        <v>286</v>
      </c>
      <c r="B26" s="171" t="s">
        <v>434</v>
      </c>
      <c r="C26" s="171" t="s">
        <v>403</v>
      </c>
      <c r="D26" s="171">
        <v>4</v>
      </c>
      <c r="E26" s="171" t="s">
        <v>251</v>
      </c>
      <c r="F26" s="171">
        <v>3</v>
      </c>
      <c r="G26" s="171">
        <v>3</v>
      </c>
      <c r="H26" s="171">
        <v>4</v>
      </c>
      <c r="I26" s="171">
        <v>2</v>
      </c>
      <c r="J26" s="171">
        <v>2</v>
      </c>
      <c r="K26" s="171">
        <v>2</v>
      </c>
      <c r="L26" s="171">
        <v>3</v>
      </c>
      <c r="M26" s="171">
        <v>2</v>
      </c>
      <c r="N26" s="170"/>
      <c r="O26" s="194" t="s">
        <v>204</v>
      </c>
      <c r="P26" s="170"/>
      <c r="Q26" s="180">
        <f>SUM(Tabela2[[#This Row],[G]]+Tabela2[[#This Row],[D]]+Tabela2[[#This Row],[N]]+Tabela2[[#This Row],[HM]])</f>
        <v>12</v>
      </c>
      <c r="R26" s="180">
        <f>SUM(Tabela2[[#This Row],[AO]]+Tabela2[[#This Row],[AD]]+Tabela2[[#This Row],[GWO]]+Tabela2[[#This Row],[GWD]])</f>
        <v>9</v>
      </c>
      <c r="S26" s="180">
        <f>Tabela2[[#This Row],[GWO]]+Tabela2[[#This Row],[GWD]]</f>
        <v>5</v>
      </c>
      <c r="T26" s="180">
        <f>SUM(Tabela2[[#This Row],[G]:[GWD]])</f>
        <v>21</v>
      </c>
    </row>
    <row r="27" spans="1:20">
      <c r="A27" s="183">
        <v>322</v>
      </c>
      <c r="B27" s="170" t="s">
        <v>381</v>
      </c>
      <c r="C27" s="170" t="s">
        <v>227</v>
      </c>
      <c r="D27" s="170">
        <v>4</v>
      </c>
      <c r="E27" s="170" t="s">
        <v>272</v>
      </c>
      <c r="F27" s="170">
        <v>2</v>
      </c>
      <c r="G27" s="170">
        <v>1</v>
      </c>
      <c r="H27" s="170">
        <v>1</v>
      </c>
      <c r="I27" s="170">
        <v>3</v>
      </c>
      <c r="J27" s="170">
        <v>3</v>
      </c>
      <c r="K27" s="170">
        <v>5</v>
      </c>
      <c r="L27" s="170">
        <v>3</v>
      </c>
      <c r="M27" s="170">
        <v>2</v>
      </c>
      <c r="N27" s="170"/>
      <c r="O27" s="170"/>
      <c r="P27" s="170"/>
      <c r="Q27" s="180">
        <f>SUM(Tabela2[[#This Row],[G]]+Tabela2[[#This Row],[D]]+Tabela2[[#This Row],[N]]+Tabela2[[#This Row],[HM]])</f>
        <v>9</v>
      </c>
      <c r="R27" s="180">
        <f>SUM(Tabela2[[#This Row],[AO]]+Tabela2[[#This Row],[AD]]+Tabela2[[#This Row],[GWO]]+Tabela2[[#This Row],[GWD]])</f>
        <v>11</v>
      </c>
      <c r="S27" s="180">
        <f>Tabela2[[#This Row],[GWO]]+Tabela2[[#This Row],[GWD]]</f>
        <v>5</v>
      </c>
      <c r="T27" s="180">
        <f>SUM(Tabela2[[#This Row],[G]:[GWD]])</f>
        <v>20</v>
      </c>
    </row>
    <row r="28" spans="1:20">
      <c r="A28" s="183">
        <v>275</v>
      </c>
      <c r="B28" s="172" t="s">
        <v>447</v>
      </c>
      <c r="C28" s="172" t="s">
        <v>226</v>
      </c>
      <c r="D28" s="172">
        <v>4</v>
      </c>
      <c r="E28" s="172" t="s">
        <v>250</v>
      </c>
      <c r="F28" s="172">
        <v>4</v>
      </c>
      <c r="G28" s="172">
        <v>1</v>
      </c>
      <c r="H28" s="172">
        <v>1</v>
      </c>
      <c r="I28" s="172">
        <v>3</v>
      </c>
      <c r="J28" s="172">
        <v>3</v>
      </c>
      <c r="K28" s="172">
        <v>2</v>
      </c>
      <c r="L28" s="172">
        <v>4</v>
      </c>
      <c r="M28" s="172">
        <v>2</v>
      </c>
      <c r="N28" s="170"/>
      <c r="O28" s="229" t="s">
        <v>204</v>
      </c>
      <c r="P28" s="170"/>
      <c r="Q28" s="180">
        <f>SUM(Tabela2[[#This Row],[G]]+Tabela2[[#This Row],[D]]+Tabela2[[#This Row],[N]]+Tabela2[[#This Row],[HM]])</f>
        <v>8</v>
      </c>
      <c r="R28" s="180">
        <f>SUM(Tabela2[[#This Row],[AO]]+Tabela2[[#This Row],[AD]]+Tabela2[[#This Row],[GWO]]+Tabela2[[#This Row],[GWD]])</f>
        <v>12</v>
      </c>
      <c r="S28" s="180">
        <f>Tabela2[[#This Row],[GWO]]+Tabela2[[#This Row],[GWD]]</f>
        <v>6</v>
      </c>
      <c r="T28" s="180">
        <f>SUM(Tabela2[[#This Row],[G]:[GWD]])</f>
        <v>20</v>
      </c>
    </row>
    <row r="29" spans="1:20">
      <c r="A29" s="183">
        <v>33</v>
      </c>
      <c r="B29" s="172" t="s">
        <v>134</v>
      </c>
      <c r="C29" s="172" t="s">
        <v>721</v>
      </c>
      <c r="D29" s="172">
        <v>2</v>
      </c>
      <c r="E29" s="172" t="s">
        <v>250</v>
      </c>
      <c r="F29" s="172">
        <v>2</v>
      </c>
      <c r="G29" s="172">
        <v>1</v>
      </c>
      <c r="H29" s="172">
        <v>1</v>
      </c>
      <c r="I29" s="172">
        <v>3</v>
      </c>
      <c r="J29" s="172">
        <v>3</v>
      </c>
      <c r="K29" s="172">
        <v>1</v>
      </c>
      <c r="L29" s="172">
        <v>5</v>
      </c>
      <c r="M29" s="172">
        <v>3</v>
      </c>
      <c r="N29" s="170"/>
      <c r="O29" s="170" t="s">
        <v>204</v>
      </c>
      <c r="P29" s="170"/>
      <c r="Q29" s="180">
        <f>SUM(Tabela2[[#This Row],[G]]+Tabela2[[#This Row],[D]]+Tabela2[[#This Row],[N]]+Tabela2[[#This Row],[HM]])</f>
        <v>5</v>
      </c>
      <c r="R29" s="180">
        <f>SUM(Tabela2[[#This Row],[AO]]+Tabela2[[#This Row],[AD]]+Tabela2[[#This Row],[GWO]]+Tabela2[[#This Row],[GWD]])</f>
        <v>14</v>
      </c>
      <c r="S29" s="180">
        <f>Tabela2[[#This Row],[GWO]]+Tabela2[[#This Row],[GWD]]</f>
        <v>8</v>
      </c>
      <c r="T29" s="180">
        <f>SUM(Tabela2[[#This Row],[G]:[GWD]])</f>
        <v>19</v>
      </c>
    </row>
    <row r="30" spans="1:20" ht="30">
      <c r="A30" s="183">
        <v>280</v>
      </c>
      <c r="B30" s="171" t="s">
        <v>440</v>
      </c>
      <c r="C30" s="171" t="s">
        <v>415</v>
      </c>
      <c r="D30" s="171">
        <v>4</v>
      </c>
      <c r="E30" s="171" t="s">
        <v>251</v>
      </c>
      <c r="F30" s="171">
        <v>1</v>
      </c>
      <c r="G30" s="171">
        <v>1</v>
      </c>
      <c r="H30" s="171">
        <v>1</v>
      </c>
      <c r="I30" s="171">
        <v>4</v>
      </c>
      <c r="J30" s="171">
        <v>3</v>
      </c>
      <c r="K30" s="171">
        <v>3</v>
      </c>
      <c r="L30" s="171">
        <v>3</v>
      </c>
      <c r="M30" s="171">
        <v>3</v>
      </c>
      <c r="N30" s="170"/>
      <c r="O30" s="170"/>
      <c r="P30" s="170"/>
      <c r="Q30" s="180">
        <f>SUM(Tabela2[[#This Row],[G]]+Tabela2[[#This Row],[D]]+Tabela2[[#This Row],[N]]+Tabela2[[#This Row],[HM]])</f>
        <v>6</v>
      </c>
      <c r="R30" s="180">
        <f>SUM(Tabela2[[#This Row],[AO]]+Tabela2[[#This Row],[AD]]+Tabela2[[#This Row],[GWO]]+Tabela2[[#This Row],[GWD]])</f>
        <v>13</v>
      </c>
      <c r="S30" s="180">
        <f>Tabela2[[#This Row],[GWO]]+Tabela2[[#This Row],[GWD]]</f>
        <v>6</v>
      </c>
      <c r="T30" s="180">
        <f>SUM(Tabela2[[#This Row],[G]:[GWD]])</f>
        <v>19</v>
      </c>
    </row>
    <row r="31" spans="1:20">
      <c r="A31" s="183">
        <v>288</v>
      </c>
      <c r="B31" s="171" t="s">
        <v>432</v>
      </c>
      <c r="C31" s="171" t="s">
        <v>398</v>
      </c>
      <c r="D31" s="171">
        <v>4</v>
      </c>
      <c r="E31" s="171" t="s">
        <v>251</v>
      </c>
      <c r="F31" s="171">
        <v>3</v>
      </c>
      <c r="G31" s="171">
        <v>2</v>
      </c>
      <c r="H31" s="171">
        <v>1</v>
      </c>
      <c r="I31" s="171">
        <v>1</v>
      </c>
      <c r="J31" s="171">
        <v>3</v>
      </c>
      <c r="K31" s="171">
        <v>1</v>
      </c>
      <c r="L31" s="171">
        <v>3</v>
      </c>
      <c r="M31" s="171">
        <v>5</v>
      </c>
      <c r="N31" s="170"/>
      <c r="O31" s="170"/>
      <c r="P31" s="170"/>
      <c r="Q31" s="180">
        <f>SUM(Tabela2[[#This Row],[G]]+Tabela2[[#This Row],[D]]+Tabela2[[#This Row],[N]]+Tabela2[[#This Row],[HM]])</f>
        <v>7</v>
      </c>
      <c r="R31" s="180">
        <f>SUM(Tabela2[[#This Row],[AO]]+Tabela2[[#This Row],[AD]]+Tabela2[[#This Row],[GWO]]+Tabela2[[#This Row],[GWD]])</f>
        <v>12</v>
      </c>
      <c r="S31" s="180">
        <f>Tabela2[[#This Row],[GWO]]+Tabela2[[#This Row],[GWD]]</f>
        <v>8</v>
      </c>
      <c r="T31" s="180">
        <f>SUM(Tabela2[[#This Row],[G]:[GWD]])</f>
        <v>19</v>
      </c>
    </row>
    <row r="32" spans="1:20" ht="30">
      <c r="A32" s="183">
        <v>211</v>
      </c>
      <c r="B32" s="175" t="s">
        <v>509</v>
      </c>
      <c r="C32" s="175" t="s">
        <v>396</v>
      </c>
      <c r="D32" s="175">
        <v>4</v>
      </c>
      <c r="E32" s="175" t="s">
        <v>18</v>
      </c>
      <c r="F32" s="175">
        <v>1</v>
      </c>
      <c r="G32" s="175">
        <v>4</v>
      </c>
      <c r="H32" s="175">
        <v>3</v>
      </c>
      <c r="I32" s="175">
        <v>3</v>
      </c>
      <c r="J32" s="175">
        <v>2</v>
      </c>
      <c r="K32" s="175">
        <v>1</v>
      </c>
      <c r="L32" s="175">
        <v>3</v>
      </c>
      <c r="M32" s="175">
        <v>2</v>
      </c>
      <c r="N32" s="170"/>
      <c r="O32" s="170"/>
      <c r="P32" s="170"/>
      <c r="Q32" s="180">
        <f>SUM(Tabela2[[#This Row],[G]]+Tabela2[[#This Row],[D]]+Tabela2[[#This Row],[N]]+Tabela2[[#This Row],[HM]])</f>
        <v>9</v>
      </c>
      <c r="R32" s="180">
        <f>SUM(Tabela2[[#This Row],[AO]]+Tabela2[[#This Row],[AD]]+Tabela2[[#This Row],[GWO]]+Tabela2[[#This Row],[GWD]])</f>
        <v>10</v>
      </c>
      <c r="S32" s="180">
        <f>Tabela2[[#This Row],[GWO]]+Tabela2[[#This Row],[GWD]]</f>
        <v>5</v>
      </c>
      <c r="T32" s="180">
        <f>SUM(Tabela2[[#This Row],[G]:[GWD]])</f>
        <v>19</v>
      </c>
    </row>
    <row r="33" spans="1:20">
      <c r="A33" s="183">
        <v>320</v>
      </c>
      <c r="B33" s="170" t="s">
        <v>385</v>
      </c>
      <c r="C33" s="170" t="s">
        <v>384</v>
      </c>
      <c r="D33" s="170">
        <v>4</v>
      </c>
      <c r="E33" s="170" t="s">
        <v>272</v>
      </c>
      <c r="F33" s="170">
        <v>3</v>
      </c>
      <c r="G33" s="170">
        <v>1</v>
      </c>
      <c r="H33" s="170">
        <v>5</v>
      </c>
      <c r="I33" s="170">
        <v>3</v>
      </c>
      <c r="J33" s="170">
        <v>1</v>
      </c>
      <c r="K33" s="170">
        <v>1</v>
      </c>
      <c r="L33" s="170">
        <v>4</v>
      </c>
      <c r="M33" s="170">
        <v>1</v>
      </c>
      <c r="N33" s="170"/>
      <c r="O33" s="170"/>
      <c r="P33" s="170"/>
      <c r="Q33" s="180">
        <f>SUM(Tabela2[[#This Row],[G]]+Tabela2[[#This Row],[D]]+Tabela2[[#This Row],[N]]+Tabela2[[#This Row],[HM]])</f>
        <v>10</v>
      </c>
      <c r="R33" s="180">
        <f>SUM(Tabela2[[#This Row],[AO]]+Tabela2[[#This Row],[AD]]+Tabela2[[#This Row],[GWO]]+Tabela2[[#This Row],[GWD]])</f>
        <v>9</v>
      </c>
      <c r="S33" s="180">
        <f>Tabela2[[#This Row],[GWO]]+Tabela2[[#This Row],[GWD]]</f>
        <v>5</v>
      </c>
      <c r="T33" s="180">
        <f>SUM(Tabela2[[#This Row],[G]:[GWD]])</f>
        <v>19</v>
      </c>
    </row>
    <row r="34" spans="1:20">
      <c r="A34" s="183">
        <v>222</v>
      </c>
      <c r="B34" s="175" t="s">
        <v>343</v>
      </c>
      <c r="C34" s="175" t="s">
        <v>225</v>
      </c>
      <c r="D34" s="175">
        <v>4</v>
      </c>
      <c r="E34" s="175" t="s">
        <v>18</v>
      </c>
      <c r="F34" s="175">
        <v>1</v>
      </c>
      <c r="G34" s="175">
        <v>4</v>
      </c>
      <c r="H34" s="175">
        <v>1</v>
      </c>
      <c r="I34" s="175">
        <v>3</v>
      </c>
      <c r="J34" s="175">
        <v>1</v>
      </c>
      <c r="K34" s="175">
        <v>5</v>
      </c>
      <c r="L34" s="175">
        <v>3</v>
      </c>
      <c r="M34" s="175">
        <v>1</v>
      </c>
      <c r="N34" s="175" t="s">
        <v>445</v>
      </c>
      <c r="O34" s="175" t="s">
        <v>204</v>
      </c>
      <c r="P34" s="175"/>
      <c r="Q34" s="184">
        <f>SUM(Tabela2[[#This Row],[G]]+Tabela2[[#This Row],[D]]+Tabela2[[#This Row],[N]]+Tabela2[[#This Row],[HM]])</f>
        <v>11</v>
      </c>
      <c r="R34" s="184">
        <f>SUM(Tabela2[[#This Row],[AO]]+Tabela2[[#This Row],[AD]]+Tabela2[[#This Row],[GWO]]+Tabela2[[#This Row],[GWD]])</f>
        <v>8</v>
      </c>
      <c r="S34" s="184">
        <f>Tabela2[[#This Row],[GWO]]+Tabela2[[#This Row],[GWD]]</f>
        <v>4</v>
      </c>
      <c r="T34" s="180">
        <f>SUM(Tabela2[[#This Row],[G]:[GWD]])</f>
        <v>19</v>
      </c>
    </row>
    <row r="35" spans="1:20">
      <c r="A35" s="183">
        <v>4</v>
      </c>
      <c r="B35" s="175" t="s">
        <v>209</v>
      </c>
      <c r="C35" s="175" t="s">
        <v>760</v>
      </c>
      <c r="D35" s="175">
        <v>2</v>
      </c>
      <c r="E35" s="175" t="s">
        <v>18</v>
      </c>
      <c r="F35" s="175">
        <v>1</v>
      </c>
      <c r="G35" s="175">
        <v>4</v>
      </c>
      <c r="H35" s="175">
        <v>1</v>
      </c>
      <c r="I35" s="175">
        <v>5</v>
      </c>
      <c r="J35" s="175">
        <v>1</v>
      </c>
      <c r="K35" s="175">
        <v>1</v>
      </c>
      <c r="L35" s="175">
        <v>4</v>
      </c>
      <c r="M35" s="175">
        <v>1</v>
      </c>
      <c r="N35" s="170"/>
      <c r="O35" s="170" t="s">
        <v>204</v>
      </c>
      <c r="P35" s="170"/>
      <c r="Q35" s="180">
        <f>SUM(Tabela2[[#This Row],[G]]+Tabela2[[#This Row],[D]]+Tabela2[[#This Row],[N]]+Tabela2[[#This Row],[HM]])</f>
        <v>7</v>
      </c>
      <c r="R35" s="180">
        <f>SUM(Tabela2[[#This Row],[AO]]+Tabela2[[#This Row],[AD]]+Tabela2[[#This Row],[GWO]]+Tabela2[[#This Row],[GWD]])</f>
        <v>11</v>
      </c>
      <c r="S35" s="180">
        <f>Tabela2[[#This Row],[GWO]]+Tabela2[[#This Row],[GWD]]</f>
        <v>5</v>
      </c>
      <c r="T35" s="180">
        <f>SUM(Tabela2[[#This Row],[G]:[GWD]])</f>
        <v>18</v>
      </c>
    </row>
    <row r="36" spans="1:20" ht="30">
      <c r="A36" s="183">
        <v>136</v>
      </c>
      <c r="B36" s="171" t="s">
        <v>609</v>
      </c>
      <c r="C36" s="171" t="s">
        <v>572</v>
      </c>
      <c r="D36" s="171">
        <v>3</v>
      </c>
      <c r="E36" s="171" t="s">
        <v>251</v>
      </c>
      <c r="F36" s="171">
        <v>2</v>
      </c>
      <c r="G36" s="171">
        <v>2</v>
      </c>
      <c r="H36" s="171">
        <v>1</v>
      </c>
      <c r="I36" s="171">
        <v>3</v>
      </c>
      <c r="J36" s="171">
        <v>1</v>
      </c>
      <c r="K36" s="171">
        <v>4</v>
      </c>
      <c r="L36" s="171">
        <v>3</v>
      </c>
      <c r="M36" s="171">
        <v>2</v>
      </c>
      <c r="N36" s="170"/>
      <c r="O36" s="170"/>
      <c r="P36" s="194" t="s">
        <v>204</v>
      </c>
      <c r="Q36" s="180">
        <f>SUM(Tabela2[[#This Row],[G]]+Tabela2[[#This Row],[D]]+Tabela2[[#This Row],[N]]+Tabela2[[#This Row],[HM]])</f>
        <v>9</v>
      </c>
      <c r="R36" s="180">
        <f>SUM(Tabela2[[#This Row],[AO]]+Tabela2[[#This Row],[AD]]+Tabela2[[#This Row],[GWO]]+Tabela2[[#This Row],[GWD]])</f>
        <v>9</v>
      </c>
      <c r="S36" s="180">
        <f>Tabela2[[#This Row],[GWO]]+Tabela2[[#This Row],[GWD]]</f>
        <v>5</v>
      </c>
      <c r="T36" s="180">
        <f>SUM(Tabela2[[#This Row],[G]:[GWD]])</f>
        <v>18</v>
      </c>
    </row>
    <row r="37" spans="1:20">
      <c r="A37" s="183">
        <v>170</v>
      </c>
      <c r="B37" s="170" t="s">
        <v>186</v>
      </c>
      <c r="C37" s="170" t="s">
        <v>290</v>
      </c>
      <c r="D37" s="170">
        <v>3</v>
      </c>
      <c r="E37" s="170" t="s">
        <v>272</v>
      </c>
      <c r="F37" s="170">
        <v>3</v>
      </c>
      <c r="G37" s="170">
        <v>3</v>
      </c>
      <c r="H37" s="170">
        <v>1</v>
      </c>
      <c r="I37" s="170">
        <v>2</v>
      </c>
      <c r="J37" s="170">
        <v>2</v>
      </c>
      <c r="K37" s="170">
        <v>3</v>
      </c>
      <c r="L37" s="170">
        <v>2</v>
      </c>
      <c r="M37" s="170">
        <v>2</v>
      </c>
      <c r="N37" s="170"/>
      <c r="O37" s="170" t="s">
        <v>204</v>
      </c>
      <c r="P37" s="170"/>
      <c r="Q37" s="180">
        <f>SUM(Tabela2[[#This Row],[G]]+Tabela2[[#This Row],[D]]+Tabela2[[#This Row],[N]]+Tabela2[[#This Row],[HM]])</f>
        <v>10</v>
      </c>
      <c r="R37" s="180">
        <f>SUM(Tabela2[[#This Row],[AO]]+Tabela2[[#This Row],[AD]]+Tabela2[[#This Row],[GWO]]+Tabela2[[#This Row],[GWD]])</f>
        <v>8</v>
      </c>
      <c r="S37" s="180">
        <f>Tabela2[[#This Row],[GWO]]+Tabela2[[#This Row],[GWD]]</f>
        <v>4</v>
      </c>
      <c r="T37" s="180">
        <f>SUM(Tabela2[[#This Row],[G]:[GWD]])</f>
        <v>18</v>
      </c>
    </row>
    <row r="38" spans="1:20">
      <c r="A38" s="183">
        <v>64</v>
      </c>
      <c r="B38" s="175" t="s">
        <v>208</v>
      </c>
      <c r="C38" s="175" t="s">
        <v>358</v>
      </c>
      <c r="D38" s="175">
        <v>3</v>
      </c>
      <c r="E38" s="175" t="s">
        <v>18</v>
      </c>
      <c r="F38" s="175">
        <v>1</v>
      </c>
      <c r="G38" s="175">
        <v>1</v>
      </c>
      <c r="H38" s="175">
        <v>4</v>
      </c>
      <c r="I38" s="175">
        <v>3</v>
      </c>
      <c r="J38" s="175">
        <v>2</v>
      </c>
      <c r="K38" s="175">
        <v>1</v>
      </c>
      <c r="L38" s="175">
        <v>4</v>
      </c>
      <c r="M38" s="175">
        <v>2</v>
      </c>
      <c r="N38" s="170"/>
      <c r="O38" s="170" t="s">
        <v>204</v>
      </c>
      <c r="P38" s="170"/>
      <c r="Q38" s="180">
        <f>SUM(Tabela2[[#This Row],[G]]+Tabela2[[#This Row],[D]]+Tabela2[[#This Row],[N]]+Tabela2[[#This Row],[HM]])</f>
        <v>7</v>
      </c>
      <c r="R38" s="180">
        <f>SUM(Tabela2[[#This Row],[AO]]+Tabela2[[#This Row],[AD]]+Tabela2[[#This Row],[GWO]]+Tabela2[[#This Row],[GWD]])</f>
        <v>11</v>
      </c>
      <c r="S38" s="180">
        <f>Tabela2[[#This Row],[GWO]]+Tabela2[[#This Row],[GWD]]</f>
        <v>6</v>
      </c>
      <c r="T38" s="180">
        <f>SUM(Tabela2[[#This Row],[G]:[GWD]])</f>
        <v>18</v>
      </c>
    </row>
    <row r="39" spans="1:20" ht="30">
      <c r="A39" s="183">
        <v>254</v>
      </c>
      <c r="B39" s="172" t="s">
        <v>468</v>
      </c>
      <c r="C39" s="172" t="s">
        <v>415</v>
      </c>
      <c r="D39" s="172">
        <v>4</v>
      </c>
      <c r="E39" s="172" t="s">
        <v>250</v>
      </c>
      <c r="F39" s="172">
        <v>3</v>
      </c>
      <c r="G39" s="172">
        <v>1</v>
      </c>
      <c r="H39" s="172">
        <v>1</v>
      </c>
      <c r="I39" s="172">
        <v>4</v>
      </c>
      <c r="J39" s="172">
        <v>3</v>
      </c>
      <c r="K39" s="172">
        <v>1</v>
      </c>
      <c r="L39" s="172">
        <v>4</v>
      </c>
      <c r="M39" s="172">
        <v>1</v>
      </c>
      <c r="N39" s="170"/>
      <c r="O39" s="170"/>
      <c r="P39" s="170"/>
      <c r="Q39" s="180">
        <f>SUM(Tabela2[[#This Row],[G]]+Tabela2[[#This Row],[D]]+Tabela2[[#This Row],[N]]+Tabela2[[#This Row],[HM]])</f>
        <v>6</v>
      </c>
      <c r="R39" s="180">
        <f>SUM(Tabela2[[#This Row],[AO]]+Tabela2[[#This Row],[AD]]+Tabela2[[#This Row],[GWO]]+Tabela2[[#This Row],[GWD]])</f>
        <v>12</v>
      </c>
      <c r="S39" s="180">
        <f>Tabela2[[#This Row],[GWO]]+Tabela2[[#This Row],[GWD]]</f>
        <v>5</v>
      </c>
      <c r="T39" s="180">
        <f>SUM(Tabela2[[#This Row],[G]:[GWD]])</f>
        <v>18</v>
      </c>
    </row>
    <row r="40" spans="1:20">
      <c r="A40" s="183">
        <v>282</v>
      </c>
      <c r="B40" s="171" t="s">
        <v>438</v>
      </c>
      <c r="C40" s="171" t="s">
        <v>210</v>
      </c>
      <c r="D40" s="171">
        <v>4</v>
      </c>
      <c r="E40" s="171" t="s">
        <v>251</v>
      </c>
      <c r="F40" s="171">
        <v>1</v>
      </c>
      <c r="G40" s="171">
        <v>1</v>
      </c>
      <c r="H40" s="171">
        <v>1</v>
      </c>
      <c r="I40" s="171">
        <v>4</v>
      </c>
      <c r="J40" s="171">
        <v>1</v>
      </c>
      <c r="K40" s="171">
        <v>3</v>
      </c>
      <c r="L40" s="171">
        <v>4</v>
      </c>
      <c r="M40" s="171">
        <v>3</v>
      </c>
      <c r="N40" s="170"/>
      <c r="O40" s="170"/>
      <c r="P40" s="170"/>
      <c r="Q40" s="180">
        <f>SUM(Tabela2[[#This Row],[G]]+Tabela2[[#This Row],[D]]+Tabela2[[#This Row],[N]]+Tabela2[[#This Row],[HM]])</f>
        <v>6</v>
      </c>
      <c r="R40" s="180">
        <f>SUM(Tabela2[[#This Row],[AO]]+Tabela2[[#This Row],[AD]]+Tabela2[[#This Row],[GWO]]+Tabela2[[#This Row],[GWD]])</f>
        <v>12</v>
      </c>
      <c r="S40" s="180">
        <f>Tabela2[[#This Row],[GWO]]+Tabela2[[#This Row],[GWD]]</f>
        <v>7</v>
      </c>
      <c r="T40" s="180">
        <f>SUM(Tabela2[[#This Row],[G]:[GWD]])</f>
        <v>18</v>
      </c>
    </row>
    <row r="41" spans="1:20">
      <c r="A41" s="183">
        <v>210</v>
      </c>
      <c r="B41" s="175" t="s">
        <v>510</v>
      </c>
      <c r="C41" s="175" t="s">
        <v>398</v>
      </c>
      <c r="D41" s="175">
        <v>4</v>
      </c>
      <c r="E41" s="175" t="s">
        <v>18</v>
      </c>
      <c r="F41" s="175">
        <v>1</v>
      </c>
      <c r="G41" s="175">
        <v>3</v>
      </c>
      <c r="H41" s="175">
        <v>1</v>
      </c>
      <c r="I41" s="175">
        <v>3</v>
      </c>
      <c r="J41" s="175">
        <v>3</v>
      </c>
      <c r="K41" s="175">
        <v>2</v>
      </c>
      <c r="L41" s="175">
        <v>3</v>
      </c>
      <c r="M41" s="175">
        <v>2</v>
      </c>
      <c r="N41" s="170"/>
      <c r="O41" s="170"/>
      <c r="P41" s="170"/>
      <c r="Q41" s="180">
        <f>SUM(Tabela2[[#This Row],[G]]+Tabela2[[#This Row],[D]]+Tabela2[[#This Row],[N]]+Tabela2[[#This Row],[HM]])</f>
        <v>7</v>
      </c>
      <c r="R41" s="180">
        <f>SUM(Tabela2[[#This Row],[AO]]+Tabela2[[#This Row],[AD]]+Tabela2[[#This Row],[GWO]]+Tabela2[[#This Row],[GWD]])</f>
        <v>11</v>
      </c>
      <c r="S41" s="180">
        <f>Tabela2[[#This Row],[GWO]]+Tabela2[[#This Row],[GWD]]</f>
        <v>5</v>
      </c>
      <c r="T41" s="180">
        <f>SUM(Tabela2[[#This Row],[G]:[GWD]])</f>
        <v>18</v>
      </c>
    </row>
    <row r="42" spans="1:20">
      <c r="A42" s="183">
        <v>265</v>
      </c>
      <c r="B42" s="172" t="s">
        <v>356</v>
      </c>
      <c r="C42" s="172" t="s">
        <v>215</v>
      </c>
      <c r="D42" s="172">
        <v>4</v>
      </c>
      <c r="E42" s="172" t="s">
        <v>250</v>
      </c>
      <c r="F42" s="172">
        <v>5</v>
      </c>
      <c r="G42" s="172">
        <v>1</v>
      </c>
      <c r="H42" s="172">
        <v>5</v>
      </c>
      <c r="I42" s="172">
        <v>1</v>
      </c>
      <c r="J42" s="172">
        <v>1</v>
      </c>
      <c r="K42" s="172">
        <v>1</v>
      </c>
      <c r="L42" s="172">
        <v>3</v>
      </c>
      <c r="M42" s="172">
        <v>1</v>
      </c>
      <c r="N42" s="173"/>
      <c r="O42" s="173" t="s">
        <v>204</v>
      </c>
      <c r="P42" s="173"/>
      <c r="Q42" s="181">
        <f>SUM(Tabela2[[#This Row],[G]]+Tabela2[[#This Row],[D]]+Tabela2[[#This Row],[N]]+Tabela2[[#This Row],[HM]])</f>
        <v>12</v>
      </c>
      <c r="R42" s="181">
        <f>SUM(Tabela2[[#This Row],[AO]]+Tabela2[[#This Row],[AD]]+Tabela2[[#This Row],[GWO]]+Tabela2[[#This Row],[GWD]])</f>
        <v>6</v>
      </c>
      <c r="S42" s="181">
        <f>Tabela2[[#This Row],[GWO]]+Tabela2[[#This Row],[GWD]]</f>
        <v>4</v>
      </c>
      <c r="T42" s="181">
        <f>SUM(Tabela2[[#This Row],[G]:[GWD]])</f>
        <v>18</v>
      </c>
    </row>
    <row r="43" spans="1:20" ht="30">
      <c r="A43" s="183">
        <v>116</v>
      </c>
      <c r="B43" s="172" t="s">
        <v>628</v>
      </c>
      <c r="C43" s="172" t="s">
        <v>412</v>
      </c>
      <c r="D43" s="172">
        <v>3</v>
      </c>
      <c r="E43" s="172" t="s">
        <v>250</v>
      </c>
      <c r="F43" s="172">
        <v>3</v>
      </c>
      <c r="G43" s="172">
        <v>2</v>
      </c>
      <c r="H43" s="172">
        <v>1</v>
      </c>
      <c r="I43" s="172">
        <v>1</v>
      </c>
      <c r="J43" s="172">
        <v>3</v>
      </c>
      <c r="K43" s="172">
        <v>2</v>
      </c>
      <c r="L43" s="172">
        <v>3</v>
      </c>
      <c r="M43" s="172">
        <v>2</v>
      </c>
      <c r="N43" s="173"/>
      <c r="O43" s="173" t="s">
        <v>204</v>
      </c>
      <c r="P43" s="173"/>
      <c r="Q43" s="181">
        <f>SUM(Tabela2[[#This Row],[G]]+Tabela2[[#This Row],[D]]+Tabela2[[#This Row],[N]]+Tabela2[[#This Row],[HM]])</f>
        <v>8</v>
      </c>
      <c r="R43" s="181">
        <f>SUM(Tabela2[[#This Row],[AO]]+Tabela2[[#This Row],[AD]]+Tabela2[[#This Row],[GWO]]+Tabela2[[#This Row],[GWD]])</f>
        <v>9</v>
      </c>
      <c r="S43" s="181">
        <f>Tabela2[[#This Row],[GWO]]+Tabela2[[#This Row],[GWD]]</f>
        <v>5</v>
      </c>
      <c r="T43" s="181">
        <f>SUM(Tabela2[[#This Row],[G]:[GWD]])</f>
        <v>17</v>
      </c>
    </row>
    <row r="44" spans="1:20" ht="30">
      <c r="A44" s="183">
        <v>202</v>
      </c>
      <c r="B44" s="175" t="s">
        <v>518</v>
      </c>
      <c r="C44" s="175" t="s">
        <v>415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2</v>
      </c>
      <c r="J44" s="175">
        <v>3</v>
      </c>
      <c r="K44" s="175">
        <v>3</v>
      </c>
      <c r="L44" s="175">
        <v>3</v>
      </c>
      <c r="M44" s="175">
        <v>3</v>
      </c>
      <c r="N44" s="170"/>
      <c r="O44" s="170"/>
      <c r="P44" s="170"/>
      <c r="Q44" s="180">
        <f>SUM(Tabela2[[#This Row],[G]]+Tabela2[[#This Row],[D]]+Tabela2[[#This Row],[N]]+Tabela2[[#This Row],[HM]])</f>
        <v>6</v>
      </c>
      <c r="R44" s="180">
        <f>SUM(Tabela2[[#This Row],[AO]]+Tabela2[[#This Row],[AD]]+Tabela2[[#This Row],[GWO]]+Tabela2[[#This Row],[GWD]])</f>
        <v>11</v>
      </c>
      <c r="S44" s="180">
        <f>Tabela2[[#This Row],[GWO]]+Tabela2[[#This Row],[GWD]]</f>
        <v>6</v>
      </c>
      <c r="T44" s="180">
        <f>SUM(Tabela2[[#This Row],[G]:[GWD]])</f>
        <v>17</v>
      </c>
    </row>
    <row r="45" spans="1:20" ht="30">
      <c r="A45" s="183">
        <v>231</v>
      </c>
      <c r="B45" s="174" t="s">
        <v>490</v>
      </c>
      <c r="C45" s="174" t="s">
        <v>409</v>
      </c>
      <c r="D45" s="174">
        <v>4</v>
      </c>
      <c r="E45" s="174" t="s">
        <v>249</v>
      </c>
      <c r="F45" s="174">
        <v>1</v>
      </c>
      <c r="G45" s="174">
        <v>1</v>
      </c>
      <c r="H45" s="174">
        <v>3</v>
      </c>
      <c r="I45" s="174">
        <v>4</v>
      </c>
      <c r="J45" s="174">
        <v>1</v>
      </c>
      <c r="K45" s="174">
        <v>3</v>
      </c>
      <c r="L45" s="174">
        <v>3</v>
      </c>
      <c r="M45" s="174">
        <v>1</v>
      </c>
      <c r="N45" s="170"/>
      <c r="O45" s="170"/>
      <c r="P45" s="170"/>
      <c r="Q45" s="180">
        <f>SUM(Tabela2[[#This Row],[G]]+Tabela2[[#This Row],[D]]+Tabela2[[#This Row],[N]]+Tabela2[[#This Row],[HM]])</f>
        <v>8</v>
      </c>
      <c r="R45" s="180">
        <f>SUM(Tabela2[[#This Row],[AO]]+Tabela2[[#This Row],[AD]]+Tabela2[[#This Row],[GWO]]+Tabela2[[#This Row],[GWD]])</f>
        <v>9</v>
      </c>
      <c r="S45" s="180">
        <f>Tabela2[[#This Row],[GWO]]+Tabela2[[#This Row],[GWD]]</f>
        <v>4</v>
      </c>
      <c r="T45" s="180">
        <f>SUM(Tabela2[[#This Row],[G]:[GWD]])</f>
        <v>17</v>
      </c>
    </row>
    <row r="46" spans="1:20" ht="30">
      <c r="A46" s="183">
        <v>257</v>
      </c>
      <c r="B46" s="172" t="s">
        <v>465</v>
      </c>
      <c r="C46" s="172" t="s">
        <v>409</v>
      </c>
      <c r="D46" s="172">
        <v>4</v>
      </c>
      <c r="E46" s="172" t="s">
        <v>250</v>
      </c>
      <c r="F46" s="172">
        <v>3</v>
      </c>
      <c r="G46" s="172">
        <v>1</v>
      </c>
      <c r="H46" s="172">
        <v>2</v>
      </c>
      <c r="I46" s="172">
        <v>4</v>
      </c>
      <c r="J46" s="172">
        <v>1</v>
      </c>
      <c r="K46" s="172">
        <v>1</v>
      </c>
      <c r="L46" s="172">
        <v>4</v>
      </c>
      <c r="M46" s="172">
        <v>1</v>
      </c>
      <c r="N46" s="170"/>
      <c r="O46" s="170"/>
      <c r="P46" s="170"/>
      <c r="Q46" s="180">
        <f>SUM(Tabela2[[#This Row],[G]]+Tabela2[[#This Row],[D]]+Tabela2[[#This Row],[N]]+Tabela2[[#This Row],[HM]])</f>
        <v>7</v>
      </c>
      <c r="R46" s="180">
        <f>SUM(Tabela2[[#This Row],[AO]]+Tabela2[[#This Row],[AD]]+Tabela2[[#This Row],[GWO]]+Tabela2[[#This Row],[GWD]])</f>
        <v>10</v>
      </c>
      <c r="S46" s="180">
        <f>Tabela2[[#This Row],[GWO]]+Tabela2[[#This Row],[GWD]]</f>
        <v>5</v>
      </c>
      <c r="T46" s="180">
        <f>SUM(Tabela2[[#This Row],[G]:[GWD]])</f>
        <v>17</v>
      </c>
    </row>
    <row r="47" spans="1:20">
      <c r="A47" s="183">
        <v>295</v>
      </c>
      <c r="B47" s="171" t="s">
        <v>425</v>
      </c>
      <c r="C47" s="171" t="s">
        <v>382</v>
      </c>
      <c r="D47" s="171">
        <v>4</v>
      </c>
      <c r="E47" s="171" t="s">
        <v>251</v>
      </c>
      <c r="F47" s="171">
        <v>2</v>
      </c>
      <c r="G47" s="171">
        <v>1</v>
      </c>
      <c r="H47" s="171">
        <v>2</v>
      </c>
      <c r="I47" s="171">
        <v>5</v>
      </c>
      <c r="J47" s="171">
        <v>1</v>
      </c>
      <c r="K47" s="171">
        <v>1</v>
      </c>
      <c r="L47" s="171">
        <v>4</v>
      </c>
      <c r="M47" s="171">
        <v>1</v>
      </c>
      <c r="N47" s="170"/>
      <c r="O47" s="170"/>
      <c r="P47" s="170"/>
      <c r="Q47" s="180">
        <f>SUM(Tabela2[[#This Row],[G]]+Tabela2[[#This Row],[D]]+Tabela2[[#This Row],[N]]+Tabela2[[#This Row],[HM]])</f>
        <v>6</v>
      </c>
      <c r="R47" s="180">
        <f>SUM(Tabela2[[#This Row],[AO]]+Tabela2[[#This Row],[AD]]+Tabela2[[#This Row],[GWO]]+Tabela2[[#This Row],[GWD]])</f>
        <v>11</v>
      </c>
      <c r="S47" s="180">
        <f>Tabela2[[#This Row],[GWO]]+Tabela2[[#This Row],[GWD]]</f>
        <v>5</v>
      </c>
      <c r="T47" s="180">
        <f>SUM(Tabela2[[#This Row],[G]:[GWD]])</f>
        <v>17</v>
      </c>
    </row>
    <row r="48" spans="1:20">
      <c r="A48" s="183">
        <v>321</v>
      </c>
      <c r="B48" s="170" t="s">
        <v>383</v>
      </c>
      <c r="C48" s="170" t="s">
        <v>382</v>
      </c>
      <c r="D48" s="170">
        <v>4</v>
      </c>
      <c r="E48" s="170" t="s">
        <v>272</v>
      </c>
      <c r="F48" s="170">
        <v>2</v>
      </c>
      <c r="G48" s="170">
        <v>2</v>
      </c>
      <c r="H48" s="170">
        <v>1</v>
      </c>
      <c r="I48" s="170">
        <v>5</v>
      </c>
      <c r="J48" s="170">
        <v>1</v>
      </c>
      <c r="K48" s="170">
        <v>1</v>
      </c>
      <c r="L48" s="170">
        <v>4</v>
      </c>
      <c r="M48" s="170">
        <v>1</v>
      </c>
      <c r="N48" s="170"/>
      <c r="O48" s="170"/>
      <c r="P48" s="170"/>
      <c r="Q48" s="180">
        <f>SUM(Tabela2[[#This Row],[G]]+Tabela2[[#This Row],[D]]+Tabela2[[#This Row],[N]]+Tabela2[[#This Row],[HM]])</f>
        <v>6</v>
      </c>
      <c r="R48" s="180">
        <f>SUM(Tabela2[[#This Row],[AO]]+Tabela2[[#This Row],[AD]]+Tabela2[[#This Row],[GWO]]+Tabela2[[#This Row],[GWD]])</f>
        <v>11</v>
      </c>
      <c r="S48" s="180">
        <f>Tabela2[[#This Row],[GWO]]+Tabela2[[#This Row],[GWD]]</f>
        <v>5</v>
      </c>
      <c r="T48" s="180">
        <f>SUM(Tabela2[[#This Row],[G]:[GWD]])</f>
        <v>17</v>
      </c>
    </row>
    <row r="49" spans="1:20">
      <c r="A49" s="183">
        <v>274</v>
      </c>
      <c r="B49" s="172" t="s">
        <v>448</v>
      </c>
      <c r="C49" s="172" t="s">
        <v>378</v>
      </c>
      <c r="D49" s="172">
        <v>4</v>
      </c>
      <c r="E49" s="172" t="s">
        <v>250</v>
      </c>
      <c r="F49" s="172">
        <v>5</v>
      </c>
      <c r="G49" s="172">
        <v>1</v>
      </c>
      <c r="H49" s="172">
        <v>1</v>
      </c>
      <c r="I49" s="172">
        <v>1</v>
      </c>
      <c r="J49" s="172">
        <v>1</v>
      </c>
      <c r="K49" s="172">
        <v>3</v>
      </c>
      <c r="L49" s="172">
        <v>3</v>
      </c>
      <c r="M49" s="172">
        <v>2</v>
      </c>
      <c r="N49" s="170"/>
      <c r="O49" s="170"/>
      <c r="P49" s="170"/>
      <c r="Q49" s="180">
        <f>SUM(Tabela2[[#This Row],[G]]+Tabela2[[#This Row],[D]]+Tabela2[[#This Row],[N]]+Tabela2[[#This Row],[HM]])</f>
        <v>10</v>
      </c>
      <c r="R49" s="180">
        <f>SUM(Tabela2[[#This Row],[AO]]+Tabela2[[#This Row],[AD]]+Tabela2[[#This Row],[GWO]]+Tabela2[[#This Row],[GWD]])</f>
        <v>7</v>
      </c>
      <c r="S49" s="180">
        <f>Tabela2[[#This Row],[GWO]]+Tabela2[[#This Row],[GWD]]</f>
        <v>5</v>
      </c>
      <c r="T49" s="180">
        <f>SUM(Tabela2[[#This Row],[G]:[GWD]])</f>
        <v>17</v>
      </c>
    </row>
    <row r="50" spans="1:20">
      <c r="A50" s="183">
        <v>79</v>
      </c>
      <c r="B50" s="174" t="s">
        <v>665</v>
      </c>
      <c r="C50" s="174" t="s">
        <v>574</v>
      </c>
      <c r="D50" s="174">
        <v>3</v>
      </c>
      <c r="E50" s="174" t="s">
        <v>249</v>
      </c>
      <c r="F50" s="174">
        <v>2</v>
      </c>
      <c r="G50" s="174">
        <v>2</v>
      </c>
      <c r="H50" s="174">
        <v>3</v>
      </c>
      <c r="I50" s="174">
        <v>3</v>
      </c>
      <c r="J50" s="174">
        <v>1</v>
      </c>
      <c r="K50" s="174">
        <v>2</v>
      </c>
      <c r="L50" s="174">
        <v>2</v>
      </c>
      <c r="M50" s="174">
        <v>1</v>
      </c>
      <c r="N50" s="170"/>
      <c r="O50" s="170"/>
      <c r="P50" s="170"/>
      <c r="Q50" s="180">
        <f>SUM(Tabela2[[#This Row],[G]]+Tabela2[[#This Row],[D]]+Tabela2[[#This Row],[N]]+Tabela2[[#This Row],[HM]])</f>
        <v>9</v>
      </c>
      <c r="R50" s="180">
        <f>SUM(Tabela2[[#This Row],[AO]]+Tabela2[[#This Row],[AD]]+Tabela2[[#This Row],[GWO]]+Tabela2[[#This Row],[GWD]])</f>
        <v>7</v>
      </c>
      <c r="S50" s="180">
        <f>Tabela2[[#This Row],[GWO]]+Tabela2[[#This Row],[GWD]]</f>
        <v>3</v>
      </c>
      <c r="T50" s="180">
        <f>SUM(Tabela2[[#This Row],[G]:[GWD]])</f>
        <v>16</v>
      </c>
    </row>
    <row r="51" spans="1:20" ht="30">
      <c r="A51" s="183">
        <v>147</v>
      </c>
      <c r="B51" s="171" t="s">
        <v>598</v>
      </c>
      <c r="C51" s="171" t="s">
        <v>550</v>
      </c>
      <c r="D51" s="171">
        <v>3</v>
      </c>
      <c r="E51" s="171" t="s">
        <v>251</v>
      </c>
      <c r="F51" s="171">
        <v>1</v>
      </c>
      <c r="G51" s="171">
        <v>1</v>
      </c>
      <c r="H51" s="171">
        <v>3</v>
      </c>
      <c r="I51" s="171">
        <v>2</v>
      </c>
      <c r="J51" s="171">
        <v>1</v>
      </c>
      <c r="K51" s="171">
        <v>5</v>
      </c>
      <c r="L51" s="171">
        <v>2</v>
      </c>
      <c r="M51" s="171">
        <v>1</v>
      </c>
      <c r="N51" s="170"/>
      <c r="O51" s="170"/>
      <c r="P51" s="194" t="s">
        <v>204</v>
      </c>
      <c r="Q51" s="180">
        <f>SUM(Tabela2[[#This Row],[G]]+Tabela2[[#This Row],[D]]+Tabela2[[#This Row],[N]]+Tabela2[[#This Row],[HM]])</f>
        <v>10</v>
      </c>
      <c r="R51" s="180">
        <f>SUM(Tabela2[[#This Row],[AO]]+Tabela2[[#This Row],[AD]]+Tabela2[[#This Row],[GWO]]+Tabela2[[#This Row],[GWD]])</f>
        <v>6</v>
      </c>
      <c r="S51" s="180">
        <f>Tabela2[[#This Row],[GWO]]+Tabela2[[#This Row],[GWD]]</f>
        <v>3</v>
      </c>
      <c r="T51" s="180">
        <f>SUM(Tabela2[[#This Row],[G]:[GWD]])</f>
        <v>16</v>
      </c>
    </row>
    <row r="52" spans="1:20" ht="30">
      <c r="A52" s="183">
        <v>125</v>
      </c>
      <c r="B52" s="172" t="s">
        <v>620</v>
      </c>
      <c r="C52" s="172" t="s">
        <v>538</v>
      </c>
      <c r="D52" s="172">
        <v>3</v>
      </c>
      <c r="E52" s="172" t="s">
        <v>250</v>
      </c>
      <c r="F52" s="172">
        <v>3</v>
      </c>
      <c r="G52" s="172">
        <v>1</v>
      </c>
      <c r="H52" s="172">
        <v>1</v>
      </c>
      <c r="I52" s="172">
        <v>3</v>
      </c>
      <c r="J52" s="172">
        <v>1</v>
      </c>
      <c r="K52" s="172">
        <v>1</v>
      </c>
      <c r="L52" s="172">
        <v>5</v>
      </c>
      <c r="M52" s="172">
        <v>1</v>
      </c>
      <c r="N52" s="170"/>
      <c r="O52" s="170" t="s">
        <v>204</v>
      </c>
      <c r="P52" s="170"/>
      <c r="Q52" s="180">
        <f>SUM(Tabela2[[#This Row],[G]]+Tabela2[[#This Row],[D]]+Tabela2[[#This Row],[N]]+Tabela2[[#This Row],[HM]])</f>
        <v>6</v>
      </c>
      <c r="R52" s="180">
        <f>SUM(Tabela2[[#This Row],[AO]]+Tabela2[[#This Row],[AD]]+Tabela2[[#This Row],[GWO]]+Tabela2[[#This Row],[GWD]])</f>
        <v>10</v>
      </c>
      <c r="S52" s="180">
        <f>Tabela2[[#This Row],[GWO]]+Tabela2[[#This Row],[GWD]]</f>
        <v>6</v>
      </c>
      <c r="T52" s="180">
        <f>SUM(Tabela2[[#This Row],[G]:[GWD]])</f>
        <v>16</v>
      </c>
    </row>
    <row r="53" spans="1:20">
      <c r="A53" s="183">
        <v>164</v>
      </c>
      <c r="B53" s="171" t="s">
        <v>580</v>
      </c>
      <c r="C53" s="171" t="s">
        <v>267</v>
      </c>
      <c r="D53" s="171">
        <v>3</v>
      </c>
      <c r="E53" s="171" t="s">
        <v>251</v>
      </c>
      <c r="F53" s="171">
        <v>1</v>
      </c>
      <c r="G53" s="171">
        <v>1</v>
      </c>
      <c r="H53" s="171">
        <v>1</v>
      </c>
      <c r="I53" s="171">
        <v>2</v>
      </c>
      <c r="J53" s="171">
        <v>3</v>
      </c>
      <c r="K53" s="171">
        <v>2</v>
      </c>
      <c r="L53" s="171">
        <v>3</v>
      </c>
      <c r="M53" s="171">
        <v>3</v>
      </c>
      <c r="N53" s="170"/>
      <c r="O53" s="170"/>
      <c r="P53" s="170"/>
      <c r="Q53" s="180">
        <f>SUM(Tabela2[[#This Row],[G]]+Tabela2[[#This Row],[D]]+Tabela2[[#This Row],[N]]+Tabela2[[#This Row],[HM]])</f>
        <v>5</v>
      </c>
      <c r="R53" s="180">
        <f>SUM(Tabela2[[#This Row],[AO]]+Tabela2[[#This Row],[AD]]+Tabela2[[#This Row],[GWO]]+Tabela2[[#This Row],[GWD]])</f>
        <v>11</v>
      </c>
      <c r="S53" s="180">
        <f>Tabela2[[#This Row],[GWO]]+Tabela2[[#This Row],[GWD]]</f>
        <v>6</v>
      </c>
      <c r="T53" s="180">
        <f>SUM(Tabela2[[#This Row],[G]:[GWD]])</f>
        <v>16</v>
      </c>
    </row>
    <row r="54" spans="1:20">
      <c r="A54" s="183">
        <v>200</v>
      </c>
      <c r="B54" s="176" t="s">
        <v>520</v>
      </c>
      <c r="C54" s="175" t="s">
        <v>419</v>
      </c>
      <c r="D54" s="175">
        <v>4</v>
      </c>
      <c r="E54" s="175" t="s">
        <v>18</v>
      </c>
      <c r="F54" s="175">
        <v>1</v>
      </c>
      <c r="G54" s="175">
        <v>3</v>
      </c>
      <c r="H54" s="175">
        <v>3</v>
      </c>
      <c r="I54" s="175">
        <v>3</v>
      </c>
      <c r="J54" s="175">
        <v>1</v>
      </c>
      <c r="K54" s="175">
        <v>1</v>
      </c>
      <c r="L54" s="175">
        <v>3</v>
      </c>
      <c r="M54" s="175">
        <v>1</v>
      </c>
      <c r="N54" s="170"/>
      <c r="O54" s="170"/>
      <c r="P54" s="170"/>
      <c r="Q54" s="180">
        <f>SUM(Tabela2[[#This Row],[G]]+Tabela2[[#This Row],[D]]+Tabela2[[#This Row],[N]]+Tabela2[[#This Row],[HM]])</f>
        <v>8</v>
      </c>
      <c r="R54" s="180">
        <f>SUM(Tabela2[[#This Row],[AO]]+Tabela2[[#This Row],[AD]]+Tabela2[[#This Row],[GWO]]+Tabela2[[#This Row],[GWD]])</f>
        <v>8</v>
      </c>
      <c r="S54" s="180">
        <f>Tabela2[[#This Row],[GWO]]+Tabela2[[#This Row],[GWD]]</f>
        <v>4</v>
      </c>
      <c r="T54" s="180">
        <f>SUM(Tabela2[[#This Row],[G]:[GWD]])</f>
        <v>16</v>
      </c>
    </row>
    <row r="55" spans="1:20" ht="30">
      <c r="A55" s="183">
        <v>279</v>
      </c>
      <c r="B55" s="171" t="s">
        <v>442</v>
      </c>
      <c r="C55" s="171" t="s">
        <v>441</v>
      </c>
      <c r="D55" s="171">
        <v>4</v>
      </c>
      <c r="E55" s="171" t="s">
        <v>251</v>
      </c>
      <c r="F55" s="171">
        <v>2</v>
      </c>
      <c r="G55" s="171">
        <v>2</v>
      </c>
      <c r="H55" s="171">
        <v>2</v>
      </c>
      <c r="I55" s="171">
        <v>3</v>
      </c>
      <c r="J55" s="171">
        <v>1</v>
      </c>
      <c r="K55" s="171">
        <v>1</v>
      </c>
      <c r="L55" s="171">
        <v>4</v>
      </c>
      <c r="M55" s="171">
        <v>1</v>
      </c>
      <c r="N55" s="170"/>
      <c r="O55" s="170"/>
      <c r="P55" s="170"/>
      <c r="Q55" s="180">
        <f>SUM(Tabela2[[#This Row],[G]]+Tabela2[[#This Row],[D]]+Tabela2[[#This Row],[N]]+Tabela2[[#This Row],[HM]])</f>
        <v>7</v>
      </c>
      <c r="R55" s="180">
        <f>SUM(Tabela2[[#This Row],[AO]]+Tabela2[[#This Row],[AD]]+Tabela2[[#This Row],[GWO]]+Tabela2[[#This Row],[GWD]])</f>
        <v>9</v>
      </c>
      <c r="S55" s="180">
        <f>Tabela2[[#This Row],[GWO]]+Tabela2[[#This Row],[GWD]]</f>
        <v>5</v>
      </c>
      <c r="T55" s="180">
        <f>SUM(Tabela2[[#This Row],[G]:[GWD]])</f>
        <v>16</v>
      </c>
    </row>
    <row r="56" spans="1:20" ht="30">
      <c r="A56" s="183">
        <v>281</v>
      </c>
      <c r="B56" s="171" t="s">
        <v>439</v>
      </c>
      <c r="C56" s="171" t="s">
        <v>357</v>
      </c>
      <c r="D56" s="171">
        <v>4</v>
      </c>
      <c r="E56" s="171" t="s">
        <v>251</v>
      </c>
      <c r="F56" s="171">
        <v>3</v>
      </c>
      <c r="G56" s="171">
        <v>1</v>
      </c>
      <c r="H56" s="171">
        <v>1</v>
      </c>
      <c r="I56" s="171">
        <v>1</v>
      </c>
      <c r="J56" s="171">
        <v>3</v>
      </c>
      <c r="K56" s="171">
        <v>1</v>
      </c>
      <c r="L56" s="171">
        <v>3</v>
      </c>
      <c r="M56" s="171">
        <v>3</v>
      </c>
      <c r="N56" s="170"/>
      <c r="O56" s="170"/>
      <c r="P56" s="170"/>
      <c r="Q56" s="180">
        <f>SUM(Tabela2[[#This Row],[G]]+Tabela2[[#This Row],[D]]+Tabela2[[#This Row],[N]]+Tabela2[[#This Row],[HM]])</f>
        <v>6</v>
      </c>
      <c r="R56" s="180">
        <f>SUM(Tabela2[[#This Row],[AO]]+Tabela2[[#This Row],[AD]]+Tabela2[[#This Row],[GWO]]+Tabela2[[#This Row],[GWD]])</f>
        <v>10</v>
      </c>
      <c r="S56" s="180">
        <f>Tabela2[[#This Row],[GWO]]+Tabela2[[#This Row],[GWD]]</f>
        <v>6</v>
      </c>
      <c r="T56" s="180">
        <f>SUM(Tabela2[[#This Row],[G]:[GWD]])</f>
        <v>16</v>
      </c>
    </row>
    <row r="57" spans="1:20">
      <c r="A57" s="183">
        <v>230</v>
      </c>
      <c r="B57" s="174" t="s">
        <v>491</v>
      </c>
      <c r="C57" s="174" t="s">
        <v>210</v>
      </c>
      <c r="D57" s="174">
        <v>4</v>
      </c>
      <c r="E57" s="174" t="s">
        <v>249</v>
      </c>
      <c r="F57" s="174">
        <v>1</v>
      </c>
      <c r="G57" s="174">
        <v>1</v>
      </c>
      <c r="H57" s="174">
        <v>1</v>
      </c>
      <c r="I57" s="174">
        <v>2</v>
      </c>
      <c r="J57" s="174">
        <v>3</v>
      </c>
      <c r="K57" s="174">
        <v>1</v>
      </c>
      <c r="L57" s="174">
        <v>3</v>
      </c>
      <c r="M57" s="174">
        <v>4</v>
      </c>
      <c r="N57" s="170"/>
      <c r="O57" s="170"/>
      <c r="P57" s="170"/>
      <c r="Q57" s="180">
        <f>SUM(Tabela2[[#This Row],[G]]+Tabela2[[#This Row],[D]]+Tabela2[[#This Row],[N]]+Tabela2[[#This Row],[HM]])</f>
        <v>4</v>
      </c>
      <c r="R57" s="180">
        <f>SUM(Tabela2[[#This Row],[AO]]+Tabela2[[#This Row],[AD]]+Tabela2[[#This Row],[GWO]]+Tabela2[[#This Row],[GWD]])</f>
        <v>12</v>
      </c>
      <c r="S57" s="180">
        <f>Tabela2[[#This Row],[GWO]]+Tabela2[[#This Row],[GWD]]</f>
        <v>7</v>
      </c>
      <c r="T57" s="180">
        <f>SUM(Tabela2[[#This Row],[G]:[GWD]])</f>
        <v>16</v>
      </c>
    </row>
    <row r="58" spans="1:20" ht="30">
      <c r="A58" s="183">
        <v>236</v>
      </c>
      <c r="B58" s="174" t="s">
        <v>486</v>
      </c>
      <c r="C58" s="174" t="s">
        <v>396</v>
      </c>
      <c r="D58" s="174">
        <v>4</v>
      </c>
      <c r="E58" s="174" t="s">
        <v>249</v>
      </c>
      <c r="F58" s="174">
        <v>2</v>
      </c>
      <c r="G58" s="174">
        <v>2</v>
      </c>
      <c r="H58" s="174">
        <v>4</v>
      </c>
      <c r="I58" s="174">
        <v>1</v>
      </c>
      <c r="J58" s="174">
        <v>1</v>
      </c>
      <c r="K58" s="174">
        <v>3</v>
      </c>
      <c r="L58" s="174">
        <v>1</v>
      </c>
      <c r="M58" s="174">
        <v>2</v>
      </c>
      <c r="N58" s="170"/>
      <c r="O58" s="194" t="s">
        <v>204</v>
      </c>
      <c r="P58" s="194"/>
      <c r="Q58" s="180">
        <f>SUM(Tabela2[[#This Row],[G]]+Tabela2[[#This Row],[D]]+Tabela2[[#This Row],[N]]+Tabela2[[#This Row],[HM]])</f>
        <v>11</v>
      </c>
      <c r="R58" s="180">
        <f>SUM(Tabela2[[#This Row],[AO]]+Tabela2[[#This Row],[AD]]+Tabela2[[#This Row],[GWO]]+Tabela2[[#This Row],[GWD]])</f>
        <v>5</v>
      </c>
      <c r="S58" s="180">
        <f>Tabela2[[#This Row],[GWO]]+Tabela2[[#This Row],[GWD]]</f>
        <v>3</v>
      </c>
      <c r="T58" s="180">
        <f>SUM(Tabela2[[#This Row],[G]:[GWD]])</f>
        <v>16</v>
      </c>
    </row>
    <row r="59" spans="1:20" ht="30">
      <c r="A59" s="183">
        <v>212</v>
      </c>
      <c r="B59" s="175" t="s">
        <v>508</v>
      </c>
      <c r="C59" s="175" t="s">
        <v>394</v>
      </c>
      <c r="D59" s="175">
        <v>4</v>
      </c>
      <c r="E59" s="175" t="s">
        <v>18</v>
      </c>
      <c r="F59" s="175">
        <v>1</v>
      </c>
      <c r="G59" s="175">
        <v>3</v>
      </c>
      <c r="H59" s="175">
        <v>3</v>
      </c>
      <c r="I59" s="175">
        <v>3</v>
      </c>
      <c r="J59" s="175">
        <v>1</v>
      </c>
      <c r="K59" s="175">
        <v>1</v>
      </c>
      <c r="L59" s="175">
        <v>3</v>
      </c>
      <c r="M59" s="175">
        <v>1</v>
      </c>
      <c r="N59" s="170"/>
      <c r="O59" s="170"/>
      <c r="P59" s="170"/>
      <c r="Q59" s="180">
        <f>SUM(Tabela2[[#This Row],[G]]+Tabela2[[#This Row],[D]]+Tabela2[[#This Row],[N]]+Tabela2[[#This Row],[HM]])</f>
        <v>8</v>
      </c>
      <c r="R59" s="180">
        <f>SUM(Tabela2[[#This Row],[AO]]+Tabela2[[#This Row],[AD]]+Tabela2[[#This Row],[GWO]]+Tabela2[[#This Row],[GWD]])</f>
        <v>8</v>
      </c>
      <c r="S59" s="180">
        <f>Tabela2[[#This Row],[GWO]]+Tabela2[[#This Row],[GWD]]</f>
        <v>4</v>
      </c>
      <c r="T59" s="180">
        <f>SUM(Tabela2[[#This Row],[G]:[GWD]])</f>
        <v>16</v>
      </c>
    </row>
    <row r="60" spans="1:20" ht="30">
      <c r="A60" s="183">
        <v>213</v>
      </c>
      <c r="B60" s="175" t="s">
        <v>507</v>
      </c>
      <c r="C60" s="175" t="s">
        <v>392</v>
      </c>
      <c r="D60" s="175">
        <v>4</v>
      </c>
      <c r="E60" s="175" t="s">
        <v>18</v>
      </c>
      <c r="F60" s="175">
        <v>1</v>
      </c>
      <c r="G60" s="175">
        <v>1</v>
      </c>
      <c r="H60" s="175">
        <v>5</v>
      </c>
      <c r="I60" s="175">
        <v>3</v>
      </c>
      <c r="J60" s="175">
        <v>1</v>
      </c>
      <c r="K60" s="175">
        <v>1</v>
      </c>
      <c r="L60" s="175">
        <v>3</v>
      </c>
      <c r="M60" s="175">
        <v>1</v>
      </c>
      <c r="N60" s="173"/>
      <c r="O60" s="173"/>
      <c r="P60" s="173"/>
      <c r="Q60" s="181">
        <f>SUM(Tabela2[[#This Row],[G]]+Tabela2[[#This Row],[D]]+Tabela2[[#This Row],[N]]+Tabela2[[#This Row],[HM]])</f>
        <v>8</v>
      </c>
      <c r="R60" s="181">
        <f>SUM(Tabela2[[#This Row],[AO]]+Tabela2[[#This Row],[AD]]+Tabela2[[#This Row],[GWO]]+Tabela2[[#This Row],[GWD]])</f>
        <v>8</v>
      </c>
      <c r="S60" s="181">
        <f>Tabela2[[#This Row],[GWO]]+Tabela2[[#This Row],[GWD]]</f>
        <v>4</v>
      </c>
      <c r="T60" s="181">
        <f>SUM(Tabela2[[#This Row],[G]:[GWD]])</f>
        <v>16</v>
      </c>
    </row>
    <row r="61" spans="1:20" ht="30">
      <c r="A61" s="183">
        <v>264</v>
      </c>
      <c r="B61" s="172" t="s">
        <v>458</v>
      </c>
      <c r="C61" s="172" t="s">
        <v>392</v>
      </c>
      <c r="D61" s="172">
        <v>4</v>
      </c>
      <c r="E61" s="172" t="s">
        <v>250</v>
      </c>
      <c r="F61" s="172">
        <v>4</v>
      </c>
      <c r="G61" s="172">
        <v>1</v>
      </c>
      <c r="H61" s="172">
        <v>4</v>
      </c>
      <c r="I61" s="172">
        <v>1</v>
      </c>
      <c r="J61" s="172">
        <v>1</v>
      </c>
      <c r="K61" s="172">
        <v>1</v>
      </c>
      <c r="L61" s="172">
        <v>3</v>
      </c>
      <c r="M61" s="172">
        <v>1</v>
      </c>
      <c r="N61" s="172" t="s">
        <v>445</v>
      </c>
      <c r="O61" s="172"/>
      <c r="P61" s="172"/>
      <c r="Q61" s="186">
        <f>SUM(Tabela2[[#This Row],[G]]+Tabela2[[#This Row],[D]]+Tabela2[[#This Row],[N]]+Tabela2[[#This Row],[HM]])</f>
        <v>10</v>
      </c>
      <c r="R61" s="186">
        <f>SUM(Tabela2[[#This Row],[AO]]+Tabela2[[#This Row],[AD]]+Tabela2[[#This Row],[GWO]]+Tabela2[[#This Row],[GWD]])</f>
        <v>6</v>
      </c>
      <c r="S61" s="186">
        <f>Tabela2[[#This Row],[GWO]]+Tabela2[[#This Row],[GWD]]</f>
        <v>4</v>
      </c>
      <c r="T61" s="180">
        <f>SUM(Tabela2[[#This Row],[G]:[GWD]])</f>
        <v>16</v>
      </c>
    </row>
    <row r="62" spans="1:20">
      <c r="A62" s="183">
        <v>216</v>
      </c>
      <c r="B62" s="175" t="s">
        <v>504</v>
      </c>
      <c r="C62" s="175" t="s">
        <v>388</v>
      </c>
      <c r="D62" s="175">
        <v>4</v>
      </c>
      <c r="E62" s="175" t="s">
        <v>18</v>
      </c>
      <c r="F62" s="175">
        <v>1</v>
      </c>
      <c r="G62" s="175">
        <v>3</v>
      </c>
      <c r="H62" s="175">
        <v>3</v>
      </c>
      <c r="I62" s="175">
        <v>3</v>
      </c>
      <c r="J62" s="175">
        <v>1</v>
      </c>
      <c r="K62" s="175">
        <v>2</v>
      </c>
      <c r="L62" s="175">
        <v>2</v>
      </c>
      <c r="M62" s="175">
        <v>1</v>
      </c>
      <c r="N62" s="170"/>
      <c r="O62" s="170"/>
      <c r="P62" s="170"/>
      <c r="Q62" s="180">
        <f>SUM(Tabela2[[#This Row],[G]]+Tabela2[[#This Row],[D]]+Tabela2[[#This Row],[N]]+Tabela2[[#This Row],[HM]])</f>
        <v>9</v>
      </c>
      <c r="R62" s="180">
        <f>SUM(Tabela2[[#This Row],[AO]]+Tabela2[[#This Row],[AD]]+Tabela2[[#This Row],[GWO]]+Tabela2[[#This Row],[GWD]])</f>
        <v>7</v>
      </c>
      <c r="S62" s="180">
        <f>Tabela2[[#This Row],[GWO]]+Tabela2[[#This Row],[GWD]]</f>
        <v>3</v>
      </c>
      <c r="T62" s="180">
        <f>SUM(Tabela2[[#This Row],[G]:[GWD]])</f>
        <v>16</v>
      </c>
    </row>
    <row r="63" spans="1:20">
      <c r="A63" s="183">
        <v>241</v>
      </c>
      <c r="B63" s="174" t="s">
        <v>481</v>
      </c>
      <c r="C63" s="174" t="s">
        <v>388</v>
      </c>
      <c r="D63" s="174">
        <v>4</v>
      </c>
      <c r="E63" s="174" t="s">
        <v>249</v>
      </c>
      <c r="F63" s="174">
        <v>1</v>
      </c>
      <c r="G63" s="174">
        <v>1</v>
      </c>
      <c r="H63" s="174">
        <v>3</v>
      </c>
      <c r="I63" s="174">
        <v>4</v>
      </c>
      <c r="J63" s="174">
        <v>1</v>
      </c>
      <c r="K63" s="174">
        <v>1</v>
      </c>
      <c r="L63" s="174">
        <v>4</v>
      </c>
      <c r="M63" s="174">
        <v>1</v>
      </c>
      <c r="N63" s="170"/>
      <c r="O63" s="170"/>
      <c r="P63" s="170"/>
      <c r="Q63" s="180">
        <f>SUM(Tabela2[[#This Row],[G]]+Tabela2[[#This Row],[D]]+Tabela2[[#This Row],[N]]+Tabela2[[#This Row],[HM]])</f>
        <v>6</v>
      </c>
      <c r="R63" s="180">
        <f>SUM(Tabela2[[#This Row],[AO]]+Tabela2[[#This Row],[AD]]+Tabela2[[#This Row],[GWO]]+Tabela2[[#This Row],[GWD]])</f>
        <v>10</v>
      </c>
      <c r="S63" s="180">
        <f>Tabela2[[#This Row],[GWO]]+Tabela2[[#This Row],[GWD]]</f>
        <v>5</v>
      </c>
      <c r="T63" s="180">
        <f>SUM(Tabela2[[#This Row],[G]:[GWD]])</f>
        <v>16</v>
      </c>
    </row>
    <row r="64" spans="1:20">
      <c r="A64" s="183">
        <v>243</v>
      </c>
      <c r="B64" s="174" t="s">
        <v>479</v>
      </c>
      <c r="C64" s="174" t="s">
        <v>384</v>
      </c>
      <c r="D64" s="174">
        <v>4</v>
      </c>
      <c r="E64" s="174" t="s">
        <v>249</v>
      </c>
      <c r="F64" s="174">
        <v>2</v>
      </c>
      <c r="G64" s="174">
        <v>4</v>
      </c>
      <c r="H64" s="174">
        <v>1</v>
      </c>
      <c r="I64" s="174">
        <v>2</v>
      </c>
      <c r="J64" s="174">
        <v>1</v>
      </c>
      <c r="K64" s="174">
        <v>1</v>
      </c>
      <c r="L64" s="174">
        <v>4</v>
      </c>
      <c r="M64" s="174">
        <v>1</v>
      </c>
      <c r="N64" s="170"/>
      <c r="O64" s="170" t="s">
        <v>204</v>
      </c>
      <c r="P64" s="170"/>
      <c r="Q64" s="180">
        <f>SUM(Tabela2[[#This Row],[G]]+Tabela2[[#This Row],[D]]+Tabela2[[#This Row],[N]]+Tabela2[[#This Row],[HM]])</f>
        <v>8</v>
      </c>
      <c r="R64" s="180">
        <f>SUM(Tabela2[[#This Row],[AO]]+Tabela2[[#This Row],[AD]]+Tabela2[[#This Row],[GWO]]+Tabela2[[#This Row],[GWD]])</f>
        <v>8</v>
      </c>
      <c r="S64" s="180">
        <f>Tabela2[[#This Row],[GWO]]+Tabela2[[#This Row],[GWD]]</f>
        <v>5</v>
      </c>
      <c r="T64" s="180">
        <f>SUM(Tabela2[[#This Row],[G]:[GWD]])</f>
        <v>16</v>
      </c>
    </row>
    <row r="65" spans="1:20">
      <c r="A65" s="183">
        <v>269</v>
      </c>
      <c r="B65" s="172" t="s">
        <v>454</v>
      </c>
      <c r="C65" s="172" t="s">
        <v>384</v>
      </c>
      <c r="D65" s="172">
        <v>4</v>
      </c>
      <c r="E65" s="172" t="s">
        <v>250</v>
      </c>
      <c r="F65" s="172">
        <v>3</v>
      </c>
      <c r="G65" s="172">
        <v>1</v>
      </c>
      <c r="H65" s="172">
        <v>4</v>
      </c>
      <c r="I65" s="172">
        <v>2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70"/>
      <c r="Q65" s="180">
        <f>SUM(Tabela2[[#This Row],[G]]+Tabela2[[#This Row],[D]]+Tabela2[[#This Row],[N]]+Tabela2[[#This Row],[HM]])</f>
        <v>9</v>
      </c>
      <c r="R65" s="180">
        <f>SUM(Tabela2[[#This Row],[AO]]+Tabela2[[#This Row],[AD]]+Tabela2[[#This Row],[GWO]]+Tabela2[[#This Row],[GWD]])</f>
        <v>7</v>
      </c>
      <c r="S65" s="180">
        <f>Tabela2[[#This Row],[GWO]]+Tabela2[[#This Row],[GWD]]</f>
        <v>4</v>
      </c>
      <c r="T65" s="180">
        <f>SUM(Tabela2[[#This Row],[G]:[GWD]])</f>
        <v>16</v>
      </c>
    </row>
    <row r="66" spans="1:20" ht="30">
      <c r="A66" s="183">
        <v>220</v>
      </c>
      <c r="B66" s="175" t="s">
        <v>500</v>
      </c>
      <c r="C66" s="175" t="s">
        <v>451</v>
      </c>
      <c r="D66" s="175">
        <v>4</v>
      </c>
      <c r="E66" s="175" t="s">
        <v>18</v>
      </c>
      <c r="F66" s="175">
        <v>1</v>
      </c>
      <c r="G66" s="175">
        <v>1</v>
      </c>
      <c r="H66" s="175">
        <v>5</v>
      </c>
      <c r="I66" s="175">
        <v>3</v>
      </c>
      <c r="J66" s="175">
        <v>1</v>
      </c>
      <c r="K66" s="175">
        <v>1</v>
      </c>
      <c r="L66" s="175">
        <v>3</v>
      </c>
      <c r="M66" s="175">
        <v>1</v>
      </c>
      <c r="N66" s="170"/>
      <c r="O66" s="170"/>
      <c r="P66" s="170"/>
      <c r="Q66" s="180">
        <f>SUM(Tabela2[[#This Row],[G]]+Tabela2[[#This Row],[D]]+Tabela2[[#This Row],[N]]+Tabela2[[#This Row],[HM]])</f>
        <v>8</v>
      </c>
      <c r="R66" s="180">
        <f>SUM(Tabela2[[#This Row],[AO]]+Tabela2[[#This Row],[AD]]+Tabela2[[#This Row],[GWO]]+Tabela2[[#This Row],[GWD]])</f>
        <v>8</v>
      </c>
      <c r="S66" s="180">
        <f>Tabela2[[#This Row],[GWO]]+Tabela2[[#This Row],[GWD]]</f>
        <v>4</v>
      </c>
      <c r="T66" s="180">
        <f>SUM(Tabela2[[#This Row],[G]:[GWD]])</f>
        <v>16</v>
      </c>
    </row>
    <row r="67" spans="1:20">
      <c r="A67" s="183">
        <v>180</v>
      </c>
      <c r="B67" s="170" t="s">
        <v>554</v>
      </c>
      <c r="C67" s="170" t="s">
        <v>283</v>
      </c>
      <c r="D67" s="170">
        <v>3</v>
      </c>
      <c r="E67" s="170" t="s">
        <v>272</v>
      </c>
      <c r="F67" s="170">
        <v>1</v>
      </c>
      <c r="G67" s="170">
        <v>1</v>
      </c>
      <c r="H67" s="170">
        <v>1</v>
      </c>
      <c r="I67" s="170">
        <v>2</v>
      </c>
      <c r="J67" s="170">
        <v>1</v>
      </c>
      <c r="K67" s="170">
        <v>4</v>
      </c>
      <c r="L67" s="170">
        <v>3</v>
      </c>
      <c r="M67" s="170">
        <v>2</v>
      </c>
      <c r="N67" s="170"/>
      <c r="O67" s="170"/>
      <c r="P67" s="170"/>
      <c r="Q67" s="180">
        <f>SUM(Tabela2[[#This Row],[G]]+Tabela2[[#This Row],[D]]+Tabela2[[#This Row],[N]]+Tabela2[[#This Row],[HM]])</f>
        <v>7</v>
      </c>
      <c r="R67" s="180">
        <f>SUM(Tabela2[[#This Row],[AO]]+Tabela2[[#This Row],[AD]]+Tabela2[[#This Row],[GWO]]+Tabela2[[#This Row],[GWD]])</f>
        <v>8</v>
      </c>
      <c r="S67" s="180">
        <f>Tabela2[[#This Row],[GWO]]+Tabela2[[#This Row],[GWD]]</f>
        <v>5</v>
      </c>
      <c r="T67" s="180">
        <f>SUM(Tabela2[[#This Row],[G]:[GWD]])</f>
        <v>15</v>
      </c>
    </row>
    <row r="68" spans="1:20" ht="30">
      <c r="A68" s="183">
        <v>203</v>
      </c>
      <c r="B68" s="175" t="s">
        <v>517</v>
      </c>
      <c r="C68" s="175" t="s">
        <v>357</v>
      </c>
      <c r="D68" s="175">
        <v>4</v>
      </c>
      <c r="E68" s="175" t="s">
        <v>18</v>
      </c>
      <c r="F68" s="175">
        <v>1</v>
      </c>
      <c r="G68" s="175">
        <v>1</v>
      </c>
      <c r="H68" s="175">
        <v>1</v>
      </c>
      <c r="I68" s="175">
        <v>2</v>
      </c>
      <c r="J68" s="175">
        <v>2</v>
      </c>
      <c r="K68" s="175">
        <v>1</v>
      </c>
      <c r="L68" s="175">
        <v>4</v>
      </c>
      <c r="M68" s="175">
        <v>3</v>
      </c>
      <c r="N68" s="170"/>
      <c r="O68" s="170" t="s">
        <v>204</v>
      </c>
      <c r="P68" s="170"/>
      <c r="Q68" s="180">
        <f>SUM(Tabela2[[#This Row],[G]]+Tabela2[[#This Row],[D]]+Tabela2[[#This Row],[N]]+Tabela2[[#This Row],[HM]])</f>
        <v>4</v>
      </c>
      <c r="R68" s="180">
        <f>SUM(Tabela2[[#This Row],[AO]]+Tabela2[[#This Row],[AD]]+Tabela2[[#This Row],[GWO]]+Tabela2[[#This Row],[GWD]])</f>
        <v>11</v>
      </c>
      <c r="S68" s="180">
        <f>Tabela2[[#This Row],[GWO]]+Tabela2[[#This Row],[GWD]]</f>
        <v>7</v>
      </c>
      <c r="T68" s="180">
        <f>SUM(Tabela2[[#This Row],[G]:[GWD]])</f>
        <v>15</v>
      </c>
    </row>
    <row r="69" spans="1:20" ht="30">
      <c r="A69" s="183">
        <v>283</v>
      </c>
      <c r="B69" s="171" t="s">
        <v>437</v>
      </c>
      <c r="C69" s="171" t="s">
        <v>409</v>
      </c>
      <c r="D69" s="171">
        <v>4</v>
      </c>
      <c r="E69" s="171" t="s">
        <v>251</v>
      </c>
      <c r="F69" s="171">
        <v>1</v>
      </c>
      <c r="G69" s="171">
        <v>1</v>
      </c>
      <c r="H69" s="171">
        <v>2</v>
      </c>
      <c r="I69" s="171">
        <v>4</v>
      </c>
      <c r="J69" s="171">
        <v>2</v>
      </c>
      <c r="K69" s="171">
        <v>1</v>
      </c>
      <c r="L69" s="171">
        <v>3</v>
      </c>
      <c r="M69" s="171">
        <v>1</v>
      </c>
      <c r="N69" s="170"/>
      <c r="O69" s="170"/>
      <c r="P69" s="170"/>
      <c r="Q69" s="180">
        <f>SUM(Tabela2[[#This Row],[G]]+Tabela2[[#This Row],[D]]+Tabela2[[#This Row],[N]]+Tabela2[[#This Row],[HM]])</f>
        <v>5</v>
      </c>
      <c r="R69" s="180">
        <f>SUM(Tabela2[[#This Row],[AO]]+Tabela2[[#This Row],[AD]]+Tabela2[[#This Row],[GWO]]+Tabela2[[#This Row],[GWD]])</f>
        <v>10</v>
      </c>
      <c r="S69" s="180">
        <f>Tabela2[[#This Row],[GWO]]+Tabela2[[#This Row],[GWD]]</f>
        <v>4</v>
      </c>
      <c r="T69" s="180">
        <f>SUM(Tabela2[[#This Row],[G]:[GWD]])</f>
        <v>15</v>
      </c>
    </row>
    <row r="70" spans="1:20" ht="30">
      <c r="A70" s="183">
        <v>306</v>
      </c>
      <c r="B70" s="170" t="s">
        <v>410</v>
      </c>
      <c r="C70" s="170" t="s">
        <v>409</v>
      </c>
      <c r="D70" s="170">
        <v>4</v>
      </c>
      <c r="E70" s="170" t="s">
        <v>272</v>
      </c>
      <c r="F70" s="170">
        <v>1</v>
      </c>
      <c r="G70" s="170">
        <v>1</v>
      </c>
      <c r="H70" s="170">
        <v>1</v>
      </c>
      <c r="I70" s="170">
        <v>4</v>
      </c>
      <c r="J70" s="170">
        <v>1</v>
      </c>
      <c r="K70" s="170">
        <v>2</v>
      </c>
      <c r="L70" s="170">
        <v>4</v>
      </c>
      <c r="M70" s="170">
        <v>1</v>
      </c>
      <c r="N70" s="170"/>
      <c r="O70" s="170"/>
      <c r="P70" s="170"/>
      <c r="Q70" s="180">
        <f>SUM(Tabela2[[#This Row],[G]]+Tabela2[[#This Row],[D]]+Tabela2[[#This Row],[N]]+Tabela2[[#This Row],[HM]])</f>
        <v>5</v>
      </c>
      <c r="R70" s="180">
        <f>SUM(Tabela2[[#This Row],[AO]]+Tabela2[[#This Row],[AD]]+Tabela2[[#This Row],[GWO]]+Tabela2[[#This Row],[GWD]])</f>
        <v>10</v>
      </c>
      <c r="S70" s="180">
        <f>Tabela2[[#This Row],[GWO]]+Tabela2[[#This Row],[GWD]]</f>
        <v>5</v>
      </c>
      <c r="T70" s="180">
        <f>SUM(Tabela2[[#This Row],[G]:[GWD]])</f>
        <v>15</v>
      </c>
    </row>
    <row r="71" spans="1:20" ht="30">
      <c r="A71" s="183">
        <v>262</v>
      </c>
      <c r="B71" s="172" t="s">
        <v>460</v>
      </c>
      <c r="C71" s="172" t="s">
        <v>396</v>
      </c>
      <c r="D71" s="172">
        <v>4</v>
      </c>
      <c r="E71" s="172" t="s">
        <v>250</v>
      </c>
      <c r="F71" s="172">
        <v>3</v>
      </c>
      <c r="G71" s="172">
        <v>1</v>
      </c>
      <c r="H71" s="172">
        <v>1</v>
      </c>
      <c r="I71" s="172">
        <v>1</v>
      </c>
      <c r="J71" s="172">
        <v>2</v>
      </c>
      <c r="K71" s="172">
        <v>1</v>
      </c>
      <c r="L71" s="172">
        <v>3</v>
      </c>
      <c r="M71" s="172">
        <v>3</v>
      </c>
      <c r="N71" s="170"/>
      <c r="O71" s="170"/>
      <c r="P71" s="170"/>
      <c r="Q71" s="180">
        <f>SUM(Tabela2[[#This Row],[G]]+Tabela2[[#This Row],[D]]+Tabela2[[#This Row],[N]]+Tabela2[[#This Row],[HM]])</f>
        <v>6</v>
      </c>
      <c r="R71" s="180">
        <f>SUM(Tabela2[[#This Row],[AO]]+Tabela2[[#This Row],[AD]]+Tabela2[[#This Row],[GWO]]+Tabela2[[#This Row],[GWD]])</f>
        <v>9</v>
      </c>
      <c r="S71" s="180">
        <f>Tabela2[[#This Row],[GWO]]+Tabela2[[#This Row],[GWD]]</f>
        <v>6</v>
      </c>
      <c r="T71" s="180">
        <f>SUM(Tabela2[[#This Row],[G]:[GWD]])</f>
        <v>15</v>
      </c>
    </row>
    <row r="72" spans="1:20">
      <c r="A72" s="183">
        <v>292</v>
      </c>
      <c r="B72" s="171" t="s">
        <v>428</v>
      </c>
      <c r="C72" s="171" t="s">
        <v>388</v>
      </c>
      <c r="D72" s="171">
        <v>4</v>
      </c>
      <c r="E72" s="171" t="s">
        <v>251</v>
      </c>
      <c r="F72" s="171">
        <v>1</v>
      </c>
      <c r="G72" s="171">
        <v>4</v>
      </c>
      <c r="H72" s="171">
        <v>3</v>
      </c>
      <c r="I72" s="171">
        <v>1</v>
      </c>
      <c r="J72" s="171">
        <v>1</v>
      </c>
      <c r="K72" s="171">
        <v>1</v>
      </c>
      <c r="L72" s="171">
        <v>3</v>
      </c>
      <c r="M72" s="171">
        <v>1</v>
      </c>
      <c r="N72" s="170"/>
      <c r="O72" s="170"/>
      <c r="P72" s="170"/>
      <c r="Q72" s="180">
        <f>SUM(Tabela2[[#This Row],[G]]+Tabela2[[#This Row],[D]]+Tabela2[[#This Row],[N]]+Tabela2[[#This Row],[HM]])</f>
        <v>9</v>
      </c>
      <c r="R72" s="180">
        <f>SUM(Tabela2[[#This Row],[AO]]+Tabela2[[#This Row],[AD]]+Tabela2[[#This Row],[GWO]]+Tabela2[[#This Row],[GWD]])</f>
        <v>6</v>
      </c>
      <c r="S72" s="180">
        <f>Tabela2[[#This Row],[GWO]]+Tabela2[[#This Row],[GWD]]</f>
        <v>4</v>
      </c>
      <c r="T72" s="180">
        <f>SUM(Tabela2[[#This Row],[G]:[GWD]])</f>
        <v>15</v>
      </c>
    </row>
    <row r="73" spans="1:20">
      <c r="A73" s="183">
        <v>294</v>
      </c>
      <c r="B73" s="171" t="s">
        <v>426</v>
      </c>
      <c r="C73" s="171" t="s">
        <v>384</v>
      </c>
      <c r="D73" s="171">
        <v>4</v>
      </c>
      <c r="E73" s="171" t="s">
        <v>251</v>
      </c>
      <c r="F73" s="171">
        <v>3</v>
      </c>
      <c r="G73" s="171">
        <v>1</v>
      </c>
      <c r="H73" s="171">
        <v>3</v>
      </c>
      <c r="I73" s="171">
        <v>2</v>
      </c>
      <c r="J73" s="171">
        <v>1</v>
      </c>
      <c r="K73" s="171">
        <v>1</v>
      </c>
      <c r="L73" s="171">
        <v>3</v>
      </c>
      <c r="M73" s="171">
        <v>1</v>
      </c>
      <c r="N73" s="170"/>
      <c r="O73" s="170"/>
      <c r="P73" s="170"/>
      <c r="Q73" s="180">
        <f>SUM(Tabela2[[#This Row],[G]]+Tabela2[[#This Row],[D]]+Tabela2[[#This Row],[N]]+Tabela2[[#This Row],[HM]])</f>
        <v>8</v>
      </c>
      <c r="R73" s="180">
        <f>SUM(Tabela2[[#This Row],[AO]]+Tabela2[[#This Row],[AD]]+Tabela2[[#This Row],[GWO]]+Tabela2[[#This Row],[GWD]])</f>
        <v>7</v>
      </c>
      <c r="S73" s="180">
        <f>Tabela2[[#This Row],[GWO]]+Tabela2[[#This Row],[GWD]]</f>
        <v>4</v>
      </c>
      <c r="T73" s="180">
        <f>SUM(Tabela2[[#This Row],[G]:[GWD]])</f>
        <v>15</v>
      </c>
    </row>
    <row r="74" spans="1:20">
      <c r="A74" s="183">
        <v>297</v>
      </c>
      <c r="B74" s="171" t="s">
        <v>423</v>
      </c>
      <c r="C74" s="171" t="s">
        <v>225</v>
      </c>
      <c r="D74" s="171">
        <v>4</v>
      </c>
      <c r="E74" s="171" t="s">
        <v>251</v>
      </c>
      <c r="F74" s="171">
        <v>2</v>
      </c>
      <c r="G74" s="171">
        <v>1</v>
      </c>
      <c r="H74" s="171">
        <v>1</v>
      </c>
      <c r="I74" s="171">
        <v>3</v>
      </c>
      <c r="J74" s="171">
        <v>2</v>
      </c>
      <c r="K74" s="171">
        <v>1</v>
      </c>
      <c r="L74" s="171">
        <v>3</v>
      </c>
      <c r="M74" s="171">
        <v>2</v>
      </c>
      <c r="N74" s="170"/>
      <c r="O74" s="170"/>
      <c r="P74" s="170"/>
      <c r="Q74" s="180">
        <f>SUM(Tabela2[[#This Row],[G]]+Tabela2[[#This Row],[D]]+Tabela2[[#This Row],[N]]+Tabela2[[#This Row],[HM]])</f>
        <v>5</v>
      </c>
      <c r="R74" s="180">
        <f>SUM(Tabela2[[#This Row],[AO]]+Tabela2[[#This Row],[AD]]+Tabela2[[#This Row],[GWO]]+Tabela2[[#This Row],[GWD]])</f>
        <v>10</v>
      </c>
      <c r="S74" s="180">
        <f>Tabela2[[#This Row],[GWO]]+Tabela2[[#This Row],[GWD]]</f>
        <v>5</v>
      </c>
      <c r="T74" s="180">
        <f>SUM(Tabela2[[#This Row],[G]:[GWD]])</f>
        <v>15</v>
      </c>
    </row>
    <row r="75" spans="1:20">
      <c r="A75" s="183">
        <v>323</v>
      </c>
      <c r="B75" s="170" t="s">
        <v>380</v>
      </c>
      <c r="C75" s="170" t="s">
        <v>225</v>
      </c>
      <c r="D75" s="170">
        <v>4</v>
      </c>
      <c r="E75" s="170" t="s">
        <v>272</v>
      </c>
      <c r="F75" s="170">
        <v>2</v>
      </c>
      <c r="G75" s="170">
        <v>1</v>
      </c>
      <c r="H75" s="170">
        <v>1</v>
      </c>
      <c r="I75" s="170">
        <v>2</v>
      </c>
      <c r="J75" s="170">
        <v>3</v>
      </c>
      <c r="K75" s="170">
        <v>3</v>
      </c>
      <c r="L75" s="170">
        <v>2</v>
      </c>
      <c r="M75" s="170">
        <v>1</v>
      </c>
      <c r="N75" s="170"/>
      <c r="O75" s="170"/>
      <c r="P75" s="170"/>
      <c r="Q75" s="180">
        <f>SUM(Tabela2[[#This Row],[G]]+Tabela2[[#This Row],[D]]+Tabela2[[#This Row],[N]]+Tabela2[[#This Row],[HM]])</f>
        <v>7</v>
      </c>
      <c r="R75" s="180">
        <f>SUM(Tabela2[[#This Row],[AO]]+Tabela2[[#This Row],[AD]]+Tabela2[[#This Row],[GWO]]+Tabela2[[#This Row],[GWD]])</f>
        <v>8</v>
      </c>
      <c r="S75" s="180">
        <f>Tabela2[[#This Row],[GWO]]+Tabela2[[#This Row],[GWD]]</f>
        <v>3</v>
      </c>
      <c r="T75" s="180">
        <f>SUM(Tabela2[[#This Row],[G]:[GWD]])</f>
        <v>15</v>
      </c>
    </row>
    <row r="76" spans="1:20">
      <c r="A76" s="183">
        <v>298</v>
      </c>
      <c r="B76" s="171" t="s">
        <v>422</v>
      </c>
      <c r="C76" s="171" t="s">
        <v>378</v>
      </c>
      <c r="D76" s="171">
        <v>4</v>
      </c>
      <c r="E76" s="171" t="s">
        <v>251</v>
      </c>
      <c r="F76" s="171">
        <v>1</v>
      </c>
      <c r="G76" s="171">
        <v>1</v>
      </c>
      <c r="H76" s="171">
        <v>1</v>
      </c>
      <c r="I76" s="171">
        <v>3</v>
      </c>
      <c r="J76" s="171">
        <v>3</v>
      </c>
      <c r="K76" s="171">
        <v>3</v>
      </c>
      <c r="L76" s="171">
        <v>2</v>
      </c>
      <c r="M76" s="171">
        <v>1</v>
      </c>
      <c r="N76" s="170"/>
      <c r="O76" s="170"/>
      <c r="P76" s="170"/>
      <c r="Q76" s="180">
        <f>SUM(Tabela2[[#This Row],[G]]+Tabela2[[#This Row],[D]]+Tabela2[[#This Row],[N]]+Tabela2[[#This Row],[HM]])</f>
        <v>6</v>
      </c>
      <c r="R76" s="180">
        <f>SUM(Tabela2[[#This Row],[AO]]+Tabela2[[#This Row],[AD]]+Tabela2[[#This Row],[GWO]]+Tabela2[[#This Row],[GWD]])</f>
        <v>9</v>
      </c>
      <c r="S76" s="180">
        <f>Tabela2[[#This Row],[GWO]]+Tabela2[[#This Row],[GWD]]</f>
        <v>3</v>
      </c>
      <c r="T76" s="180">
        <f>SUM(Tabela2[[#This Row],[G]:[GWD]])</f>
        <v>15</v>
      </c>
    </row>
    <row r="77" spans="1:20" ht="30">
      <c r="A77" s="183">
        <v>49</v>
      </c>
      <c r="B77" s="175" t="s">
        <v>703</v>
      </c>
      <c r="C77" s="175" t="s">
        <v>572</v>
      </c>
      <c r="D77" s="175">
        <v>3</v>
      </c>
      <c r="E77" s="175" t="s">
        <v>18</v>
      </c>
      <c r="F77" s="175">
        <v>1</v>
      </c>
      <c r="G77" s="175">
        <v>2</v>
      </c>
      <c r="H77" s="175">
        <v>1</v>
      </c>
      <c r="I77" s="175">
        <v>2</v>
      </c>
      <c r="J77" s="175">
        <v>2</v>
      </c>
      <c r="K77" s="175">
        <v>2</v>
      </c>
      <c r="L77" s="175">
        <v>2</v>
      </c>
      <c r="M77" s="175">
        <v>2</v>
      </c>
      <c r="N77" s="170"/>
      <c r="O77" s="170"/>
      <c r="P77" s="170"/>
      <c r="Q77" s="180">
        <f>SUM(Tabela2[[#This Row],[G]]+Tabela2[[#This Row],[D]]+Tabela2[[#This Row],[N]]+Tabela2[[#This Row],[HM]])</f>
        <v>6</v>
      </c>
      <c r="R77" s="180">
        <f>SUM(Tabela2[[#This Row],[AO]]+Tabela2[[#This Row],[AD]]+Tabela2[[#This Row],[GWO]]+Tabela2[[#This Row],[GWD]])</f>
        <v>8</v>
      </c>
      <c r="S77" s="180">
        <f>Tabela2[[#This Row],[GWO]]+Tabela2[[#This Row],[GWD]]</f>
        <v>4</v>
      </c>
      <c r="T77" s="180">
        <f>SUM(Tabela2[[#This Row],[G]:[GWD]])</f>
        <v>14</v>
      </c>
    </row>
    <row r="78" spans="1:20" ht="30">
      <c r="A78" s="183">
        <v>82</v>
      </c>
      <c r="B78" s="174" t="s">
        <v>662</v>
      </c>
      <c r="C78" s="174" t="s">
        <v>568</v>
      </c>
      <c r="D78" s="174">
        <v>3</v>
      </c>
      <c r="E78" s="174" t="s">
        <v>249</v>
      </c>
      <c r="F78" s="174">
        <v>1</v>
      </c>
      <c r="G78" s="174">
        <v>1</v>
      </c>
      <c r="H78" s="174">
        <v>2</v>
      </c>
      <c r="I78" s="174">
        <v>3</v>
      </c>
      <c r="J78" s="174">
        <v>3</v>
      </c>
      <c r="K78" s="174">
        <v>1</v>
      </c>
      <c r="L78" s="174">
        <v>2</v>
      </c>
      <c r="M78" s="174">
        <v>1</v>
      </c>
      <c r="N78" s="170"/>
      <c r="O78" s="170"/>
      <c r="P78" s="170"/>
      <c r="Q78" s="180">
        <f>SUM(Tabela2[[#This Row],[G]]+Tabela2[[#This Row],[D]]+Tabela2[[#This Row],[N]]+Tabela2[[#This Row],[HM]])</f>
        <v>5</v>
      </c>
      <c r="R78" s="180">
        <f>SUM(Tabela2[[#This Row],[AO]]+Tabela2[[#This Row],[AD]]+Tabela2[[#This Row],[GWO]]+Tabela2[[#This Row],[GWD]])</f>
        <v>9</v>
      </c>
      <c r="S78" s="180">
        <f>Tabela2[[#This Row],[GWO]]+Tabela2[[#This Row],[GWD]]</f>
        <v>3</v>
      </c>
      <c r="T78" s="180">
        <f>SUM(Tabela2[[#This Row],[G]:[GWD]])</f>
        <v>14</v>
      </c>
    </row>
    <row r="79" spans="1:20">
      <c r="A79" s="183">
        <v>84</v>
      </c>
      <c r="B79" s="174" t="s">
        <v>660</v>
      </c>
      <c r="C79" s="174" t="s">
        <v>565</v>
      </c>
      <c r="D79" s="174">
        <v>3</v>
      </c>
      <c r="E79" s="174" t="s">
        <v>249</v>
      </c>
      <c r="F79" s="174">
        <v>1</v>
      </c>
      <c r="G79" s="174">
        <v>1</v>
      </c>
      <c r="H79" s="174">
        <v>4</v>
      </c>
      <c r="I79" s="174">
        <v>2</v>
      </c>
      <c r="J79" s="174">
        <v>1</v>
      </c>
      <c r="K79" s="174">
        <v>1</v>
      </c>
      <c r="L79" s="174">
        <v>3</v>
      </c>
      <c r="M79" s="174">
        <v>1</v>
      </c>
      <c r="N79" s="170"/>
      <c r="O79" s="170"/>
      <c r="P79" s="170"/>
      <c r="Q79" s="180">
        <f>SUM(Tabela2[[#This Row],[G]]+Tabela2[[#This Row],[D]]+Tabela2[[#This Row],[N]]+Tabela2[[#This Row],[HM]])</f>
        <v>7</v>
      </c>
      <c r="R79" s="180">
        <f>SUM(Tabela2[[#This Row],[AO]]+Tabela2[[#This Row],[AD]]+Tabela2[[#This Row],[GWO]]+Tabela2[[#This Row],[GWD]])</f>
        <v>7</v>
      </c>
      <c r="S79" s="180">
        <f>Tabela2[[#This Row],[GWO]]+Tabela2[[#This Row],[GWD]]</f>
        <v>4</v>
      </c>
      <c r="T79" s="180">
        <f>SUM(Tabela2[[#This Row],[G]:[GWD]])</f>
        <v>14</v>
      </c>
    </row>
    <row r="80" spans="1:20">
      <c r="A80" s="183">
        <v>146</v>
      </c>
      <c r="B80" s="171" t="s">
        <v>599</v>
      </c>
      <c r="C80" s="171" t="s">
        <v>552</v>
      </c>
      <c r="D80" s="171">
        <v>3</v>
      </c>
      <c r="E80" s="171" t="s">
        <v>251</v>
      </c>
      <c r="F80" s="171">
        <v>2</v>
      </c>
      <c r="G80" s="171">
        <v>1</v>
      </c>
      <c r="H80" s="171">
        <v>1</v>
      </c>
      <c r="I80" s="171">
        <v>2</v>
      </c>
      <c r="J80" s="171">
        <v>2</v>
      </c>
      <c r="K80" s="171">
        <v>3</v>
      </c>
      <c r="L80" s="171">
        <v>2</v>
      </c>
      <c r="M80" s="171">
        <v>1</v>
      </c>
      <c r="N80" s="170"/>
      <c r="O80" s="170"/>
      <c r="P80" s="170"/>
      <c r="Q80" s="180">
        <f>SUM(Tabela2[[#This Row],[G]]+Tabela2[[#This Row],[D]]+Tabela2[[#This Row],[N]]+Tabela2[[#This Row],[HM]])</f>
        <v>7</v>
      </c>
      <c r="R80" s="180">
        <f>SUM(Tabela2[[#This Row],[AO]]+Tabela2[[#This Row],[AD]]+Tabela2[[#This Row],[GWO]]+Tabela2[[#This Row],[GWD]])</f>
        <v>7</v>
      </c>
      <c r="S80" s="180">
        <f>Tabela2[[#This Row],[GWO]]+Tabela2[[#This Row],[GWD]]</f>
        <v>3</v>
      </c>
      <c r="T80" s="180">
        <f>SUM(Tabela2[[#This Row],[G]:[GWD]])</f>
        <v>14</v>
      </c>
    </row>
    <row r="81" spans="1:20" ht="30">
      <c r="A81" s="183">
        <v>91</v>
      </c>
      <c r="B81" s="174" t="s">
        <v>653</v>
      </c>
      <c r="C81" s="174" t="s">
        <v>550</v>
      </c>
      <c r="D81" s="174">
        <v>3</v>
      </c>
      <c r="E81" s="174" t="s">
        <v>249</v>
      </c>
      <c r="F81" s="174">
        <v>2</v>
      </c>
      <c r="G81" s="174">
        <v>2</v>
      </c>
      <c r="H81" s="174">
        <v>1</v>
      </c>
      <c r="I81" s="174">
        <v>1</v>
      </c>
      <c r="J81" s="174">
        <v>1</v>
      </c>
      <c r="K81" s="174">
        <v>5</v>
      </c>
      <c r="L81" s="174">
        <v>1</v>
      </c>
      <c r="M81" s="174">
        <v>1</v>
      </c>
      <c r="N81" s="174" t="s">
        <v>445</v>
      </c>
      <c r="O81" s="174" t="s">
        <v>204</v>
      </c>
      <c r="P81" s="174"/>
      <c r="Q81" s="185">
        <f>SUM(Tabela2[[#This Row],[G]]+Tabela2[[#This Row],[D]]+Tabela2[[#This Row],[N]]+Tabela2[[#This Row],[HM]])</f>
        <v>10</v>
      </c>
      <c r="R81" s="185">
        <f>SUM(Tabela2[[#This Row],[AO]]+Tabela2[[#This Row],[AD]]+Tabela2[[#This Row],[GWO]]+Tabela2[[#This Row],[GWD]])</f>
        <v>4</v>
      </c>
      <c r="S81" s="185">
        <f>Tabela2[[#This Row],[GWO]]+Tabela2[[#This Row],[GWD]]</f>
        <v>2</v>
      </c>
      <c r="T81" s="180">
        <f>SUM(Tabela2[[#This Row],[G]:[GWD]])</f>
        <v>14</v>
      </c>
    </row>
    <row r="82" spans="1:20">
      <c r="A82" s="183">
        <v>184</v>
      </c>
      <c r="B82" s="170" t="s">
        <v>547</v>
      </c>
      <c r="C82" s="170" t="s">
        <v>546</v>
      </c>
      <c r="D82" s="170">
        <v>3</v>
      </c>
      <c r="E82" s="170" t="s">
        <v>272</v>
      </c>
      <c r="F82" s="170">
        <v>2</v>
      </c>
      <c r="G82" s="170">
        <v>2</v>
      </c>
      <c r="H82" s="170">
        <v>2</v>
      </c>
      <c r="I82" s="170">
        <v>2</v>
      </c>
      <c r="J82" s="170">
        <v>2</v>
      </c>
      <c r="K82" s="170">
        <v>1</v>
      </c>
      <c r="L82" s="170">
        <v>2</v>
      </c>
      <c r="M82" s="170">
        <v>1</v>
      </c>
      <c r="N82" s="170"/>
      <c r="O82" s="170"/>
      <c r="P82" s="170"/>
      <c r="Q82" s="180">
        <f>SUM(Tabela2[[#This Row],[G]]+Tabela2[[#This Row],[D]]+Tabela2[[#This Row],[N]]+Tabela2[[#This Row],[HM]])</f>
        <v>7</v>
      </c>
      <c r="R82" s="180">
        <f>SUM(Tabela2[[#This Row],[AO]]+Tabela2[[#This Row],[AD]]+Tabela2[[#This Row],[GWO]]+Tabela2[[#This Row],[GWD]])</f>
        <v>7</v>
      </c>
      <c r="S82" s="180">
        <f>Tabela2[[#This Row],[GWO]]+Tabela2[[#This Row],[GWD]]</f>
        <v>3</v>
      </c>
      <c r="T82" s="180">
        <f>SUM(Tabela2[[#This Row],[G]:[GWD]])</f>
        <v>14</v>
      </c>
    </row>
    <row r="83" spans="1:20" ht="30">
      <c r="A83" s="183">
        <v>61</v>
      </c>
      <c r="B83" s="175" t="s">
        <v>686</v>
      </c>
      <c r="C83" s="175" t="s">
        <v>685</v>
      </c>
      <c r="D83" s="175">
        <v>3</v>
      </c>
      <c r="E83" s="175" t="s">
        <v>18</v>
      </c>
      <c r="F83" s="175">
        <v>1</v>
      </c>
      <c r="G83" s="175">
        <v>1</v>
      </c>
      <c r="H83" s="175">
        <v>1</v>
      </c>
      <c r="I83" s="175">
        <v>4</v>
      </c>
      <c r="J83" s="175">
        <v>1</v>
      </c>
      <c r="K83" s="175">
        <v>1</v>
      </c>
      <c r="L83" s="175">
        <v>4</v>
      </c>
      <c r="M83" s="175">
        <v>1</v>
      </c>
      <c r="N83" s="175" t="s">
        <v>445</v>
      </c>
      <c r="O83" s="175" t="s">
        <v>204</v>
      </c>
      <c r="P83" s="175"/>
      <c r="Q83" s="184">
        <f>SUM(Tabela2[[#This Row],[G]]+Tabela2[[#This Row],[D]]+Tabela2[[#This Row],[N]]+Tabela2[[#This Row],[HM]])</f>
        <v>4</v>
      </c>
      <c r="R83" s="184">
        <f>SUM(Tabela2[[#This Row],[AO]]+Tabela2[[#This Row],[AD]]+Tabela2[[#This Row],[GWO]]+Tabela2[[#This Row],[GWD]])</f>
        <v>10</v>
      </c>
      <c r="S83" s="184">
        <f>Tabela2[[#This Row],[GWO]]+Tabela2[[#This Row],[GWD]]</f>
        <v>5</v>
      </c>
      <c r="T83" s="180">
        <f>SUM(Tabela2[[#This Row],[G]:[GWD]])</f>
        <v>14</v>
      </c>
    </row>
    <row r="84" spans="1:20">
      <c r="A84" s="183">
        <v>133</v>
      </c>
      <c r="B84" s="172" t="s">
        <v>612</v>
      </c>
      <c r="C84" s="172" t="s">
        <v>284</v>
      </c>
      <c r="D84" s="172">
        <v>3</v>
      </c>
      <c r="E84" s="172" t="s">
        <v>250</v>
      </c>
      <c r="F84" s="172">
        <v>2</v>
      </c>
      <c r="G84" s="172">
        <v>1</v>
      </c>
      <c r="H84" s="172">
        <v>3</v>
      </c>
      <c r="I84" s="172">
        <v>2</v>
      </c>
      <c r="J84" s="172">
        <v>1</v>
      </c>
      <c r="K84" s="172">
        <v>1</v>
      </c>
      <c r="L84" s="172">
        <v>3</v>
      </c>
      <c r="M84" s="172">
        <v>1</v>
      </c>
      <c r="N84" s="170"/>
      <c r="O84" s="170"/>
      <c r="P84" s="194" t="s">
        <v>204</v>
      </c>
      <c r="Q84" s="180">
        <f>SUM(Tabela2[[#This Row],[G]]+Tabela2[[#This Row],[D]]+Tabela2[[#This Row],[N]]+Tabela2[[#This Row],[HM]])</f>
        <v>7</v>
      </c>
      <c r="R84" s="180">
        <f>SUM(Tabela2[[#This Row],[AO]]+Tabela2[[#This Row],[AD]]+Tabela2[[#This Row],[GWO]]+Tabela2[[#This Row],[GWD]])</f>
        <v>7</v>
      </c>
      <c r="S84" s="180">
        <f>Tabela2[[#This Row],[GWO]]+Tabela2[[#This Row],[GWD]]</f>
        <v>4</v>
      </c>
      <c r="T84" s="180">
        <f>SUM(Tabela2[[#This Row],[G]:[GWD]])</f>
        <v>14</v>
      </c>
    </row>
    <row r="85" spans="1:20">
      <c r="A85" s="183">
        <v>300</v>
      </c>
      <c r="B85" s="170" t="s">
        <v>420</v>
      </c>
      <c r="C85" s="170" t="s">
        <v>419</v>
      </c>
      <c r="D85" s="170">
        <v>4</v>
      </c>
      <c r="E85" s="170" t="s">
        <v>272</v>
      </c>
      <c r="F85" s="170">
        <v>2</v>
      </c>
      <c r="G85" s="170">
        <v>2</v>
      </c>
      <c r="H85" s="170">
        <v>1</v>
      </c>
      <c r="I85" s="170">
        <v>2</v>
      </c>
      <c r="J85" s="170">
        <v>1</v>
      </c>
      <c r="K85" s="170">
        <v>2</v>
      </c>
      <c r="L85" s="170">
        <v>3</v>
      </c>
      <c r="M85" s="170">
        <v>1</v>
      </c>
      <c r="N85" s="170"/>
      <c r="O85" s="170"/>
      <c r="P85" s="170"/>
      <c r="Q85" s="180">
        <f>SUM(Tabela2[[#This Row],[G]]+Tabela2[[#This Row],[D]]+Tabela2[[#This Row],[N]]+Tabela2[[#This Row],[HM]])</f>
        <v>7</v>
      </c>
      <c r="R85" s="180">
        <f>SUM(Tabela2[[#This Row],[AO]]+Tabela2[[#This Row],[AD]]+Tabela2[[#This Row],[GWO]]+Tabela2[[#This Row],[GWD]])</f>
        <v>7</v>
      </c>
      <c r="S85" s="180">
        <f>Tabela2[[#This Row],[GWO]]+Tabela2[[#This Row],[GWD]]</f>
        <v>4</v>
      </c>
      <c r="T85" s="180">
        <f>SUM(Tabela2[[#This Row],[G]:[GWD]])</f>
        <v>14</v>
      </c>
    </row>
    <row r="86" spans="1:20" ht="30">
      <c r="A86" s="183">
        <v>227</v>
      </c>
      <c r="B86" s="174" t="s">
        <v>494</v>
      </c>
      <c r="C86" s="174" t="s">
        <v>441</v>
      </c>
      <c r="D86" s="174">
        <v>4</v>
      </c>
      <c r="E86" s="174" t="s">
        <v>249</v>
      </c>
      <c r="F86" s="174">
        <v>1</v>
      </c>
      <c r="G86" s="174">
        <v>3</v>
      </c>
      <c r="H86" s="174">
        <v>3</v>
      </c>
      <c r="I86" s="174">
        <v>2</v>
      </c>
      <c r="J86" s="174">
        <v>1</v>
      </c>
      <c r="K86" s="174">
        <v>1</v>
      </c>
      <c r="L86" s="174">
        <v>2</v>
      </c>
      <c r="M86" s="174">
        <v>1</v>
      </c>
      <c r="N86" s="170"/>
      <c r="O86" s="170"/>
      <c r="P86" s="170"/>
      <c r="Q86" s="180">
        <f>SUM(Tabela2[[#This Row],[G]]+Tabela2[[#This Row],[D]]+Tabela2[[#This Row],[N]]+Tabela2[[#This Row],[HM]])</f>
        <v>8</v>
      </c>
      <c r="R86" s="180">
        <f>SUM(Tabela2[[#This Row],[AO]]+Tabela2[[#This Row],[AD]]+Tabela2[[#This Row],[GWO]]+Tabela2[[#This Row],[GWD]])</f>
        <v>6</v>
      </c>
      <c r="S86" s="180">
        <f>Tabela2[[#This Row],[GWO]]+Tabela2[[#This Row],[GWD]]</f>
        <v>3</v>
      </c>
      <c r="T86" s="180">
        <f>SUM(Tabela2[[#This Row],[G]:[GWD]])</f>
        <v>14</v>
      </c>
    </row>
    <row r="87" spans="1:20" ht="30">
      <c r="A87" s="183">
        <v>301</v>
      </c>
      <c r="B87" s="170" t="s">
        <v>418</v>
      </c>
      <c r="C87" s="170" t="s">
        <v>417</v>
      </c>
      <c r="D87" s="170">
        <v>4</v>
      </c>
      <c r="E87" s="170" t="s">
        <v>272</v>
      </c>
      <c r="F87" s="170">
        <v>2</v>
      </c>
      <c r="G87" s="170">
        <v>2</v>
      </c>
      <c r="H87" s="170">
        <v>1</v>
      </c>
      <c r="I87" s="170">
        <v>2</v>
      </c>
      <c r="J87" s="170">
        <v>1</v>
      </c>
      <c r="K87" s="170">
        <v>1</v>
      </c>
      <c r="L87" s="170">
        <v>4</v>
      </c>
      <c r="M87" s="170">
        <v>1</v>
      </c>
      <c r="N87" s="170"/>
      <c r="O87" s="170"/>
      <c r="P87" s="170"/>
      <c r="Q87" s="180">
        <f>SUM(Tabela2[[#This Row],[G]]+Tabela2[[#This Row],[D]]+Tabela2[[#This Row],[N]]+Tabela2[[#This Row],[HM]])</f>
        <v>6</v>
      </c>
      <c r="R87" s="180">
        <f>SUM(Tabela2[[#This Row],[AO]]+Tabela2[[#This Row],[AD]]+Tabela2[[#This Row],[GWO]]+Tabela2[[#This Row],[GWD]])</f>
        <v>8</v>
      </c>
      <c r="S87" s="180">
        <f>Tabela2[[#This Row],[GWO]]+Tabela2[[#This Row],[GWD]]</f>
        <v>5</v>
      </c>
      <c r="T87" s="180">
        <f>SUM(Tabela2[[#This Row],[G]:[GWD]])</f>
        <v>14</v>
      </c>
    </row>
    <row r="88" spans="1:20">
      <c r="A88" s="183">
        <v>285</v>
      </c>
      <c r="B88" s="171" t="s">
        <v>435</v>
      </c>
      <c r="C88" s="171" t="s">
        <v>405</v>
      </c>
      <c r="D88" s="171">
        <v>4</v>
      </c>
      <c r="E88" s="171" t="s">
        <v>251</v>
      </c>
      <c r="F88" s="171">
        <v>1</v>
      </c>
      <c r="G88" s="171">
        <v>1</v>
      </c>
      <c r="H88" s="171">
        <v>1</v>
      </c>
      <c r="I88" s="171">
        <v>1</v>
      </c>
      <c r="J88" s="171">
        <v>3</v>
      </c>
      <c r="K88" s="171">
        <v>1</v>
      </c>
      <c r="L88" s="171">
        <v>3</v>
      </c>
      <c r="M88" s="171">
        <v>3</v>
      </c>
      <c r="N88" s="170"/>
      <c r="O88" s="170"/>
      <c r="P88" s="170"/>
      <c r="Q88" s="180">
        <f>SUM(Tabela2[[#This Row],[G]]+Tabela2[[#This Row],[D]]+Tabela2[[#This Row],[N]]+Tabela2[[#This Row],[HM]])</f>
        <v>4</v>
      </c>
      <c r="R88" s="180">
        <f>SUM(Tabela2[[#This Row],[AO]]+Tabela2[[#This Row],[AD]]+Tabela2[[#This Row],[GWO]]+Tabela2[[#This Row],[GWD]])</f>
        <v>10</v>
      </c>
      <c r="S88" s="180">
        <f>Tabela2[[#This Row],[GWO]]+Tabela2[[#This Row],[GWD]]</f>
        <v>6</v>
      </c>
      <c r="T88" s="180">
        <f>SUM(Tabela2[[#This Row],[G]:[GWD]])</f>
        <v>14</v>
      </c>
    </row>
    <row r="89" spans="1:20" ht="30">
      <c r="A89" s="183">
        <v>209</v>
      </c>
      <c r="B89" s="175" t="s">
        <v>511</v>
      </c>
      <c r="C89" s="175" t="s">
        <v>403</v>
      </c>
      <c r="D89" s="175">
        <v>4</v>
      </c>
      <c r="E89" s="175" t="s">
        <v>18</v>
      </c>
      <c r="F89" s="175">
        <v>1</v>
      </c>
      <c r="G89" s="175">
        <v>2</v>
      </c>
      <c r="H89" s="175">
        <v>2</v>
      </c>
      <c r="I89" s="175">
        <v>3</v>
      </c>
      <c r="J89" s="175">
        <v>1</v>
      </c>
      <c r="K89" s="175">
        <v>1</v>
      </c>
      <c r="L89" s="175">
        <v>3</v>
      </c>
      <c r="M89" s="175">
        <v>1</v>
      </c>
      <c r="N89" s="170"/>
      <c r="O89" s="170"/>
      <c r="P89" s="170"/>
      <c r="Q89" s="180">
        <f>SUM(Tabela2[[#This Row],[G]]+Tabela2[[#This Row],[D]]+Tabela2[[#This Row],[N]]+Tabela2[[#This Row],[HM]])</f>
        <v>6</v>
      </c>
      <c r="R89" s="180">
        <f>SUM(Tabela2[[#This Row],[AO]]+Tabela2[[#This Row],[AD]]+Tabela2[[#This Row],[GWO]]+Tabela2[[#This Row],[GWD]])</f>
        <v>8</v>
      </c>
      <c r="S89" s="180">
        <f>Tabela2[[#This Row],[GWO]]+Tabela2[[#This Row],[GWD]]</f>
        <v>4</v>
      </c>
      <c r="T89" s="180">
        <f>SUM(Tabela2[[#This Row],[G]:[GWD]])</f>
        <v>14</v>
      </c>
    </row>
    <row r="90" spans="1:20" ht="30">
      <c r="A90" s="183">
        <v>215</v>
      </c>
      <c r="B90" s="175" t="s">
        <v>505</v>
      </c>
      <c r="C90" s="175" t="s">
        <v>344</v>
      </c>
      <c r="D90" s="175">
        <v>4</v>
      </c>
      <c r="E90" s="175" t="s">
        <v>18</v>
      </c>
      <c r="F90" s="175">
        <v>1</v>
      </c>
      <c r="G90" s="175">
        <v>2</v>
      </c>
      <c r="H90" s="175">
        <v>1</v>
      </c>
      <c r="I90" s="175">
        <v>3</v>
      </c>
      <c r="J90" s="175">
        <v>1</v>
      </c>
      <c r="K90" s="175">
        <v>1</v>
      </c>
      <c r="L90" s="175">
        <v>4</v>
      </c>
      <c r="M90" s="175">
        <v>1</v>
      </c>
      <c r="N90" s="170"/>
      <c r="O90" s="170"/>
      <c r="P90" s="170"/>
      <c r="Q90" s="180">
        <f>SUM(Tabela2[[#This Row],[G]]+Tabela2[[#This Row],[D]]+Tabela2[[#This Row],[N]]+Tabela2[[#This Row],[HM]])</f>
        <v>5</v>
      </c>
      <c r="R90" s="180">
        <f>SUM(Tabela2[[#This Row],[AO]]+Tabela2[[#This Row],[AD]]+Tabela2[[#This Row],[GWO]]+Tabela2[[#This Row],[GWD]])</f>
        <v>9</v>
      </c>
      <c r="S90" s="180">
        <f>Tabela2[[#This Row],[GWO]]+Tabela2[[#This Row],[GWD]]</f>
        <v>5</v>
      </c>
      <c r="T90" s="180">
        <f>SUM(Tabela2[[#This Row],[G]:[GWD]])</f>
        <v>14</v>
      </c>
    </row>
    <row r="91" spans="1:20">
      <c r="A91" s="183">
        <v>318</v>
      </c>
      <c r="B91" s="170" t="s">
        <v>389</v>
      </c>
      <c r="C91" s="170" t="s">
        <v>388</v>
      </c>
      <c r="D91" s="170">
        <v>4</v>
      </c>
      <c r="E91" s="170" t="s">
        <v>272</v>
      </c>
      <c r="F91" s="170">
        <v>1</v>
      </c>
      <c r="G91" s="170">
        <v>1</v>
      </c>
      <c r="H91" s="170">
        <v>3</v>
      </c>
      <c r="I91" s="170">
        <v>2</v>
      </c>
      <c r="J91" s="170">
        <v>1</v>
      </c>
      <c r="K91" s="170">
        <v>1</v>
      </c>
      <c r="L91" s="170">
        <v>4</v>
      </c>
      <c r="M91" s="170">
        <v>1</v>
      </c>
      <c r="N91" s="170"/>
      <c r="O91" s="170"/>
      <c r="P91" s="170"/>
      <c r="Q91" s="180">
        <f>SUM(Tabela2[[#This Row],[G]]+Tabela2[[#This Row],[D]]+Tabela2[[#This Row],[N]]+Tabela2[[#This Row],[HM]])</f>
        <v>6</v>
      </c>
      <c r="R91" s="180">
        <f>SUM(Tabela2[[#This Row],[AO]]+Tabela2[[#This Row],[AD]]+Tabela2[[#This Row],[GWO]]+Tabela2[[#This Row],[GWD]])</f>
        <v>8</v>
      </c>
      <c r="S91" s="180">
        <f>Tabela2[[#This Row],[GWO]]+Tabela2[[#This Row],[GWD]]</f>
        <v>5</v>
      </c>
      <c r="T91" s="180">
        <f>SUM(Tabela2[[#This Row],[G]:[GWD]])</f>
        <v>14</v>
      </c>
    </row>
    <row r="92" spans="1:20">
      <c r="A92" s="183">
        <v>272</v>
      </c>
      <c r="B92" s="172" t="s">
        <v>450</v>
      </c>
      <c r="C92" s="172" t="s">
        <v>227</v>
      </c>
      <c r="D92" s="172">
        <v>4</v>
      </c>
      <c r="E92" s="172" t="s">
        <v>250</v>
      </c>
      <c r="F92" s="172">
        <v>2</v>
      </c>
      <c r="G92" s="172">
        <v>1</v>
      </c>
      <c r="H92" s="172">
        <v>4</v>
      </c>
      <c r="I92" s="172">
        <v>1</v>
      </c>
      <c r="J92" s="172">
        <v>1</v>
      </c>
      <c r="K92" s="172">
        <v>1</v>
      </c>
      <c r="L92" s="172">
        <v>3</v>
      </c>
      <c r="M92" s="172">
        <v>1</v>
      </c>
      <c r="N92" s="170"/>
      <c r="O92" s="170"/>
      <c r="P92" s="170"/>
      <c r="Q92" s="180">
        <f>SUM(Tabela2[[#This Row],[G]]+Tabela2[[#This Row],[D]]+Tabela2[[#This Row],[N]]+Tabela2[[#This Row],[HM]])</f>
        <v>8</v>
      </c>
      <c r="R92" s="180">
        <f>SUM(Tabela2[[#This Row],[AO]]+Tabela2[[#This Row],[AD]]+Tabela2[[#This Row],[GWO]]+Tabela2[[#This Row],[GWD]])</f>
        <v>6</v>
      </c>
      <c r="S92" s="180">
        <f>Tabela2[[#This Row],[GWO]]+Tabela2[[#This Row],[GWD]]</f>
        <v>4</v>
      </c>
      <c r="T92" s="180">
        <f>SUM(Tabela2[[#This Row],[G]:[GWD]])</f>
        <v>14</v>
      </c>
    </row>
    <row r="93" spans="1:20">
      <c r="A93" s="183">
        <v>277</v>
      </c>
      <c r="B93" s="172" t="s">
        <v>444</v>
      </c>
      <c r="C93" s="172" t="s">
        <v>376</v>
      </c>
      <c r="D93" s="172">
        <v>4</v>
      </c>
      <c r="E93" s="172" t="s">
        <v>250</v>
      </c>
      <c r="F93" s="172">
        <v>3</v>
      </c>
      <c r="G93" s="172">
        <v>1</v>
      </c>
      <c r="H93" s="172">
        <v>1</v>
      </c>
      <c r="I93" s="172">
        <v>3</v>
      </c>
      <c r="J93" s="172">
        <v>1</v>
      </c>
      <c r="K93" s="172">
        <v>3</v>
      </c>
      <c r="L93" s="172">
        <v>1</v>
      </c>
      <c r="M93" s="172">
        <v>1</v>
      </c>
      <c r="N93" s="170"/>
      <c r="O93" s="170"/>
      <c r="P93" s="170"/>
      <c r="Q93" s="180">
        <f>SUM(Tabela2[[#This Row],[G]]+Tabela2[[#This Row],[D]]+Tabela2[[#This Row],[N]]+Tabela2[[#This Row],[HM]])</f>
        <v>8</v>
      </c>
      <c r="R93" s="180">
        <f>SUM(Tabela2[[#This Row],[AO]]+Tabela2[[#This Row],[AD]]+Tabela2[[#This Row],[GWO]]+Tabela2[[#This Row],[GWD]])</f>
        <v>6</v>
      </c>
      <c r="S93" s="180">
        <f>Tabela2[[#This Row],[GWO]]+Tabela2[[#This Row],[GWD]]</f>
        <v>2</v>
      </c>
      <c r="T93" s="180">
        <f>SUM(Tabela2[[#This Row],[G]:[GWD]])</f>
        <v>14</v>
      </c>
    </row>
    <row r="94" spans="1:20">
      <c r="A94" s="183">
        <v>48</v>
      </c>
      <c r="B94" s="175" t="s">
        <v>705</v>
      </c>
      <c r="C94" s="175" t="s">
        <v>704</v>
      </c>
      <c r="D94" s="175">
        <v>3</v>
      </c>
      <c r="E94" s="175" t="s">
        <v>18</v>
      </c>
      <c r="F94" s="175">
        <v>1</v>
      </c>
      <c r="G94" s="175">
        <v>2</v>
      </c>
      <c r="H94" s="175">
        <v>1</v>
      </c>
      <c r="I94" s="175">
        <v>3</v>
      </c>
      <c r="J94" s="175">
        <v>1</v>
      </c>
      <c r="K94" s="175">
        <v>1</v>
      </c>
      <c r="L94" s="175">
        <v>3</v>
      </c>
      <c r="M94" s="175">
        <v>1</v>
      </c>
      <c r="N94" s="170"/>
      <c r="O94" s="170"/>
      <c r="P94" s="170"/>
      <c r="Q94" s="180">
        <f>SUM(Tabela2[[#This Row],[G]]+Tabela2[[#This Row],[D]]+Tabela2[[#This Row],[N]]+Tabela2[[#This Row],[HM]])</f>
        <v>5</v>
      </c>
      <c r="R94" s="180">
        <f>SUM(Tabela2[[#This Row],[AO]]+Tabela2[[#This Row],[AD]]+Tabela2[[#This Row],[GWO]]+Tabela2[[#This Row],[GWD]])</f>
        <v>8</v>
      </c>
      <c r="S94" s="180">
        <f>Tabela2[[#This Row],[GWO]]+Tabela2[[#This Row],[GWD]]</f>
        <v>4</v>
      </c>
      <c r="T94" s="180">
        <f>SUM(Tabela2[[#This Row],[G]:[GWD]])</f>
        <v>13</v>
      </c>
    </row>
    <row r="95" spans="1:20">
      <c r="A95" s="183">
        <v>50</v>
      </c>
      <c r="B95" s="175" t="s">
        <v>702</v>
      </c>
      <c r="C95" s="175" t="s">
        <v>701</v>
      </c>
      <c r="D95" s="175">
        <v>3</v>
      </c>
      <c r="E95" s="175" t="s">
        <v>18</v>
      </c>
      <c r="F95" s="175">
        <v>1</v>
      </c>
      <c r="G95" s="175">
        <v>1</v>
      </c>
      <c r="H95" s="175">
        <v>2</v>
      </c>
      <c r="I95" s="175">
        <v>2</v>
      </c>
      <c r="J95" s="175">
        <v>2</v>
      </c>
      <c r="K95" s="175">
        <v>1</v>
      </c>
      <c r="L95" s="175">
        <v>2</v>
      </c>
      <c r="M95" s="175">
        <v>2</v>
      </c>
      <c r="N95" s="170"/>
      <c r="O95" s="170"/>
      <c r="P95" s="170"/>
      <c r="Q95" s="180">
        <f>SUM(Tabela2[[#This Row],[G]]+Tabela2[[#This Row],[D]]+Tabela2[[#This Row],[N]]+Tabela2[[#This Row],[HM]])</f>
        <v>5</v>
      </c>
      <c r="R95" s="180">
        <f>SUM(Tabela2[[#This Row],[AO]]+Tabela2[[#This Row],[AD]]+Tabela2[[#This Row],[GWO]]+Tabela2[[#This Row],[GWD]])</f>
        <v>8</v>
      </c>
      <c r="S95" s="180">
        <f>Tabela2[[#This Row],[GWO]]+Tabela2[[#This Row],[GWD]]</f>
        <v>4</v>
      </c>
      <c r="T95" s="180">
        <f>SUM(Tabela2[[#This Row],[G]:[GWD]])</f>
        <v>13</v>
      </c>
    </row>
    <row r="96" spans="1:20" ht="30">
      <c r="A96" s="183">
        <v>53</v>
      </c>
      <c r="B96" s="175" t="s">
        <v>698</v>
      </c>
      <c r="C96" s="175" t="s">
        <v>566</v>
      </c>
      <c r="D96" s="175">
        <v>3</v>
      </c>
      <c r="E96" s="175" t="s">
        <v>18</v>
      </c>
      <c r="F96" s="175">
        <v>1</v>
      </c>
      <c r="G96" s="175">
        <v>1</v>
      </c>
      <c r="H96" s="175">
        <v>1</v>
      </c>
      <c r="I96" s="175">
        <v>2</v>
      </c>
      <c r="J96" s="175">
        <v>2</v>
      </c>
      <c r="K96" s="175">
        <v>1</v>
      </c>
      <c r="L96" s="175">
        <v>3</v>
      </c>
      <c r="M96" s="175">
        <v>2</v>
      </c>
      <c r="N96" s="170"/>
      <c r="O96" s="170" t="s">
        <v>204</v>
      </c>
      <c r="P96" s="170"/>
      <c r="Q96" s="180">
        <f>SUM(Tabela2[[#This Row],[G]]+Tabela2[[#This Row],[D]]+Tabela2[[#This Row],[N]]+Tabela2[[#This Row],[HM]])</f>
        <v>4</v>
      </c>
      <c r="R96" s="180">
        <f>SUM(Tabela2[[#This Row],[AO]]+Tabela2[[#This Row],[AD]]+Tabela2[[#This Row],[GWO]]+Tabela2[[#This Row],[GWD]])</f>
        <v>9</v>
      </c>
      <c r="S96" s="180">
        <f>Tabela2[[#This Row],[GWO]]+Tabela2[[#This Row],[GWD]]</f>
        <v>5</v>
      </c>
      <c r="T96" s="180">
        <f>SUM(Tabela2[[#This Row],[G]:[GWD]])</f>
        <v>13</v>
      </c>
    </row>
    <row r="97" spans="1:20">
      <c r="A97" s="183">
        <v>179</v>
      </c>
      <c r="B97" s="170" t="s">
        <v>556</v>
      </c>
      <c r="C97" s="170" t="s">
        <v>555</v>
      </c>
      <c r="D97" s="170">
        <v>3</v>
      </c>
      <c r="E97" s="170" t="s">
        <v>272</v>
      </c>
      <c r="F97" s="170">
        <v>2</v>
      </c>
      <c r="G97" s="170">
        <v>2</v>
      </c>
      <c r="H97" s="170">
        <v>1</v>
      </c>
      <c r="I97" s="170">
        <v>2</v>
      </c>
      <c r="J97" s="170">
        <v>2</v>
      </c>
      <c r="K97" s="170">
        <v>1</v>
      </c>
      <c r="L97" s="170">
        <v>2</v>
      </c>
      <c r="M97" s="170">
        <v>1</v>
      </c>
      <c r="N97" s="170"/>
      <c r="O97" s="170"/>
      <c r="P97" s="170"/>
      <c r="Q97" s="180">
        <f>SUM(Tabela2[[#This Row],[G]]+Tabela2[[#This Row],[D]]+Tabela2[[#This Row],[N]]+Tabela2[[#This Row],[HM]])</f>
        <v>6</v>
      </c>
      <c r="R97" s="180">
        <f>SUM(Tabela2[[#This Row],[AO]]+Tabela2[[#This Row],[AD]]+Tabela2[[#This Row],[GWO]]+Tabela2[[#This Row],[GWD]])</f>
        <v>7</v>
      </c>
      <c r="S97" s="180">
        <f>Tabela2[[#This Row],[GWO]]+Tabela2[[#This Row],[GWD]]</f>
        <v>3</v>
      </c>
      <c r="T97" s="180">
        <f>SUM(Tabela2[[#This Row],[G]:[GWD]])</f>
        <v>13</v>
      </c>
    </row>
    <row r="98" spans="1:20" ht="30">
      <c r="A98" s="183">
        <v>182</v>
      </c>
      <c r="B98" s="170" t="s">
        <v>551</v>
      </c>
      <c r="C98" s="170" t="s">
        <v>550</v>
      </c>
      <c r="D98" s="170">
        <v>3</v>
      </c>
      <c r="E98" s="170" t="s">
        <v>272</v>
      </c>
      <c r="F98" s="170">
        <v>1</v>
      </c>
      <c r="G98" s="170">
        <v>1</v>
      </c>
      <c r="H98" s="170">
        <v>1</v>
      </c>
      <c r="I98" s="170">
        <v>3</v>
      </c>
      <c r="J98" s="170">
        <v>1</v>
      </c>
      <c r="K98" s="170">
        <v>3</v>
      </c>
      <c r="L98" s="170">
        <v>2</v>
      </c>
      <c r="M98" s="170">
        <v>1</v>
      </c>
      <c r="N98" s="170"/>
      <c r="O98" s="170"/>
      <c r="P98" s="170"/>
      <c r="Q98" s="180">
        <f>SUM(Tabela2[[#This Row],[G]]+Tabela2[[#This Row],[D]]+Tabela2[[#This Row],[N]]+Tabela2[[#This Row],[HM]])</f>
        <v>6</v>
      </c>
      <c r="R98" s="180">
        <f>SUM(Tabela2[[#This Row],[AO]]+Tabela2[[#This Row],[AD]]+Tabela2[[#This Row],[GWO]]+Tabela2[[#This Row],[GWD]])</f>
        <v>7</v>
      </c>
      <c r="S98" s="180">
        <f>Tabela2[[#This Row],[GWO]]+Tabela2[[#This Row],[GWD]]</f>
        <v>3</v>
      </c>
      <c r="T98" s="180">
        <f>SUM(Tabela2[[#This Row],[G]:[GWD]])</f>
        <v>13</v>
      </c>
    </row>
    <row r="99" spans="1:20">
      <c r="A99" s="183">
        <v>156</v>
      </c>
      <c r="B99" s="171" t="s">
        <v>588</v>
      </c>
      <c r="C99" s="171" t="s">
        <v>536</v>
      </c>
      <c r="D99" s="171">
        <v>3</v>
      </c>
      <c r="E99" s="171" t="s">
        <v>251</v>
      </c>
      <c r="F99" s="171">
        <v>2</v>
      </c>
      <c r="G99" s="171">
        <v>2</v>
      </c>
      <c r="H99" s="171">
        <v>1</v>
      </c>
      <c r="I99" s="171">
        <v>1</v>
      </c>
      <c r="J99" s="171">
        <v>1</v>
      </c>
      <c r="K99" s="171">
        <v>3</v>
      </c>
      <c r="L99" s="171">
        <v>2</v>
      </c>
      <c r="M99" s="171">
        <v>1</v>
      </c>
      <c r="N99" s="170"/>
      <c r="O99" s="170"/>
      <c r="P99" s="170"/>
      <c r="Q99" s="180">
        <f>SUM(Tabela2[[#This Row],[G]]+Tabela2[[#This Row],[D]]+Tabela2[[#This Row],[N]]+Tabela2[[#This Row],[HM]])</f>
        <v>8</v>
      </c>
      <c r="R99" s="180">
        <f>SUM(Tabela2[[#This Row],[AO]]+Tabela2[[#This Row],[AD]]+Tabela2[[#This Row],[GWO]]+Tabela2[[#This Row],[GWD]])</f>
        <v>5</v>
      </c>
      <c r="S99" s="180">
        <f>Tabela2[[#This Row],[GWO]]+Tabela2[[#This Row],[GWD]]</f>
        <v>3</v>
      </c>
      <c r="T99" s="180">
        <f>SUM(Tabela2[[#This Row],[G]:[GWD]])</f>
        <v>13</v>
      </c>
    </row>
    <row r="100" spans="1:20">
      <c r="A100" s="183">
        <v>74</v>
      </c>
      <c r="B100" s="175" t="s">
        <v>670</v>
      </c>
      <c r="C100" s="175" t="s">
        <v>284</v>
      </c>
      <c r="D100" s="175">
        <v>3</v>
      </c>
      <c r="E100" s="175" t="s">
        <v>18</v>
      </c>
      <c r="F100" s="175">
        <v>1</v>
      </c>
      <c r="G100" s="175">
        <v>1</v>
      </c>
      <c r="H100" s="175">
        <v>1</v>
      </c>
      <c r="I100" s="175">
        <v>3</v>
      </c>
      <c r="J100" s="175">
        <v>3</v>
      </c>
      <c r="K100" s="175">
        <v>1</v>
      </c>
      <c r="L100" s="175">
        <v>2</v>
      </c>
      <c r="M100" s="175">
        <v>1</v>
      </c>
      <c r="N100" s="175" t="s">
        <v>445</v>
      </c>
      <c r="O100" s="175"/>
      <c r="P100" s="175"/>
      <c r="Q100" s="184">
        <f>SUM(Tabela2[[#This Row],[G]]+Tabela2[[#This Row],[D]]+Tabela2[[#This Row],[N]]+Tabela2[[#This Row],[HM]])</f>
        <v>4</v>
      </c>
      <c r="R100" s="184">
        <f>SUM(Tabela2[[#This Row],[AO]]+Tabela2[[#This Row],[AD]]+Tabela2[[#This Row],[GWO]]+Tabela2[[#This Row],[GWD]])</f>
        <v>9</v>
      </c>
      <c r="S100" s="184">
        <f>Tabela2[[#This Row],[GWO]]+Tabela2[[#This Row],[GWD]]</f>
        <v>3</v>
      </c>
      <c r="T100" s="180">
        <f>SUM(Tabela2[[#This Row],[G]:[GWD]])</f>
        <v>13</v>
      </c>
    </row>
    <row r="101" spans="1:20" ht="30">
      <c r="A101" s="183">
        <v>201</v>
      </c>
      <c r="B101" s="176" t="s">
        <v>519</v>
      </c>
      <c r="C101" s="175" t="s">
        <v>441</v>
      </c>
      <c r="D101" s="175">
        <v>4</v>
      </c>
      <c r="E101" s="175" t="s">
        <v>18</v>
      </c>
      <c r="F101" s="175">
        <v>1</v>
      </c>
      <c r="G101" s="175">
        <v>1</v>
      </c>
      <c r="H101" s="175">
        <v>2</v>
      </c>
      <c r="I101" s="175">
        <v>3</v>
      </c>
      <c r="J101" s="175">
        <v>1</v>
      </c>
      <c r="K101" s="175">
        <v>1</v>
      </c>
      <c r="L101" s="175">
        <v>3</v>
      </c>
      <c r="M101" s="175">
        <v>1</v>
      </c>
      <c r="N101" s="170"/>
      <c r="O101" s="170"/>
      <c r="P101" s="170"/>
      <c r="Q101" s="180">
        <f>SUM(Tabela2[[#This Row],[G]]+Tabela2[[#This Row],[D]]+Tabela2[[#This Row],[N]]+Tabela2[[#This Row],[HM]])</f>
        <v>5</v>
      </c>
      <c r="R101" s="180">
        <f>SUM(Tabela2[[#This Row],[AO]]+Tabela2[[#This Row],[AD]]+Tabela2[[#This Row],[GWO]]+Tabela2[[#This Row],[GWD]])</f>
        <v>8</v>
      </c>
      <c r="S101" s="180">
        <f>Tabela2[[#This Row],[GWO]]+Tabela2[[#This Row],[GWD]]</f>
        <v>4</v>
      </c>
      <c r="T101" s="180">
        <f>SUM(Tabela2[[#This Row],[G]:[GWD]])</f>
        <v>13</v>
      </c>
    </row>
    <row r="102" spans="1:20" ht="30">
      <c r="A102" s="183">
        <v>307</v>
      </c>
      <c r="B102" s="170" t="s">
        <v>408</v>
      </c>
      <c r="C102" s="170" t="s">
        <v>407</v>
      </c>
      <c r="D102" s="170">
        <v>4</v>
      </c>
      <c r="E102" s="170" t="s">
        <v>272</v>
      </c>
      <c r="F102" s="170">
        <v>1</v>
      </c>
      <c r="G102" s="170">
        <v>1</v>
      </c>
      <c r="H102" s="170">
        <v>3</v>
      </c>
      <c r="I102" s="170">
        <v>2</v>
      </c>
      <c r="J102" s="170">
        <v>1</v>
      </c>
      <c r="K102" s="170">
        <v>1</v>
      </c>
      <c r="L102" s="170">
        <v>3</v>
      </c>
      <c r="M102" s="170">
        <v>1</v>
      </c>
      <c r="N102" s="170"/>
      <c r="O102" s="170"/>
      <c r="P102" s="170"/>
      <c r="Q102" s="180">
        <f>SUM(Tabela2[[#This Row],[G]]+Tabela2[[#This Row],[D]]+Tabela2[[#This Row],[N]]+Tabela2[[#This Row],[HM]])</f>
        <v>6</v>
      </c>
      <c r="R102" s="180">
        <f>SUM(Tabela2[[#This Row],[AO]]+Tabela2[[#This Row],[AD]]+Tabela2[[#This Row],[GWO]]+Tabela2[[#This Row],[GWD]])</f>
        <v>7</v>
      </c>
      <c r="S102" s="180">
        <f>Tabela2[[#This Row],[GWO]]+Tabela2[[#This Row],[GWD]]</f>
        <v>4</v>
      </c>
      <c r="T102" s="180">
        <f>SUM(Tabela2[[#This Row],[G]:[GWD]])</f>
        <v>13</v>
      </c>
    </row>
    <row r="103" spans="1:20">
      <c r="A103" s="183">
        <v>312</v>
      </c>
      <c r="B103" s="170" t="s">
        <v>399</v>
      </c>
      <c r="C103" s="170" t="s">
        <v>398</v>
      </c>
      <c r="D103" s="170">
        <v>4</v>
      </c>
      <c r="E103" s="170" t="s">
        <v>272</v>
      </c>
      <c r="F103" s="170">
        <v>1</v>
      </c>
      <c r="G103" s="170">
        <v>1</v>
      </c>
      <c r="H103" s="170">
        <v>1</v>
      </c>
      <c r="I103" s="170">
        <v>1</v>
      </c>
      <c r="J103" s="170">
        <v>4</v>
      </c>
      <c r="K103" s="170">
        <v>1</v>
      </c>
      <c r="L103" s="170">
        <v>1</v>
      </c>
      <c r="M103" s="170">
        <v>3</v>
      </c>
      <c r="N103" s="170"/>
      <c r="O103" s="170"/>
      <c r="P103" s="170"/>
      <c r="Q103" s="180">
        <f>SUM(Tabela2[[#This Row],[G]]+Tabela2[[#This Row],[D]]+Tabela2[[#This Row],[N]]+Tabela2[[#This Row],[HM]])</f>
        <v>4</v>
      </c>
      <c r="R103" s="180">
        <f>SUM(Tabela2[[#This Row],[AO]]+Tabela2[[#This Row],[AD]]+Tabela2[[#This Row],[GWO]]+Tabela2[[#This Row],[GWD]])</f>
        <v>9</v>
      </c>
      <c r="S103" s="180">
        <f>Tabela2[[#This Row],[GWO]]+Tabela2[[#This Row],[GWD]]</f>
        <v>4</v>
      </c>
      <c r="T103" s="180">
        <f>SUM(Tabela2[[#This Row],[G]:[GWD]])</f>
        <v>13</v>
      </c>
    </row>
    <row r="104" spans="1:20" ht="30">
      <c r="A104" s="183">
        <v>237</v>
      </c>
      <c r="B104" s="174" t="s">
        <v>485</v>
      </c>
      <c r="C104" s="174" t="s">
        <v>394</v>
      </c>
      <c r="D104" s="174">
        <v>4</v>
      </c>
      <c r="E104" s="174" t="s">
        <v>249</v>
      </c>
      <c r="F104" s="174">
        <v>1</v>
      </c>
      <c r="G104" s="174">
        <v>4</v>
      </c>
      <c r="H104" s="174">
        <v>1</v>
      </c>
      <c r="I104" s="174">
        <v>1</v>
      </c>
      <c r="J104" s="174">
        <v>1</v>
      </c>
      <c r="K104" s="174">
        <v>1</v>
      </c>
      <c r="L104" s="174">
        <v>3</v>
      </c>
      <c r="M104" s="174">
        <v>1</v>
      </c>
      <c r="N104" s="170"/>
      <c r="O104" s="170"/>
      <c r="P104" s="170"/>
      <c r="Q104" s="180">
        <f>SUM(Tabela2[[#This Row],[G]]+Tabela2[[#This Row],[D]]+Tabela2[[#This Row],[N]]+Tabela2[[#This Row],[HM]])</f>
        <v>7</v>
      </c>
      <c r="R104" s="180">
        <f>SUM(Tabela2[[#This Row],[AO]]+Tabela2[[#This Row],[AD]]+Tabela2[[#This Row],[GWO]]+Tabela2[[#This Row],[GWD]])</f>
        <v>6</v>
      </c>
      <c r="S104" s="180">
        <f>Tabela2[[#This Row],[GWO]]+Tabela2[[#This Row],[GWD]]</f>
        <v>4</v>
      </c>
      <c r="T104" s="180">
        <f>SUM(Tabela2[[#This Row],[G]:[GWD]])</f>
        <v>13</v>
      </c>
    </row>
    <row r="105" spans="1:20" ht="30">
      <c r="A105" s="183">
        <v>238</v>
      </c>
      <c r="B105" s="174" t="s">
        <v>484</v>
      </c>
      <c r="C105" s="174" t="s">
        <v>392</v>
      </c>
      <c r="D105" s="174">
        <v>4</v>
      </c>
      <c r="E105" s="174" t="s">
        <v>249</v>
      </c>
      <c r="F105" s="174">
        <v>1</v>
      </c>
      <c r="G105" s="174">
        <v>1</v>
      </c>
      <c r="H105" s="174">
        <v>3</v>
      </c>
      <c r="I105" s="174">
        <v>3</v>
      </c>
      <c r="J105" s="174">
        <v>1</v>
      </c>
      <c r="K105" s="174">
        <v>1</v>
      </c>
      <c r="L105" s="174">
        <v>2</v>
      </c>
      <c r="M105" s="174">
        <v>1</v>
      </c>
      <c r="N105" s="170"/>
      <c r="O105" s="170"/>
      <c r="P105" s="170"/>
      <c r="Q105" s="180">
        <f>SUM(Tabela2[[#This Row],[G]]+Tabela2[[#This Row],[D]]+Tabela2[[#This Row],[N]]+Tabela2[[#This Row],[HM]])</f>
        <v>6</v>
      </c>
      <c r="R105" s="180">
        <f>SUM(Tabela2[[#This Row],[AO]]+Tabela2[[#This Row],[AD]]+Tabela2[[#This Row],[GWO]]+Tabela2[[#This Row],[GWD]])</f>
        <v>7</v>
      </c>
      <c r="S105" s="180">
        <f>Tabela2[[#This Row],[GWO]]+Tabela2[[#This Row],[GWD]]</f>
        <v>3</v>
      </c>
      <c r="T105" s="180">
        <f>SUM(Tabela2[[#This Row],[G]:[GWD]])</f>
        <v>13</v>
      </c>
    </row>
    <row r="106" spans="1:20" ht="30">
      <c r="A106" s="183">
        <v>266</v>
      </c>
      <c r="B106" s="172" t="s">
        <v>457</v>
      </c>
      <c r="C106" s="172" t="s">
        <v>344</v>
      </c>
      <c r="D106" s="172">
        <v>4</v>
      </c>
      <c r="E106" s="172" t="s">
        <v>250</v>
      </c>
      <c r="F106" s="172">
        <v>3</v>
      </c>
      <c r="G106" s="172">
        <v>1</v>
      </c>
      <c r="H106" s="172">
        <v>1</v>
      </c>
      <c r="I106" s="172">
        <v>3</v>
      </c>
      <c r="J106" s="172">
        <v>1</v>
      </c>
      <c r="K106" s="172">
        <v>1</v>
      </c>
      <c r="L106" s="172">
        <v>2</v>
      </c>
      <c r="M106" s="172">
        <v>1</v>
      </c>
      <c r="N106" s="170"/>
      <c r="O106" s="170" t="s">
        <v>204</v>
      </c>
      <c r="P106" s="170"/>
      <c r="Q106" s="180">
        <f>SUM(Tabela2[[#This Row],[G]]+Tabela2[[#This Row],[D]]+Tabela2[[#This Row],[N]]+Tabela2[[#This Row],[HM]])</f>
        <v>6</v>
      </c>
      <c r="R106" s="180">
        <f>SUM(Tabela2[[#This Row],[AO]]+Tabela2[[#This Row],[AD]]+Tabela2[[#This Row],[GWO]]+Tabela2[[#This Row],[GWD]])</f>
        <v>7</v>
      </c>
      <c r="S106" s="180">
        <f>Tabela2[[#This Row],[GWO]]+Tabela2[[#This Row],[GWD]]</f>
        <v>3</v>
      </c>
      <c r="T106" s="180">
        <f>SUM(Tabela2[[#This Row],[G]:[GWD]])</f>
        <v>13</v>
      </c>
    </row>
    <row r="107" spans="1:20" ht="30">
      <c r="A107" s="183">
        <v>317</v>
      </c>
      <c r="B107" s="170" t="s">
        <v>390</v>
      </c>
      <c r="C107" s="170" t="s">
        <v>344</v>
      </c>
      <c r="D107" s="170">
        <v>4</v>
      </c>
      <c r="E107" s="170" t="s">
        <v>272</v>
      </c>
      <c r="F107" s="170">
        <v>1</v>
      </c>
      <c r="G107" s="170">
        <v>1</v>
      </c>
      <c r="H107" s="170">
        <v>1</v>
      </c>
      <c r="I107" s="170">
        <v>2</v>
      </c>
      <c r="J107" s="170">
        <v>1</v>
      </c>
      <c r="K107" s="170">
        <v>3</v>
      </c>
      <c r="L107" s="170">
        <v>3</v>
      </c>
      <c r="M107" s="170">
        <v>1</v>
      </c>
      <c r="N107" s="170"/>
      <c r="O107" s="170"/>
      <c r="P107" s="170"/>
      <c r="Q107" s="180">
        <f>SUM(Tabela2[[#This Row],[G]]+Tabela2[[#This Row],[D]]+Tabela2[[#This Row],[N]]+Tabela2[[#This Row],[HM]])</f>
        <v>6</v>
      </c>
      <c r="R107" s="180">
        <f>SUM(Tabela2[[#This Row],[AO]]+Tabela2[[#This Row],[AD]]+Tabela2[[#This Row],[GWO]]+Tabela2[[#This Row],[GWD]])</f>
        <v>7</v>
      </c>
      <c r="S107" s="180">
        <f>Tabela2[[#This Row],[GWO]]+Tabela2[[#This Row],[GWD]]</f>
        <v>4</v>
      </c>
      <c r="T107" s="180">
        <f>SUM(Tabela2[[#This Row],[G]:[GWD]])</f>
        <v>13</v>
      </c>
    </row>
    <row r="108" spans="1:20">
      <c r="A108" s="183">
        <v>267</v>
      </c>
      <c r="B108" s="172" t="s">
        <v>456</v>
      </c>
      <c r="C108" s="172" t="s">
        <v>388</v>
      </c>
      <c r="D108" s="172">
        <v>4</v>
      </c>
      <c r="E108" s="172" t="s">
        <v>250</v>
      </c>
      <c r="F108" s="172">
        <v>2</v>
      </c>
      <c r="G108" s="172">
        <v>1</v>
      </c>
      <c r="H108" s="172">
        <v>3</v>
      </c>
      <c r="I108" s="172">
        <v>1</v>
      </c>
      <c r="J108" s="172">
        <v>1</v>
      </c>
      <c r="K108" s="172">
        <v>1</v>
      </c>
      <c r="L108" s="172">
        <v>3</v>
      </c>
      <c r="M108" s="172">
        <v>1</v>
      </c>
      <c r="N108" s="170"/>
      <c r="O108" s="170"/>
      <c r="P108" s="170"/>
      <c r="Q108" s="180">
        <f>SUM(Tabela2[[#This Row],[G]]+Tabela2[[#This Row],[D]]+Tabela2[[#This Row],[N]]+Tabela2[[#This Row],[HM]])</f>
        <v>7</v>
      </c>
      <c r="R108" s="180">
        <f>SUM(Tabela2[[#This Row],[AO]]+Tabela2[[#This Row],[AD]]+Tabela2[[#This Row],[GWO]]+Tabela2[[#This Row],[GWD]])</f>
        <v>6</v>
      </c>
      <c r="S108" s="180">
        <f>Tabela2[[#This Row],[GWO]]+Tabela2[[#This Row],[GWD]]</f>
        <v>4</v>
      </c>
      <c r="T108" s="180">
        <f>SUM(Tabela2[[#This Row],[G]:[GWD]])</f>
        <v>13</v>
      </c>
    </row>
    <row r="109" spans="1:20" ht="30">
      <c r="A109" s="183">
        <v>293</v>
      </c>
      <c r="B109" s="171" t="s">
        <v>427</v>
      </c>
      <c r="C109" s="171" t="s">
        <v>386</v>
      </c>
      <c r="D109" s="171">
        <v>4</v>
      </c>
      <c r="E109" s="171" t="s">
        <v>251</v>
      </c>
      <c r="F109" s="171">
        <v>1</v>
      </c>
      <c r="G109" s="171">
        <v>1</v>
      </c>
      <c r="H109" s="171">
        <v>1</v>
      </c>
      <c r="I109" s="171">
        <v>4</v>
      </c>
      <c r="J109" s="171">
        <v>1</v>
      </c>
      <c r="K109" s="171">
        <v>1</v>
      </c>
      <c r="L109" s="171">
        <v>3</v>
      </c>
      <c r="M109" s="171">
        <v>1</v>
      </c>
      <c r="N109" s="170"/>
      <c r="O109" s="170"/>
      <c r="P109" s="170"/>
      <c r="Q109" s="180">
        <f>SUM(Tabela2[[#This Row],[G]]+Tabela2[[#This Row],[D]]+Tabela2[[#This Row],[N]]+Tabela2[[#This Row],[HM]])</f>
        <v>4</v>
      </c>
      <c r="R109" s="180">
        <f>SUM(Tabela2[[#This Row],[AO]]+Tabela2[[#This Row],[AD]]+Tabela2[[#This Row],[GWO]]+Tabela2[[#This Row],[GWD]])</f>
        <v>9</v>
      </c>
      <c r="S109" s="180">
        <f>Tabela2[[#This Row],[GWO]]+Tabela2[[#This Row],[GWD]]</f>
        <v>4</v>
      </c>
      <c r="T109" s="180">
        <f>SUM(Tabela2[[#This Row],[G]:[GWD]])</f>
        <v>13</v>
      </c>
    </row>
    <row r="110" spans="1:20" ht="30">
      <c r="A110" s="183">
        <v>245</v>
      </c>
      <c r="B110" s="174" t="s">
        <v>477</v>
      </c>
      <c r="C110" s="174" t="s">
        <v>451</v>
      </c>
      <c r="D110" s="174">
        <v>4</v>
      </c>
      <c r="E110" s="174" t="s">
        <v>249</v>
      </c>
      <c r="F110" s="174">
        <v>1</v>
      </c>
      <c r="G110" s="174">
        <v>1</v>
      </c>
      <c r="H110" s="174">
        <v>1</v>
      </c>
      <c r="I110" s="174">
        <v>1</v>
      </c>
      <c r="J110" s="174">
        <v>2</v>
      </c>
      <c r="K110" s="174">
        <v>3</v>
      </c>
      <c r="L110" s="174">
        <v>2</v>
      </c>
      <c r="M110" s="174">
        <v>2</v>
      </c>
      <c r="N110" s="170"/>
      <c r="O110" s="170"/>
      <c r="P110" s="170"/>
      <c r="Q110" s="180">
        <f>SUM(Tabela2[[#This Row],[G]]+Tabela2[[#This Row],[D]]+Tabela2[[#This Row],[N]]+Tabela2[[#This Row],[HM]])</f>
        <v>6</v>
      </c>
      <c r="R110" s="180">
        <f>SUM(Tabela2[[#This Row],[AO]]+Tabela2[[#This Row],[AD]]+Tabela2[[#This Row],[GWO]]+Tabela2[[#This Row],[GWD]])</f>
        <v>7</v>
      </c>
      <c r="S110" s="180">
        <f>Tabela2[[#This Row],[GWO]]+Tabela2[[#This Row],[GWD]]</f>
        <v>4</v>
      </c>
      <c r="T110" s="180">
        <f>SUM(Tabela2[[#This Row],[G]:[GWD]])</f>
        <v>13</v>
      </c>
    </row>
    <row r="111" spans="1:20">
      <c r="A111" s="183">
        <v>246</v>
      </c>
      <c r="B111" s="174" t="s">
        <v>476</v>
      </c>
      <c r="C111" s="174" t="s">
        <v>227</v>
      </c>
      <c r="D111" s="174">
        <v>4</v>
      </c>
      <c r="E111" s="174" t="s">
        <v>249</v>
      </c>
      <c r="F111" s="174">
        <v>1</v>
      </c>
      <c r="G111" s="174">
        <v>1</v>
      </c>
      <c r="H111" s="174">
        <v>2</v>
      </c>
      <c r="I111" s="174">
        <v>3</v>
      </c>
      <c r="J111" s="174">
        <v>3</v>
      </c>
      <c r="K111" s="174">
        <v>1</v>
      </c>
      <c r="L111" s="174">
        <v>1</v>
      </c>
      <c r="M111" s="174">
        <v>1</v>
      </c>
      <c r="N111" s="170"/>
      <c r="O111" s="170"/>
      <c r="P111" s="170"/>
      <c r="Q111" s="180">
        <f>SUM(Tabela2[[#This Row],[G]]+Tabela2[[#This Row],[D]]+Tabela2[[#This Row],[N]]+Tabela2[[#This Row],[HM]])</f>
        <v>5</v>
      </c>
      <c r="R111" s="180">
        <f>SUM(Tabela2[[#This Row],[AO]]+Tabela2[[#This Row],[AD]]+Tabela2[[#This Row],[GWO]]+Tabela2[[#This Row],[GWD]])</f>
        <v>8</v>
      </c>
      <c r="S111" s="180">
        <f>Tabela2[[#This Row],[GWO]]+Tabela2[[#This Row],[GWD]]</f>
        <v>2</v>
      </c>
      <c r="T111" s="180">
        <f>SUM(Tabela2[[#This Row],[G]:[GWD]])</f>
        <v>13</v>
      </c>
    </row>
    <row r="112" spans="1:20">
      <c r="A112" s="183">
        <v>248</v>
      </c>
      <c r="B112" s="174" t="s">
        <v>474</v>
      </c>
      <c r="C112" s="174" t="s">
        <v>378</v>
      </c>
      <c r="D112" s="174">
        <v>4</v>
      </c>
      <c r="E112" s="174" t="s">
        <v>249</v>
      </c>
      <c r="F112" s="174">
        <v>2</v>
      </c>
      <c r="G112" s="174">
        <v>3</v>
      </c>
      <c r="H112" s="174">
        <v>1</v>
      </c>
      <c r="I112" s="174">
        <v>1</v>
      </c>
      <c r="J112" s="174">
        <v>1</v>
      </c>
      <c r="K112" s="174">
        <v>1</v>
      </c>
      <c r="L112" s="174">
        <v>3</v>
      </c>
      <c r="M112" s="174">
        <v>1</v>
      </c>
      <c r="N112" s="170"/>
      <c r="O112" s="170"/>
      <c r="P112" s="170"/>
      <c r="Q112" s="180">
        <f>SUM(Tabela2[[#This Row],[G]]+Tabela2[[#This Row],[D]]+Tabela2[[#This Row],[N]]+Tabela2[[#This Row],[HM]])</f>
        <v>7</v>
      </c>
      <c r="R112" s="180">
        <f>SUM(Tabela2[[#This Row],[AO]]+Tabela2[[#This Row],[AD]]+Tabela2[[#This Row],[GWO]]+Tabela2[[#This Row],[GWD]])</f>
        <v>6</v>
      </c>
      <c r="S112" s="180">
        <f>Tabela2[[#This Row],[GWO]]+Tabela2[[#This Row],[GWD]]</f>
        <v>4</v>
      </c>
      <c r="T112" s="180">
        <f>SUM(Tabela2[[#This Row],[G]:[GWD]])</f>
        <v>13</v>
      </c>
    </row>
    <row r="113" spans="1:20">
      <c r="A113" s="183">
        <v>299</v>
      </c>
      <c r="B113" s="171" t="s">
        <v>421</v>
      </c>
      <c r="C113" s="171" t="s">
        <v>226</v>
      </c>
      <c r="D113" s="171">
        <v>4</v>
      </c>
      <c r="E113" s="171" t="s">
        <v>251</v>
      </c>
      <c r="F113" s="171">
        <v>1</v>
      </c>
      <c r="G113" s="171">
        <v>1</v>
      </c>
      <c r="H113" s="171">
        <v>1</v>
      </c>
      <c r="I113" s="171">
        <v>2</v>
      </c>
      <c r="J113" s="171">
        <v>2</v>
      </c>
      <c r="K113" s="171">
        <v>1</v>
      </c>
      <c r="L113" s="171">
        <v>3</v>
      </c>
      <c r="M113" s="171">
        <v>2</v>
      </c>
      <c r="N113" s="170"/>
      <c r="O113" s="170"/>
      <c r="P113" s="170"/>
      <c r="Q113" s="180">
        <f>SUM(Tabela2[[#This Row],[G]]+Tabela2[[#This Row],[D]]+Tabela2[[#This Row],[N]]+Tabela2[[#This Row],[HM]])</f>
        <v>4</v>
      </c>
      <c r="R113" s="180">
        <f>SUM(Tabela2[[#This Row],[AO]]+Tabela2[[#This Row],[AD]]+Tabela2[[#This Row],[GWO]]+Tabela2[[#This Row],[GWD]])</f>
        <v>9</v>
      </c>
      <c r="S113" s="180">
        <f>Tabela2[[#This Row],[GWO]]+Tabela2[[#This Row],[GWD]]</f>
        <v>5</v>
      </c>
      <c r="T113" s="180">
        <f>SUM(Tabela2[[#This Row],[G]:[GWD]])</f>
        <v>13</v>
      </c>
    </row>
    <row r="114" spans="1:20">
      <c r="A114" s="183">
        <v>326</v>
      </c>
      <c r="B114" s="170" t="s">
        <v>375</v>
      </c>
      <c r="C114" s="170" t="s">
        <v>226</v>
      </c>
      <c r="D114" s="170">
        <v>4</v>
      </c>
      <c r="E114" s="170" t="s">
        <v>272</v>
      </c>
      <c r="F114" s="170">
        <v>1</v>
      </c>
      <c r="G114" s="170">
        <v>1</v>
      </c>
      <c r="H114" s="170">
        <v>1</v>
      </c>
      <c r="I114" s="170">
        <v>2</v>
      </c>
      <c r="J114" s="170">
        <v>1</v>
      </c>
      <c r="K114" s="170">
        <v>3</v>
      </c>
      <c r="L114" s="170">
        <v>3</v>
      </c>
      <c r="M114" s="170">
        <v>1</v>
      </c>
      <c r="N114" s="170"/>
      <c r="O114" s="170"/>
      <c r="P114" s="170"/>
      <c r="Q114" s="180">
        <f>SUM(Tabela2[[#This Row],[G]]+Tabela2[[#This Row],[D]]+Tabela2[[#This Row],[N]]+Tabela2[[#This Row],[HM]])</f>
        <v>6</v>
      </c>
      <c r="R114" s="180">
        <f>SUM(Tabela2[[#This Row],[AO]]+Tabela2[[#This Row],[AD]]+Tabela2[[#This Row],[GWO]]+Tabela2[[#This Row],[GWD]])</f>
        <v>7</v>
      </c>
      <c r="S114" s="180">
        <f>Tabela2[[#This Row],[GWO]]+Tabela2[[#This Row],[GWD]]</f>
        <v>4</v>
      </c>
      <c r="T114" s="180">
        <f>SUM(Tabela2[[#This Row],[G]:[GWD]])</f>
        <v>13</v>
      </c>
    </row>
    <row r="115" spans="1:20">
      <c r="A115" s="183">
        <v>276</v>
      </c>
      <c r="B115" s="172" t="s">
        <v>446</v>
      </c>
      <c r="C115" s="172" t="s">
        <v>184</v>
      </c>
      <c r="D115" s="172">
        <v>4</v>
      </c>
      <c r="E115" s="172" t="s">
        <v>250</v>
      </c>
      <c r="F115" s="172">
        <v>4</v>
      </c>
      <c r="G115" s="172">
        <v>1</v>
      </c>
      <c r="H115" s="172">
        <v>1</v>
      </c>
      <c r="I115" s="172">
        <v>1</v>
      </c>
      <c r="J115" s="172">
        <v>1</v>
      </c>
      <c r="K115" s="172">
        <v>1</v>
      </c>
      <c r="L115" s="172">
        <v>3</v>
      </c>
      <c r="M115" s="172">
        <v>1</v>
      </c>
      <c r="N115" s="172" t="s">
        <v>445</v>
      </c>
      <c r="O115" s="172"/>
      <c r="P115" s="172"/>
      <c r="Q115" s="186">
        <f>SUM(Tabela2[[#This Row],[G]]+Tabela2[[#This Row],[D]]+Tabela2[[#This Row],[N]]+Tabela2[[#This Row],[HM]])</f>
        <v>7</v>
      </c>
      <c r="R115" s="186">
        <f>SUM(Tabela2[[#This Row],[AO]]+Tabela2[[#This Row],[AD]]+Tabela2[[#This Row],[GWO]]+Tabela2[[#This Row],[GWD]])</f>
        <v>6</v>
      </c>
      <c r="S115" s="186">
        <f>Tabela2[[#This Row],[GWO]]+Tabela2[[#This Row],[GWD]]</f>
        <v>4</v>
      </c>
      <c r="T115" s="180">
        <f>SUM(Tabela2[[#This Row],[G]:[GWD]])</f>
        <v>13</v>
      </c>
    </row>
    <row r="116" spans="1:20">
      <c r="A116" s="183">
        <v>1</v>
      </c>
      <c r="B116" s="175" t="s">
        <v>764</v>
      </c>
      <c r="C116" s="175" t="s">
        <v>763</v>
      </c>
      <c r="D116" s="175">
        <v>2</v>
      </c>
      <c r="E116" s="175" t="s">
        <v>18</v>
      </c>
      <c r="F116" s="175">
        <v>1</v>
      </c>
      <c r="G116" s="175">
        <v>2</v>
      </c>
      <c r="H116" s="175">
        <v>4</v>
      </c>
      <c r="I116" s="175">
        <v>1</v>
      </c>
      <c r="J116" s="175">
        <v>1</v>
      </c>
      <c r="K116" s="175">
        <v>1</v>
      </c>
      <c r="L116" s="175">
        <v>1</v>
      </c>
      <c r="M116" s="175">
        <v>1</v>
      </c>
      <c r="N116" s="175" t="s">
        <v>445</v>
      </c>
      <c r="O116" s="175"/>
      <c r="P116" s="175"/>
      <c r="Q116" s="184">
        <f>SUM(Tabela2[[#This Row],[G]]+Tabela2[[#This Row],[D]]+Tabela2[[#This Row],[N]]+Tabela2[[#This Row],[HM]])</f>
        <v>8</v>
      </c>
      <c r="R116" s="184">
        <f>SUM(Tabela2[[#This Row],[AO]]+Tabela2[[#This Row],[AD]]+Tabela2[[#This Row],[GWO]]+Tabela2[[#This Row],[GWD]])</f>
        <v>4</v>
      </c>
      <c r="S116" s="184">
        <f>Tabela2[[#This Row],[GWO]]+Tabela2[[#This Row],[GWD]]</f>
        <v>2</v>
      </c>
      <c r="T116" s="180">
        <f>SUM(Tabela2[[#This Row],[G]:[GWD]])</f>
        <v>12</v>
      </c>
    </row>
    <row r="117" spans="1:20">
      <c r="A117" s="183">
        <v>22</v>
      </c>
      <c r="B117" s="172" t="s">
        <v>150</v>
      </c>
      <c r="C117" s="172" t="s">
        <v>712</v>
      </c>
      <c r="D117" s="172">
        <v>2</v>
      </c>
      <c r="E117" s="172" t="s">
        <v>250</v>
      </c>
      <c r="F117" s="172">
        <v>5</v>
      </c>
      <c r="G117" s="172">
        <v>1</v>
      </c>
      <c r="H117" s="172">
        <v>1</v>
      </c>
      <c r="I117" s="172">
        <v>1</v>
      </c>
      <c r="J117" s="172">
        <v>1</v>
      </c>
      <c r="K117" s="172">
        <v>1</v>
      </c>
      <c r="L117" s="172">
        <v>1</v>
      </c>
      <c r="M117" s="172">
        <v>1</v>
      </c>
      <c r="N117" s="170"/>
      <c r="O117" s="170"/>
      <c r="P117" s="170"/>
      <c r="Q117" s="180">
        <f>SUM(Tabela2[[#This Row],[G]]+Tabela2[[#This Row],[D]]+Tabela2[[#This Row],[N]]+Tabela2[[#This Row],[HM]])</f>
        <v>8</v>
      </c>
      <c r="R117" s="180">
        <f>SUM(Tabela2[[#This Row],[AO]]+Tabela2[[#This Row],[AD]]+Tabela2[[#This Row],[GWO]]+Tabela2[[#This Row],[GWD]])</f>
        <v>4</v>
      </c>
      <c r="S117" s="180">
        <f>Tabela2[[#This Row],[GWO]]+Tabela2[[#This Row],[GWD]]</f>
        <v>2</v>
      </c>
      <c r="T117" s="180">
        <f>SUM(Tabela2[[#This Row],[G]:[GWD]])</f>
        <v>12</v>
      </c>
    </row>
    <row r="118" spans="1:20" ht="30">
      <c r="A118" s="183">
        <v>169</v>
      </c>
      <c r="B118" s="170" t="s">
        <v>573</v>
      </c>
      <c r="C118" s="170" t="s">
        <v>572</v>
      </c>
      <c r="D118" s="170">
        <v>3</v>
      </c>
      <c r="E118" s="170" t="s">
        <v>272</v>
      </c>
      <c r="F118" s="170">
        <v>1</v>
      </c>
      <c r="G118" s="170">
        <v>1</v>
      </c>
      <c r="H118" s="170">
        <v>1</v>
      </c>
      <c r="I118" s="170">
        <v>1</v>
      </c>
      <c r="J118" s="170">
        <v>1</v>
      </c>
      <c r="K118" s="170">
        <v>1</v>
      </c>
      <c r="L118" s="170">
        <v>4</v>
      </c>
      <c r="M118" s="170">
        <v>2</v>
      </c>
      <c r="N118" s="170"/>
      <c r="O118" s="170"/>
      <c r="P118" s="170"/>
      <c r="Q118" s="180">
        <f>SUM(Tabela2[[#This Row],[G]]+Tabela2[[#This Row],[D]]+Tabela2[[#This Row],[N]]+Tabela2[[#This Row],[HM]])</f>
        <v>4</v>
      </c>
      <c r="R118" s="180">
        <f>SUM(Tabela2[[#This Row],[AO]]+Tabela2[[#This Row],[AD]]+Tabela2[[#This Row],[GWO]]+Tabela2[[#This Row],[GWD]])</f>
        <v>8</v>
      </c>
      <c r="S118" s="180">
        <f>Tabela2[[#This Row],[GWO]]+Tabela2[[#This Row],[GWD]]</f>
        <v>6</v>
      </c>
      <c r="T118" s="180">
        <f>SUM(Tabela2[[#This Row],[G]:[GWD]])</f>
        <v>12</v>
      </c>
    </row>
    <row r="119" spans="1:20" ht="30">
      <c r="A119" s="183">
        <v>171</v>
      </c>
      <c r="B119" s="170" t="s">
        <v>571</v>
      </c>
      <c r="C119" s="170" t="s">
        <v>570</v>
      </c>
      <c r="D119" s="170">
        <v>3</v>
      </c>
      <c r="E119" s="170" t="s">
        <v>272</v>
      </c>
      <c r="F119" s="170">
        <v>1</v>
      </c>
      <c r="G119" s="170">
        <v>2</v>
      </c>
      <c r="H119" s="170">
        <v>3</v>
      </c>
      <c r="I119" s="170">
        <v>1</v>
      </c>
      <c r="J119" s="170">
        <v>1</v>
      </c>
      <c r="K119" s="170">
        <v>2</v>
      </c>
      <c r="L119" s="170">
        <v>1</v>
      </c>
      <c r="M119" s="170">
        <v>1</v>
      </c>
      <c r="N119" s="170"/>
      <c r="O119" s="170"/>
      <c r="P119" s="170"/>
      <c r="Q119" s="180">
        <f>SUM(Tabela2[[#This Row],[G]]+Tabela2[[#This Row],[D]]+Tabela2[[#This Row],[N]]+Tabela2[[#This Row],[HM]])</f>
        <v>8</v>
      </c>
      <c r="R119" s="180">
        <f>SUM(Tabela2[[#This Row],[AO]]+Tabela2[[#This Row],[AD]]+Tabela2[[#This Row],[GWO]]+Tabela2[[#This Row],[GWD]])</f>
        <v>4</v>
      </c>
      <c r="S119" s="180">
        <f>Tabela2[[#This Row],[GWO]]+Tabela2[[#This Row],[GWD]]</f>
        <v>2</v>
      </c>
      <c r="T119" s="180">
        <f>SUM(Tabela2[[#This Row],[G]:[GWD]])</f>
        <v>12</v>
      </c>
    </row>
    <row r="120" spans="1:20">
      <c r="A120" s="183">
        <v>117</v>
      </c>
      <c r="B120" s="172" t="s">
        <v>627</v>
      </c>
      <c r="C120" s="172" t="s">
        <v>283</v>
      </c>
      <c r="D120" s="172">
        <v>3</v>
      </c>
      <c r="E120" s="172" t="s">
        <v>250</v>
      </c>
      <c r="F120" s="172">
        <v>2</v>
      </c>
      <c r="G120" s="172">
        <v>1</v>
      </c>
      <c r="H120" s="172">
        <v>1</v>
      </c>
      <c r="I120" s="172">
        <v>2</v>
      </c>
      <c r="J120" s="172">
        <v>1</v>
      </c>
      <c r="K120" s="172">
        <v>1</v>
      </c>
      <c r="L120" s="172">
        <v>3</v>
      </c>
      <c r="M120" s="172">
        <v>1</v>
      </c>
      <c r="N120" s="170"/>
      <c r="O120" s="170"/>
      <c r="P120" s="170"/>
      <c r="Q120" s="180">
        <f>SUM(Tabela2[[#This Row],[G]]+Tabela2[[#This Row],[D]]+Tabela2[[#This Row],[N]]+Tabela2[[#This Row],[HM]])</f>
        <v>5</v>
      </c>
      <c r="R120" s="180">
        <f>SUM(Tabela2[[#This Row],[AO]]+Tabela2[[#This Row],[AD]]+Tabela2[[#This Row],[GWO]]+Tabela2[[#This Row],[GWD]])</f>
        <v>7</v>
      </c>
      <c r="S120" s="180">
        <f>Tabela2[[#This Row],[GWO]]+Tabela2[[#This Row],[GWD]]</f>
        <v>4</v>
      </c>
      <c r="T120" s="180">
        <f>SUM(Tabela2[[#This Row],[G]:[GWD]])</f>
        <v>12</v>
      </c>
    </row>
    <row r="121" spans="1:20">
      <c r="A121" s="183">
        <v>252</v>
      </c>
      <c r="B121" s="172" t="s">
        <v>470</v>
      </c>
      <c r="C121" s="172" t="s">
        <v>419</v>
      </c>
      <c r="D121" s="172">
        <v>4</v>
      </c>
      <c r="E121" s="172" t="s">
        <v>250</v>
      </c>
      <c r="F121" s="172">
        <v>2</v>
      </c>
      <c r="G121" s="172">
        <v>1</v>
      </c>
      <c r="H121" s="172">
        <v>1</v>
      </c>
      <c r="I121" s="172">
        <v>1</v>
      </c>
      <c r="J121" s="172">
        <v>1</v>
      </c>
      <c r="K121" s="172">
        <v>1</v>
      </c>
      <c r="L121" s="172">
        <v>4</v>
      </c>
      <c r="M121" s="172">
        <v>1</v>
      </c>
      <c r="N121" s="170"/>
      <c r="O121" s="191" t="s">
        <v>204</v>
      </c>
      <c r="P121" s="191"/>
      <c r="Q121" s="180">
        <f>SUM(Tabela2[[#This Row],[G]]+Tabela2[[#This Row],[D]]+Tabela2[[#This Row],[N]]+Tabela2[[#This Row],[HM]])</f>
        <v>5</v>
      </c>
      <c r="R121" s="180">
        <f>SUM(Tabela2[[#This Row],[AO]]+Tabela2[[#This Row],[AD]]+Tabela2[[#This Row],[GWO]]+Tabela2[[#This Row],[GWD]])</f>
        <v>7</v>
      </c>
      <c r="S121" s="180">
        <f>Tabela2[[#This Row],[GWO]]+Tabela2[[#This Row],[GWD]]</f>
        <v>5</v>
      </c>
      <c r="T121" s="180">
        <f>SUM(Tabela2[[#This Row],[G]:[GWD]])</f>
        <v>12</v>
      </c>
    </row>
    <row r="122" spans="1:20" ht="30">
      <c r="A122" s="183">
        <v>229</v>
      </c>
      <c r="B122" s="174" t="s">
        <v>492</v>
      </c>
      <c r="C122" s="174" t="s">
        <v>357</v>
      </c>
      <c r="D122" s="174">
        <v>4</v>
      </c>
      <c r="E122" s="174" t="s">
        <v>249</v>
      </c>
      <c r="F122" s="174">
        <v>1</v>
      </c>
      <c r="G122" s="174">
        <v>2</v>
      </c>
      <c r="H122" s="174">
        <v>1</v>
      </c>
      <c r="I122" s="174">
        <v>2</v>
      </c>
      <c r="J122" s="174">
        <v>2</v>
      </c>
      <c r="K122" s="174">
        <v>2</v>
      </c>
      <c r="L122" s="174">
        <v>1</v>
      </c>
      <c r="M122" s="174">
        <v>1</v>
      </c>
      <c r="N122" s="170"/>
      <c r="O122" s="170"/>
      <c r="P122" s="170"/>
      <c r="Q122" s="180">
        <f>SUM(Tabela2[[#This Row],[G]]+Tabela2[[#This Row],[D]]+Tabela2[[#This Row],[N]]+Tabela2[[#This Row],[HM]])</f>
        <v>6</v>
      </c>
      <c r="R122" s="180">
        <f>SUM(Tabela2[[#This Row],[AO]]+Tabela2[[#This Row],[AD]]+Tabela2[[#This Row],[GWO]]+Tabela2[[#This Row],[GWD]])</f>
        <v>6</v>
      </c>
      <c r="S122" s="180">
        <f>Tabela2[[#This Row],[GWO]]+Tabela2[[#This Row],[GWD]]</f>
        <v>2</v>
      </c>
      <c r="T122" s="180">
        <f>SUM(Tabela2[[#This Row],[G]:[GWD]])</f>
        <v>12</v>
      </c>
    </row>
    <row r="123" spans="1:20">
      <c r="A123" s="183">
        <v>205</v>
      </c>
      <c r="B123" s="175" t="s">
        <v>515</v>
      </c>
      <c r="C123" s="175" t="s">
        <v>210</v>
      </c>
      <c r="D123" s="175">
        <v>4</v>
      </c>
      <c r="E123" s="175" t="s">
        <v>18</v>
      </c>
      <c r="F123" s="175">
        <v>1</v>
      </c>
      <c r="G123" s="175">
        <v>1</v>
      </c>
      <c r="H123" s="175">
        <v>1</v>
      </c>
      <c r="I123" s="175">
        <v>3</v>
      </c>
      <c r="J123" s="175">
        <v>1</v>
      </c>
      <c r="K123" s="175">
        <v>1</v>
      </c>
      <c r="L123" s="175">
        <v>3</v>
      </c>
      <c r="M123" s="175">
        <v>1</v>
      </c>
      <c r="N123" s="175" t="s">
        <v>445</v>
      </c>
      <c r="O123" s="175"/>
      <c r="P123" s="175"/>
      <c r="Q123" s="184">
        <f>SUM(Tabela2[[#This Row],[G]]+Tabela2[[#This Row],[D]]+Tabela2[[#This Row],[N]]+Tabela2[[#This Row],[HM]])</f>
        <v>4</v>
      </c>
      <c r="R123" s="184">
        <f>SUM(Tabela2[[#This Row],[AO]]+Tabela2[[#This Row],[AD]]+Tabela2[[#This Row],[GWO]]+Tabela2[[#This Row],[GWD]])</f>
        <v>8</v>
      </c>
      <c r="S123" s="184">
        <f>Tabela2[[#This Row],[GWO]]+Tabela2[[#This Row],[GWD]]</f>
        <v>4</v>
      </c>
      <c r="T123" s="180">
        <f>SUM(Tabela2[[#This Row],[G]:[GWD]])</f>
        <v>12</v>
      </c>
    </row>
    <row r="124" spans="1:20" ht="30">
      <c r="A124" s="183">
        <v>232</v>
      </c>
      <c r="B124" s="174" t="s">
        <v>489</v>
      </c>
      <c r="C124" s="174" t="s">
        <v>407</v>
      </c>
      <c r="D124" s="174">
        <v>4</v>
      </c>
      <c r="E124" s="174" t="s">
        <v>249</v>
      </c>
      <c r="F124" s="174">
        <v>1</v>
      </c>
      <c r="G124" s="174">
        <v>1</v>
      </c>
      <c r="H124" s="174">
        <v>3</v>
      </c>
      <c r="I124" s="174">
        <v>2</v>
      </c>
      <c r="J124" s="174">
        <v>1</v>
      </c>
      <c r="K124" s="174">
        <v>1</v>
      </c>
      <c r="L124" s="174">
        <v>2</v>
      </c>
      <c r="M124" s="174">
        <v>1</v>
      </c>
      <c r="N124" s="170"/>
      <c r="O124" s="170"/>
      <c r="P124" s="170"/>
      <c r="Q124" s="180">
        <f>SUM(Tabela2[[#This Row],[G]]+Tabela2[[#This Row],[D]]+Tabela2[[#This Row],[N]]+Tabela2[[#This Row],[HM]])</f>
        <v>6</v>
      </c>
      <c r="R124" s="180">
        <f>SUM(Tabela2[[#This Row],[AO]]+Tabela2[[#This Row],[AD]]+Tabela2[[#This Row],[GWO]]+Tabela2[[#This Row],[GWD]])</f>
        <v>6</v>
      </c>
      <c r="S124" s="180">
        <f>Tabela2[[#This Row],[GWO]]+Tabela2[[#This Row],[GWD]]</f>
        <v>3</v>
      </c>
      <c r="T124" s="180">
        <f>SUM(Tabela2[[#This Row],[G]:[GWD]])</f>
        <v>12</v>
      </c>
    </row>
    <row r="125" spans="1:20" ht="30">
      <c r="A125" s="183">
        <v>287</v>
      </c>
      <c r="B125" s="171" t="s">
        <v>433</v>
      </c>
      <c r="C125" s="171" t="s">
        <v>400</v>
      </c>
      <c r="D125" s="171">
        <v>4</v>
      </c>
      <c r="E125" s="171" t="s">
        <v>251</v>
      </c>
      <c r="F125" s="171">
        <v>1</v>
      </c>
      <c r="G125" s="171">
        <v>1</v>
      </c>
      <c r="H125" s="171">
        <v>1</v>
      </c>
      <c r="I125" s="171">
        <v>2</v>
      </c>
      <c r="J125" s="171">
        <v>1</v>
      </c>
      <c r="K125" s="171">
        <v>1</v>
      </c>
      <c r="L125" s="171">
        <v>4</v>
      </c>
      <c r="M125" s="171">
        <v>1</v>
      </c>
      <c r="N125" s="170"/>
      <c r="O125" s="170"/>
      <c r="P125" s="170"/>
      <c r="Q125" s="180">
        <f>SUM(Tabela2[[#This Row],[G]]+Tabela2[[#This Row],[D]]+Tabela2[[#This Row],[N]]+Tabela2[[#This Row],[HM]])</f>
        <v>4</v>
      </c>
      <c r="R125" s="180">
        <f>SUM(Tabela2[[#This Row],[AO]]+Tabela2[[#This Row],[AD]]+Tabela2[[#This Row],[GWO]]+Tabela2[[#This Row],[GWD]])</f>
        <v>8</v>
      </c>
      <c r="S125" s="180">
        <f>Tabela2[[#This Row],[GWO]]+Tabela2[[#This Row],[GWD]]</f>
        <v>5</v>
      </c>
      <c r="T125" s="180">
        <f>SUM(Tabela2[[#This Row],[G]:[GWD]])</f>
        <v>12</v>
      </c>
    </row>
    <row r="126" spans="1:20" ht="30">
      <c r="A126" s="183">
        <v>263</v>
      </c>
      <c r="B126" s="172" t="s">
        <v>459</v>
      </c>
      <c r="C126" s="172" t="s">
        <v>394</v>
      </c>
      <c r="D126" s="172">
        <v>4</v>
      </c>
      <c r="E126" s="172" t="s">
        <v>250</v>
      </c>
      <c r="F126" s="172">
        <v>3</v>
      </c>
      <c r="G126" s="172">
        <v>1</v>
      </c>
      <c r="H126" s="172">
        <v>1</v>
      </c>
      <c r="I126" s="172">
        <v>1</v>
      </c>
      <c r="J126" s="172">
        <v>1</v>
      </c>
      <c r="K126" s="172">
        <v>1</v>
      </c>
      <c r="L126" s="172">
        <v>3</v>
      </c>
      <c r="M126" s="172">
        <v>1</v>
      </c>
      <c r="N126" s="170"/>
      <c r="O126" s="170"/>
      <c r="P126" s="170"/>
      <c r="Q126" s="180">
        <f>SUM(Tabela2[[#This Row],[G]]+Tabela2[[#This Row],[D]]+Tabela2[[#This Row],[N]]+Tabela2[[#This Row],[HM]])</f>
        <v>6</v>
      </c>
      <c r="R126" s="180">
        <f>SUM(Tabela2[[#This Row],[AO]]+Tabela2[[#This Row],[AD]]+Tabela2[[#This Row],[GWO]]+Tabela2[[#This Row],[GWD]])</f>
        <v>6</v>
      </c>
      <c r="S126" s="180">
        <f>Tabela2[[#This Row],[GWO]]+Tabela2[[#This Row],[GWD]]</f>
        <v>4</v>
      </c>
      <c r="T126" s="180">
        <f>SUM(Tabela2[[#This Row],[G]:[GWD]])</f>
        <v>12</v>
      </c>
    </row>
    <row r="127" spans="1:20" ht="30">
      <c r="A127" s="183">
        <v>289</v>
      </c>
      <c r="B127" s="171" t="s">
        <v>431</v>
      </c>
      <c r="C127" s="171" t="s">
        <v>394</v>
      </c>
      <c r="D127" s="171">
        <v>4</v>
      </c>
      <c r="E127" s="171" t="s">
        <v>251</v>
      </c>
      <c r="F127" s="171">
        <v>1</v>
      </c>
      <c r="G127" s="171">
        <v>1</v>
      </c>
      <c r="H127" s="171">
        <v>1</v>
      </c>
      <c r="I127" s="171">
        <v>2</v>
      </c>
      <c r="J127" s="171">
        <v>1</v>
      </c>
      <c r="K127" s="171">
        <v>1</v>
      </c>
      <c r="L127" s="171">
        <v>4</v>
      </c>
      <c r="M127" s="171">
        <v>1</v>
      </c>
      <c r="N127" s="170"/>
      <c r="O127" s="170"/>
      <c r="P127" s="170"/>
      <c r="Q127" s="180">
        <f>SUM(Tabela2[[#This Row],[G]]+Tabela2[[#This Row],[D]]+Tabela2[[#This Row],[N]]+Tabela2[[#This Row],[HM]])</f>
        <v>4</v>
      </c>
      <c r="R127" s="180">
        <f>SUM(Tabela2[[#This Row],[AO]]+Tabela2[[#This Row],[AD]]+Tabela2[[#This Row],[GWO]]+Tabela2[[#This Row],[GWD]])</f>
        <v>8</v>
      </c>
      <c r="S127" s="180">
        <f>Tabela2[[#This Row],[GWO]]+Tabela2[[#This Row],[GWD]]</f>
        <v>5</v>
      </c>
      <c r="T127" s="180">
        <f>SUM(Tabela2[[#This Row],[G]:[GWD]])</f>
        <v>12</v>
      </c>
    </row>
    <row r="128" spans="1:20" ht="30">
      <c r="A128" s="183">
        <v>314</v>
      </c>
      <c r="B128" s="170" t="s">
        <v>395</v>
      </c>
      <c r="C128" s="170" t="s">
        <v>394</v>
      </c>
      <c r="D128" s="170">
        <v>4</v>
      </c>
      <c r="E128" s="170" t="s">
        <v>272</v>
      </c>
      <c r="F128" s="170">
        <v>1</v>
      </c>
      <c r="G128" s="170">
        <v>1</v>
      </c>
      <c r="H128" s="170">
        <v>1</v>
      </c>
      <c r="I128" s="170">
        <v>1</v>
      </c>
      <c r="J128" s="170">
        <v>1</v>
      </c>
      <c r="K128" s="170">
        <v>1</v>
      </c>
      <c r="L128" s="170">
        <v>3</v>
      </c>
      <c r="M128" s="170">
        <v>3</v>
      </c>
      <c r="N128" s="170"/>
      <c r="O128" s="170"/>
      <c r="P128" s="170"/>
      <c r="Q128" s="180">
        <f>SUM(Tabela2[[#This Row],[G]]+Tabela2[[#This Row],[D]]+Tabela2[[#This Row],[N]]+Tabela2[[#This Row],[HM]])</f>
        <v>4</v>
      </c>
      <c r="R128" s="180">
        <f>SUM(Tabela2[[#This Row],[AO]]+Tabela2[[#This Row],[AD]]+Tabela2[[#This Row],[GWO]]+Tabela2[[#This Row],[GWD]])</f>
        <v>8</v>
      </c>
      <c r="S128" s="180">
        <f>Tabela2[[#This Row],[GWO]]+Tabela2[[#This Row],[GWD]]</f>
        <v>6</v>
      </c>
      <c r="T128" s="180">
        <f>SUM(Tabela2[[#This Row],[G]:[GWD]])</f>
        <v>12</v>
      </c>
    </row>
    <row r="129" spans="1:20" ht="30">
      <c r="A129" s="183">
        <v>315</v>
      </c>
      <c r="B129" s="170" t="s">
        <v>393</v>
      </c>
      <c r="C129" s="170" t="s">
        <v>392</v>
      </c>
      <c r="D129" s="170">
        <v>4</v>
      </c>
      <c r="E129" s="170" t="s">
        <v>272</v>
      </c>
      <c r="F129" s="170">
        <v>1</v>
      </c>
      <c r="G129" s="170">
        <v>1</v>
      </c>
      <c r="H129" s="170">
        <v>3</v>
      </c>
      <c r="I129" s="170">
        <v>1</v>
      </c>
      <c r="J129" s="170">
        <v>1</v>
      </c>
      <c r="K129" s="170">
        <v>1</v>
      </c>
      <c r="L129" s="170">
        <v>3</v>
      </c>
      <c r="M129" s="170">
        <v>1</v>
      </c>
      <c r="N129" s="170"/>
      <c r="O129" s="170"/>
      <c r="P129" s="170"/>
      <c r="Q129" s="180">
        <f>SUM(Tabela2[[#This Row],[G]]+Tabela2[[#This Row],[D]]+Tabela2[[#This Row],[N]]+Tabela2[[#This Row],[HM]])</f>
        <v>6</v>
      </c>
      <c r="R129" s="180">
        <f>SUM(Tabela2[[#This Row],[AO]]+Tabela2[[#This Row],[AD]]+Tabela2[[#This Row],[GWO]]+Tabela2[[#This Row],[GWD]])</f>
        <v>6</v>
      </c>
      <c r="S129" s="180">
        <f>Tabela2[[#This Row],[GWO]]+Tabela2[[#This Row],[GWD]]</f>
        <v>4</v>
      </c>
      <c r="T129" s="180">
        <f>SUM(Tabela2[[#This Row],[G]:[GWD]])</f>
        <v>12</v>
      </c>
    </row>
    <row r="130" spans="1:20" ht="30">
      <c r="A130" s="183">
        <v>291</v>
      </c>
      <c r="B130" s="171" t="s">
        <v>429</v>
      </c>
      <c r="C130" s="171" t="s">
        <v>344</v>
      </c>
      <c r="D130" s="171">
        <v>4</v>
      </c>
      <c r="E130" s="171" t="s">
        <v>251</v>
      </c>
      <c r="F130" s="171">
        <v>1</v>
      </c>
      <c r="G130" s="171">
        <v>1</v>
      </c>
      <c r="H130" s="171">
        <v>1</v>
      </c>
      <c r="I130" s="171">
        <v>2</v>
      </c>
      <c r="J130" s="171">
        <v>1</v>
      </c>
      <c r="K130" s="171">
        <v>1</v>
      </c>
      <c r="L130" s="171">
        <v>4</v>
      </c>
      <c r="M130" s="171">
        <v>1</v>
      </c>
      <c r="N130" s="170"/>
      <c r="O130" s="170"/>
      <c r="P130" s="170"/>
      <c r="Q130" s="180">
        <f>SUM(Tabela2[[#This Row],[G]]+Tabela2[[#This Row],[D]]+Tabela2[[#This Row],[N]]+Tabela2[[#This Row],[HM]])</f>
        <v>4</v>
      </c>
      <c r="R130" s="180">
        <f>SUM(Tabela2[[#This Row],[AO]]+Tabela2[[#This Row],[AD]]+Tabela2[[#This Row],[GWO]]+Tabela2[[#This Row],[GWD]])</f>
        <v>8</v>
      </c>
      <c r="S130" s="180">
        <f>Tabela2[[#This Row],[GWO]]+Tabela2[[#This Row],[GWD]]</f>
        <v>5</v>
      </c>
      <c r="T130" s="180">
        <f>SUM(Tabela2[[#This Row],[G]:[GWD]])</f>
        <v>12</v>
      </c>
    </row>
    <row r="131" spans="1:20" ht="30">
      <c r="A131" s="183">
        <v>319</v>
      </c>
      <c r="B131" s="170" t="s">
        <v>387</v>
      </c>
      <c r="C131" s="170" t="s">
        <v>386</v>
      </c>
      <c r="D131" s="170">
        <v>4</v>
      </c>
      <c r="E131" s="170" t="s">
        <v>272</v>
      </c>
      <c r="F131" s="170">
        <v>2</v>
      </c>
      <c r="G131" s="170">
        <v>1</v>
      </c>
      <c r="H131" s="170">
        <v>1</v>
      </c>
      <c r="I131" s="170">
        <v>2</v>
      </c>
      <c r="J131" s="170">
        <v>1</v>
      </c>
      <c r="K131" s="170">
        <v>1</v>
      </c>
      <c r="L131" s="170">
        <v>3</v>
      </c>
      <c r="M131" s="170">
        <v>1</v>
      </c>
      <c r="N131" s="170"/>
      <c r="O131" s="170"/>
      <c r="P131" s="170"/>
      <c r="Q131" s="180">
        <f>SUM(Tabela2[[#This Row],[G]]+Tabela2[[#This Row],[D]]+Tabela2[[#This Row],[N]]+Tabela2[[#This Row],[HM]])</f>
        <v>5</v>
      </c>
      <c r="R131" s="180">
        <f>SUM(Tabela2[[#This Row],[AO]]+Tabela2[[#This Row],[AD]]+Tabela2[[#This Row],[GWO]]+Tabela2[[#This Row],[GWD]])</f>
        <v>7</v>
      </c>
      <c r="S131" s="180">
        <f>Tabela2[[#This Row],[GWO]]+Tabela2[[#This Row],[GWD]]</f>
        <v>4</v>
      </c>
      <c r="T131" s="180">
        <f>SUM(Tabela2[[#This Row],[G]:[GWD]])</f>
        <v>12</v>
      </c>
    </row>
    <row r="132" spans="1:20">
      <c r="A132" s="183">
        <v>296</v>
      </c>
      <c r="B132" s="171" t="s">
        <v>424</v>
      </c>
      <c r="C132" s="171" t="s">
        <v>227</v>
      </c>
      <c r="D132" s="171">
        <v>4</v>
      </c>
      <c r="E132" s="171" t="s">
        <v>251</v>
      </c>
      <c r="F132" s="171">
        <v>1</v>
      </c>
      <c r="G132" s="171">
        <v>1</v>
      </c>
      <c r="H132" s="171">
        <v>1</v>
      </c>
      <c r="I132" s="171">
        <v>2</v>
      </c>
      <c r="J132" s="171">
        <v>1</v>
      </c>
      <c r="K132" s="171">
        <v>1</v>
      </c>
      <c r="L132" s="171">
        <v>4</v>
      </c>
      <c r="M132" s="171">
        <v>1</v>
      </c>
      <c r="N132" s="170"/>
      <c r="O132" s="170"/>
      <c r="P132" s="170"/>
      <c r="Q132" s="180">
        <f>SUM(Tabela2[[#This Row],[G]]+Tabela2[[#This Row],[D]]+Tabela2[[#This Row],[N]]+Tabela2[[#This Row],[HM]])</f>
        <v>4</v>
      </c>
      <c r="R132" s="180">
        <f>SUM(Tabela2[[#This Row],[AO]]+Tabela2[[#This Row],[AD]]+Tabela2[[#This Row],[GWO]]+Tabela2[[#This Row],[GWD]])</f>
        <v>8</v>
      </c>
      <c r="S132" s="180">
        <f>Tabela2[[#This Row],[GWO]]+Tabela2[[#This Row],[GWD]]</f>
        <v>5</v>
      </c>
      <c r="T132" s="180">
        <f>SUM(Tabela2[[#This Row],[G]:[GWD]])</f>
        <v>12</v>
      </c>
    </row>
    <row r="133" spans="1:20">
      <c r="A133" s="183">
        <v>273</v>
      </c>
      <c r="B133" s="172" t="s">
        <v>449</v>
      </c>
      <c r="C133" s="172" t="s">
        <v>225</v>
      </c>
      <c r="D133" s="172">
        <v>4</v>
      </c>
      <c r="E133" s="172" t="s">
        <v>250</v>
      </c>
      <c r="F133" s="172">
        <v>2</v>
      </c>
      <c r="G133" s="172">
        <v>1</v>
      </c>
      <c r="H133" s="172">
        <v>1</v>
      </c>
      <c r="I133" s="172">
        <v>3</v>
      </c>
      <c r="J133" s="172">
        <v>1</v>
      </c>
      <c r="K133" s="172">
        <v>1</v>
      </c>
      <c r="L133" s="172">
        <v>2</v>
      </c>
      <c r="M133" s="172">
        <v>1</v>
      </c>
      <c r="N133" s="170"/>
      <c r="O133" s="170"/>
      <c r="P133" s="170"/>
      <c r="Q133" s="180">
        <f>SUM(Tabela2[[#This Row],[G]]+Tabela2[[#This Row],[D]]+Tabela2[[#This Row],[N]]+Tabela2[[#This Row],[HM]])</f>
        <v>5</v>
      </c>
      <c r="R133" s="180">
        <f>SUM(Tabela2[[#This Row],[AO]]+Tabela2[[#This Row],[AD]]+Tabela2[[#This Row],[GWO]]+Tabela2[[#This Row],[GWD]])</f>
        <v>7</v>
      </c>
      <c r="S133" s="180">
        <f>Tabela2[[#This Row],[GWO]]+Tabela2[[#This Row],[GWD]]</f>
        <v>3</v>
      </c>
      <c r="T133" s="180">
        <f>SUM(Tabela2[[#This Row],[G]:[GWD]])</f>
        <v>12</v>
      </c>
    </row>
    <row r="134" spans="1:20" ht="30">
      <c r="A134" s="183">
        <v>313</v>
      </c>
      <c r="B134" s="170" t="s">
        <v>397</v>
      </c>
      <c r="C134" s="170" t="s">
        <v>396</v>
      </c>
      <c r="D134" s="170"/>
      <c r="E134" s="170" t="s">
        <v>272</v>
      </c>
      <c r="F134" s="170">
        <v>1</v>
      </c>
      <c r="G134" s="170">
        <v>1</v>
      </c>
      <c r="H134" s="170">
        <v>1</v>
      </c>
      <c r="I134" s="170">
        <v>1</v>
      </c>
      <c r="J134" s="170">
        <v>1</v>
      </c>
      <c r="K134" s="170">
        <v>3</v>
      </c>
      <c r="L134" s="170">
        <v>3</v>
      </c>
      <c r="M134" s="170">
        <v>1</v>
      </c>
      <c r="N134" s="170"/>
      <c r="O134" s="170"/>
      <c r="P134" s="170"/>
      <c r="Q134" s="180">
        <f>SUM(Tabela2[[#This Row],[G]]+Tabela2[[#This Row],[D]]+Tabela2[[#This Row],[N]]+Tabela2[[#This Row],[HM]])</f>
        <v>6</v>
      </c>
      <c r="R134" s="180">
        <f>SUM(Tabela2[[#This Row],[AO]]+Tabela2[[#This Row],[AD]]+Tabela2[[#This Row],[GWO]]+Tabela2[[#This Row],[GWD]])</f>
        <v>6</v>
      </c>
      <c r="S134" s="180">
        <f>Tabela2[[#This Row],[GWO]]+Tabela2[[#This Row],[GWD]]</f>
        <v>4</v>
      </c>
      <c r="T134" s="180">
        <f>SUM(Tabela2[[#This Row],[G]:[GWD]])</f>
        <v>12</v>
      </c>
    </row>
    <row r="135" spans="1:20">
      <c r="A135" s="183">
        <v>8</v>
      </c>
      <c r="B135" s="175" t="s">
        <v>755</v>
      </c>
      <c r="C135" s="175" t="s">
        <v>548</v>
      </c>
      <c r="D135" s="175">
        <v>2</v>
      </c>
      <c r="E135" s="175" t="s">
        <v>18</v>
      </c>
      <c r="F135" s="175">
        <v>1</v>
      </c>
      <c r="G135" s="175">
        <v>1</v>
      </c>
      <c r="H135" s="175">
        <v>4</v>
      </c>
      <c r="I135" s="175">
        <v>1</v>
      </c>
      <c r="J135" s="175">
        <v>1</v>
      </c>
      <c r="K135" s="175">
        <v>1</v>
      </c>
      <c r="L135" s="175">
        <v>1</v>
      </c>
      <c r="M135" s="175">
        <v>1</v>
      </c>
      <c r="N135" s="170"/>
      <c r="O135" s="170"/>
      <c r="P135" s="170"/>
      <c r="Q135" s="180">
        <f>SUM(Tabela2[[#This Row],[G]]+Tabela2[[#This Row],[D]]+Tabela2[[#This Row],[N]]+Tabela2[[#This Row],[HM]])</f>
        <v>7</v>
      </c>
      <c r="R135" s="180">
        <f>SUM(Tabela2[[#This Row],[AO]]+Tabela2[[#This Row],[AD]]+Tabela2[[#This Row],[GWO]]+Tabela2[[#This Row],[GWD]])</f>
        <v>4</v>
      </c>
      <c r="S135" s="180">
        <f>Tabela2[[#This Row],[GWO]]+Tabela2[[#This Row],[GWD]]</f>
        <v>2</v>
      </c>
      <c r="T135" s="180">
        <f>SUM(Tabela2[[#This Row],[G]:[GWD]])</f>
        <v>11</v>
      </c>
    </row>
    <row r="136" spans="1:20">
      <c r="A136" s="183">
        <v>18</v>
      </c>
      <c r="B136" s="174" t="s">
        <v>743</v>
      </c>
      <c r="C136" s="174" t="s">
        <v>716</v>
      </c>
      <c r="D136" s="174">
        <v>2</v>
      </c>
      <c r="E136" s="174" t="s">
        <v>249</v>
      </c>
      <c r="F136" s="174">
        <v>1</v>
      </c>
      <c r="G136" s="174">
        <v>2</v>
      </c>
      <c r="H136" s="174">
        <v>1</v>
      </c>
      <c r="I136" s="174">
        <v>1</v>
      </c>
      <c r="J136" s="174">
        <v>1</v>
      </c>
      <c r="K136" s="174">
        <v>1</v>
      </c>
      <c r="L136" s="174">
        <v>2</v>
      </c>
      <c r="M136" s="174">
        <v>2</v>
      </c>
      <c r="N136" s="170"/>
      <c r="O136" s="170"/>
      <c r="P136" s="170"/>
      <c r="Q136" s="180">
        <f>SUM(Tabela2[[#This Row],[G]]+Tabela2[[#This Row],[D]]+Tabela2[[#This Row],[N]]+Tabela2[[#This Row],[HM]])</f>
        <v>5</v>
      </c>
      <c r="R136" s="180">
        <f>SUM(Tabela2[[#This Row],[AO]]+Tabela2[[#This Row],[AD]]+Tabela2[[#This Row],[GWO]]+Tabela2[[#This Row],[GWD]])</f>
        <v>6</v>
      </c>
      <c r="S136" s="180">
        <f>Tabela2[[#This Row],[GWO]]+Tabela2[[#This Row],[GWD]]</f>
        <v>4</v>
      </c>
      <c r="T136" s="180">
        <f>SUM(Tabela2[[#This Row],[G]:[GWD]])</f>
        <v>11</v>
      </c>
    </row>
    <row r="137" spans="1:20">
      <c r="A137" s="183">
        <v>27</v>
      </c>
      <c r="B137" s="172" t="s">
        <v>734</v>
      </c>
      <c r="C137" s="172" t="s">
        <v>708</v>
      </c>
      <c r="D137" s="172">
        <v>2</v>
      </c>
      <c r="E137" s="172" t="s">
        <v>250</v>
      </c>
      <c r="F137" s="172">
        <v>1</v>
      </c>
      <c r="G137" s="172">
        <v>1</v>
      </c>
      <c r="H137" s="172">
        <v>4</v>
      </c>
      <c r="I137" s="172">
        <v>1</v>
      </c>
      <c r="J137" s="172">
        <v>1</v>
      </c>
      <c r="K137" s="172">
        <v>1</v>
      </c>
      <c r="L137" s="172">
        <v>1</v>
      </c>
      <c r="M137" s="172">
        <v>1</v>
      </c>
      <c r="N137" s="170"/>
      <c r="O137" s="170"/>
      <c r="P137" s="170"/>
      <c r="Q137" s="180">
        <f>SUM(Tabela2[[#This Row],[G]]+Tabela2[[#This Row],[D]]+Tabela2[[#This Row],[N]]+Tabela2[[#This Row],[HM]])</f>
        <v>7</v>
      </c>
      <c r="R137" s="180">
        <f>SUM(Tabela2[[#This Row],[AO]]+Tabela2[[#This Row],[AD]]+Tabela2[[#This Row],[GWO]]+Tabela2[[#This Row],[GWD]])</f>
        <v>4</v>
      </c>
      <c r="S137" s="180">
        <f>Tabela2[[#This Row],[GWO]]+Tabela2[[#This Row],[GWD]]</f>
        <v>2</v>
      </c>
      <c r="T137" s="180">
        <f>SUM(Tabela2[[#This Row],[G]:[GWD]])</f>
        <v>11</v>
      </c>
    </row>
    <row r="138" spans="1:20" ht="30">
      <c r="A138" s="183">
        <v>51</v>
      </c>
      <c r="B138" s="175" t="s">
        <v>700</v>
      </c>
      <c r="C138" s="175" t="s">
        <v>570</v>
      </c>
      <c r="D138" s="175">
        <v>3</v>
      </c>
      <c r="E138" s="175" t="s">
        <v>18</v>
      </c>
      <c r="F138" s="175">
        <v>1</v>
      </c>
      <c r="G138" s="175">
        <v>1</v>
      </c>
      <c r="H138" s="175">
        <v>1</v>
      </c>
      <c r="I138" s="175">
        <v>2</v>
      </c>
      <c r="J138" s="175">
        <v>1</v>
      </c>
      <c r="K138" s="175">
        <v>1</v>
      </c>
      <c r="L138" s="175">
        <v>3</v>
      </c>
      <c r="M138" s="175">
        <v>1</v>
      </c>
      <c r="N138" s="175" t="s">
        <v>445</v>
      </c>
      <c r="O138" s="175"/>
      <c r="P138" s="175"/>
      <c r="Q138" s="184">
        <f>SUM(Tabela2[[#This Row],[G]]+Tabela2[[#This Row],[D]]+Tabela2[[#This Row],[N]]+Tabela2[[#This Row],[HM]])</f>
        <v>4</v>
      </c>
      <c r="R138" s="184">
        <f>SUM(Tabela2[[#This Row],[AO]]+Tabela2[[#This Row],[AD]]+Tabela2[[#This Row],[GWO]]+Tabela2[[#This Row],[GWD]])</f>
        <v>7</v>
      </c>
      <c r="S138" s="184">
        <f>Tabela2[[#This Row],[GWO]]+Tabela2[[#This Row],[GWD]]</f>
        <v>4</v>
      </c>
      <c r="T138" s="180">
        <f>SUM(Tabela2[[#This Row],[G]:[GWD]])</f>
        <v>11</v>
      </c>
    </row>
    <row r="139" spans="1:20" ht="30">
      <c r="A139" s="183">
        <v>112</v>
      </c>
      <c r="B139" s="172" t="s">
        <v>632</v>
      </c>
      <c r="C139" s="172" t="s">
        <v>568</v>
      </c>
      <c r="D139" s="172">
        <v>3</v>
      </c>
      <c r="E139" s="172" t="s">
        <v>250</v>
      </c>
      <c r="F139" s="172">
        <v>1</v>
      </c>
      <c r="G139" s="172">
        <v>1</v>
      </c>
      <c r="H139" s="172">
        <v>2</v>
      </c>
      <c r="I139" s="172">
        <v>2</v>
      </c>
      <c r="J139" s="172">
        <v>1</v>
      </c>
      <c r="K139" s="172">
        <v>1</v>
      </c>
      <c r="L139" s="172">
        <v>2</v>
      </c>
      <c r="M139" s="172">
        <v>1</v>
      </c>
      <c r="N139" s="170"/>
      <c r="O139" s="170"/>
      <c r="P139" s="170"/>
      <c r="Q139" s="180">
        <f>SUM(Tabela2[[#This Row],[G]]+Tabela2[[#This Row],[D]]+Tabela2[[#This Row],[N]]+Tabela2[[#This Row],[HM]])</f>
        <v>5</v>
      </c>
      <c r="R139" s="180">
        <f>SUM(Tabela2[[#This Row],[AO]]+Tabela2[[#This Row],[AD]]+Tabela2[[#This Row],[GWO]]+Tabela2[[#This Row],[GWD]])</f>
        <v>6</v>
      </c>
      <c r="S139" s="180">
        <f>Tabela2[[#This Row],[GWO]]+Tabela2[[#This Row],[GWD]]</f>
        <v>3</v>
      </c>
      <c r="T139" s="180">
        <f>SUM(Tabela2[[#This Row],[G]:[GWD]])</f>
        <v>11</v>
      </c>
    </row>
    <row r="140" spans="1:20">
      <c r="A140" s="183">
        <v>54</v>
      </c>
      <c r="B140" s="175" t="s">
        <v>697</v>
      </c>
      <c r="C140" s="175" t="s">
        <v>565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2</v>
      </c>
      <c r="I140" s="175">
        <v>1</v>
      </c>
      <c r="J140" s="175">
        <v>1</v>
      </c>
      <c r="K140" s="175">
        <v>1</v>
      </c>
      <c r="L140" s="175">
        <v>3</v>
      </c>
      <c r="M140" s="175">
        <v>1</v>
      </c>
      <c r="N140" s="170"/>
      <c r="O140" s="170"/>
      <c r="P140" s="170"/>
      <c r="Q140" s="180">
        <f>SUM(Tabela2[[#This Row],[G]]+Tabela2[[#This Row],[D]]+Tabela2[[#This Row],[N]]+Tabela2[[#This Row],[HM]])</f>
        <v>5</v>
      </c>
      <c r="R140" s="180">
        <f>SUM(Tabela2[[#This Row],[AO]]+Tabela2[[#This Row],[AD]]+Tabela2[[#This Row],[GWO]]+Tabela2[[#This Row],[GWD]])</f>
        <v>6</v>
      </c>
      <c r="S140" s="180">
        <f>Tabela2[[#This Row],[GWO]]+Tabela2[[#This Row],[GWD]]</f>
        <v>4</v>
      </c>
      <c r="T140" s="180">
        <f>SUM(Tabela2[[#This Row],[G]:[GWD]])</f>
        <v>11</v>
      </c>
    </row>
    <row r="141" spans="1:20">
      <c r="A141" s="183">
        <v>114</v>
      </c>
      <c r="B141" s="172" t="s">
        <v>630</v>
      </c>
      <c r="C141" s="172" t="s">
        <v>565</v>
      </c>
      <c r="D141" s="172">
        <v>3</v>
      </c>
      <c r="E141" s="172" t="s">
        <v>250</v>
      </c>
      <c r="F141" s="172">
        <v>1</v>
      </c>
      <c r="G141" s="172">
        <v>1</v>
      </c>
      <c r="H141" s="172">
        <v>2</v>
      </c>
      <c r="I141" s="172">
        <v>2</v>
      </c>
      <c r="J141" s="172">
        <v>1</v>
      </c>
      <c r="K141" s="172">
        <v>1</v>
      </c>
      <c r="L141" s="172">
        <v>2</v>
      </c>
      <c r="M141" s="172">
        <v>1</v>
      </c>
      <c r="N141" s="170"/>
      <c r="O141" s="170"/>
      <c r="P141" s="170"/>
      <c r="Q141" s="180">
        <f>SUM(Tabela2[[#This Row],[G]]+Tabela2[[#This Row],[D]]+Tabela2[[#This Row],[N]]+Tabela2[[#This Row],[HM]])</f>
        <v>5</v>
      </c>
      <c r="R141" s="180">
        <f>SUM(Tabela2[[#This Row],[AO]]+Tabela2[[#This Row],[AD]]+Tabela2[[#This Row],[GWO]]+Tabela2[[#This Row],[GWD]])</f>
        <v>6</v>
      </c>
      <c r="S141" s="180">
        <f>Tabela2[[#This Row],[GWO]]+Tabela2[[#This Row],[GWD]]</f>
        <v>3</v>
      </c>
      <c r="T141" s="180">
        <f>SUM(Tabela2[[#This Row],[G]:[GWD]])</f>
        <v>11</v>
      </c>
    </row>
    <row r="142" spans="1:20">
      <c r="A142" s="183">
        <v>166</v>
      </c>
      <c r="B142" s="171" t="s">
        <v>577</v>
      </c>
      <c r="C142" s="171" t="s">
        <v>521</v>
      </c>
      <c r="D142" s="171">
        <v>3</v>
      </c>
      <c r="E142" s="171" t="s">
        <v>251</v>
      </c>
      <c r="F142" s="171">
        <v>1</v>
      </c>
      <c r="G142" s="171">
        <v>1</v>
      </c>
      <c r="H142" s="171">
        <v>1</v>
      </c>
      <c r="I142" s="171">
        <v>1</v>
      </c>
      <c r="J142" s="171">
        <v>2</v>
      </c>
      <c r="K142" s="171">
        <v>1</v>
      </c>
      <c r="L142" s="171">
        <v>1</v>
      </c>
      <c r="M142" s="171">
        <v>3</v>
      </c>
      <c r="N142" s="170"/>
      <c r="O142" s="170"/>
      <c r="P142" s="170"/>
      <c r="Q142" s="180">
        <f>SUM(Tabela2[[#This Row],[G]]+Tabela2[[#This Row],[D]]+Tabela2[[#This Row],[N]]+Tabela2[[#This Row],[HM]])</f>
        <v>4</v>
      </c>
      <c r="R142" s="180">
        <f>SUM(Tabela2[[#This Row],[AO]]+Tabela2[[#This Row],[AD]]+Tabela2[[#This Row],[GWO]]+Tabela2[[#This Row],[GWD]])</f>
        <v>7</v>
      </c>
      <c r="S142" s="180">
        <f>Tabela2[[#This Row],[GWO]]+Tabela2[[#This Row],[GWD]]</f>
        <v>4</v>
      </c>
      <c r="T142" s="180">
        <f>SUM(Tabela2[[#This Row],[G]:[GWD]])</f>
        <v>11</v>
      </c>
    </row>
    <row r="143" spans="1:20" ht="30">
      <c r="A143" s="183">
        <v>206</v>
      </c>
      <c r="B143" s="175" t="s">
        <v>514</v>
      </c>
      <c r="C143" s="175" t="s">
        <v>409</v>
      </c>
      <c r="D143" s="175">
        <v>4</v>
      </c>
      <c r="E143" s="175" t="s">
        <v>18</v>
      </c>
      <c r="F143" s="175">
        <v>1</v>
      </c>
      <c r="G143" s="175">
        <v>1</v>
      </c>
      <c r="H143" s="175">
        <v>4</v>
      </c>
      <c r="I143" s="175">
        <v>1</v>
      </c>
      <c r="J143" s="175">
        <v>1</v>
      </c>
      <c r="K143" s="175">
        <v>1</v>
      </c>
      <c r="L143" s="175">
        <v>1</v>
      </c>
      <c r="M143" s="175">
        <v>1</v>
      </c>
      <c r="N143" s="170"/>
      <c r="O143" s="170"/>
      <c r="P143" s="170"/>
      <c r="Q143" s="180">
        <f>SUM(Tabela2[[#This Row],[G]]+Tabela2[[#This Row],[D]]+Tabela2[[#This Row],[N]]+Tabela2[[#This Row],[HM]])</f>
        <v>7</v>
      </c>
      <c r="R143" s="180">
        <f>SUM(Tabela2[[#This Row],[AO]]+Tabela2[[#This Row],[AD]]+Tabela2[[#This Row],[GWO]]+Tabela2[[#This Row],[GWD]])</f>
        <v>4</v>
      </c>
      <c r="S143" s="180">
        <f>Tabela2[[#This Row],[GWO]]+Tabela2[[#This Row],[GWD]]</f>
        <v>2</v>
      </c>
      <c r="T143" s="180">
        <f>SUM(Tabela2[[#This Row],[G]:[GWD]])</f>
        <v>11</v>
      </c>
    </row>
    <row r="144" spans="1:20" ht="30">
      <c r="A144" s="183">
        <v>234</v>
      </c>
      <c r="B144" s="174" t="s">
        <v>246</v>
      </c>
      <c r="C144" s="174" t="s">
        <v>403</v>
      </c>
      <c r="D144" s="174">
        <v>4</v>
      </c>
      <c r="E144" s="174" t="s">
        <v>249</v>
      </c>
      <c r="F144" s="174">
        <v>1</v>
      </c>
      <c r="G144" s="174">
        <v>1</v>
      </c>
      <c r="H144" s="174">
        <v>3</v>
      </c>
      <c r="I144" s="174">
        <v>2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70"/>
      <c r="Q144" s="180">
        <f>SUM(Tabela2[[#This Row],[G]]+Tabela2[[#This Row],[D]]+Tabela2[[#This Row],[N]]+Tabela2[[#This Row],[HM]])</f>
        <v>6</v>
      </c>
      <c r="R144" s="180">
        <f>SUM(Tabela2[[#This Row],[AO]]+Tabela2[[#This Row],[AD]]+Tabela2[[#This Row],[GWO]]+Tabela2[[#This Row],[GWD]])</f>
        <v>5</v>
      </c>
      <c r="S144" s="180">
        <f>Tabela2[[#This Row],[GWO]]+Tabela2[[#This Row],[GWD]]</f>
        <v>2</v>
      </c>
      <c r="T144" s="180">
        <f>SUM(Tabela2[[#This Row],[G]:[GWD]])</f>
        <v>11</v>
      </c>
    </row>
    <row r="145" spans="1:20" ht="30">
      <c r="A145" s="183">
        <v>260</v>
      </c>
      <c r="B145" s="172" t="s">
        <v>462</v>
      </c>
      <c r="C145" s="172" t="s">
        <v>403</v>
      </c>
      <c r="D145" s="172">
        <v>4</v>
      </c>
      <c r="E145" s="172" t="s">
        <v>250</v>
      </c>
      <c r="F145" s="172">
        <v>3</v>
      </c>
      <c r="G145" s="172">
        <v>1</v>
      </c>
      <c r="H145" s="172">
        <v>2</v>
      </c>
      <c r="I145" s="172">
        <v>1</v>
      </c>
      <c r="J145" s="172">
        <v>1</v>
      </c>
      <c r="K145" s="172">
        <v>1</v>
      </c>
      <c r="L145" s="172">
        <v>1</v>
      </c>
      <c r="M145" s="172">
        <v>1</v>
      </c>
      <c r="N145" s="170"/>
      <c r="O145" s="170"/>
      <c r="P145" s="170"/>
      <c r="Q145" s="180">
        <f>SUM(Tabela2[[#This Row],[G]]+Tabela2[[#This Row],[D]]+Tabela2[[#This Row],[N]]+Tabela2[[#This Row],[HM]])</f>
        <v>7</v>
      </c>
      <c r="R145" s="180">
        <f>SUM(Tabela2[[#This Row],[AO]]+Tabela2[[#This Row],[AD]]+Tabela2[[#This Row],[GWO]]+Tabela2[[#This Row],[GWD]])</f>
        <v>4</v>
      </c>
      <c r="S145" s="180">
        <f>Tabela2[[#This Row],[GWO]]+Tabela2[[#This Row],[GWD]]</f>
        <v>2</v>
      </c>
      <c r="T145" s="180">
        <f>SUM(Tabela2[[#This Row],[G]:[GWD]])</f>
        <v>11</v>
      </c>
    </row>
    <row r="146" spans="1:20" ht="30">
      <c r="A146" s="183">
        <v>309</v>
      </c>
      <c r="B146" s="170" t="s">
        <v>404</v>
      </c>
      <c r="C146" s="170" t="s">
        <v>403</v>
      </c>
      <c r="D146" s="170">
        <v>4</v>
      </c>
      <c r="E146" s="170" t="s">
        <v>272</v>
      </c>
      <c r="F146" s="170">
        <v>1</v>
      </c>
      <c r="G146" s="170">
        <v>1</v>
      </c>
      <c r="H146" s="170">
        <v>3</v>
      </c>
      <c r="I146" s="170">
        <v>1</v>
      </c>
      <c r="J146" s="170">
        <v>1</v>
      </c>
      <c r="K146" s="170">
        <v>1</v>
      </c>
      <c r="L146" s="170">
        <v>2</v>
      </c>
      <c r="M146" s="170">
        <v>1</v>
      </c>
      <c r="N146" s="170"/>
      <c r="O146" s="170"/>
      <c r="P146" s="170"/>
      <c r="Q146" s="180">
        <f>SUM(Tabela2[[#This Row],[G]]+Tabela2[[#This Row],[D]]+Tabela2[[#This Row],[N]]+Tabela2[[#This Row],[HM]])</f>
        <v>6</v>
      </c>
      <c r="R146" s="180">
        <f>SUM(Tabela2[[#This Row],[AO]]+Tabela2[[#This Row],[AD]]+Tabela2[[#This Row],[GWO]]+Tabela2[[#This Row],[GWD]])</f>
        <v>5</v>
      </c>
      <c r="S146" s="180">
        <f>Tabela2[[#This Row],[GWO]]+Tabela2[[#This Row],[GWD]]</f>
        <v>3</v>
      </c>
      <c r="T146" s="180">
        <f>SUM(Tabela2[[#This Row],[G]:[GWD]])</f>
        <v>11</v>
      </c>
    </row>
    <row r="147" spans="1:20" ht="30">
      <c r="A147" s="183">
        <v>310</v>
      </c>
      <c r="B147" s="170" t="s">
        <v>402</v>
      </c>
      <c r="C147" s="170" t="s">
        <v>400</v>
      </c>
      <c r="D147" s="170">
        <v>4</v>
      </c>
      <c r="E147" s="170" t="s">
        <v>272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70"/>
      <c r="Q147" s="180">
        <f>SUM(Tabela2[[#This Row],[G]]+Tabela2[[#This Row],[D]]+Tabela2[[#This Row],[N]]+Tabela2[[#This Row],[HM]])</f>
        <v>4</v>
      </c>
      <c r="R147" s="180">
        <f>SUM(Tabela2[[#This Row],[AO]]+Tabela2[[#This Row],[AD]]+Tabela2[[#This Row],[GWO]]+Tabela2[[#This Row],[GWD]])</f>
        <v>7</v>
      </c>
      <c r="S147" s="180">
        <f>Tabela2[[#This Row],[GWO]]+Tabela2[[#This Row],[GWD]]</f>
        <v>4</v>
      </c>
      <c r="T147" s="180">
        <f>SUM(Tabela2[[#This Row],[G]:[GWD]])</f>
        <v>11</v>
      </c>
    </row>
    <row r="148" spans="1:20" ht="30">
      <c r="A148" s="183">
        <v>311</v>
      </c>
      <c r="B148" s="170" t="s">
        <v>401</v>
      </c>
      <c r="C148" s="170" t="s">
        <v>400</v>
      </c>
      <c r="D148" s="170">
        <v>4</v>
      </c>
      <c r="E148" s="170" t="s">
        <v>272</v>
      </c>
      <c r="F148" s="170">
        <v>1</v>
      </c>
      <c r="G148" s="170">
        <v>1</v>
      </c>
      <c r="H148" s="170">
        <v>1</v>
      </c>
      <c r="I148" s="170">
        <v>2</v>
      </c>
      <c r="J148" s="170">
        <v>1</v>
      </c>
      <c r="K148" s="170">
        <v>1</v>
      </c>
      <c r="L148" s="170">
        <v>3</v>
      </c>
      <c r="M148" s="170">
        <v>1</v>
      </c>
      <c r="N148" s="170"/>
      <c r="O148" s="170"/>
      <c r="P148" s="170"/>
      <c r="Q148" s="180">
        <f>SUM(Tabela2[[#This Row],[G]]+Tabela2[[#This Row],[D]]+Tabela2[[#This Row],[N]]+Tabela2[[#This Row],[HM]])</f>
        <v>4</v>
      </c>
      <c r="R148" s="180">
        <f>SUM(Tabela2[[#This Row],[AO]]+Tabela2[[#This Row],[AD]]+Tabela2[[#This Row],[GWO]]+Tabela2[[#This Row],[GWD]])</f>
        <v>7</v>
      </c>
      <c r="S148" s="180">
        <f>Tabela2[[#This Row],[GWO]]+Tabela2[[#This Row],[GWD]]</f>
        <v>4</v>
      </c>
      <c r="T148" s="180">
        <f>SUM(Tabela2[[#This Row],[G]:[GWD]])</f>
        <v>11</v>
      </c>
    </row>
    <row r="149" spans="1:20">
      <c r="A149" s="183">
        <v>316</v>
      </c>
      <c r="B149" s="170" t="s">
        <v>391</v>
      </c>
      <c r="C149" s="170" t="s">
        <v>215</v>
      </c>
      <c r="D149" s="170">
        <v>4</v>
      </c>
      <c r="E149" s="170" t="s">
        <v>272</v>
      </c>
      <c r="F149" s="170">
        <v>1</v>
      </c>
      <c r="G149" s="170">
        <v>1</v>
      </c>
      <c r="H149" s="170">
        <v>1</v>
      </c>
      <c r="I149" s="170">
        <v>2</v>
      </c>
      <c r="J149" s="170">
        <v>1</v>
      </c>
      <c r="K149" s="170">
        <v>2</v>
      </c>
      <c r="L149" s="170">
        <v>2</v>
      </c>
      <c r="M149" s="170">
        <v>1</v>
      </c>
      <c r="N149" s="170"/>
      <c r="O149" s="170"/>
      <c r="P149" s="170"/>
      <c r="Q149" s="180">
        <f>SUM(Tabela2[[#This Row],[G]]+Tabela2[[#This Row],[D]]+Tabela2[[#This Row],[N]]+Tabela2[[#This Row],[HM]])</f>
        <v>5</v>
      </c>
      <c r="R149" s="180">
        <f>SUM(Tabela2[[#This Row],[AO]]+Tabela2[[#This Row],[AD]]+Tabela2[[#This Row],[GWO]]+Tabela2[[#This Row],[GWD]])</f>
        <v>6</v>
      </c>
      <c r="S149" s="180">
        <f>Tabela2[[#This Row],[GWO]]+Tabela2[[#This Row],[GWD]]</f>
        <v>3</v>
      </c>
      <c r="T149" s="180">
        <f>SUM(Tabela2[[#This Row],[G]:[GWD]])</f>
        <v>11</v>
      </c>
    </row>
    <row r="150" spans="1:20" ht="30">
      <c r="A150" s="183">
        <v>217</v>
      </c>
      <c r="B150" s="175" t="s">
        <v>503</v>
      </c>
      <c r="C150" s="175" t="s">
        <v>386</v>
      </c>
      <c r="D150" s="175">
        <v>4</v>
      </c>
      <c r="E150" s="175" t="s">
        <v>18</v>
      </c>
      <c r="F150" s="175">
        <v>1</v>
      </c>
      <c r="G150" s="175">
        <v>1</v>
      </c>
      <c r="H150" s="175">
        <v>1</v>
      </c>
      <c r="I150" s="175">
        <v>2</v>
      </c>
      <c r="J150" s="175">
        <v>1</v>
      </c>
      <c r="K150" s="175">
        <v>1</v>
      </c>
      <c r="L150" s="175">
        <v>3</v>
      </c>
      <c r="M150" s="175">
        <v>1</v>
      </c>
      <c r="N150" s="170"/>
      <c r="O150" s="170"/>
      <c r="P150" s="170"/>
      <c r="Q150" s="180">
        <f>SUM(Tabela2[[#This Row],[G]]+Tabela2[[#This Row],[D]]+Tabela2[[#This Row],[N]]+Tabela2[[#This Row],[HM]])</f>
        <v>4</v>
      </c>
      <c r="R150" s="180">
        <f>SUM(Tabela2[[#This Row],[AO]]+Tabela2[[#This Row],[AD]]+Tabela2[[#This Row],[GWO]]+Tabela2[[#This Row],[GWD]])</f>
        <v>7</v>
      </c>
      <c r="S150" s="180">
        <f>Tabela2[[#This Row],[GWO]]+Tabela2[[#This Row],[GWD]]</f>
        <v>4</v>
      </c>
      <c r="T150" s="180">
        <f>SUM(Tabela2[[#This Row],[G]:[GWD]])</f>
        <v>11</v>
      </c>
    </row>
    <row r="151" spans="1:20" ht="30">
      <c r="A151" s="183">
        <v>268</v>
      </c>
      <c r="B151" s="172" t="s">
        <v>455</v>
      </c>
      <c r="C151" s="172" t="s">
        <v>386</v>
      </c>
      <c r="D151" s="172">
        <v>4</v>
      </c>
      <c r="E151" s="172" t="s">
        <v>250</v>
      </c>
      <c r="F151" s="172">
        <v>2</v>
      </c>
      <c r="G151" s="172">
        <v>1</v>
      </c>
      <c r="H151" s="172">
        <v>1</v>
      </c>
      <c r="I151" s="172">
        <v>1</v>
      </c>
      <c r="J151" s="172">
        <v>1</v>
      </c>
      <c r="K151" s="172">
        <v>1</v>
      </c>
      <c r="L151" s="172">
        <v>3</v>
      </c>
      <c r="M151" s="172">
        <v>1</v>
      </c>
      <c r="N151" s="170"/>
      <c r="O151" s="170"/>
      <c r="P151" s="170"/>
      <c r="Q151" s="180">
        <f>SUM(Tabela2[[#This Row],[G]]+Tabela2[[#This Row],[D]]+Tabela2[[#This Row],[N]]+Tabela2[[#This Row],[HM]])</f>
        <v>5</v>
      </c>
      <c r="R151" s="180">
        <f>SUM(Tabela2[[#This Row],[AO]]+Tabela2[[#This Row],[AD]]+Tabela2[[#This Row],[GWO]]+Tabela2[[#This Row],[GWD]])</f>
        <v>6</v>
      </c>
      <c r="S151" s="180">
        <f>Tabela2[[#This Row],[GWO]]+Tabela2[[#This Row],[GWD]]</f>
        <v>4</v>
      </c>
      <c r="T151" s="180">
        <f>SUM(Tabela2[[#This Row],[G]:[GWD]])</f>
        <v>11</v>
      </c>
    </row>
    <row r="152" spans="1:20">
      <c r="A152" s="183">
        <v>219</v>
      </c>
      <c r="B152" s="175" t="s">
        <v>501</v>
      </c>
      <c r="C152" s="175" t="s">
        <v>382</v>
      </c>
      <c r="D152" s="175">
        <v>4</v>
      </c>
      <c r="E152" s="175" t="s">
        <v>18</v>
      </c>
      <c r="F152" s="175">
        <v>1</v>
      </c>
      <c r="G152" s="175">
        <v>1</v>
      </c>
      <c r="H152" s="175">
        <v>1</v>
      </c>
      <c r="I152" s="175">
        <v>2</v>
      </c>
      <c r="J152" s="175">
        <v>1</v>
      </c>
      <c r="K152" s="175">
        <v>1</v>
      </c>
      <c r="L152" s="175">
        <v>3</v>
      </c>
      <c r="M152" s="175">
        <v>1</v>
      </c>
      <c r="N152" s="170"/>
      <c r="O152" s="170"/>
      <c r="P152" s="170"/>
      <c r="Q152" s="180">
        <f>SUM(Tabela2[[#This Row],[G]]+Tabela2[[#This Row],[D]]+Tabela2[[#This Row],[N]]+Tabela2[[#This Row],[HM]])</f>
        <v>4</v>
      </c>
      <c r="R152" s="180">
        <f>SUM(Tabela2[[#This Row],[AO]]+Tabela2[[#This Row],[AD]]+Tabela2[[#This Row],[GWO]]+Tabela2[[#This Row],[GWD]])</f>
        <v>7</v>
      </c>
      <c r="S152" s="180">
        <f>Tabela2[[#This Row],[GWO]]+Tabela2[[#This Row],[GWD]]</f>
        <v>4</v>
      </c>
      <c r="T152" s="180">
        <f>SUM(Tabela2[[#This Row],[G]:[GWD]])</f>
        <v>11</v>
      </c>
    </row>
    <row r="153" spans="1:20">
      <c r="A153" s="183">
        <v>224</v>
      </c>
      <c r="B153" s="175" t="s">
        <v>497</v>
      </c>
      <c r="C153" s="175" t="s">
        <v>226</v>
      </c>
      <c r="D153" s="175">
        <v>4</v>
      </c>
      <c r="E153" s="175" t="s">
        <v>18</v>
      </c>
      <c r="F153" s="175">
        <v>1</v>
      </c>
      <c r="G153" s="175">
        <v>3</v>
      </c>
      <c r="H153" s="175">
        <v>1</v>
      </c>
      <c r="I153" s="175">
        <v>1</v>
      </c>
      <c r="J153" s="175">
        <v>1</v>
      </c>
      <c r="K153" s="175">
        <v>2</v>
      </c>
      <c r="L153" s="175">
        <v>1</v>
      </c>
      <c r="M153" s="175">
        <v>1</v>
      </c>
      <c r="N153" s="170"/>
      <c r="O153" s="170"/>
      <c r="P153" s="170"/>
      <c r="Q153" s="180">
        <f>SUM(Tabela2[[#This Row],[G]]+Tabela2[[#This Row],[D]]+Tabela2[[#This Row],[N]]+Tabela2[[#This Row],[HM]])</f>
        <v>7</v>
      </c>
      <c r="R153" s="180">
        <f>SUM(Tabela2[[#This Row],[AO]]+Tabela2[[#This Row],[AD]]+Tabela2[[#This Row],[GWO]]+Tabela2[[#This Row],[GWD]])</f>
        <v>4</v>
      </c>
      <c r="S153" s="180">
        <f>Tabela2[[#This Row],[GWO]]+Tabela2[[#This Row],[GWD]]</f>
        <v>2</v>
      </c>
      <c r="T153" s="180">
        <f>SUM(Tabela2[[#This Row],[G]:[GWD]])</f>
        <v>11</v>
      </c>
    </row>
    <row r="154" spans="1:20">
      <c r="A154" s="183">
        <v>10</v>
      </c>
      <c r="B154" s="174" t="s">
        <v>752</v>
      </c>
      <c r="C154" s="174" t="s">
        <v>714</v>
      </c>
      <c r="D154" s="174">
        <v>2</v>
      </c>
      <c r="E154" s="174" t="s">
        <v>249</v>
      </c>
      <c r="F154" s="174">
        <v>2</v>
      </c>
      <c r="G154" s="174">
        <v>1</v>
      </c>
      <c r="H154" s="174">
        <v>2</v>
      </c>
      <c r="I154" s="174">
        <v>1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70"/>
      <c r="Q154" s="180">
        <f>SUM(Tabela2[[#This Row],[G]]+Tabela2[[#This Row],[D]]+Tabela2[[#This Row],[N]]+Tabela2[[#This Row],[HM]])</f>
        <v>6</v>
      </c>
      <c r="R154" s="180">
        <f>SUM(Tabela2[[#This Row],[AO]]+Tabela2[[#This Row],[AD]]+Tabela2[[#This Row],[GWO]]+Tabela2[[#This Row],[GWD]])</f>
        <v>4</v>
      </c>
      <c r="S154" s="180">
        <f>Tabela2[[#This Row],[GWO]]+Tabela2[[#This Row],[GWD]]</f>
        <v>2</v>
      </c>
      <c r="T154" s="180">
        <f>SUM(Tabela2[[#This Row],[G]:[GWD]])</f>
        <v>10</v>
      </c>
    </row>
    <row r="155" spans="1:20">
      <c r="A155" s="183">
        <v>40</v>
      </c>
      <c r="B155" s="171" t="s">
        <v>719</v>
      </c>
      <c r="C155" s="171" t="s">
        <v>710</v>
      </c>
      <c r="D155" s="171">
        <v>2</v>
      </c>
      <c r="E155" s="171" t="s">
        <v>251</v>
      </c>
      <c r="F155" s="171">
        <v>1</v>
      </c>
      <c r="G155" s="171">
        <v>1</v>
      </c>
      <c r="H155" s="171">
        <v>1</v>
      </c>
      <c r="I155" s="171">
        <v>1</v>
      </c>
      <c r="J155" s="171">
        <v>1</v>
      </c>
      <c r="K155" s="171">
        <v>3</v>
      </c>
      <c r="L155" s="171">
        <v>1</v>
      </c>
      <c r="M155" s="171">
        <v>1</v>
      </c>
      <c r="N155" s="170"/>
      <c r="O155" s="170"/>
      <c r="P155" s="170"/>
      <c r="Q155" s="180">
        <f>SUM(Tabela2[[#This Row],[G]]+Tabela2[[#This Row],[D]]+Tabela2[[#This Row],[N]]+Tabela2[[#This Row],[HM]])</f>
        <v>6</v>
      </c>
      <c r="R155" s="180">
        <f>SUM(Tabela2[[#This Row],[AO]]+Tabela2[[#This Row],[AD]]+Tabela2[[#This Row],[GWO]]+Tabela2[[#This Row],[GWD]])</f>
        <v>4</v>
      </c>
      <c r="S155" s="180">
        <f>Tabela2[[#This Row],[GWO]]+Tabela2[[#This Row],[GWD]]</f>
        <v>2</v>
      </c>
      <c r="T155" s="180">
        <f>SUM(Tabela2[[#This Row],[G]:[GWD]])</f>
        <v>10</v>
      </c>
    </row>
    <row r="156" spans="1:20">
      <c r="A156" s="183">
        <v>23</v>
      </c>
      <c r="B156" s="172" t="s">
        <v>740</v>
      </c>
      <c r="C156" s="172" t="s">
        <v>706</v>
      </c>
      <c r="D156" s="172">
        <v>2</v>
      </c>
      <c r="E156" s="172" t="s">
        <v>250</v>
      </c>
      <c r="F156" s="172">
        <v>2</v>
      </c>
      <c r="G156" s="172">
        <v>1</v>
      </c>
      <c r="H156" s="172">
        <v>2</v>
      </c>
      <c r="I156" s="172">
        <v>1</v>
      </c>
      <c r="J156" s="172">
        <v>1</v>
      </c>
      <c r="K156" s="172">
        <v>1</v>
      </c>
      <c r="L156" s="172">
        <v>1</v>
      </c>
      <c r="M156" s="172">
        <v>1</v>
      </c>
      <c r="N156" s="170"/>
      <c r="O156" s="194" t="s">
        <v>204</v>
      </c>
      <c r="P156" s="194"/>
      <c r="Q156" s="180">
        <f>SUM(Tabela2[[#This Row],[G]]+Tabela2[[#This Row],[D]]+Tabela2[[#This Row],[N]]+Tabela2[[#This Row],[HM]])</f>
        <v>6</v>
      </c>
      <c r="R156" s="180">
        <f>SUM(Tabela2[[#This Row],[AO]]+Tabela2[[#This Row],[AD]]+Tabela2[[#This Row],[GWO]]+Tabela2[[#This Row],[GWD]])</f>
        <v>4</v>
      </c>
      <c r="S156" s="180">
        <f>Tabela2[[#This Row],[GWO]]+Tabela2[[#This Row],[GWD]]</f>
        <v>2</v>
      </c>
      <c r="T156" s="180">
        <f>SUM(Tabela2[[#This Row],[G]:[GWD]])</f>
        <v>10</v>
      </c>
    </row>
    <row r="157" spans="1:20">
      <c r="A157" s="183">
        <v>47</v>
      </c>
      <c r="B157" s="170" t="s">
        <v>707</v>
      </c>
      <c r="C157" s="170" t="s">
        <v>706</v>
      </c>
      <c r="D157" s="170">
        <v>2</v>
      </c>
      <c r="E157" s="170" t="s">
        <v>272</v>
      </c>
      <c r="F157" s="170">
        <v>1</v>
      </c>
      <c r="G157" s="170">
        <v>1</v>
      </c>
      <c r="H157" s="170">
        <v>3</v>
      </c>
      <c r="I157" s="170">
        <v>1</v>
      </c>
      <c r="J157" s="170">
        <v>1</v>
      </c>
      <c r="K157" s="170">
        <v>1</v>
      </c>
      <c r="L157" s="170">
        <v>1</v>
      </c>
      <c r="M157" s="170">
        <v>1</v>
      </c>
      <c r="N157" s="170"/>
      <c r="O157" s="170"/>
      <c r="P157" s="170"/>
      <c r="Q157" s="180">
        <f>SUM(Tabela2[[#This Row],[G]]+Tabela2[[#This Row],[D]]+Tabela2[[#This Row],[N]]+Tabela2[[#This Row],[HM]])</f>
        <v>6</v>
      </c>
      <c r="R157" s="180">
        <f>SUM(Tabela2[[#This Row],[AO]]+Tabela2[[#This Row],[AD]]+Tabela2[[#This Row],[GWO]]+Tabela2[[#This Row],[GWD]])</f>
        <v>4</v>
      </c>
      <c r="S157" s="180">
        <f>Tabela2[[#This Row],[GWO]]+Tabela2[[#This Row],[GWD]]</f>
        <v>2</v>
      </c>
      <c r="T157" s="180">
        <f>SUM(Tabela2[[#This Row],[G]:[GWD]])</f>
        <v>10</v>
      </c>
    </row>
    <row r="158" spans="1:20">
      <c r="A158" s="183">
        <v>135</v>
      </c>
      <c r="B158" s="171" t="s">
        <v>610</v>
      </c>
      <c r="C158" s="171" t="s">
        <v>574</v>
      </c>
      <c r="D158" s="171">
        <v>3</v>
      </c>
      <c r="E158" s="171" t="s">
        <v>251</v>
      </c>
      <c r="F158" s="171">
        <v>1</v>
      </c>
      <c r="G158" s="171">
        <v>1</v>
      </c>
      <c r="H158" s="171">
        <v>1</v>
      </c>
      <c r="I158" s="171">
        <v>2</v>
      </c>
      <c r="J158" s="171">
        <v>1</v>
      </c>
      <c r="K158" s="171">
        <v>1</v>
      </c>
      <c r="L158" s="171">
        <v>2</v>
      </c>
      <c r="M158" s="171">
        <v>1</v>
      </c>
      <c r="N158" s="170"/>
      <c r="O158" s="170"/>
      <c r="P158" s="170"/>
      <c r="Q158" s="180">
        <f>SUM(Tabela2[[#This Row],[G]]+Tabela2[[#This Row],[D]]+Tabela2[[#This Row],[N]]+Tabela2[[#This Row],[HM]])</f>
        <v>4</v>
      </c>
      <c r="R158" s="180">
        <f>SUM(Tabela2[[#This Row],[AO]]+Tabela2[[#This Row],[AD]]+Tabela2[[#This Row],[GWO]]+Tabela2[[#This Row],[GWD]])</f>
        <v>6</v>
      </c>
      <c r="S158" s="180">
        <f>Tabela2[[#This Row],[GWO]]+Tabela2[[#This Row],[GWD]]</f>
        <v>3</v>
      </c>
      <c r="T158" s="180">
        <f>SUM(Tabela2[[#This Row],[G]:[GWD]])</f>
        <v>10</v>
      </c>
    </row>
    <row r="159" spans="1:20" ht="30">
      <c r="A159" s="183">
        <v>85</v>
      </c>
      <c r="B159" s="174" t="s">
        <v>659</v>
      </c>
      <c r="C159" s="174" t="s">
        <v>570</v>
      </c>
      <c r="D159" s="174">
        <v>3</v>
      </c>
      <c r="E159" s="174" t="s">
        <v>249</v>
      </c>
      <c r="F159" s="174">
        <v>1</v>
      </c>
      <c r="G159" s="174">
        <v>1</v>
      </c>
      <c r="H159" s="174">
        <v>1</v>
      </c>
      <c r="I159" s="174">
        <v>2</v>
      </c>
      <c r="J159" s="174">
        <v>1</v>
      </c>
      <c r="K159" s="174">
        <v>1</v>
      </c>
      <c r="L159" s="174">
        <v>2</v>
      </c>
      <c r="M159" s="174">
        <v>1</v>
      </c>
      <c r="N159" s="170"/>
      <c r="O159" s="170"/>
      <c r="P159" s="170"/>
      <c r="Q159" s="180">
        <f>SUM(Tabela2[[#This Row],[G]]+Tabela2[[#This Row],[D]]+Tabela2[[#This Row],[N]]+Tabela2[[#This Row],[HM]])</f>
        <v>4</v>
      </c>
      <c r="R159" s="180">
        <f>SUM(Tabela2[[#This Row],[AO]]+Tabela2[[#This Row],[AD]]+Tabela2[[#This Row],[GWO]]+Tabela2[[#This Row],[GWD]])</f>
        <v>6</v>
      </c>
      <c r="S159" s="180">
        <f>Tabela2[[#This Row],[GWO]]+Tabela2[[#This Row],[GWD]]</f>
        <v>3</v>
      </c>
      <c r="T159" s="180">
        <f>SUM(Tabela2[[#This Row],[G]:[GWD]])</f>
        <v>10</v>
      </c>
    </row>
    <row r="160" spans="1:20" ht="30">
      <c r="A160" s="183">
        <v>83</v>
      </c>
      <c r="B160" s="174" t="s">
        <v>661</v>
      </c>
      <c r="C160" s="174" t="s">
        <v>566</v>
      </c>
      <c r="D160" s="174">
        <v>3</v>
      </c>
      <c r="E160" s="174" t="s">
        <v>249</v>
      </c>
      <c r="F160" s="174">
        <v>1</v>
      </c>
      <c r="G160" s="174">
        <v>3</v>
      </c>
      <c r="H160" s="174">
        <v>1</v>
      </c>
      <c r="I160" s="174">
        <v>1</v>
      </c>
      <c r="J160" s="174">
        <v>1</v>
      </c>
      <c r="K160" s="174">
        <v>1</v>
      </c>
      <c r="L160" s="174">
        <v>1</v>
      </c>
      <c r="M160" s="174">
        <v>1</v>
      </c>
      <c r="N160" s="170"/>
      <c r="O160" s="170"/>
      <c r="P160" s="170"/>
      <c r="Q160" s="180">
        <f>SUM(Tabela2[[#This Row],[G]]+Tabela2[[#This Row],[D]]+Tabela2[[#This Row],[N]]+Tabela2[[#This Row],[HM]])</f>
        <v>6</v>
      </c>
      <c r="R160" s="180">
        <f>SUM(Tabela2[[#This Row],[AO]]+Tabela2[[#This Row],[AD]]+Tabela2[[#This Row],[GWO]]+Tabela2[[#This Row],[GWD]])</f>
        <v>4</v>
      </c>
      <c r="S160" s="180">
        <f>Tabela2[[#This Row],[GWO]]+Tabela2[[#This Row],[GWD]]</f>
        <v>2</v>
      </c>
      <c r="T160" s="180">
        <f>SUM(Tabela2[[#This Row],[G]:[GWD]])</f>
        <v>10</v>
      </c>
    </row>
    <row r="161" spans="1:20" ht="30">
      <c r="A161" s="183">
        <v>86</v>
      </c>
      <c r="B161" s="174" t="s">
        <v>658</v>
      </c>
      <c r="C161" s="174" t="s">
        <v>412</v>
      </c>
      <c r="D161" s="174">
        <v>3</v>
      </c>
      <c r="E161" s="174" t="s">
        <v>249</v>
      </c>
      <c r="F161" s="174">
        <v>1</v>
      </c>
      <c r="G161" s="174">
        <v>1</v>
      </c>
      <c r="H161" s="174">
        <v>1</v>
      </c>
      <c r="I161" s="174">
        <v>1</v>
      </c>
      <c r="J161" s="174">
        <v>3</v>
      </c>
      <c r="K161" s="174">
        <v>1</v>
      </c>
      <c r="L161" s="174">
        <v>1</v>
      </c>
      <c r="M161" s="174">
        <v>1</v>
      </c>
      <c r="N161" s="170"/>
      <c r="O161" s="170"/>
      <c r="P161" s="170"/>
      <c r="Q161" s="180">
        <f>SUM(Tabela2[[#This Row],[G]]+Tabela2[[#This Row],[D]]+Tabela2[[#This Row],[N]]+Tabela2[[#This Row],[HM]])</f>
        <v>4</v>
      </c>
      <c r="R161" s="180">
        <f>SUM(Tabela2[[#This Row],[AO]]+Tabela2[[#This Row],[AD]]+Tabela2[[#This Row],[GWO]]+Tabela2[[#This Row],[GWD]])</f>
        <v>6</v>
      </c>
      <c r="S161" s="180">
        <f>Tabela2[[#This Row],[GWO]]+Tabela2[[#This Row],[GWD]]</f>
        <v>2</v>
      </c>
      <c r="T161" s="180">
        <f>SUM(Tabela2[[#This Row],[G]:[GWD]])</f>
        <v>10</v>
      </c>
    </row>
    <row r="162" spans="1:20" ht="30">
      <c r="A162" s="183">
        <v>144</v>
      </c>
      <c r="B162" s="171" t="s">
        <v>601</v>
      </c>
      <c r="C162" s="171" t="s">
        <v>412</v>
      </c>
      <c r="D162" s="171">
        <v>3</v>
      </c>
      <c r="E162" s="171" t="s">
        <v>251</v>
      </c>
      <c r="F162" s="171">
        <v>1</v>
      </c>
      <c r="G162" s="171">
        <v>1</v>
      </c>
      <c r="H162" s="171">
        <v>1</v>
      </c>
      <c r="I162" s="171">
        <v>1</v>
      </c>
      <c r="J162" s="171">
        <v>1</v>
      </c>
      <c r="K162" s="171">
        <v>2</v>
      </c>
      <c r="L162" s="171">
        <v>2</v>
      </c>
      <c r="M162" s="171">
        <v>1</v>
      </c>
      <c r="N162" s="170"/>
      <c r="O162" s="170"/>
      <c r="P162" s="170"/>
      <c r="Q162" s="180">
        <f>SUM(Tabela2[[#This Row],[G]]+Tabela2[[#This Row],[D]]+Tabela2[[#This Row],[N]]+Tabela2[[#This Row],[HM]])</f>
        <v>5</v>
      </c>
      <c r="R162" s="180">
        <f>SUM(Tabela2[[#This Row],[AO]]+Tabela2[[#This Row],[AD]]+Tabela2[[#This Row],[GWO]]+Tabela2[[#This Row],[GWD]])</f>
        <v>5</v>
      </c>
      <c r="S162" s="180">
        <f>Tabela2[[#This Row],[GWO]]+Tabela2[[#This Row],[GWD]]</f>
        <v>3</v>
      </c>
      <c r="T162" s="180">
        <f>SUM(Tabela2[[#This Row],[G]:[GWD]])</f>
        <v>10</v>
      </c>
    </row>
    <row r="163" spans="1:20">
      <c r="A163" s="183">
        <v>177</v>
      </c>
      <c r="B163" s="170" t="s">
        <v>560</v>
      </c>
      <c r="C163" s="170" t="s">
        <v>559</v>
      </c>
      <c r="D163" s="170">
        <v>3</v>
      </c>
      <c r="E163" s="170" t="s">
        <v>272</v>
      </c>
      <c r="F163" s="170">
        <v>1</v>
      </c>
      <c r="G163" s="170">
        <v>1</v>
      </c>
      <c r="H163" s="170">
        <v>1</v>
      </c>
      <c r="I163" s="170">
        <v>1</v>
      </c>
      <c r="J163" s="170">
        <v>1</v>
      </c>
      <c r="K163" s="170">
        <v>3</v>
      </c>
      <c r="L163" s="170">
        <v>1</v>
      </c>
      <c r="M163" s="170">
        <v>1</v>
      </c>
      <c r="N163" s="170"/>
      <c r="O163" s="170"/>
      <c r="P163" s="170"/>
      <c r="Q163" s="180">
        <f>SUM(Tabela2[[#This Row],[G]]+Tabela2[[#This Row],[D]]+Tabela2[[#This Row],[N]]+Tabela2[[#This Row],[HM]])</f>
        <v>6</v>
      </c>
      <c r="R163" s="180">
        <f>SUM(Tabela2[[#This Row],[AO]]+Tabela2[[#This Row],[AD]]+Tabela2[[#This Row],[GWO]]+Tabela2[[#This Row],[GWD]])</f>
        <v>4</v>
      </c>
      <c r="S163" s="180">
        <f>Tabela2[[#This Row],[GWO]]+Tabela2[[#This Row],[GWD]]</f>
        <v>2</v>
      </c>
      <c r="T163" s="180">
        <f>SUM(Tabela2[[#This Row],[G]:[GWD]])</f>
        <v>10</v>
      </c>
    </row>
    <row r="164" spans="1:20" ht="30">
      <c r="A164" s="183">
        <v>59</v>
      </c>
      <c r="B164" s="175" t="s">
        <v>689</v>
      </c>
      <c r="C164" s="175" t="s">
        <v>688</v>
      </c>
      <c r="D164" s="175">
        <v>3</v>
      </c>
      <c r="E164" s="175" t="s">
        <v>18</v>
      </c>
      <c r="F164" s="175">
        <v>1</v>
      </c>
      <c r="G164" s="175">
        <v>1</v>
      </c>
      <c r="H164" s="175">
        <v>1</v>
      </c>
      <c r="I164" s="175">
        <v>2</v>
      </c>
      <c r="J164" s="175">
        <v>1</v>
      </c>
      <c r="K164" s="175">
        <v>1</v>
      </c>
      <c r="L164" s="175">
        <v>2</v>
      </c>
      <c r="M164" s="175">
        <v>1</v>
      </c>
      <c r="N164" s="170"/>
      <c r="O164" s="170" t="s">
        <v>204</v>
      </c>
      <c r="P164" s="170"/>
      <c r="Q164" s="180">
        <f>SUM(Tabela2[[#This Row],[G]]+Tabela2[[#This Row],[D]]+Tabela2[[#This Row],[N]]+Tabela2[[#This Row],[HM]])</f>
        <v>4</v>
      </c>
      <c r="R164" s="180">
        <f>SUM(Tabela2[[#This Row],[AO]]+Tabela2[[#This Row],[AD]]+Tabela2[[#This Row],[GWO]]+Tabela2[[#This Row],[GWD]])</f>
        <v>6</v>
      </c>
      <c r="S164" s="180">
        <f>Tabela2[[#This Row],[GWO]]+Tabela2[[#This Row],[GWD]]</f>
        <v>3</v>
      </c>
      <c r="T164" s="180">
        <f>SUM(Tabela2[[#This Row],[G]:[GWD]])</f>
        <v>10</v>
      </c>
    </row>
    <row r="165" spans="1:20">
      <c r="A165" s="183">
        <v>148</v>
      </c>
      <c r="B165" s="171" t="s">
        <v>597</v>
      </c>
      <c r="C165" s="171" t="s">
        <v>548</v>
      </c>
      <c r="D165" s="171">
        <v>3</v>
      </c>
      <c r="E165" s="171" t="s">
        <v>251</v>
      </c>
      <c r="F165" s="171">
        <v>1</v>
      </c>
      <c r="G165" s="171">
        <v>1</v>
      </c>
      <c r="H165" s="171">
        <v>3</v>
      </c>
      <c r="I165" s="171">
        <v>1</v>
      </c>
      <c r="J165" s="171">
        <v>1</v>
      </c>
      <c r="K165" s="171">
        <v>1</v>
      </c>
      <c r="L165" s="171">
        <v>1</v>
      </c>
      <c r="M165" s="171">
        <v>1</v>
      </c>
      <c r="N165" s="170"/>
      <c r="O165" s="170"/>
      <c r="P165" s="170"/>
      <c r="Q165" s="180">
        <f>SUM(Tabela2[[#This Row],[G]]+Tabela2[[#This Row],[D]]+Tabela2[[#This Row],[N]]+Tabela2[[#This Row],[HM]])</f>
        <v>6</v>
      </c>
      <c r="R165" s="180">
        <f>SUM(Tabela2[[#This Row],[AO]]+Tabela2[[#This Row],[AD]]+Tabela2[[#This Row],[GWO]]+Tabela2[[#This Row],[GWD]])</f>
        <v>4</v>
      </c>
      <c r="S165" s="180">
        <f>Tabela2[[#This Row],[GWO]]+Tabela2[[#This Row],[GWD]]</f>
        <v>2</v>
      </c>
      <c r="T165" s="180">
        <f>SUM(Tabela2[[#This Row],[G]:[GWD]])</f>
        <v>10</v>
      </c>
    </row>
    <row r="166" spans="1:20">
      <c r="A166" s="183">
        <v>183</v>
      </c>
      <c r="B166" s="170" t="s">
        <v>549</v>
      </c>
      <c r="C166" s="170" t="s">
        <v>548</v>
      </c>
      <c r="D166" s="170">
        <v>3</v>
      </c>
      <c r="E166" s="170" t="s">
        <v>272</v>
      </c>
      <c r="F166" s="170">
        <v>1</v>
      </c>
      <c r="G166" s="170">
        <v>1</v>
      </c>
      <c r="H166" s="170">
        <v>3</v>
      </c>
      <c r="I166" s="170">
        <v>1</v>
      </c>
      <c r="J166" s="170">
        <v>1</v>
      </c>
      <c r="K166" s="170">
        <v>1</v>
      </c>
      <c r="L166" s="170">
        <v>1</v>
      </c>
      <c r="M166" s="170">
        <v>1</v>
      </c>
      <c r="N166" s="170"/>
      <c r="O166" s="170"/>
      <c r="P166" s="170"/>
      <c r="Q166" s="180">
        <f>SUM(Tabela2[[#This Row],[G]]+Tabela2[[#This Row],[D]]+Tabela2[[#This Row],[N]]+Tabela2[[#This Row],[HM]])</f>
        <v>6</v>
      </c>
      <c r="R166" s="180">
        <f>SUM(Tabela2[[#This Row],[AO]]+Tabela2[[#This Row],[AD]]+Tabela2[[#This Row],[GWO]]+Tabela2[[#This Row],[GWD]])</f>
        <v>4</v>
      </c>
      <c r="S166" s="180">
        <f>Tabela2[[#This Row],[GWO]]+Tabela2[[#This Row],[GWD]]</f>
        <v>2</v>
      </c>
      <c r="T166" s="180">
        <f>SUM(Tabela2[[#This Row],[G]:[GWD]])</f>
        <v>10</v>
      </c>
    </row>
    <row r="167" spans="1:20">
      <c r="A167" s="183">
        <v>60</v>
      </c>
      <c r="B167" s="175" t="s">
        <v>687</v>
      </c>
      <c r="C167" s="175" t="s">
        <v>546</v>
      </c>
      <c r="D167" s="175">
        <v>3</v>
      </c>
      <c r="E167" s="175" t="s">
        <v>18</v>
      </c>
      <c r="F167" s="175">
        <v>1</v>
      </c>
      <c r="G167" s="175">
        <v>1</v>
      </c>
      <c r="H167" s="175">
        <v>3</v>
      </c>
      <c r="I167" s="175">
        <v>1</v>
      </c>
      <c r="J167" s="175">
        <v>1</v>
      </c>
      <c r="K167" s="175">
        <v>1</v>
      </c>
      <c r="L167" s="175">
        <v>1</v>
      </c>
      <c r="M167" s="175">
        <v>1</v>
      </c>
      <c r="N167" s="170"/>
      <c r="O167" s="170"/>
      <c r="P167" s="170"/>
      <c r="Q167" s="180">
        <f>SUM(Tabela2[[#This Row],[G]]+Tabela2[[#This Row],[D]]+Tabela2[[#This Row],[N]]+Tabela2[[#This Row],[HM]])</f>
        <v>6</v>
      </c>
      <c r="R167" s="180">
        <f>SUM(Tabela2[[#This Row],[AO]]+Tabela2[[#This Row],[AD]]+Tabela2[[#This Row],[GWO]]+Tabela2[[#This Row],[GWD]])</f>
        <v>4</v>
      </c>
      <c r="S167" s="180">
        <f>Tabela2[[#This Row],[GWO]]+Tabela2[[#This Row],[GWD]]</f>
        <v>2</v>
      </c>
      <c r="T167" s="180">
        <f>SUM(Tabela2[[#This Row],[G]:[GWD]])</f>
        <v>10</v>
      </c>
    </row>
    <row r="168" spans="1:20" ht="30">
      <c r="A168" s="183">
        <v>93</v>
      </c>
      <c r="B168" s="174" t="s">
        <v>651</v>
      </c>
      <c r="C168" s="174" t="s">
        <v>544</v>
      </c>
      <c r="D168" s="174">
        <v>3</v>
      </c>
      <c r="E168" s="174" t="s">
        <v>249</v>
      </c>
      <c r="F168" s="174">
        <v>1</v>
      </c>
      <c r="G168" s="174">
        <v>1</v>
      </c>
      <c r="H168" s="174">
        <v>1</v>
      </c>
      <c r="I168" s="174">
        <v>2</v>
      </c>
      <c r="J168" s="174">
        <v>1</v>
      </c>
      <c r="K168" s="174">
        <v>1</v>
      </c>
      <c r="L168" s="174">
        <v>2</v>
      </c>
      <c r="M168" s="174">
        <v>1</v>
      </c>
      <c r="N168" s="170"/>
      <c r="O168" s="170"/>
      <c r="P168" s="170"/>
      <c r="Q168" s="180">
        <f>SUM(Tabela2[[#This Row],[G]]+Tabela2[[#This Row],[D]]+Tabela2[[#This Row],[N]]+Tabela2[[#This Row],[HM]])</f>
        <v>4</v>
      </c>
      <c r="R168" s="180">
        <f>SUM(Tabela2[[#This Row],[AO]]+Tabela2[[#This Row],[AD]]+Tabela2[[#This Row],[GWO]]+Tabela2[[#This Row],[GWD]])</f>
        <v>6</v>
      </c>
      <c r="S168" s="180">
        <f>Tabela2[[#This Row],[GWO]]+Tabela2[[#This Row],[GWD]]</f>
        <v>3</v>
      </c>
      <c r="T168" s="180">
        <f>SUM(Tabela2[[#This Row],[G]:[GWD]])</f>
        <v>10</v>
      </c>
    </row>
    <row r="169" spans="1:20" ht="30">
      <c r="A169" s="183">
        <v>185</v>
      </c>
      <c r="B169" s="170" t="s">
        <v>545</v>
      </c>
      <c r="C169" s="170" t="s">
        <v>544</v>
      </c>
      <c r="D169" s="170">
        <v>3</v>
      </c>
      <c r="E169" s="170" t="s">
        <v>272</v>
      </c>
      <c r="F169" s="170">
        <v>1</v>
      </c>
      <c r="G169" s="170">
        <v>1</v>
      </c>
      <c r="H169" s="170">
        <v>1</v>
      </c>
      <c r="I169" s="170">
        <v>2</v>
      </c>
      <c r="J169" s="170">
        <v>1</v>
      </c>
      <c r="K169" s="170">
        <v>1</v>
      </c>
      <c r="L169" s="170">
        <v>2</v>
      </c>
      <c r="M169" s="170">
        <v>1</v>
      </c>
      <c r="N169" s="170"/>
      <c r="O169" s="170"/>
      <c r="P169" s="170"/>
      <c r="Q169" s="180">
        <f>SUM(Tabela2[[#This Row],[G]]+Tabela2[[#This Row],[D]]+Tabela2[[#This Row],[N]]+Tabela2[[#This Row],[HM]])</f>
        <v>4</v>
      </c>
      <c r="R169" s="180">
        <f>SUM(Tabela2[[#This Row],[AO]]+Tabela2[[#This Row],[AD]]+Tabela2[[#This Row],[GWO]]+Tabela2[[#This Row],[GWD]])</f>
        <v>6</v>
      </c>
      <c r="S169" s="180">
        <f>Tabela2[[#This Row],[GWO]]+Tabela2[[#This Row],[GWD]]</f>
        <v>3</v>
      </c>
      <c r="T169" s="180">
        <f>SUM(Tabela2[[#This Row],[G]:[GWD]])</f>
        <v>10</v>
      </c>
    </row>
    <row r="170" spans="1:20" ht="30">
      <c r="A170" s="183">
        <v>65</v>
      </c>
      <c r="B170" s="175" t="s">
        <v>682</v>
      </c>
      <c r="C170" s="175" t="s">
        <v>538</v>
      </c>
      <c r="D170" s="175">
        <v>3</v>
      </c>
      <c r="E170" s="175" t="s">
        <v>18</v>
      </c>
      <c r="F170" s="175">
        <v>1</v>
      </c>
      <c r="G170" s="175">
        <v>1</v>
      </c>
      <c r="H170" s="175">
        <v>1</v>
      </c>
      <c r="I170" s="175">
        <v>1</v>
      </c>
      <c r="J170" s="175">
        <v>2</v>
      </c>
      <c r="K170" s="175">
        <v>1</v>
      </c>
      <c r="L170" s="175">
        <v>1</v>
      </c>
      <c r="M170" s="175">
        <v>2</v>
      </c>
      <c r="N170" s="175" t="s">
        <v>445</v>
      </c>
      <c r="O170" s="175" t="s">
        <v>204</v>
      </c>
      <c r="P170" s="175"/>
      <c r="Q170" s="184">
        <f>SUM(Tabela2[[#This Row],[G]]+Tabela2[[#This Row],[D]]+Tabela2[[#This Row],[N]]+Tabela2[[#This Row],[HM]])</f>
        <v>4</v>
      </c>
      <c r="R170" s="184">
        <f>SUM(Tabela2[[#This Row],[AO]]+Tabela2[[#This Row],[AD]]+Tabela2[[#This Row],[GWO]]+Tabela2[[#This Row],[GWD]])</f>
        <v>6</v>
      </c>
      <c r="S170" s="184">
        <f>Tabela2[[#This Row],[GWO]]+Tabela2[[#This Row],[GWD]]</f>
        <v>3</v>
      </c>
      <c r="T170" s="180">
        <f>SUM(Tabela2[[#This Row],[G]:[GWD]])</f>
        <v>10</v>
      </c>
    </row>
    <row r="171" spans="1:20" ht="30">
      <c r="A171" s="183">
        <v>189</v>
      </c>
      <c r="B171" s="170" t="s">
        <v>539</v>
      </c>
      <c r="C171" s="170" t="s">
        <v>538</v>
      </c>
      <c r="D171" s="170">
        <v>3</v>
      </c>
      <c r="E171" s="170" t="s">
        <v>272</v>
      </c>
      <c r="F171" s="170">
        <v>1</v>
      </c>
      <c r="G171" s="170">
        <v>1</v>
      </c>
      <c r="H171" s="170">
        <v>1</v>
      </c>
      <c r="I171" s="170">
        <v>2</v>
      </c>
      <c r="J171" s="170">
        <v>1</v>
      </c>
      <c r="K171" s="170">
        <v>1</v>
      </c>
      <c r="L171" s="170">
        <v>2</v>
      </c>
      <c r="M171" s="170">
        <v>1</v>
      </c>
      <c r="N171" s="170"/>
      <c r="O171" s="170"/>
      <c r="P171" s="170"/>
      <c r="Q171" s="180">
        <f>SUM(Tabela2[[#This Row],[G]]+Tabela2[[#This Row],[D]]+Tabela2[[#This Row],[N]]+Tabela2[[#This Row],[HM]])</f>
        <v>4</v>
      </c>
      <c r="R171" s="180">
        <f>SUM(Tabela2[[#This Row],[AO]]+Tabela2[[#This Row],[AD]]+Tabela2[[#This Row],[GWO]]+Tabela2[[#This Row],[GWD]])</f>
        <v>6</v>
      </c>
      <c r="S171" s="180">
        <f>Tabela2[[#This Row],[GWO]]+Tabela2[[#This Row],[GWD]]</f>
        <v>3</v>
      </c>
      <c r="T171" s="180">
        <f>SUM(Tabela2[[#This Row],[G]:[GWD]])</f>
        <v>10</v>
      </c>
    </row>
    <row r="172" spans="1:20">
      <c r="A172" s="183">
        <v>98</v>
      </c>
      <c r="B172" s="174" t="s">
        <v>646</v>
      </c>
      <c r="C172" s="174" t="s">
        <v>536</v>
      </c>
      <c r="D172" s="174">
        <v>3</v>
      </c>
      <c r="E172" s="174" t="s">
        <v>249</v>
      </c>
      <c r="F172" s="174">
        <v>1</v>
      </c>
      <c r="G172" s="174">
        <v>3</v>
      </c>
      <c r="H172" s="174">
        <v>1</v>
      </c>
      <c r="I172" s="174">
        <v>1</v>
      </c>
      <c r="J172" s="174">
        <v>1</v>
      </c>
      <c r="K172" s="174">
        <v>1</v>
      </c>
      <c r="L172" s="174">
        <v>1</v>
      </c>
      <c r="M172" s="174">
        <v>1</v>
      </c>
      <c r="N172" s="170"/>
      <c r="O172" s="170"/>
      <c r="P172" s="170"/>
      <c r="Q172" s="180">
        <f>SUM(Tabela2[[#This Row],[G]]+Tabela2[[#This Row],[D]]+Tabela2[[#This Row],[N]]+Tabela2[[#This Row],[HM]])</f>
        <v>6</v>
      </c>
      <c r="R172" s="180">
        <f>SUM(Tabela2[[#This Row],[AO]]+Tabela2[[#This Row],[AD]]+Tabela2[[#This Row],[GWO]]+Tabela2[[#This Row],[GWD]])</f>
        <v>4</v>
      </c>
      <c r="S172" s="180">
        <f>Tabela2[[#This Row],[GWO]]+Tabela2[[#This Row],[GWD]]</f>
        <v>2</v>
      </c>
      <c r="T172" s="180">
        <f>SUM(Tabela2[[#This Row],[G]:[GWD]])</f>
        <v>10</v>
      </c>
    </row>
    <row r="173" spans="1:20">
      <c r="A173" s="183">
        <v>190</v>
      </c>
      <c r="B173" s="170" t="s">
        <v>537</v>
      </c>
      <c r="C173" s="170" t="s">
        <v>536</v>
      </c>
      <c r="D173" s="170">
        <v>3</v>
      </c>
      <c r="E173" s="170" t="s">
        <v>272</v>
      </c>
      <c r="F173" s="170">
        <v>1</v>
      </c>
      <c r="G173" s="170">
        <v>1</v>
      </c>
      <c r="H173" s="170">
        <v>2</v>
      </c>
      <c r="I173" s="170">
        <v>1</v>
      </c>
      <c r="J173" s="170">
        <v>1</v>
      </c>
      <c r="K173" s="170">
        <v>1</v>
      </c>
      <c r="L173" s="170">
        <v>2</v>
      </c>
      <c r="M173" s="170">
        <v>1</v>
      </c>
      <c r="N173" s="170"/>
      <c r="O173" s="170"/>
      <c r="P173" s="170"/>
      <c r="Q173" s="180">
        <f>SUM(Tabela2[[#This Row],[G]]+Tabela2[[#This Row],[D]]+Tabela2[[#This Row],[N]]+Tabela2[[#This Row],[HM]])</f>
        <v>5</v>
      </c>
      <c r="R173" s="180">
        <f>SUM(Tabela2[[#This Row],[AO]]+Tabela2[[#This Row],[AD]]+Tabela2[[#This Row],[GWO]]+Tabela2[[#This Row],[GWD]])</f>
        <v>5</v>
      </c>
      <c r="S173" s="180">
        <f>Tabela2[[#This Row],[GWO]]+Tabela2[[#This Row],[GWD]]</f>
        <v>3</v>
      </c>
      <c r="T173" s="180">
        <f>SUM(Tabela2[[#This Row],[G]:[GWD]])</f>
        <v>10</v>
      </c>
    </row>
    <row r="174" spans="1:20">
      <c r="A174" s="183">
        <v>76</v>
      </c>
      <c r="B174" s="175" t="s">
        <v>668</v>
      </c>
      <c r="C174" s="175" t="s">
        <v>267</v>
      </c>
      <c r="D174" s="175">
        <v>3</v>
      </c>
      <c r="E174" s="175" t="s">
        <v>18</v>
      </c>
      <c r="F174" s="175">
        <v>1</v>
      </c>
      <c r="G174" s="175">
        <v>1</v>
      </c>
      <c r="H174" s="175">
        <v>1</v>
      </c>
      <c r="I174" s="175">
        <v>2</v>
      </c>
      <c r="J174" s="175">
        <v>2</v>
      </c>
      <c r="K174" s="175">
        <v>1</v>
      </c>
      <c r="L174" s="175">
        <v>1</v>
      </c>
      <c r="M174" s="175">
        <v>1</v>
      </c>
      <c r="N174" s="170"/>
      <c r="O174" s="170"/>
      <c r="P174" s="170"/>
      <c r="Q174" s="180">
        <f>SUM(Tabela2[[#This Row],[G]]+Tabela2[[#This Row],[D]]+Tabela2[[#This Row],[N]]+Tabela2[[#This Row],[HM]])</f>
        <v>4</v>
      </c>
      <c r="R174" s="180">
        <f>SUM(Tabela2[[#This Row],[AO]]+Tabela2[[#This Row],[AD]]+Tabela2[[#This Row],[GWO]]+Tabela2[[#This Row],[GWD]])</f>
        <v>6</v>
      </c>
      <c r="S174" s="180">
        <f>Tabela2[[#This Row],[GWO]]+Tabela2[[#This Row],[GWD]]</f>
        <v>2</v>
      </c>
      <c r="T174" s="180">
        <f>SUM(Tabela2[[#This Row],[G]:[GWD]])</f>
        <v>10</v>
      </c>
    </row>
    <row r="175" spans="1:20">
      <c r="A175" s="183">
        <v>226</v>
      </c>
      <c r="B175" s="174" t="s">
        <v>495</v>
      </c>
      <c r="C175" s="174" t="s">
        <v>419</v>
      </c>
      <c r="D175" s="174">
        <v>4</v>
      </c>
      <c r="E175" s="174" t="s">
        <v>249</v>
      </c>
      <c r="F175" s="174">
        <v>1</v>
      </c>
      <c r="G175" s="174">
        <v>1</v>
      </c>
      <c r="H175" s="174">
        <v>1</v>
      </c>
      <c r="I175" s="174">
        <v>1</v>
      </c>
      <c r="J175" s="174">
        <v>1</v>
      </c>
      <c r="K175" s="174">
        <v>1</v>
      </c>
      <c r="L175" s="174">
        <v>3</v>
      </c>
      <c r="M175" s="174">
        <v>1</v>
      </c>
      <c r="N175" s="170"/>
      <c r="O175" s="194"/>
      <c r="P175" s="170"/>
      <c r="Q175" s="180">
        <f>SUM(Tabela2[[#This Row],[G]]+Tabela2[[#This Row],[D]]+Tabela2[[#This Row],[N]]+Tabela2[[#This Row],[HM]])</f>
        <v>4</v>
      </c>
      <c r="R175" s="180">
        <f>SUM(Tabela2[[#This Row],[AO]]+Tabela2[[#This Row],[AD]]+Tabela2[[#This Row],[GWO]]+Tabela2[[#This Row],[GWD]])</f>
        <v>6</v>
      </c>
      <c r="S175" s="180">
        <f>Tabela2[[#This Row],[GWO]]+Tabela2[[#This Row],[GWD]]</f>
        <v>4</v>
      </c>
      <c r="T175" s="180">
        <f>SUM(Tabela2[[#This Row],[G]:[GWD]])</f>
        <v>10</v>
      </c>
    </row>
    <row r="176" spans="1:20">
      <c r="A176" s="183">
        <v>278</v>
      </c>
      <c r="B176" s="171" t="s">
        <v>443</v>
      </c>
      <c r="C176" s="171" t="s">
        <v>419</v>
      </c>
      <c r="D176" s="171">
        <v>4</v>
      </c>
      <c r="E176" s="171" t="s">
        <v>251</v>
      </c>
      <c r="F176" s="171">
        <v>1</v>
      </c>
      <c r="G176" s="171">
        <v>1</v>
      </c>
      <c r="H176" s="171">
        <v>1</v>
      </c>
      <c r="I176" s="171">
        <v>1</v>
      </c>
      <c r="J176" s="171">
        <v>1</v>
      </c>
      <c r="K176" s="171">
        <v>1</v>
      </c>
      <c r="L176" s="171">
        <v>3</v>
      </c>
      <c r="M176" s="171">
        <v>1</v>
      </c>
      <c r="N176" s="170"/>
      <c r="O176" s="170"/>
      <c r="P176" s="170"/>
      <c r="Q176" s="180">
        <f>SUM(Tabela2[[#This Row],[G]]+Tabela2[[#This Row],[D]]+Tabela2[[#This Row],[N]]+Tabela2[[#This Row],[HM]])</f>
        <v>4</v>
      </c>
      <c r="R176" s="180">
        <f>SUM(Tabela2[[#This Row],[AO]]+Tabela2[[#This Row],[AD]]+Tabela2[[#This Row],[GWO]]+Tabela2[[#This Row],[GWD]])</f>
        <v>6</v>
      </c>
      <c r="S176" s="180">
        <f>Tabela2[[#This Row],[GWO]]+Tabela2[[#This Row],[GWD]]</f>
        <v>4</v>
      </c>
      <c r="T176" s="180">
        <f>SUM(Tabela2[[#This Row],[G]:[GWD]])</f>
        <v>10</v>
      </c>
    </row>
    <row r="177" spans="1:20" ht="30">
      <c r="A177" s="183">
        <v>302</v>
      </c>
      <c r="B177" s="170" t="s">
        <v>416</v>
      </c>
      <c r="C177" s="170" t="s">
        <v>415</v>
      </c>
      <c r="D177" s="170">
        <v>4</v>
      </c>
      <c r="E177" s="170" t="s">
        <v>272</v>
      </c>
      <c r="F177" s="170">
        <v>1</v>
      </c>
      <c r="G177" s="170">
        <v>1</v>
      </c>
      <c r="H177" s="170">
        <v>1</v>
      </c>
      <c r="I177" s="170">
        <v>2</v>
      </c>
      <c r="J177" s="170">
        <v>1</v>
      </c>
      <c r="K177" s="170">
        <v>1</v>
      </c>
      <c r="L177" s="170">
        <v>2</v>
      </c>
      <c r="M177" s="170">
        <v>1</v>
      </c>
      <c r="N177" s="170"/>
      <c r="O177" s="170"/>
      <c r="P177" s="170"/>
      <c r="Q177" s="180">
        <f>SUM(Tabela2[[#This Row],[G]]+Tabela2[[#This Row],[D]]+Tabela2[[#This Row],[N]]+Tabela2[[#This Row],[HM]])</f>
        <v>4</v>
      </c>
      <c r="R177" s="180">
        <f>SUM(Tabela2[[#This Row],[AO]]+Tabela2[[#This Row],[AD]]+Tabela2[[#This Row],[GWO]]+Tabela2[[#This Row],[GWD]])</f>
        <v>6</v>
      </c>
      <c r="S177" s="180">
        <f>Tabela2[[#This Row],[GWO]]+Tabela2[[#This Row],[GWD]]</f>
        <v>3</v>
      </c>
      <c r="T177" s="180">
        <f>SUM(Tabela2[[#This Row],[G]:[GWD]])</f>
        <v>10</v>
      </c>
    </row>
    <row r="178" spans="1:20">
      <c r="A178" s="183">
        <v>305</v>
      </c>
      <c r="B178" s="170" t="s">
        <v>411</v>
      </c>
      <c r="C178" s="170" t="s">
        <v>210</v>
      </c>
      <c r="D178" s="170">
        <v>4</v>
      </c>
      <c r="E178" s="170" t="s">
        <v>272</v>
      </c>
      <c r="F178" s="170">
        <v>1</v>
      </c>
      <c r="G178" s="170">
        <v>1</v>
      </c>
      <c r="H178" s="170">
        <v>1</v>
      </c>
      <c r="I178" s="170">
        <v>2</v>
      </c>
      <c r="J178" s="170">
        <v>1</v>
      </c>
      <c r="K178" s="170">
        <v>1</v>
      </c>
      <c r="L178" s="170">
        <v>2</v>
      </c>
      <c r="M178" s="170">
        <v>1</v>
      </c>
      <c r="N178" s="170"/>
      <c r="O178" s="170"/>
      <c r="P178" s="170"/>
      <c r="Q178" s="180">
        <f>SUM(Tabela2[[#This Row],[G]]+Tabela2[[#This Row],[D]]+Tabela2[[#This Row],[N]]+Tabela2[[#This Row],[HM]])</f>
        <v>4</v>
      </c>
      <c r="R178" s="180">
        <f>SUM(Tabela2[[#This Row],[AO]]+Tabela2[[#This Row],[AD]]+Tabela2[[#This Row],[GWO]]+Tabela2[[#This Row],[GWD]])</f>
        <v>6</v>
      </c>
      <c r="S178" s="180">
        <f>Tabela2[[#This Row],[GWO]]+Tabela2[[#This Row],[GWD]]</f>
        <v>3</v>
      </c>
      <c r="T178" s="180">
        <f>SUM(Tabela2[[#This Row],[G]:[GWD]])</f>
        <v>10</v>
      </c>
    </row>
    <row r="179" spans="1:20" ht="30">
      <c r="A179" s="183">
        <v>207</v>
      </c>
      <c r="B179" s="175" t="s">
        <v>513</v>
      </c>
      <c r="C179" s="175" t="s">
        <v>407</v>
      </c>
      <c r="D179" s="175">
        <v>4</v>
      </c>
      <c r="E179" s="175" t="s">
        <v>18</v>
      </c>
      <c r="F179" s="175">
        <v>1</v>
      </c>
      <c r="G179" s="175">
        <v>1</v>
      </c>
      <c r="H179" s="175">
        <v>3</v>
      </c>
      <c r="I179" s="175">
        <v>1</v>
      </c>
      <c r="J179" s="175">
        <v>1</v>
      </c>
      <c r="K179" s="175">
        <v>1</v>
      </c>
      <c r="L179" s="175">
        <v>1</v>
      </c>
      <c r="M179" s="175">
        <v>1</v>
      </c>
      <c r="N179" s="170"/>
      <c r="O179" s="170"/>
      <c r="P179" s="170"/>
      <c r="Q179" s="180">
        <f>SUM(Tabela2[[#This Row],[G]]+Tabela2[[#This Row],[D]]+Tabela2[[#This Row],[N]]+Tabela2[[#This Row],[HM]])</f>
        <v>6</v>
      </c>
      <c r="R179" s="180">
        <f>SUM(Tabela2[[#This Row],[AO]]+Tabela2[[#This Row],[AD]]+Tabela2[[#This Row],[GWO]]+Tabela2[[#This Row],[GWD]])</f>
        <v>4</v>
      </c>
      <c r="S179" s="180">
        <f>Tabela2[[#This Row],[GWO]]+Tabela2[[#This Row],[GWD]]</f>
        <v>2</v>
      </c>
      <c r="T179" s="180">
        <f>SUM(Tabela2[[#This Row],[G]:[GWD]])</f>
        <v>10</v>
      </c>
    </row>
    <row r="180" spans="1:20">
      <c r="A180" s="183">
        <v>259</v>
      </c>
      <c r="B180" s="172" t="s">
        <v>463</v>
      </c>
      <c r="C180" s="172" t="s">
        <v>405</v>
      </c>
      <c r="D180" s="172">
        <v>4</v>
      </c>
      <c r="E180" s="172" t="s">
        <v>250</v>
      </c>
      <c r="F180" s="172">
        <v>2</v>
      </c>
      <c r="G180" s="172">
        <v>1</v>
      </c>
      <c r="H180" s="172">
        <v>1</v>
      </c>
      <c r="I180" s="172">
        <v>1</v>
      </c>
      <c r="J180" s="172">
        <v>1</v>
      </c>
      <c r="K180" s="172">
        <v>1</v>
      </c>
      <c r="L180" s="172">
        <v>2</v>
      </c>
      <c r="M180" s="172">
        <v>1</v>
      </c>
      <c r="N180" s="170"/>
      <c r="O180" s="170"/>
      <c r="P180" s="170"/>
      <c r="Q180" s="180">
        <f>SUM(Tabela2[[#This Row],[G]]+Tabela2[[#This Row],[D]]+Tabela2[[#This Row],[N]]+Tabela2[[#This Row],[HM]])</f>
        <v>5</v>
      </c>
      <c r="R180" s="180">
        <f>SUM(Tabela2[[#This Row],[AO]]+Tabela2[[#This Row],[AD]]+Tabela2[[#This Row],[GWO]]+Tabela2[[#This Row],[GWD]])</f>
        <v>5</v>
      </c>
      <c r="S180" s="180">
        <f>Tabela2[[#This Row],[GWO]]+Tabela2[[#This Row],[GWD]]</f>
        <v>3</v>
      </c>
      <c r="T180" s="180">
        <f>SUM(Tabela2[[#This Row],[G]:[GWD]])</f>
        <v>10</v>
      </c>
    </row>
    <row r="181" spans="1:20">
      <c r="A181" s="183">
        <v>261</v>
      </c>
      <c r="B181" s="172" t="s">
        <v>461</v>
      </c>
      <c r="C181" s="172" t="s">
        <v>398</v>
      </c>
      <c r="D181" s="172">
        <v>4</v>
      </c>
      <c r="E181" s="172" t="s">
        <v>250</v>
      </c>
      <c r="F181" s="172">
        <v>3</v>
      </c>
      <c r="G181" s="172">
        <v>1</v>
      </c>
      <c r="H181" s="172">
        <v>1</v>
      </c>
      <c r="I181" s="172">
        <v>1</v>
      </c>
      <c r="J181" s="172">
        <v>1</v>
      </c>
      <c r="K181" s="172">
        <v>1</v>
      </c>
      <c r="L181" s="172">
        <v>1</v>
      </c>
      <c r="M181" s="172">
        <v>1</v>
      </c>
      <c r="N181" s="170"/>
      <c r="O181" s="170"/>
      <c r="P181" s="170"/>
      <c r="Q181" s="180">
        <f>SUM(Tabela2[[#This Row],[G]]+Tabela2[[#This Row],[D]]+Tabela2[[#This Row],[N]]+Tabela2[[#This Row],[HM]])</f>
        <v>6</v>
      </c>
      <c r="R181" s="180">
        <f>SUM(Tabela2[[#This Row],[AO]]+Tabela2[[#This Row],[AD]]+Tabela2[[#This Row],[GWO]]+Tabela2[[#This Row],[GWD]])</f>
        <v>4</v>
      </c>
      <c r="S181" s="180">
        <f>Tabela2[[#This Row],[GWO]]+Tabela2[[#This Row],[GWD]]</f>
        <v>2</v>
      </c>
      <c r="T181" s="180">
        <f>SUM(Tabela2[[#This Row],[G]:[GWD]])</f>
        <v>10</v>
      </c>
    </row>
    <row r="182" spans="1:20" ht="30">
      <c r="A182" s="183">
        <v>290</v>
      </c>
      <c r="B182" s="171" t="s">
        <v>430</v>
      </c>
      <c r="C182" s="171" t="s">
        <v>392</v>
      </c>
      <c r="D182" s="171">
        <v>4</v>
      </c>
      <c r="E182" s="171" t="s">
        <v>251</v>
      </c>
      <c r="F182" s="171">
        <v>1</v>
      </c>
      <c r="G182" s="171">
        <v>1</v>
      </c>
      <c r="H182" s="171">
        <v>1</v>
      </c>
      <c r="I182" s="171">
        <v>1</v>
      </c>
      <c r="J182" s="171">
        <v>1</v>
      </c>
      <c r="K182" s="171">
        <v>1</v>
      </c>
      <c r="L182" s="171">
        <v>3</v>
      </c>
      <c r="M182" s="171">
        <v>1</v>
      </c>
      <c r="N182" s="170"/>
      <c r="O182" s="170"/>
      <c r="P182" s="170"/>
      <c r="Q182" s="180">
        <f>SUM(Tabela2[[#This Row],[G]]+Tabela2[[#This Row],[D]]+Tabela2[[#This Row],[N]]+Tabela2[[#This Row],[HM]])</f>
        <v>4</v>
      </c>
      <c r="R182" s="180">
        <f>SUM(Tabela2[[#This Row],[AO]]+Tabela2[[#This Row],[AD]]+Tabela2[[#This Row],[GWO]]+Tabela2[[#This Row],[GWD]])</f>
        <v>6</v>
      </c>
      <c r="S182" s="180">
        <f>Tabela2[[#This Row],[GWO]]+Tabela2[[#This Row],[GWD]]</f>
        <v>4</v>
      </c>
      <c r="T182" s="180">
        <f>SUM(Tabela2[[#This Row],[G]:[GWD]])</f>
        <v>10</v>
      </c>
    </row>
    <row r="183" spans="1:20">
      <c r="A183" s="183">
        <v>244</v>
      </c>
      <c r="B183" s="174" t="s">
        <v>478</v>
      </c>
      <c r="C183" s="174" t="s">
        <v>382</v>
      </c>
      <c r="D183" s="174">
        <v>4</v>
      </c>
      <c r="E183" s="174" t="s">
        <v>249</v>
      </c>
      <c r="F183" s="174">
        <v>1</v>
      </c>
      <c r="G183" s="174">
        <v>1</v>
      </c>
      <c r="H183" s="174">
        <v>1</v>
      </c>
      <c r="I183" s="174">
        <v>1</v>
      </c>
      <c r="J183" s="174">
        <v>1</v>
      </c>
      <c r="K183" s="174">
        <v>1</v>
      </c>
      <c r="L183" s="174">
        <v>3</v>
      </c>
      <c r="M183" s="174">
        <v>1</v>
      </c>
      <c r="N183" s="170"/>
      <c r="O183" s="170"/>
      <c r="P183" s="170"/>
      <c r="Q183" s="180">
        <f>SUM(Tabela2[[#This Row],[G]]+Tabela2[[#This Row],[D]]+Tabela2[[#This Row],[N]]+Tabela2[[#This Row],[HM]])</f>
        <v>4</v>
      </c>
      <c r="R183" s="180">
        <f>SUM(Tabela2[[#This Row],[AO]]+Tabela2[[#This Row],[AD]]+Tabela2[[#This Row],[GWO]]+Tabela2[[#This Row],[GWD]])</f>
        <v>6</v>
      </c>
      <c r="S183" s="180">
        <f>Tabela2[[#This Row],[GWO]]+Tabela2[[#This Row],[GWD]]</f>
        <v>4</v>
      </c>
      <c r="T183" s="180">
        <f>SUM(Tabela2[[#This Row],[G]:[GWD]])</f>
        <v>10</v>
      </c>
    </row>
    <row r="184" spans="1:20">
      <c r="A184" s="183">
        <v>270</v>
      </c>
      <c r="B184" s="172" t="s">
        <v>453</v>
      </c>
      <c r="C184" s="172" t="s">
        <v>382</v>
      </c>
      <c r="D184" s="172">
        <v>4</v>
      </c>
      <c r="E184" s="172" t="s">
        <v>250</v>
      </c>
      <c r="F184" s="172">
        <v>1</v>
      </c>
      <c r="G184" s="172">
        <v>1</v>
      </c>
      <c r="H184" s="172">
        <v>1</v>
      </c>
      <c r="I184" s="172">
        <v>1</v>
      </c>
      <c r="J184" s="172">
        <v>1</v>
      </c>
      <c r="K184" s="172">
        <v>1</v>
      </c>
      <c r="L184" s="172">
        <v>3</v>
      </c>
      <c r="M184" s="172">
        <v>1</v>
      </c>
      <c r="N184" s="170"/>
      <c r="O184" s="170"/>
      <c r="P184" s="170"/>
      <c r="Q184" s="180">
        <f>SUM(Tabela2[[#This Row],[G]]+Tabela2[[#This Row],[D]]+Tabela2[[#This Row],[N]]+Tabela2[[#This Row],[HM]])</f>
        <v>4</v>
      </c>
      <c r="R184" s="180">
        <f>SUM(Tabela2[[#This Row],[AO]]+Tabela2[[#This Row],[AD]]+Tabela2[[#This Row],[GWO]]+Tabela2[[#This Row],[GWD]])</f>
        <v>6</v>
      </c>
      <c r="S184" s="180">
        <f>Tabela2[[#This Row],[GWO]]+Tabela2[[#This Row],[GWD]]</f>
        <v>4</v>
      </c>
      <c r="T184" s="180">
        <f>SUM(Tabela2[[#This Row],[G]:[GWD]])</f>
        <v>10</v>
      </c>
    </row>
    <row r="185" spans="1:20">
      <c r="A185" s="183">
        <v>221</v>
      </c>
      <c r="B185" s="175" t="s">
        <v>499</v>
      </c>
      <c r="C185" s="175" t="s">
        <v>227</v>
      </c>
      <c r="D185" s="175">
        <v>4</v>
      </c>
      <c r="E185" s="175" t="s">
        <v>18</v>
      </c>
      <c r="F185" s="175">
        <v>1</v>
      </c>
      <c r="G185" s="175">
        <v>1</v>
      </c>
      <c r="H185" s="175">
        <v>1</v>
      </c>
      <c r="I185" s="175">
        <v>2</v>
      </c>
      <c r="J185" s="175">
        <v>1</v>
      </c>
      <c r="K185" s="175">
        <v>1</v>
      </c>
      <c r="L185" s="175">
        <v>2</v>
      </c>
      <c r="M185" s="175">
        <v>1</v>
      </c>
      <c r="N185" s="175" t="s">
        <v>445</v>
      </c>
      <c r="O185" s="175"/>
      <c r="P185" s="175"/>
      <c r="Q185" s="184">
        <f>SUM(Tabela2[[#This Row],[G]]+Tabela2[[#This Row],[D]]+Tabela2[[#This Row],[N]]+Tabela2[[#This Row],[HM]])</f>
        <v>4</v>
      </c>
      <c r="R185" s="184">
        <f>SUM(Tabela2[[#This Row],[AO]]+Tabela2[[#This Row],[AD]]+Tabela2[[#This Row],[GWO]]+Tabela2[[#This Row],[GWD]])</f>
        <v>6</v>
      </c>
      <c r="S185" s="184">
        <f>Tabela2[[#This Row],[GWO]]+Tabela2[[#This Row],[GWD]]</f>
        <v>3</v>
      </c>
      <c r="T185" s="180">
        <f>SUM(Tabela2[[#This Row],[G]:[GWD]])</f>
        <v>10</v>
      </c>
    </row>
    <row r="186" spans="1:20">
      <c r="A186" s="183">
        <v>249</v>
      </c>
      <c r="B186" s="174" t="s">
        <v>473</v>
      </c>
      <c r="C186" s="174" t="s">
        <v>226</v>
      </c>
      <c r="D186" s="174">
        <v>4</v>
      </c>
      <c r="E186" s="174" t="s">
        <v>249</v>
      </c>
      <c r="F186" s="174">
        <v>1</v>
      </c>
      <c r="G186" s="174">
        <v>2</v>
      </c>
      <c r="H186" s="174">
        <v>1</v>
      </c>
      <c r="I186" s="174">
        <v>1</v>
      </c>
      <c r="J186" s="174">
        <v>1</v>
      </c>
      <c r="K186" s="174">
        <v>1</v>
      </c>
      <c r="L186" s="174">
        <v>2</v>
      </c>
      <c r="M186" s="174">
        <v>1</v>
      </c>
      <c r="N186" s="174" t="s">
        <v>445</v>
      </c>
      <c r="O186" s="174"/>
      <c r="P186" s="174"/>
      <c r="Q186" s="185">
        <f>SUM(Tabela2[[#This Row],[G]]+Tabela2[[#This Row],[D]]+Tabela2[[#This Row],[N]]+Tabela2[[#This Row],[HM]])</f>
        <v>5</v>
      </c>
      <c r="R186" s="185">
        <f>SUM(Tabela2[[#This Row],[AO]]+Tabela2[[#This Row],[AD]]+Tabela2[[#This Row],[GWO]]+Tabela2[[#This Row],[GWD]])</f>
        <v>5</v>
      </c>
      <c r="S186" s="185">
        <f>Tabela2[[#This Row],[GWO]]+Tabela2[[#This Row],[GWD]]</f>
        <v>3</v>
      </c>
      <c r="T186" s="180">
        <f>SUM(Tabela2[[#This Row],[G]:[GWD]])</f>
        <v>10</v>
      </c>
    </row>
    <row r="187" spans="1:20">
      <c r="A187" s="183">
        <v>13</v>
      </c>
      <c r="B187" s="174" t="s">
        <v>749</v>
      </c>
      <c r="C187" s="174" t="s">
        <v>594</v>
      </c>
      <c r="D187" s="174">
        <v>2</v>
      </c>
      <c r="E187" s="174" t="s">
        <v>249</v>
      </c>
      <c r="F187" s="174">
        <v>1</v>
      </c>
      <c r="G187" s="174">
        <v>2</v>
      </c>
      <c r="H187" s="174">
        <v>1</v>
      </c>
      <c r="I187" s="174">
        <v>1</v>
      </c>
      <c r="J187" s="174">
        <v>1</v>
      </c>
      <c r="K187" s="174">
        <v>1</v>
      </c>
      <c r="L187" s="174">
        <v>1</v>
      </c>
      <c r="M187" s="174">
        <v>1</v>
      </c>
      <c r="N187" s="170"/>
      <c r="O187" s="170"/>
      <c r="P187" s="170"/>
      <c r="Q187" s="180">
        <f>SUM(Tabela2[[#This Row],[G]]+Tabela2[[#This Row],[D]]+Tabela2[[#This Row],[N]]+Tabela2[[#This Row],[HM]])</f>
        <v>5</v>
      </c>
      <c r="R187" s="180">
        <f>SUM(Tabela2[[#This Row],[AO]]+Tabela2[[#This Row],[AD]]+Tabela2[[#This Row],[GWO]]+Tabela2[[#This Row],[GWD]])</f>
        <v>4</v>
      </c>
      <c r="S187" s="180">
        <f>Tabela2[[#This Row],[GWO]]+Tabela2[[#This Row],[GWD]]</f>
        <v>2</v>
      </c>
      <c r="T187" s="180">
        <f>SUM(Tabela2[[#This Row],[G]:[GWD]])</f>
        <v>9</v>
      </c>
    </row>
    <row r="188" spans="1:20">
      <c r="A188" s="183">
        <v>108</v>
      </c>
      <c r="B188" s="172" t="s">
        <v>636</v>
      </c>
      <c r="C188" s="172" t="s">
        <v>574</v>
      </c>
      <c r="D188" s="172">
        <v>3</v>
      </c>
      <c r="E188" s="172" t="s">
        <v>250</v>
      </c>
      <c r="F188" s="172">
        <v>1</v>
      </c>
      <c r="G188" s="172">
        <v>1</v>
      </c>
      <c r="H188" s="172">
        <v>2</v>
      </c>
      <c r="I188" s="172">
        <v>1</v>
      </c>
      <c r="J188" s="172">
        <v>1</v>
      </c>
      <c r="K188" s="172">
        <v>1</v>
      </c>
      <c r="L188" s="172">
        <v>1</v>
      </c>
      <c r="M188" s="172">
        <v>1</v>
      </c>
      <c r="N188" s="172" t="s">
        <v>445</v>
      </c>
      <c r="O188" s="172"/>
      <c r="P188" s="172"/>
      <c r="Q188" s="186">
        <f>SUM(Tabela2[[#This Row],[G]]+Tabela2[[#This Row],[D]]+Tabela2[[#This Row],[N]]+Tabela2[[#This Row],[HM]])</f>
        <v>5</v>
      </c>
      <c r="R188" s="186">
        <f>SUM(Tabela2[[#This Row],[AO]]+Tabela2[[#This Row],[AD]]+Tabela2[[#This Row],[GWO]]+Tabela2[[#This Row],[GWD]])</f>
        <v>4</v>
      </c>
      <c r="S188" s="186">
        <f>Tabela2[[#This Row],[GWO]]+Tabela2[[#This Row],[GWD]]</f>
        <v>2</v>
      </c>
      <c r="T188" s="180">
        <f>SUM(Tabela2[[#This Row],[G]:[GWD]])</f>
        <v>9</v>
      </c>
    </row>
    <row r="189" spans="1:20">
      <c r="A189" s="183">
        <v>168</v>
      </c>
      <c r="B189" s="170" t="s">
        <v>575</v>
      </c>
      <c r="C189" s="170" t="s">
        <v>574</v>
      </c>
      <c r="D189" s="170">
        <v>3</v>
      </c>
      <c r="E189" s="170" t="s">
        <v>272</v>
      </c>
      <c r="F189" s="170">
        <v>1</v>
      </c>
      <c r="G189" s="170">
        <v>1</v>
      </c>
      <c r="H189" s="170">
        <v>2</v>
      </c>
      <c r="I189" s="170">
        <v>1</v>
      </c>
      <c r="J189" s="170">
        <v>1</v>
      </c>
      <c r="K189" s="170">
        <v>1</v>
      </c>
      <c r="L189" s="170">
        <v>1</v>
      </c>
      <c r="M189" s="170">
        <v>1</v>
      </c>
      <c r="N189" s="170"/>
      <c r="O189" s="170"/>
      <c r="P189" s="170"/>
      <c r="Q189" s="180">
        <f>SUM(Tabela2[[#This Row],[G]]+Tabela2[[#This Row],[D]]+Tabela2[[#This Row],[N]]+Tabela2[[#This Row],[HM]])</f>
        <v>5</v>
      </c>
      <c r="R189" s="180">
        <f>SUM(Tabela2[[#This Row],[AO]]+Tabela2[[#This Row],[AD]]+Tabela2[[#This Row],[GWO]]+Tabela2[[#This Row],[GWD]])</f>
        <v>4</v>
      </c>
      <c r="S189" s="180">
        <f>Tabela2[[#This Row],[GWO]]+Tabela2[[#This Row],[GWD]]</f>
        <v>2</v>
      </c>
      <c r="T189" s="180">
        <f>SUM(Tabela2[[#This Row],[G]:[GWD]])</f>
        <v>9</v>
      </c>
    </row>
    <row r="190" spans="1:20" ht="30">
      <c r="A190" s="183">
        <v>109</v>
      </c>
      <c r="B190" s="172" t="s">
        <v>635</v>
      </c>
      <c r="C190" s="172" t="s">
        <v>572</v>
      </c>
      <c r="D190" s="172">
        <v>3</v>
      </c>
      <c r="E190" s="172" t="s">
        <v>250</v>
      </c>
      <c r="F190" s="172">
        <v>2</v>
      </c>
      <c r="G190" s="172">
        <v>1</v>
      </c>
      <c r="H190" s="172">
        <v>1</v>
      </c>
      <c r="I190" s="172">
        <v>1</v>
      </c>
      <c r="J190" s="172">
        <v>1</v>
      </c>
      <c r="K190" s="172">
        <v>1</v>
      </c>
      <c r="L190" s="172">
        <v>1</v>
      </c>
      <c r="M190" s="172">
        <v>1</v>
      </c>
      <c r="N190" s="170"/>
      <c r="O190" s="170"/>
      <c r="P190" s="170"/>
      <c r="Q190" s="180">
        <f>SUM(Tabela2[[#This Row],[G]]+Tabela2[[#This Row],[D]]+Tabela2[[#This Row],[N]]+Tabela2[[#This Row],[HM]])</f>
        <v>5</v>
      </c>
      <c r="R190" s="180">
        <f>SUM(Tabela2[[#This Row],[AO]]+Tabela2[[#This Row],[AD]]+Tabela2[[#This Row],[GWO]]+Tabela2[[#This Row],[GWD]])</f>
        <v>4</v>
      </c>
      <c r="S190" s="180">
        <f>Tabela2[[#This Row],[GWO]]+Tabela2[[#This Row],[GWD]]</f>
        <v>2</v>
      </c>
      <c r="T190" s="180">
        <f>SUM(Tabela2[[#This Row],[G]:[GWD]])</f>
        <v>9</v>
      </c>
    </row>
    <row r="191" spans="1:20">
      <c r="A191" s="183">
        <v>143</v>
      </c>
      <c r="B191" s="171" t="s">
        <v>602</v>
      </c>
      <c r="C191" s="171" t="s">
        <v>561</v>
      </c>
      <c r="D191" s="171">
        <v>3</v>
      </c>
      <c r="E191" s="171" t="s">
        <v>251</v>
      </c>
      <c r="F191" s="171">
        <v>1</v>
      </c>
      <c r="G191" s="171">
        <v>1</v>
      </c>
      <c r="H191" s="171">
        <v>1</v>
      </c>
      <c r="I191" s="171">
        <v>1</v>
      </c>
      <c r="J191" s="171">
        <v>1</v>
      </c>
      <c r="K191" s="171">
        <v>2</v>
      </c>
      <c r="L191" s="171">
        <v>1</v>
      </c>
      <c r="M191" s="171">
        <v>1</v>
      </c>
      <c r="N191" s="170"/>
      <c r="O191" s="170"/>
      <c r="P191" s="170"/>
      <c r="Q191" s="180">
        <f>SUM(Tabela2[[#This Row],[G]]+Tabela2[[#This Row],[D]]+Tabela2[[#This Row],[N]]+Tabela2[[#This Row],[HM]])</f>
        <v>5</v>
      </c>
      <c r="R191" s="180">
        <f>SUM(Tabela2[[#This Row],[AO]]+Tabela2[[#This Row],[AD]]+Tabela2[[#This Row],[GWO]]+Tabela2[[#This Row],[GWD]])</f>
        <v>4</v>
      </c>
      <c r="S191" s="180">
        <f>Tabela2[[#This Row],[GWO]]+Tabela2[[#This Row],[GWD]]</f>
        <v>2</v>
      </c>
      <c r="T191" s="180">
        <f>SUM(Tabela2[[#This Row],[G]:[GWD]])</f>
        <v>9</v>
      </c>
    </row>
    <row r="192" spans="1:20">
      <c r="A192" s="183">
        <v>176</v>
      </c>
      <c r="B192" s="170" t="s">
        <v>562</v>
      </c>
      <c r="C192" s="170" t="s">
        <v>561</v>
      </c>
      <c r="D192" s="170">
        <v>3</v>
      </c>
      <c r="E192" s="170" t="s">
        <v>272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2</v>
      </c>
      <c r="M192" s="170">
        <v>1</v>
      </c>
      <c r="N192" s="170"/>
      <c r="O192" s="170"/>
      <c r="P192" s="170"/>
      <c r="Q192" s="180">
        <f>SUM(Tabela2[[#This Row],[G]]+Tabela2[[#This Row],[D]]+Tabela2[[#This Row],[N]]+Tabela2[[#This Row],[HM]])</f>
        <v>4</v>
      </c>
      <c r="R192" s="180">
        <f>SUM(Tabela2[[#This Row],[AO]]+Tabela2[[#This Row],[AD]]+Tabela2[[#This Row],[GWO]]+Tabela2[[#This Row],[GWD]])</f>
        <v>5</v>
      </c>
      <c r="S192" s="180">
        <f>Tabela2[[#This Row],[GWO]]+Tabela2[[#This Row],[GWD]]</f>
        <v>3</v>
      </c>
      <c r="T192" s="180">
        <f>SUM(Tabela2[[#This Row],[G]:[GWD]])</f>
        <v>9</v>
      </c>
    </row>
    <row r="193" spans="1:20">
      <c r="A193" s="183">
        <v>57</v>
      </c>
      <c r="B193" s="175" t="s">
        <v>692</v>
      </c>
      <c r="C193" s="175" t="s">
        <v>283</v>
      </c>
      <c r="D193" s="175">
        <v>3</v>
      </c>
      <c r="E193" s="175" t="s">
        <v>18</v>
      </c>
      <c r="F193" s="175">
        <v>1</v>
      </c>
      <c r="G193" s="175">
        <v>1</v>
      </c>
      <c r="H193" s="175">
        <v>1</v>
      </c>
      <c r="I193" s="175">
        <v>1</v>
      </c>
      <c r="J193" s="175">
        <v>2</v>
      </c>
      <c r="K193" s="175">
        <v>1</v>
      </c>
      <c r="L193" s="175">
        <v>1</v>
      </c>
      <c r="M193" s="175">
        <v>1</v>
      </c>
      <c r="N193" s="170"/>
      <c r="O193" s="170"/>
      <c r="P193" s="170"/>
      <c r="Q193" s="180">
        <f>SUM(Tabela2[[#This Row],[G]]+Tabela2[[#This Row],[D]]+Tabela2[[#This Row],[N]]+Tabela2[[#This Row],[HM]])</f>
        <v>4</v>
      </c>
      <c r="R193" s="180">
        <f>SUM(Tabela2[[#This Row],[AO]]+Tabela2[[#This Row],[AD]]+Tabela2[[#This Row],[GWO]]+Tabela2[[#This Row],[GWD]])</f>
        <v>5</v>
      </c>
      <c r="S193" s="180">
        <f>Tabela2[[#This Row],[GWO]]+Tabela2[[#This Row],[GWD]]</f>
        <v>2</v>
      </c>
      <c r="T193" s="180">
        <f>SUM(Tabela2[[#This Row],[G]:[GWD]])</f>
        <v>9</v>
      </c>
    </row>
    <row r="194" spans="1:20">
      <c r="A194" s="183">
        <v>89</v>
      </c>
      <c r="B194" s="174" t="s">
        <v>655</v>
      </c>
      <c r="C194" s="174" t="s">
        <v>283</v>
      </c>
      <c r="D194" s="174">
        <v>3</v>
      </c>
      <c r="E194" s="174" t="s">
        <v>249</v>
      </c>
      <c r="F194" s="174">
        <v>1</v>
      </c>
      <c r="G194" s="174">
        <v>1</v>
      </c>
      <c r="H194" s="174">
        <v>1</v>
      </c>
      <c r="I194" s="174">
        <v>1</v>
      </c>
      <c r="J194" s="174">
        <v>2</v>
      </c>
      <c r="K194" s="174">
        <v>1</v>
      </c>
      <c r="L194" s="174">
        <v>1</v>
      </c>
      <c r="M194" s="174">
        <v>1</v>
      </c>
      <c r="N194" s="174" t="s">
        <v>445</v>
      </c>
      <c r="O194" s="174"/>
      <c r="P194" s="174"/>
      <c r="Q194" s="185">
        <f>SUM(Tabela2[[#This Row],[G]]+Tabela2[[#This Row],[D]]+Tabela2[[#This Row],[N]]+Tabela2[[#This Row],[HM]])</f>
        <v>4</v>
      </c>
      <c r="R194" s="185">
        <f>SUM(Tabela2[[#This Row],[AO]]+Tabela2[[#This Row],[AD]]+Tabela2[[#This Row],[GWO]]+Tabela2[[#This Row],[GWD]])</f>
        <v>5</v>
      </c>
      <c r="S194" s="185">
        <f>Tabela2[[#This Row],[GWO]]+Tabela2[[#This Row],[GWD]]</f>
        <v>2</v>
      </c>
      <c r="T194" s="180">
        <f>SUM(Tabela2[[#This Row],[G]:[GWD]])</f>
        <v>9</v>
      </c>
    </row>
    <row r="195" spans="1:20">
      <c r="A195" s="183">
        <v>145</v>
      </c>
      <c r="B195" s="171" t="s">
        <v>600</v>
      </c>
      <c r="C195" s="171" t="s">
        <v>283</v>
      </c>
      <c r="D195" s="171">
        <v>3</v>
      </c>
      <c r="E195" s="171" t="s">
        <v>251</v>
      </c>
      <c r="F195" s="171">
        <v>1</v>
      </c>
      <c r="G195" s="171">
        <v>1</v>
      </c>
      <c r="H195" s="171">
        <v>1</v>
      </c>
      <c r="I195" s="171">
        <v>1</v>
      </c>
      <c r="J195" s="171">
        <v>1</v>
      </c>
      <c r="K195" s="171">
        <v>2</v>
      </c>
      <c r="L195" s="171">
        <v>1</v>
      </c>
      <c r="M195" s="171">
        <v>1</v>
      </c>
      <c r="N195" s="170"/>
      <c r="O195" s="170"/>
      <c r="P195" s="170"/>
      <c r="Q195" s="180">
        <f>SUM(Tabela2[[#This Row],[G]]+Tabela2[[#This Row],[D]]+Tabela2[[#This Row],[N]]+Tabela2[[#This Row],[HM]])</f>
        <v>5</v>
      </c>
      <c r="R195" s="180">
        <f>SUM(Tabela2[[#This Row],[AO]]+Tabela2[[#This Row],[AD]]+Tabela2[[#This Row],[GWO]]+Tabela2[[#This Row],[GWD]])</f>
        <v>4</v>
      </c>
      <c r="S195" s="180">
        <f>Tabela2[[#This Row],[GWO]]+Tabela2[[#This Row],[GWD]]</f>
        <v>2</v>
      </c>
      <c r="T195" s="180">
        <f>SUM(Tabela2[[#This Row],[G]:[GWD]])</f>
        <v>9</v>
      </c>
    </row>
    <row r="196" spans="1:20" ht="30">
      <c r="A196" s="183">
        <v>62</v>
      </c>
      <c r="B196" s="175" t="s">
        <v>684</v>
      </c>
      <c r="C196" s="175" t="s">
        <v>542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2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70"/>
      <c r="Q196" s="180">
        <f>SUM(Tabela2[[#This Row],[G]]+Tabela2[[#This Row],[D]]+Tabela2[[#This Row],[N]]+Tabela2[[#This Row],[HM]])</f>
        <v>5</v>
      </c>
      <c r="R196" s="180">
        <f>SUM(Tabela2[[#This Row],[AO]]+Tabela2[[#This Row],[AD]]+Tabela2[[#This Row],[GWO]]+Tabela2[[#This Row],[GWD]])</f>
        <v>4</v>
      </c>
      <c r="S196" s="180">
        <f>Tabela2[[#This Row],[GWO]]+Tabela2[[#This Row],[GWD]]</f>
        <v>2</v>
      </c>
      <c r="T196" s="180">
        <f>SUM(Tabela2[[#This Row],[G]:[GWD]])</f>
        <v>9</v>
      </c>
    </row>
    <row r="197" spans="1:20">
      <c r="A197" s="183">
        <v>126</v>
      </c>
      <c r="B197" s="172" t="s">
        <v>619</v>
      </c>
      <c r="C197" s="172" t="s">
        <v>536</v>
      </c>
      <c r="D197" s="172">
        <v>3</v>
      </c>
      <c r="E197" s="172" t="s">
        <v>250</v>
      </c>
      <c r="F197" s="172">
        <v>2</v>
      </c>
      <c r="G197" s="172">
        <v>1</v>
      </c>
      <c r="H197" s="172">
        <v>1</v>
      </c>
      <c r="I197" s="172">
        <v>1</v>
      </c>
      <c r="J197" s="172">
        <v>1</v>
      </c>
      <c r="K197" s="172">
        <v>1</v>
      </c>
      <c r="L197" s="172">
        <v>1</v>
      </c>
      <c r="M197" s="172">
        <v>1</v>
      </c>
      <c r="N197" s="172" t="s">
        <v>445</v>
      </c>
      <c r="O197" s="172"/>
      <c r="P197" s="172"/>
      <c r="Q197" s="186">
        <f>SUM(Tabela2[[#This Row],[G]]+Tabela2[[#This Row],[D]]+Tabela2[[#This Row],[N]]+Tabela2[[#This Row],[HM]])</f>
        <v>5</v>
      </c>
      <c r="R197" s="186">
        <f>SUM(Tabela2[[#This Row],[AO]]+Tabela2[[#This Row],[AD]]+Tabela2[[#This Row],[GWO]]+Tabela2[[#This Row],[GWD]])</f>
        <v>4</v>
      </c>
      <c r="S197" s="186">
        <f>Tabela2[[#This Row],[GWO]]+Tabela2[[#This Row],[GWD]]</f>
        <v>2</v>
      </c>
      <c r="T197" s="180">
        <f>SUM(Tabela2[[#This Row],[G]:[GWD]])</f>
        <v>9</v>
      </c>
    </row>
    <row r="198" spans="1:20" ht="30">
      <c r="A198" s="183">
        <v>194</v>
      </c>
      <c r="B198" s="170" t="s">
        <v>529</v>
      </c>
      <c r="C198" s="170" t="s">
        <v>528</v>
      </c>
      <c r="D198" s="170">
        <v>3</v>
      </c>
      <c r="E198" s="170" t="s">
        <v>272</v>
      </c>
      <c r="F198" s="170">
        <v>1</v>
      </c>
      <c r="G198" s="170">
        <v>1</v>
      </c>
      <c r="H198" s="170">
        <v>1</v>
      </c>
      <c r="I198" s="170">
        <v>1</v>
      </c>
      <c r="J198" s="170">
        <v>1</v>
      </c>
      <c r="K198" s="170">
        <v>2</v>
      </c>
      <c r="L198" s="170">
        <v>1</v>
      </c>
      <c r="M198" s="170">
        <v>1</v>
      </c>
      <c r="N198" s="170"/>
      <c r="O198" s="170"/>
      <c r="P198" s="170"/>
      <c r="Q198" s="180">
        <f>SUM(Tabela2[[#This Row],[G]]+Tabela2[[#This Row],[D]]+Tabela2[[#This Row],[N]]+Tabela2[[#This Row],[HM]])</f>
        <v>5</v>
      </c>
      <c r="R198" s="180">
        <f>SUM(Tabela2[[#This Row],[AO]]+Tabela2[[#This Row],[AD]]+Tabela2[[#This Row],[GWO]]+Tabela2[[#This Row],[GWD]])</f>
        <v>4</v>
      </c>
      <c r="S198" s="180">
        <f>Tabela2[[#This Row],[GWO]]+Tabela2[[#This Row],[GWD]]</f>
        <v>2</v>
      </c>
      <c r="T198" s="180">
        <f>SUM(Tabela2[[#This Row],[G]:[GWD]])</f>
        <v>9</v>
      </c>
    </row>
    <row r="199" spans="1:20">
      <c r="A199" s="183">
        <v>78</v>
      </c>
      <c r="B199" s="175" t="s">
        <v>666</v>
      </c>
      <c r="C199" s="175" t="s">
        <v>578</v>
      </c>
      <c r="D199" s="175">
        <v>3</v>
      </c>
      <c r="E199" s="175" t="s">
        <v>18</v>
      </c>
      <c r="F199" s="175">
        <v>1</v>
      </c>
      <c r="G199" s="175">
        <v>1</v>
      </c>
      <c r="H199" s="175">
        <v>2</v>
      </c>
      <c r="I199" s="175">
        <v>1</v>
      </c>
      <c r="J199" s="175">
        <v>1</v>
      </c>
      <c r="K199" s="175">
        <v>1</v>
      </c>
      <c r="L199" s="175">
        <v>1</v>
      </c>
      <c r="M199" s="175">
        <v>1</v>
      </c>
      <c r="N199" s="170"/>
      <c r="O199" s="170"/>
      <c r="P199" s="170"/>
      <c r="Q199" s="180">
        <f>SUM(Tabela2[[#This Row],[G]]+Tabela2[[#This Row],[D]]+Tabela2[[#This Row],[N]]+Tabela2[[#This Row],[HM]])</f>
        <v>5</v>
      </c>
      <c r="R199" s="180">
        <f>SUM(Tabela2[[#This Row],[AO]]+Tabela2[[#This Row],[AD]]+Tabela2[[#This Row],[GWO]]+Tabela2[[#This Row],[GWD]])</f>
        <v>4</v>
      </c>
      <c r="S199" s="180">
        <f>Tabela2[[#This Row],[GWO]]+Tabela2[[#This Row],[GWD]]</f>
        <v>2</v>
      </c>
      <c r="T199" s="180">
        <f>SUM(Tabela2[[#This Row],[G]:[GWD]])</f>
        <v>9</v>
      </c>
    </row>
    <row r="200" spans="1:20" ht="30">
      <c r="A200" s="183">
        <v>253</v>
      </c>
      <c r="B200" s="172" t="s">
        <v>469</v>
      </c>
      <c r="C200" s="172" t="s">
        <v>441</v>
      </c>
      <c r="D200" s="172">
        <v>4</v>
      </c>
      <c r="E200" s="172" t="s">
        <v>250</v>
      </c>
      <c r="F200" s="172">
        <v>2</v>
      </c>
      <c r="G200" s="172">
        <v>1</v>
      </c>
      <c r="H200" s="172">
        <v>1</v>
      </c>
      <c r="I200" s="172">
        <v>1</v>
      </c>
      <c r="J200" s="172">
        <v>1</v>
      </c>
      <c r="K200" s="172">
        <v>1</v>
      </c>
      <c r="L200" s="172">
        <v>1</v>
      </c>
      <c r="M200" s="172">
        <v>1</v>
      </c>
      <c r="N200" s="170"/>
      <c r="O200" s="170"/>
      <c r="P200" s="170"/>
      <c r="Q200" s="180">
        <f>SUM(Tabela2[[#This Row],[G]]+Tabela2[[#This Row],[D]]+Tabela2[[#This Row],[N]]+Tabela2[[#This Row],[HM]])</f>
        <v>5</v>
      </c>
      <c r="R200" s="180">
        <f>SUM(Tabela2[[#This Row],[AO]]+Tabela2[[#This Row],[AD]]+Tabela2[[#This Row],[GWO]]+Tabela2[[#This Row],[GWD]])</f>
        <v>4</v>
      </c>
      <c r="S200" s="180">
        <f>Tabela2[[#This Row],[GWO]]+Tabela2[[#This Row],[GWD]]</f>
        <v>2</v>
      </c>
      <c r="T200" s="180">
        <f>SUM(Tabela2[[#This Row],[G]:[GWD]])</f>
        <v>9</v>
      </c>
    </row>
    <row r="201" spans="1:20">
      <c r="A201" s="183">
        <v>235</v>
      </c>
      <c r="B201" s="174" t="s">
        <v>487</v>
      </c>
      <c r="C201" s="174" t="s">
        <v>398</v>
      </c>
      <c r="D201" s="174">
        <v>4</v>
      </c>
      <c r="E201" s="174" t="s">
        <v>249</v>
      </c>
      <c r="F201" s="174">
        <v>1</v>
      </c>
      <c r="G201" s="174">
        <v>1</v>
      </c>
      <c r="H201" s="174">
        <v>1</v>
      </c>
      <c r="I201" s="174">
        <v>1</v>
      </c>
      <c r="J201" s="174">
        <v>1</v>
      </c>
      <c r="K201" s="174">
        <v>2</v>
      </c>
      <c r="L201" s="174">
        <v>1</v>
      </c>
      <c r="M201" s="174">
        <v>1</v>
      </c>
      <c r="N201" s="170"/>
      <c r="O201" s="170"/>
      <c r="P201" s="170"/>
      <c r="Q201" s="180">
        <f>SUM(Tabela2[[#This Row],[G]]+Tabela2[[#This Row],[D]]+Tabela2[[#This Row],[N]]+Tabela2[[#This Row],[HM]])</f>
        <v>5</v>
      </c>
      <c r="R201" s="180">
        <f>SUM(Tabela2[[#This Row],[AO]]+Tabela2[[#This Row],[AD]]+Tabela2[[#This Row],[GWO]]+Tabela2[[#This Row],[GWD]])</f>
        <v>4</v>
      </c>
      <c r="S201" s="180">
        <f>Tabela2[[#This Row],[GWO]]+Tabela2[[#This Row],[GWD]]</f>
        <v>2</v>
      </c>
      <c r="T201" s="180">
        <f>SUM(Tabela2[[#This Row],[G]:[GWD]])</f>
        <v>9</v>
      </c>
    </row>
    <row r="202" spans="1:20">
      <c r="A202" s="183">
        <v>25</v>
      </c>
      <c r="B202" s="172" t="s">
        <v>738</v>
      </c>
      <c r="C202" s="172" t="s">
        <v>737</v>
      </c>
      <c r="D202" s="172">
        <v>2</v>
      </c>
      <c r="E202" s="172" t="s">
        <v>250</v>
      </c>
      <c r="F202" s="172">
        <v>1</v>
      </c>
      <c r="G202" s="172">
        <v>1</v>
      </c>
      <c r="H202" s="172">
        <v>1</v>
      </c>
      <c r="I202" s="172">
        <v>1</v>
      </c>
      <c r="J202" s="172">
        <v>1</v>
      </c>
      <c r="K202" s="172">
        <v>1</v>
      </c>
      <c r="L202" s="172">
        <v>1</v>
      </c>
      <c r="M202" s="172">
        <v>1</v>
      </c>
      <c r="N202" s="170"/>
      <c r="O202" s="170"/>
      <c r="P202" s="170"/>
      <c r="Q202" s="180">
        <f>SUM(Tabela2[[#This Row],[G]]+Tabela2[[#This Row],[D]]+Tabela2[[#This Row],[N]]+Tabela2[[#This Row],[HM]])</f>
        <v>4</v>
      </c>
      <c r="R202" s="180">
        <f>SUM(Tabela2[[#This Row],[AO]]+Tabela2[[#This Row],[AD]]+Tabela2[[#This Row],[GWO]]+Tabela2[[#This Row],[GWD]])</f>
        <v>4</v>
      </c>
      <c r="S202" s="180">
        <f>Tabela2[[#This Row],[GWO]]+Tabela2[[#This Row],[GWD]]</f>
        <v>2</v>
      </c>
      <c r="T202" s="180">
        <f>SUM(Tabela2[[#This Row],[G]:[GWD]])</f>
        <v>8</v>
      </c>
    </row>
    <row r="203" spans="1:20">
      <c r="A203" s="183">
        <v>14</v>
      </c>
      <c r="B203" s="174" t="s">
        <v>748</v>
      </c>
      <c r="C203" s="174" t="s">
        <v>747</v>
      </c>
      <c r="D203" s="174">
        <v>2</v>
      </c>
      <c r="E203" s="174" t="s">
        <v>249</v>
      </c>
      <c r="F203" s="174">
        <v>1</v>
      </c>
      <c r="G203" s="174">
        <v>1</v>
      </c>
      <c r="H203" s="174">
        <v>1</v>
      </c>
      <c r="I203" s="174">
        <v>1</v>
      </c>
      <c r="J203" s="174">
        <v>1</v>
      </c>
      <c r="K203" s="174">
        <v>1</v>
      </c>
      <c r="L203" s="174">
        <v>1</v>
      </c>
      <c r="M203" s="174">
        <v>1</v>
      </c>
      <c r="N203" s="170"/>
      <c r="O203" s="170"/>
      <c r="P203" s="170"/>
      <c r="Q203" s="180">
        <f>SUM(Tabela2[[#This Row],[G]]+Tabela2[[#This Row],[D]]+Tabela2[[#This Row],[N]]+Tabela2[[#This Row],[HM]])</f>
        <v>4</v>
      </c>
      <c r="R203" s="180">
        <f>SUM(Tabela2[[#This Row],[AO]]+Tabela2[[#This Row],[AD]]+Tabela2[[#This Row],[GWO]]+Tabela2[[#This Row],[GWD]])</f>
        <v>4</v>
      </c>
      <c r="S203" s="180">
        <f>Tabela2[[#This Row],[GWO]]+Tabela2[[#This Row],[GWD]]</f>
        <v>2</v>
      </c>
      <c r="T203" s="180">
        <f>SUM(Tabela2[[#This Row],[G]:[GWD]])</f>
        <v>8</v>
      </c>
    </row>
    <row r="204" spans="1:20">
      <c r="A204" s="183">
        <v>6</v>
      </c>
      <c r="B204" s="175" t="s">
        <v>758</v>
      </c>
      <c r="C204" s="175" t="s">
        <v>757</v>
      </c>
      <c r="D204" s="175">
        <v>2</v>
      </c>
      <c r="E204" s="175" t="s">
        <v>18</v>
      </c>
      <c r="F204" s="175">
        <v>1</v>
      </c>
      <c r="G204" s="175">
        <v>1</v>
      </c>
      <c r="H204" s="175">
        <v>1</v>
      </c>
      <c r="I204" s="175">
        <v>1</v>
      </c>
      <c r="J204" s="175">
        <v>1</v>
      </c>
      <c r="K204" s="175">
        <v>1</v>
      </c>
      <c r="L204" s="175">
        <v>1</v>
      </c>
      <c r="M204" s="175">
        <v>1</v>
      </c>
      <c r="N204" s="170"/>
      <c r="O204" s="170"/>
      <c r="P204" s="170"/>
      <c r="Q204" s="180">
        <f>SUM(Tabela2[[#This Row],[G]]+Tabela2[[#This Row],[D]]+Tabela2[[#This Row],[N]]+Tabela2[[#This Row],[HM]])</f>
        <v>4</v>
      </c>
      <c r="R204" s="180">
        <f>SUM(Tabela2[[#This Row],[AO]]+Tabela2[[#This Row],[AD]]+Tabela2[[#This Row],[GWO]]+Tabela2[[#This Row],[GWD]])</f>
        <v>4</v>
      </c>
      <c r="S204" s="180">
        <f>Tabela2[[#This Row],[GWO]]+Tabela2[[#This Row],[GWD]]</f>
        <v>2</v>
      </c>
      <c r="T204" s="180">
        <f>SUM(Tabela2[[#This Row],[G]:[GWD]])</f>
        <v>8</v>
      </c>
    </row>
    <row r="205" spans="1:20">
      <c r="A205" s="183">
        <v>32</v>
      </c>
      <c r="B205" s="172" t="s">
        <v>728</v>
      </c>
      <c r="C205" s="172" t="s">
        <v>693</v>
      </c>
      <c r="D205" s="172">
        <v>2</v>
      </c>
      <c r="E205" s="172" t="s">
        <v>250</v>
      </c>
      <c r="F205" s="172">
        <v>1</v>
      </c>
      <c r="G205" s="172">
        <v>1</v>
      </c>
      <c r="H205" s="172">
        <v>1</v>
      </c>
      <c r="I205" s="172">
        <v>1</v>
      </c>
      <c r="J205" s="172">
        <v>1</v>
      </c>
      <c r="K205" s="172">
        <v>1</v>
      </c>
      <c r="L205" s="172">
        <v>1</v>
      </c>
      <c r="M205" s="172">
        <v>1</v>
      </c>
      <c r="N205" s="170"/>
      <c r="O205" s="170"/>
      <c r="P205" s="170"/>
      <c r="Q205" s="180">
        <f>SUM(Tabela2[[#This Row],[G]]+Tabela2[[#This Row],[D]]+Tabela2[[#This Row],[N]]+Tabela2[[#This Row],[HM]])</f>
        <v>4</v>
      </c>
      <c r="R205" s="180">
        <f>SUM(Tabela2[[#This Row],[AO]]+Tabela2[[#This Row],[AD]]+Tabela2[[#This Row],[GWO]]+Tabela2[[#This Row],[GWD]])</f>
        <v>4</v>
      </c>
      <c r="S205" s="180">
        <f>Tabela2[[#This Row],[GWO]]+Tabela2[[#This Row],[GWD]]</f>
        <v>2</v>
      </c>
      <c r="T205" s="180">
        <f>SUM(Tabela2[[#This Row],[G]:[GWD]])</f>
        <v>8</v>
      </c>
    </row>
    <row r="206" spans="1:20">
      <c r="A206" s="183">
        <v>39</v>
      </c>
      <c r="B206" s="171" t="s">
        <v>720</v>
      </c>
      <c r="C206" s="171" t="s">
        <v>693</v>
      </c>
      <c r="D206" s="171">
        <v>2</v>
      </c>
      <c r="E206" s="171" t="s">
        <v>251</v>
      </c>
      <c r="F206" s="171">
        <v>1</v>
      </c>
      <c r="G206" s="171">
        <v>1</v>
      </c>
      <c r="H206" s="171">
        <v>1</v>
      </c>
      <c r="I206" s="171">
        <v>1</v>
      </c>
      <c r="J206" s="171">
        <v>1</v>
      </c>
      <c r="K206" s="171">
        <v>1</v>
      </c>
      <c r="L206" s="171">
        <v>1</v>
      </c>
      <c r="M206" s="171">
        <v>1</v>
      </c>
      <c r="N206" s="170"/>
      <c r="O206" s="170"/>
      <c r="P206" s="170"/>
      <c r="Q206" s="180">
        <f>SUM(Tabela2[[#This Row],[G]]+Tabela2[[#This Row],[D]]+Tabela2[[#This Row],[N]]+Tabela2[[#This Row],[HM]])</f>
        <v>4</v>
      </c>
      <c r="R206" s="180">
        <f>SUM(Tabela2[[#This Row],[AO]]+Tabela2[[#This Row],[AD]]+Tabela2[[#This Row],[GWO]]+Tabela2[[#This Row],[GWD]])</f>
        <v>4</v>
      </c>
      <c r="S206" s="180">
        <f>Tabela2[[#This Row],[GWO]]+Tabela2[[#This Row],[GWD]]</f>
        <v>2</v>
      </c>
      <c r="T206" s="180">
        <f>SUM(Tabela2[[#This Row],[G]:[GWD]])</f>
        <v>8</v>
      </c>
    </row>
    <row r="207" spans="1:20">
      <c r="A207" s="183">
        <v>7</v>
      </c>
      <c r="B207" s="175" t="s">
        <v>756</v>
      </c>
      <c r="C207" s="175" t="s">
        <v>555</v>
      </c>
      <c r="D207" s="175">
        <v>2</v>
      </c>
      <c r="E207" s="175" t="s">
        <v>18</v>
      </c>
      <c r="F207" s="175">
        <v>1</v>
      </c>
      <c r="G207" s="175">
        <v>1</v>
      </c>
      <c r="H207" s="175">
        <v>1</v>
      </c>
      <c r="I207" s="175">
        <v>1</v>
      </c>
      <c r="J207" s="175">
        <v>1</v>
      </c>
      <c r="K207" s="175">
        <v>1</v>
      </c>
      <c r="L207" s="175">
        <v>1</v>
      </c>
      <c r="M207" s="175">
        <v>1</v>
      </c>
      <c r="N207" s="170"/>
      <c r="O207" s="170"/>
      <c r="P207" s="170"/>
      <c r="Q207" s="180">
        <f>SUM(Tabela2[[#This Row],[G]]+Tabela2[[#This Row],[D]]+Tabela2[[#This Row],[N]]+Tabela2[[#This Row],[HM]])</f>
        <v>4</v>
      </c>
      <c r="R207" s="180">
        <f>SUM(Tabela2[[#This Row],[AO]]+Tabela2[[#This Row],[AD]]+Tabela2[[#This Row],[GWO]]+Tabela2[[#This Row],[GWD]])</f>
        <v>4</v>
      </c>
      <c r="S207" s="180">
        <f>Tabela2[[#This Row],[GWO]]+Tabela2[[#This Row],[GWD]]</f>
        <v>2</v>
      </c>
      <c r="T207" s="180">
        <f>SUM(Tabela2[[#This Row],[G]:[GWD]])</f>
        <v>8</v>
      </c>
    </row>
    <row r="208" spans="1:20">
      <c r="A208" s="183">
        <v>29</v>
      </c>
      <c r="B208" s="172" t="s">
        <v>732</v>
      </c>
      <c r="C208" s="172" t="s">
        <v>725</v>
      </c>
      <c r="D208" s="172">
        <v>2</v>
      </c>
      <c r="E208" s="172" t="s">
        <v>250</v>
      </c>
      <c r="F208" s="172">
        <v>1</v>
      </c>
      <c r="G208" s="172">
        <v>1</v>
      </c>
      <c r="H208" s="172">
        <v>1</v>
      </c>
      <c r="I208" s="172">
        <v>1</v>
      </c>
      <c r="J208" s="172">
        <v>1</v>
      </c>
      <c r="K208" s="172">
        <v>1</v>
      </c>
      <c r="L208" s="172">
        <v>1</v>
      </c>
      <c r="M208" s="172">
        <v>1</v>
      </c>
      <c r="N208" s="170"/>
      <c r="O208" s="170"/>
      <c r="P208" s="170"/>
      <c r="Q208" s="180">
        <f>SUM(Tabela2[[#This Row],[G]]+Tabela2[[#This Row],[D]]+Tabela2[[#This Row],[N]]+Tabela2[[#This Row],[HM]])</f>
        <v>4</v>
      </c>
      <c r="R208" s="180">
        <f>SUM(Tabela2[[#This Row],[AO]]+Tabela2[[#This Row],[AD]]+Tabela2[[#This Row],[GWO]]+Tabela2[[#This Row],[GWD]])</f>
        <v>4</v>
      </c>
      <c r="S208" s="180">
        <f>Tabela2[[#This Row],[GWO]]+Tabela2[[#This Row],[GWD]]</f>
        <v>2</v>
      </c>
      <c r="T208" s="180">
        <f>SUM(Tabela2[[#This Row],[G]:[GWD]])</f>
        <v>8</v>
      </c>
    </row>
    <row r="209" spans="1:20">
      <c r="A209" s="183">
        <v>35</v>
      </c>
      <c r="B209" s="171" t="s">
        <v>726</v>
      </c>
      <c r="C209" s="171" t="s">
        <v>725</v>
      </c>
      <c r="D209" s="171">
        <v>2</v>
      </c>
      <c r="E209" s="171" t="s">
        <v>251</v>
      </c>
      <c r="F209" s="171">
        <v>1</v>
      </c>
      <c r="G209" s="171">
        <v>1</v>
      </c>
      <c r="H209" s="171">
        <v>1</v>
      </c>
      <c r="I209" s="171">
        <v>1</v>
      </c>
      <c r="J209" s="171">
        <v>1</v>
      </c>
      <c r="K209" s="171">
        <v>1</v>
      </c>
      <c r="L209" s="171">
        <v>1</v>
      </c>
      <c r="M209" s="171">
        <v>1</v>
      </c>
      <c r="N209" s="170"/>
      <c r="O209" s="170"/>
      <c r="P209" s="170"/>
      <c r="Q209" s="180">
        <f>SUM(Tabela2[[#This Row],[G]]+Tabela2[[#This Row],[D]]+Tabela2[[#This Row],[N]]+Tabela2[[#This Row],[HM]])</f>
        <v>4</v>
      </c>
      <c r="R209" s="180">
        <f>SUM(Tabela2[[#This Row],[AO]]+Tabela2[[#This Row],[AD]]+Tabela2[[#This Row],[GWO]]+Tabela2[[#This Row],[GWD]])</f>
        <v>4</v>
      </c>
      <c r="S209" s="180">
        <f>Tabela2[[#This Row],[GWO]]+Tabela2[[#This Row],[GWD]]</f>
        <v>2</v>
      </c>
      <c r="T209" s="180">
        <f>SUM(Tabela2[[#This Row],[G]:[GWD]])</f>
        <v>8</v>
      </c>
    </row>
    <row r="210" spans="1:20">
      <c r="A210" s="183">
        <v>15</v>
      </c>
      <c r="B210" s="174" t="s">
        <v>746</v>
      </c>
      <c r="C210" s="174" t="s">
        <v>735</v>
      </c>
      <c r="D210" s="174">
        <v>2</v>
      </c>
      <c r="E210" s="174" t="s">
        <v>249</v>
      </c>
      <c r="F210" s="174">
        <v>1</v>
      </c>
      <c r="G210" s="174">
        <v>1</v>
      </c>
      <c r="H210" s="174">
        <v>1</v>
      </c>
      <c r="I210" s="174">
        <v>1</v>
      </c>
      <c r="J210" s="174">
        <v>1</v>
      </c>
      <c r="K210" s="174">
        <v>1</v>
      </c>
      <c r="L210" s="174">
        <v>1</v>
      </c>
      <c r="M210" s="174">
        <v>1</v>
      </c>
      <c r="N210" s="170"/>
      <c r="O210" s="170"/>
      <c r="P210" s="170"/>
      <c r="Q210" s="180">
        <f>SUM(Tabela2[[#This Row],[G]]+Tabela2[[#This Row],[D]]+Tabela2[[#This Row],[N]]+Tabela2[[#This Row],[HM]])</f>
        <v>4</v>
      </c>
      <c r="R210" s="180">
        <f>SUM(Tabela2[[#This Row],[AO]]+Tabela2[[#This Row],[AD]]+Tabela2[[#This Row],[GWO]]+Tabela2[[#This Row],[GWD]])</f>
        <v>4</v>
      </c>
      <c r="S210" s="180">
        <f>Tabela2[[#This Row],[GWO]]+Tabela2[[#This Row],[GWD]]</f>
        <v>2</v>
      </c>
      <c r="T210" s="180">
        <f>SUM(Tabela2[[#This Row],[G]:[GWD]])</f>
        <v>8</v>
      </c>
    </row>
    <row r="211" spans="1:20">
      <c r="A211" s="183">
        <v>26</v>
      </c>
      <c r="B211" s="172" t="s">
        <v>736</v>
      </c>
      <c r="C211" s="172" t="s">
        <v>735</v>
      </c>
      <c r="D211" s="172">
        <v>2</v>
      </c>
      <c r="E211" s="172" t="s">
        <v>250</v>
      </c>
      <c r="F211" s="172">
        <v>1</v>
      </c>
      <c r="G211" s="172">
        <v>1</v>
      </c>
      <c r="H211" s="172">
        <v>1</v>
      </c>
      <c r="I211" s="172">
        <v>1</v>
      </c>
      <c r="J211" s="172">
        <v>1</v>
      </c>
      <c r="K211" s="172">
        <v>1</v>
      </c>
      <c r="L211" s="172">
        <v>1</v>
      </c>
      <c r="M211" s="172">
        <v>1</v>
      </c>
      <c r="N211" s="172" t="s">
        <v>445</v>
      </c>
      <c r="O211" s="172"/>
      <c r="P211" s="172"/>
      <c r="Q211" s="186">
        <f>SUM(Tabela2[[#This Row],[G]]+Tabela2[[#This Row],[D]]+Tabela2[[#This Row],[N]]+Tabela2[[#This Row],[HM]])</f>
        <v>4</v>
      </c>
      <c r="R211" s="186">
        <f>SUM(Tabela2[[#This Row],[AO]]+Tabela2[[#This Row],[AD]]+Tabela2[[#This Row],[GWO]]+Tabela2[[#This Row],[GWD]])</f>
        <v>4</v>
      </c>
      <c r="S211" s="186">
        <f>Tabela2[[#This Row],[GWO]]+Tabela2[[#This Row],[GWD]]</f>
        <v>2</v>
      </c>
      <c r="T211" s="180">
        <f>SUM(Tabela2[[#This Row],[G]:[GWD]])</f>
        <v>8</v>
      </c>
    </row>
    <row r="212" spans="1:20">
      <c r="A212" s="183">
        <v>24</v>
      </c>
      <c r="B212" s="172" t="s">
        <v>739</v>
      </c>
      <c r="C212" s="172" t="s">
        <v>594</v>
      </c>
      <c r="D212" s="172">
        <v>2</v>
      </c>
      <c r="E212" s="172" t="s">
        <v>250</v>
      </c>
      <c r="F212" s="172">
        <v>1</v>
      </c>
      <c r="G212" s="172">
        <v>1</v>
      </c>
      <c r="H212" s="172">
        <v>1</v>
      </c>
      <c r="I212" s="172">
        <v>1</v>
      </c>
      <c r="J212" s="172">
        <v>1</v>
      </c>
      <c r="K212" s="172">
        <v>1</v>
      </c>
      <c r="L212" s="172">
        <v>1</v>
      </c>
      <c r="M212" s="172">
        <v>1</v>
      </c>
      <c r="N212" s="170"/>
      <c r="O212" s="170"/>
      <c r="P212" s="170"/>
      <c r="Q212" s="180">
        <f>SUM(Tabela2[[#This Row],[G]]+Tabela2[[#This Row],[D]]+Tabela2[[#This Row],[N]]+Tabela2[[#This Row],[HM]])</f>
        <v>4</v>
      </c>
      <c r="R212" s="180">
        <f>SUM(Tabela2[[#This Row],[AO]]+Tabela2[[#This Row],[AD]]+Tabela2[[#This Row],[GWO]]+Tabela2[[#This Row],[GWD]])</f>
        <v>4</v>
      </c>
      <c r="S212" s="180">
        <f>Tabela2[[#This Row],[GWO]]+Tabela2[[#This Row],[GWD]]</f>
        <v>2</v>
      </c>
      <c r="T212" s="180">
        <f>SUM(Tabela2[[#This Row],[G]:[GWD]])</f>
        <v>8</v>
      </c>
    </row>
    <row r="213" spans="1:20">
      <c r="A213" s="183">
        <v>41</v>
      </c>
      <c r="B213" s="170" t="s">
        <v>718</v>
      </c>
      <c r="C213" s="170" t="s">
        <v>594</v>
      </c>
      <c r="D213" s="170">
        <v>2</v>
      </c>
      <c r="E213" s="170" t="s">
        <v>272</v>
      </c>
      <c r="F213" s="170">
        <v>1</v>
      </c>
      <c r="G213" s="170">
        <v>1</v>
      </c>
      <c r="H213" s="170">
        <v>1</v>
      </c>
      <c r="I213" s="170">
        <v>1</v>
      </c>
      <c r="J213" s="170">
        <v>1</v>
      </c>
      <c r="K213" s="170">
        <v>1</v>
      </c>
      <c r="L213" s="170">
        <v>1</v>
      </c>
      <c r="M213" s="170">
        <v>1</v>
      </c>
      <c r="N213" s="170"/>
      <c r="O213" s="170"/>
      <c r="P213" s="170"/>
      <c r="Q213" s="180">
        <f>SUM(Tabela2[[#This Row],[G]]+Tabela2[[#This Row],[D]]+Tabela2[[#This Row],[N]]+Tabela2[[#This Row],[HM]])</f>
        <v>4</v>
      </c>
      <c r="R213" s="180">
        <f>SUM(Tabela2[[#This Row],[AO]]+Tabela2[[#This Row],[AD]]+Tabela2[[#This Row],[GWO]]+Tabela2[[#This Row],[GWD]])</f>
        <v>4</v>
      </c>
      <c r="S213" s="180">
        <f>Tabela2[[#This Row],[GWO]]+Tabela2[[#This Row],[GWD]]</f>
        <v>2</v>
      </c>
      <c r="T213" s="180">
        <f>SUM(Tabela2[[#This Row],[G]:[GWD]])</f>
        <v>8</v>
      </c>
    </row>
    <row r="214" spans="1:20">
      <c r="A214" s="183">
        <v>9</v>
      </c>
      <c r="B214" s="175" t="s">
        <v>754</v>
      </c>
      <c r="C214" s="175" t="s">
        <v>753</v>
      </c>
      <c r="D214" s="175">
        <v>2</v>
      </c>
      <c r="E214" s="175" t="s">
        <v>18</v>
      </c>
      <c r="F214" s="175">
        <v>1</v>
      </c>
      <c r="G214" s="175">
        <v>1</v>
      </c>
      <c r="H214" s="175">
        <v>1</v>
      </c>
      <c r="I214" s="175">
        <v>1</v>
      </c>
      <c r="J214" s="175">
        <v>1</v>
      </c>
      <c r="K214" s="175">
        <v>1</v>
      </c>
      <c r="L214" s="175">
        <v>1</v>
      </c>
      <c r="M214" s="175">
        <v>1</v>
      </c>
      <c r="N214" s="170"/>
      <c r="O214" s="170"/>
      <c r="P214" s="170"/>
      <c r="Q214" s="180">
        <f>SUM(Tabela2[[#This Row],[G]]+Tabela2[[#This Row],[D]]+Tabela2[[#This Row],[N]]+Tabela2[[#This Row],[HM]])</f>
        <v>4</v>
      </c>
      <c r="R214" s="180">
        <f>SUM(Tabela2[[#This Row],[AO]]+Tabela2[[#This Row],[AD]]+Tabela2[[#This Row],[GWO]]+Tabela2[[#This Row],[GWD]])</f>
        <v>4</v>
      </c>
      <c r="S214" s="180">
        <f>Tabela2[[#This Row],[GWO]]+Tabela2[[#This Row],[GWD]]</f>
        <v>2</v>
      </c>
      <c r="T214" s="180">
        <f>SUM(Tabela2[[#This Row],[G]:[GWD]])</f>
        <v>8</v>
      </c>
    </row>
    <row r="215" spans="1:20">
      <c r="A215" s="183">
        <v>28</v>
      </c>
      <c r="B215" s="172" t="s">
        <v>733</v>
      </c>
      <c r="C215" s="172" t="s">
        <v>716</v>
      </c>
      <c r="D215" s="172">
        <v>2</v>
      </c>
      <c r="E215" s="172" t="s">
        <v>250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2" t="s">
        <v>445</v>
      </c>
      <c r="O215" s="172"/>
      <c r="P215" s="172"/>
      <c r="Q215" s="186">
        <f>SUM(Tabela2[[#This Row],[G]]+Tabela2[[#This Row],[D]]+Tabela2[[#This Row],[N]]+Tabela2[[#This Row],[HM]])</f>
        <v>4</v>
      </c>
      <c r="R215" s="186">
        <f>SUM(Tabela2[[#This Row],[AO]]+Tabela2[[#This Row],[AD]]+Tabela2[[#This Row],[GWO]]+Tabela2[[#This Row],[GWD]])</f>
        <v>4</v>
      </c>
      <c r="S215" s="186">
        <f>Tabela2[[#This Row],[GWO]]+Tabela2[[#This Row],[GWD]]</f>
        <v>2</v>
      </c>
      <c r="T215" s="180">
        <f>SUM(Tabela2[[#This Row],[G]:[GWD]])</f>
        <v>8</v>
      </c>
    </row>
    <row r="216" spans="1:20">
      <c r="A216" s="183">
        <v>34</v>
      </c>
      <c r="B216" s="171" t="s">
        <v>727</v>
      </c>
      <c r="C216" s="171" t="s">
        <v>716</v>
      </c>
      <c r="D216" s="171">
        <v>2</v>
      </c>
      <c r="E216" s="171" t="s">
        <v>251</v>
      </c>
      <c r="F216" s="171">
        <v>1</v>
      </c>
      <c r="G216" s="171">
        <v>1</v>
      </c>
      <c r="H216" s="171">
        <v>1</v>
      </c>
      <c r="I216" s="171">
        <v>1</v>
      </c>
      <c r="J216" s="171">
        <v>1</v>
      </c>
      <c r="K216" s="171">
        <v>1</v>
      </c>
      <c r="L216" s="171">
        <v>1</v>
      </c>
      <c r="M216" s="171">
        <v>1</v>
      </c>
      <c r="N216" s="170"/>
      <c r="O216" s="170"/>
      <c r="P216" s="170"/>
      <c r="Q216" s="180">
        <f>SUM(Tabela2[[#This Row],[G]]+Tabela2[[#This Row],[D]]+Tabela2[[#This Row],[N]]+Tabela2[[#This Row],[HM]])</f>
        <v>4</v>
      </c>
      <c r="R216" s="180">
        <f>SUM(Tabela2[[#This Row],[AO]]+Tabela2[[#This Row],[AD]]+Tabela2[[#This Row],[GWO]]+Tabela2[[#This Row],[GWD]])</f>
        <v>4</v>
      </c>
      <c r="S216" s="180">
        <f>Tabela2[[#This Row],[GWO]]+Tabela2[[#This Row],[GWD]]</f>
        <v>2</v>
      </c>
      <c r="T216" s="180">
        <f>SUM(Tabela2[[#This Row],[G]:[GWD]])</f>
        <v>8</v>
      </c>
    </row>
    <row r="217" spans="1:20">
      <c r="A217" s="183">
        <v>42</v>
      </c>
      <c r="B217" s="170" t="s">
        <v>717</v>
      </c>
      <c r="C217" s="170" t="s">
        <v>716</v>
      </c>
      <c r="D217" s="170">
        <v>2</v>
      </c>
      <c r="E217" s="170" t="s">
        <v>272</v>
      </c>
      <c r="F217" s="170">
        <v>1</v>
      </c>
      <c r="G217" s="170">
        <v>1</v>
      </c>
      <c r="H217" s="170">
        <v>1</v>
      </c>
      <c r="I217" s="170">
        <v>1</v>
      </c>
      <c r="J217" s="170">
        <v>1</v>
      </c>
      <c r="K217" s="170">
        <v>1</v>
      </c>
      <c r="L217" s="170">
        <v>1</v>
      </c>
      <c r="M217" s="170">
        <v>1</v>
      </c>
      <c r="N217" s="170"/>
      <c r="O217" s="170"/>
      <c r="P217" s="170"/>
      <c r="Q217" s="180">
        <f>SUM(Tabela2[[#This Row],[G]]+Tabela2[[#This Row],[D]]+Tabela2[[#This Row],[N]]+Tabela2[[#This Row],[HM]])</f>
        <v>4</v>
      </c>
      <c r="R217" s="180">
        <f>SUM(Tabela2[[#This Row],[AO]]+Tabela2[[#This Row],[AD]]+Tabela2[[#This Row],[GWO]]+Tabela2[[#This Row],[GWD]])</f>
        <v>4</v>
      </c>
      <c r="S217" s="180">
        <f>Tabela2[[#This Row],[GWO]]+Tabela2[[#This Row],[GWD]]</f>
        <v>2</v>
      </c>
      <c r="T217" s="180">
        <f>SUM(Tabela2[[#This Row],[G]:[GWD]])</f>
        <v>8</v>
      </c>
    </row>
    <row r="218" spans="1:20">
      <c r="A218" s="183">
        <v>21</v>
      </c>
      <c r="B218" s="172" t="s">
        <v>741</v>
      </c>
      <c r="C218" s="172" t="s">
        <v>714</v>
      </c>
      <c r="D218" s="172">
        <v>2</v>
      </c>
      <c r="E218" s="172" t="s">
        <v>250</v>
      </c>
      <c r="F218" s="172">
        <v>1</v>
      </c>
      <c r="G218" s="172">
        <v>1</v>
      </c>
      <c r="H218" s="172">
        <v>1</v>
      </c>
      <c r="I218" s="172">
        <v>1</v>
      </c>
      <c r="J218" s="172">
        <v>1</v>
      </c>
      <c r="K218" s="172">
        <v>1</v>
      </c>
      <c r="L218" s="172">
        <v>1</v>
      </c>
      <c r="M218" s="172">
        <v>1</v>
      </c>
      <c r="N218" s="170"/>
      <c r="O218" s="170"/>
      <c r="P218" s="170"/>
      <c r="Q218" s="180">
        <f>SUM(Tabela2[[#This Row],[G]]+Tabela2[[#This Row],[D]]+Tabela2[[#This Row],[N]]+Tabela2[[#This Row],[HM]])</f>
        <v>4</v>
      </c>
      <c r="R218" s="180">
        <f>SUM(Tabela2[[#This Row],[AO]]+Tabela2[[#This Row],[AD]]+Tabela2[[#This Row],[GWO]]+Tabela2[[#This Row],[GWD]])</f>
        <v>4</v>
      </c>
      <c r="S218" s="180">
        <f>Tabela2[[#This Row],[GWO]]+Tabela2[[#This Row],[GWD]]</f>
        <v>2</v>
      </c>
      <c r="T218" s="180">
        <f>SUM(Tabela2[[#This Row],[G]:[GWD]])</f>
        <v>8</v>
      </c>
    </row>
    <row r="219" spans="1:20">
      <c r="A219" s="183">
        <v>36</v>
      </c>
      <c r="B219" s="171" t="s">
        <v>724</v>
      </c>
      <c r="C219" s="171" t="s">
        <v>714</v>
      </c>
      <c r="D219" s="171">
        <v>2</v>
      </c>
      <c r="E219" s="171" t="s">
        <v>251</v>
      </c>
      <c r="F219" s="171">
        <v>1</v>
      </c>
      <c r="G219" s="171">
        <v>1</v>
      </c>
      <c r="H219" s="171">
        <v>1</v>
      </c>
      <c r="I219" s="171">
        <v>1</v>
      </c>
      <c r="J219" s="171">
        <v>1</v>
      </c>
      <c r="K219" s="171">
        <v>1</v>
      </c>
      <c r="L219" s="171">
        <v>1</v>
      </c>
      <c r="M219" s="171">
        <v>1</v>
      </c>
      <c r="N219" s="170"/>
      <c r="O219" s="170"/>
      <c r="P219" s="170"/>
      <c r="Q219" s="180">
        <f>SUM(Tabela2[[#This Row],[G]]+Tabela2[[#This Row],[D]]+Tabela2[[#This Row],[N]]+Tabela2[[#This Row],[HM]])</f>
        <v>4</v>
      </c>
      <c r="R219" s="180">
        <f>SUM(Tabela2[[#This Row],[AO]]+Tabela2[[#This Row],[AD]]+Tabela2[[#This Row],[GWO]]+Tabela2[[#This Row],[GWD]])</f>
        <v>4</v>
      </c>
      <c r="S219" s="180">
        <f>Tabela2[[#This Row],[GWO]]+Tabela2[[#This Row],[GWD]]</f>
        <v>2</v>
      </c>
      <c r="T219" s="180">
        <f>SUM(Tabela2[[#This Row],[G]:[GWD]])</f>
        <v>8</v>
      </c>
    </row>
    <row r="220" spans="1:20">
      <c r="A220" s="183">
        <v>43</v>
      </c>
      <c r="B220" s="170" t="s">
        <v>715</v>
      </c>
      <c r="C220" s="170" t="s">
        <v>714</v>
      </c>
      <c r="D220" s="170">
        <v>2</v>
      </c>
      <c r="E220" s="170" t="s">
        <v>272</v>
      </c>
      <c r="F220" s="170">
        <v>1</v>
      </c>
      <c r="G220" s="170">
        <v>1</v>
      </c>
      <c r="H220" s="170">
        <v>1</v>
      </c>
      <c r="I220" s="170">
        <v>1</v>
      </c>
      <c r="J220" s="170">
        <v>1</v>
      </c>
      <c r="K220" s="170">
        <v>1</v>
      </c>
      <c r="L220" s="170">
        <v>1</v>
      </c>
      <c r="M220" s="170">
        <v>1</v>
      </c>
      <c r="N220" s="170"/>
      <c r="O220" s="170"/>
      <c r="P220" s="170"/>
      <c r="Q220" s="180">
        <f>SUM(Tabela2[[#This Row],[G]]+Tabela2[[#This Row],[D]]+Tabela2[[#This Row],[N]]+Tabela2[[#This Row],[HM]])</f>
        <v>4</v>
      </c>
      <c r="R220" s="180">
        <f>SUM(Tabela2[[#This Row],[AO]]+Tabela2[[#This Row],[AD]]+Tabela2[[#This Row],[GWO]]+Tabela2[[#This Row],[GWD]])</f>
        <v>4</v>
      </c>
      <c r="S220" s="180">
        <f>Tabela2[[#This Row],[GWO]]+Tabela2[[#This Row],[GWD]]</f>
        <v>2</v>
      </c>
      <c r="T220" s="180">
        <f>SUM(Tabela2[[#This Row],[G]:[GWD]])</f>
        <v>8</v>
      </c>
    </row>
    <row r="221" spans="1:20">
      <c r="A221" s="183">
        <v>2</v>
      </c>
      <c r="B221" s="175" t="s">
        <v>762</v>
      </c>
      <c r="C221" s="175" t="s">
        <v>712</v>
      </c>
      <c r="D221" s="175">
        <v>2</v>
      </c>
      <c r="E221" s="175" t="s">
        <v>18</v>
      </c>
      <c r="F221" s="175">
        <v>1</v>
      </c>
      <c r="G221" s="175">
        <v>1</v>
      </c>
      <c r="H221" s="175">
        <v>1</v>
      </c>
      <c r="I221" s="175">
        <v>1</v>
      </c>
      <c r="J221" s="175">
        <v>1</v>
      </c>
      <c r="K221" s="175">
        <v>1</v>
      </c>
      <c r="L221" s="175">
        <v>1</v>
      </c>
      <c r="M221" s="175">
        <v>1</v>
      </c>
      <c r="N221" s="170"/>
      <c r="O221" s="170"/>
      <c r="P221" s="170"/>
      <c r="Q221" s="180">
        <f>SUM(Tabela2[[#This Row],[G]]+Tabela2[[#This Row],[D]]+Tabela2[[#This Row],[N]]+Tabela2[[#This Row],[HM]])</f>
        <v>4</v>
      </c>
      <c r="R221" s="180">
        <f>SUM(Tabela2[[#This Row],[AO]]+Tabela2[[#This Row],[AD]]+Tabela2[[#This Row],[GWO]]+Tabela2[[#This Row],[GWD]])</f>
        <v>4</v>
      </c>
      <c r="S221" s="180">
        <f>Tabela2[[#This Row],[GWO]]+Tabela2[[#This Row],[GWD]]</f>
        <v>2</v>
      </c>
      <c r="T221" s="180">
        <f>SUM(Tabela2[[#This Row],[G]:[GWD]])</f>
        <v>8</v>
      </c>
    </row>
    <row r="222" spans="1:20">
      <c r="A222" s="183">
        <v>11</v>
      </c>
      <c r="B222" s="174" t="s">
        <v>751</v>
      </c>
      <c r="C222" s="174" t="s">
        <v>712</v>
      </c>
      <c r="D222" s="174">
        <v>2</v>
      </c>
      <c r="E222" s="174" t="s">
        <v>249</v>
      </c>
      <c r="F222" s="174">
        <v>1</v>
      </c>
      <c r="G222" s="174">
        <v>1</v>
      </c>
      <c r="H222" s="174">
        <v>1</v>
      </c>
      <c r="I222" s="174">
        <v>1</v>
      </c>
      <c r="J222" s="174">
        <v>1</v>
      </c>
      <c r="K222" s="174">
        <v>1</v>
      </c>
      <c r="L222" s="174">
        <v>1</v>
      </c>
      <c r="M222" s="174">
        <v>1</v>
      </c>
      <c r="N222" s="174" t="s">
        <v>445</v>
      </c>
      <c r="O222" s="174"/>
      <c r="P222" s="174"/>
      <c r="Q222" s="185">
        <f>SUM(Tabela2[[#This Row],[G]]+Tabela2[[#This Row],[D]]+Tabela2[[#This Row],[N]]+Tabela2[[#This Row],[HM]])</f>
        <v>4</v>
      </c>
      <c r="R222" s="185">
        <f>SUM(Tabela2[[#This Row],[AO]]+Tabela2[[#This Row],[AD]]+Tabela2[[#This Row],[GWO]]+Tabela2[[#This Row],[GWD]])</f>
        <v>4</v>
      </c>
      <c r="S222" s="185">
        <f>Tabela2[[#This Row],[GWO]]+Tabela2[[#This Row],[GWD]]</f>
        <v>2</v>
      </c>
      <c r="T222" s="180">
        <f>SUM(Tabela2[[#This Row],[G]:[GWD]])</f>
        <v>8</v>
      </c>
    </row>
    <row r="223" spans="1:20">
      <c r="A223" s="183">
        <v>37</v>
      </c>
      <c r="B223" s="171" t="s">
        <v>723</v>
      </c>
      <c r="C223" s="171" t="s">
        <v>712</v>
      </c>
      <c r="D223" s="171">
        <v>2</v>
      </c>
      <c r="E223" s="171" t="s">
        <v>251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70"/>
      <c r="Q223" s="180">
        <f>SUM(Tabela2[[#This Row],[G]]+Tabela2[[#This Row],[D]]+Tabela2[[#This Row],[N]]+Tabela2[[#This Row],[HM]])</f>
        <v>4</v>
      </c>
      <c r="R223" s="180">
        <f>SUM(Tabela2[[#This Row],[AO]]+Tabela2[[#This Row],[AD]]+Tabela2[[#This Row],[GWO]]+Tabela2[[#This Row],[GWD]])</f>
        <v>4</v>
      </c>
      <c r="S223" s="180">
        <f>Tabela2[[#This Row],[GWO]]+Tabela2[[#This Row],[GWD]]</f>
        <v>2</v>
      </c>
      <c r="T223" s="180">
        <f>SUM(Tabela2[[#This Row],[G]:[GWD]])</f>
        <v>8</v>
      </c>
    </row>
    <row r="224" spans="1:20">
      <c r="A224" s="183">
        <v>44</v>
      </c>
      <c r="B224" s="170" t="s">
        <v>713</v>
      </c>
      <c r="C224" s="170" t="s">
        <v>712</v>
      </c>
      <c r="D224" s="170">
        <v>2</v>
      </c>
      <c r="E224" s="170" t="s">
        <v>272</v>
      </c>
      <c r="F224" s="170">
        <v>1</v>
      </c>
      <c r="G224" s="170">
        <v>1</v>
      </c>
      <c r="H224" s="170">
        <v>1</v>
      </c>
      <c r="I224" s="170">
        <v>1</v>
      </c>
      <c r="J224" s="170">
        <v>1</v>
      </c>
      <c r="K224" s="170">
        <v>1</v>
      </c>
      <c r="L224" s="170">
        <v>1</v>
      </c>
      <c r="M224" s="170">
        <v>1</v>
      </c>
      <c r="N224" s="170"/>
      <c r="O224" s="170"/>
      <c r="P224" s="170"/>
      <c r="Q224" s="180">
        <f>SUM(Tabela2[[#This Row],[G]]+Tabela2[[#This Row],[D]]+Tabela2[[#This Row],[N]]+Tabela2[[#This Row],[HM]])</f>
        <v>4</v>
      </c>
      <c r="R224" s="180">
        <f>SUM(Tabela2[[#This Row],[AO]]+Tabela2[[#This Row],[AD]]+Tabela2[[#This Row],[GWO]]+Tabela2[[#This Row],[GWD]])</f>
        <v>4</v>
      </c>
      <c r="S224" s="180">
        <f>Tabela2[[#This Row],[GWO]]+Tabela2[[#This Row],[GWD]]</f>
        <v>2</v>
      </c>
      <c r="T224" s="180">
        <f>SUM(Tabela2[[#This Row],[G]:[GWD]])</f>
        <v>8</v>
      </c>
    </row>
    <row r="225" spans="1:20" ht="30">
      <c r="A225" s="183">
        <v>30</v>
      </c>
      <c r="B225" s="172" t="s">
        <v>731</v>
      </c>
      <c r="C225" s="172" t="s">
        <v>671</v>
      </c>
      <c r="D225" s="172">
        <v>2</v>
      </c>
      <c r="E225" s="172" t="s">
        <v>250</v>
      </c>
      <c r="F225" s="172">
        <v>1</v>
      </c>
      <c r="G225" s="172">
        <v>1</v>
      </c>
      <c r="H225" s="172">
        <v>1</v>
      </c>
      <c r="I225" s="172">
        <v>1</v>
      </c>
      <c r="J225" s="172">
        <v>1</v>
      </c>
      <c r="K225" s="172">
        <v>1</v>
      </c>
      <c r="L225" s="172">
        <v>1</v>
      </c>
      <c r="M225" s="172">
        <v>1</v>
      </c>
      <c r="N225" s="172" t="s">
        <v>445</v>
      </c>
      <c r="O225" s="172"/>
      <c r="P225" s="172"/>
      <c r="Q225" s="186">
        <f>SUM(Tabela2[[#This Row],[G]]+Tabela2[[#This Row],[D]]+Tabela2[[#This Row],[N]]+Tabela2[[#This Row],[HM]])</f>
        <v>4</v>
      </c>
      <c r="R225" s="186">
        <f>SUM(Tabela2[[#This Row],[AO]]+Tabela2[[#This Row],[AD]]+Tabela2[[#This Row],[GWO]]+Tabela2[[#This Row],[GWD]])</f>
        <v>4</v>
      </c>
      <c r="S225" s="186">
        <f>Tabela2[[#This Row],[GWO]]+Tabela2[[#This Row],[GWD]]</f>
        <v>2</v>
      </c>
      <c r="T225" s="180">
        <f>SUM(Tabela2[[#This Row],[G]:[GWD]])</f>
        <v>8</v>
      </c>
    </row>
    <row r="226" spans="1:20">
      <c r="A226" s="183">
        <v>16</v>
      </c>
      <c r="B226" s="174" t="s">
        <v>745</v>
      </c>
      <c r="C226" s="174" t="s">
        <v>710</v>
      </c>
      <c r="D226" s="174">
        <v>2</v>
      </c>
      <c r="E226" s="174" t="s">
        <v>249</v>
      </c>
      <c r="F226" s="174">
        <v>1</v>
      </c>
      <c r="G226" s="174">
        <v>1</v>
      </c>
      <c r="H226" s="174">
        <v>1</v>
      </c>
      <c r="I226" s="174">
        <v>1</v>
      </c>
      <c r="J226" s="174">
        <v>1</v>
      </c>
      <c r="K226" s="174">
        <v>1</v>
      </c>
      <c r="L226" s="174">
        <v>1</v>
      </c>
      <c r="M226" s="174">
        <v>1</v>
      </c>
      <c r="N226" s="170"/>
      <c r="O226" s="170"/>
      <c r="P226" s="170"/>
      <c r="Q226" s="180">
        <f>SUM(Tabela2[[#This Row],[G]]+Tabela2[[#This Row],[D]]+Tabela2[[#This Row],[N]]+Tabela2[[#This Row],[HM]])</f>
        <v>4</v>
      </c>
      <c r="R226" s="180">
        <f>SUM(Tabela2[[#This Row],[AO]]+Tabela2[[#This Row],[AD]]+Tabela2[[#This Row],[GWO]]+Tabela2[[#This Row],[GWD]])</f>
        <v>4</v>
      </c>
      <c r="S226" s="180">
        <f>Tabela2[[#This Row],[GWO]]+Tabela2[[#This Row],[GWD]]</f>
        <v>2</v>
      </c>
      <c r="T226" s="180">
        <f>SUM(Tabela2[[#This Row],[G]:[GWD]])</f>
        <v>8</v>
      </c>
    </row>
    <row r="227" spans="1:20">
      <c r="A227" s="183">
        <v>45</v>
      </c>
      <c r="B227" s="170" t="s">
        <v>711</v>
      </c>
      <c r="C227" s="170" t="s">
        <v>710</v>
      </c>
      <c r="D227" s="170">
        <v>2</v>
      </c>
      <c r="E227" s="170" t="s">
        <v>272</v>
      </c>
      <c r="F227" s="170">
        <v>1</v>
      </c>
      <c r="G227" s="170">
        <v>1</v>
      </c>
      <c r="H227" s="170">
        <v>1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70"/>
      <c r="Q227" s="180">
        <f>SUM(Tabela2[[#This Row],[G]]+Tabela2[[#This Row],[D]]+Tabela2[[#This Row],[N]]+Tabela2[[#This Row],[HM]])</f>
        <v>4</v>
      </c>
      <c r="R227" s="180">
        <f>SUM(Tabela2[[#This Row],[AO]]+Tabela2[[#This Row],[AD]]+Tabela2[[#This Row],[GWO]]+Tabela2[[#This Row],[GWD]])</f>
        <v>4</v>
      </c>
      <c r="S227" s="180">
        <f>Tabela2[[#This Row],[GWO]]+Tabela2[[#This Row],[GWD]]</f>
        <v>2</v>
      </c>
      <c r="T227" s="180">
        <f>SUM(Tabela2[[#This Row],[G]:[GWD]])</f>
        <v>8</v>
      </c>
    </row>
    <row r="228" spans="1:20">
      <c r="A228" s="183">
        <v>20</v>
      </c>
      <c r="B228" s="174" t="s">
        <v>742</v>
      </c>
      <c r="C228" s="174" t="s">
        <v>729</v>
      </c>
      <c r="D228" s="174">
        <v>2</v>
      </c>
      <c r="E228" s="174" t="s">
        <v>249</v>
      </c>
      <c r="F228" s="174">
        <v>1</v>
      </c>
      <c r="G228" s="174">
        <v>1</v>
      </c>
      <c r="H228" s="174">
        <v>1</v>
      </c>
      <c r="I228" s="174">
        <v>1</v>
      </c>
      <c r="J228" s="174">
        <v>1</v>
      </c>
      <c r="K228" s="174">
        <v>1</v>
      </c>
      <c r="L228" s="174">
        <v>1</v>
      </c>
      <c r="M228" s="174">
        <v>1</v>
      </c>
      <c r="N228" s="170"/>
      <c r="O228" s="170"/>
      <c r="P228" s="170"/>
      <c r="Q228" s="180">
        <f>SUM(Tabela2[[#This Row],[G]]+Tabela2[[#This Row],[D]]+Tabela2[[#This Row],[N]]+Tabela2[[#This Row],[HM]])</f>
        <v>4</v>
      </c>
      <c r="R228" s="180">
        <f>SUM(Tabela2[[#This Row],[AO]]+Tabela2[[#This Row],[AD]]+Tabela2[[#This Row],[GWO]]+Tabela2[[#This Row],[GWD]])</f>
        <v>4</v>
      </c>
      <c r="S228" s="180">
        <f>Tabela2[[#This Row],[GWO]]+Tabela2[[#This Row],[GWD]]</f>
        <v>2</v>
      </c>
      <c r="T228" s="180">
        <f>SUM(Tabela2[[#This Row],[G]:[GWD]])</f>
        <v>8</v>
      </c>
    </row>
    <row r="229" spans="1:20">
      <c r="A229" s="183">
        <v>31</v>
      </c>
      <c r="B229" s="172" t="s">
        <v>730</v>
      </c>
      <c r="C229" s="172" t="s">
        <v>729</v>
      </c>
      <c r="D229" s="172">
        <v>2</v>
      </c>
      <c r="E229" s="172" t="s">
        <v>250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0"/>
      <c r="O229" s="170"/>
      <c r="P229" s="170"/>
      <c r="Q229" s="180">
        <f>SUM(Tabela2[[#This Row],[G]]+Tabela2[[#This Row],[D]]+Tabela2[[#This Row],[N]]+Tabela2[[#This Row],[HM]])</f>
        <v>4</v>
      </c>
      <c r="R229" s="180">
        <f>SUM(Tabela2[[#This Row],[AO]]+Tabela2[[#This Row],[AD]]+Tabela2[[#This Row],[GWO]]+Tabela2[[#This Row],[GWD]])</f>
        <v>4</v>
      </c>
      <c r="S229" s="180">
        <f>Tabela2[[#This Row],[GWO]]+Tabela2[[#This Row],[GWD]]</f>
        <v>2</v>
      </c>
      <c r="T229" s="180">
        <f>SUM(Tabela2[[#This Row],[G]:[GWD]])</f>
        <v>8</v>
      </c>
    </row>
    <row r="230" spans="1:20">
      <c r="A230" s="183">
        <v>17</v>
      </c>
      <c r="B230" s="174" t="s">
        <v>744</v>
      </c>
      <c r="C230" s="174" t="s">
        <v>708</v>
      </c>
      <c r="D230" s="174">
        <v>2</v>
      </c>
      <c r="E230" s="174" t="s">
        <v>249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70"/>
      <c r="Q230" s="180">
        <f>SUM(Tabela2[[#This Row],[G]]+Tabela2[[#This Row],[D]]+Tabela2[[#This Row],[N]]+Tabela2[[#This Row],[HM]])</f>
        <v>4</v>
      </c>
      <c r="R230" s="180">
        <f>SUM(Tabela2[[#This Row],[AO]]+Tabela2[[#This Row],[AD]]+Tabela2[[#This Row],[GWO]]+Tabela2[[#This Row],[GWD]])</f>
        <v>4</v>
      </c>
      <c r="S230" s="180">
        <f>Tabela2[[#This Row],[GWO]]+Tabela2[[#This Row],[GWD]]</f>
        <v>2</v>
      </c>
      <c r="T230" s="180">
        <f>SUM(Tabela2[[#This Row],[G]:[GWD]])</f>
        <v>8</v>
      </c>
    </row>
    <row r="231" spans="1:20">
      <c r="A231" s="183">
        <v>46</v>
      </c>
      <c r="B231" s="170" t="s">
        <v>709</v>
      </c>
      <c r="C231" s="170" t="s">
        <v>708</v>
      </c>
      <c r="D231" s="170">
        <v>2</v>
      </c>
      <c r="E231" s="170" t="s">
        <v>272</v>
      </c>
      <c r="F231" s="170">
        <v>1</v>
      </c>
      <c r="G231" s="170">
        <v>1</v>
      </c>
      <c r="H231" s="170">
        <v>1</v>
      </c>
      <c r="I231" s="170">
        <v>1</v>
      </c>
      <c r="J231" s="170">
        <v>1</v>
      </c>
      <c r="K231" s="170">
        <v>1</v>
      </c>
      <c r="L231" s="170">
        <v>1</v>
      </c>
      <c r="M231" s="170">
        <v>1</v>
      </c>
      <c r="N231" s="170"/>
      <c r="O231" s="170"/>
      <c r="P231" s="170"/>
      <c r="Q231" s="180">
        <f>SUM(Tabela2[[#This Row],[G]]+Tabela2[[#This Row],[D]]+Tabela2[[#This Row],[N]]+Tabela2[[#This Row],[HM]])</f>
        <v>4</v>
      </c>
      <c r="R231" s="180">
        <f>SUM(Tabela2[[#This Row],[AO]]+Tabela2[[#This Row],[AD]]+Tabela2[[#This Row],[GWO]]+Tabela2[[#This Row],[GWD]])</f>
        <v>4</v>
      </c>
      <c r="S231" s="180">
        <f>Tabela2[[#This Row],[GWO]]+Tabela2[[#This Row],[GWD]]</f>
        <v>2</v>
      </c>
      <c r="T231" s="180">
        <f>SUM(Tabela2[[#This Row],[G]:[GWD]])</f>
        <v>8</v>
      </c>
    </row>
    <row r="232" spans="1:20">
      <c r="A232" s="183">
        <v>5</v>
      </c>
      <c r="B232" s="175" t="s">
        <v>759</v>
      </c>
      <c r="C232" s="175" t="s">
        <v>721</v>
      </c>
      <c r="D232" s="175">
        <v>2</v>
      </c>
      <c r="E232" s="175" t="s">
        <v>18</v>
      </c>
      <c r="F232" s="175">
        <v>1</v>
      </c>
      <c r="G232" s="175">
        <v>1</v>
      </c>
      <c r="H232" s="175">
        <v>1</v>
      </c>
      <c r="I232" s="175">
        <v>1</v>
      </c>
      <c r="J232" s="175">
        <v>1</v>
      </c>
      <c r="K232" s="175">
        <v>1</v>
      </c>
      <c r="L232" s="175">
        <v>1</v>
      </c>
      <c r="M232" s="175">
        <v>1</v>
      </c>
      <c r="N232" s="170"/>
      <c r="O232" s="170"/>
      <c r="P232" s="170"/>
      <c r="Q232" s="180">
        <f>SUM(Tabela2[[#This Row],[G]]+Tabela2[[#This Row],[D]]+Tabela2[[#This Row],[N]]+Tabela2[[#This Row],[HM]])</f>
        <v>4</v>
      </c>
      <c r="R232" s="180">
        <f>SUM(Tabela2[[#This Row],[AO]]+Tabela2[[#This Row],[AD]]+Tabela2[[#This Row],[GWO]]+Tabela2[[#This Row],[GWD]])</f>
        <v>4</v>
      </c>
      <c r="S232" s="180">
        <f>Tabela2[[#This Row],[GWO]]+Tabela2[[#This Row],[GWD]]</f>
        <v>2</v>
      </c>
      <c r="T232" s="180">
        <f>SUM(Tabela2[[#This Row],[G]:[GWD]])</f>
        <v>8</v>
      </c>
    </row>
    <row r="233" spans="1:20">
      <c r="A233" s="183">
        <v>38</v>
      </c>
      <c r="B233" s="171" t="s">
        <v>722</v>
      </c>
      <c r="C233" s="171" t="s">
        <v>721</v>
      </c>
      <c r="D233" s="171">
        <v>2</v>
      </c>
      <c r="E233" s="171" t="s">
        <v>251</v>
      </c>
      <c r="F233" s="171">
        <v>1</v>
      </c>
      <c r="G233" s="171">
        <v>1</v>
      </c>
      <c r="H233" s="171">
        <v>1</v>
      </c>
      <c r="I233" s="171">
        <v>1</v>
      </c>
      <c r="J233" s="171">
        <v>1</v>
      </c>
      <c r="K233" s="171">
        <v>1</v>
      </c>
      <c r="L233" s="171">
        <v>1</v>
      </c>
      <c r="M233" s="171">
        <v>1</v>
      </c>
      <c r="N233" s="170"/>
      <c r="O233" s="170"/>
      <c r="P233" s="170"/>
      <c r="Q233" s="180">
        <f>SUM(Tabela2[[#This Row],[G]]+Tabela2[[#This Row],[D]]+Tabela2[[#This Row],[N]]+Tabela2[[#This Row],[HM]])</f>
        <v>4</v>
      </c>
      <c r="R233" s="180">
        <f>SUM(Tabela2[[#This Row],[AO]]+Tabela2[[#This Row],[AD]]+Tabela2[[#This Row],[GWO]]+Tabela2[[#This Row],[GWD]])</f>
        <v>4</v>
      </c>
      <c r="S233" s="180">
        <f>Tabela2[[#This Row],[GWO]]+Tabela2[[#This Row],[GWD]]</f>
        <v>2</v>
      </c>
      <c r="T233" s="180">
        <f>SUM(Tabela2[[#This Row],[G]:[GWD]])</f>
        <v>8</v>
      </c>
    </row>
    <row r="234" spans="1:20">
      <c r="A234" s="183">
        <v>3</v>
      </c>
      <c r="B234" s="175" t="s">
        <v>761</v>
      </c>
      <c r="C234" s="175" t="s">
        <v>287</v>
      </c>
      <c r="D234" s="175">
        <v>2</v>
      </c>
      <c r="E234" s="175" t="s">
        <v>18</v>
      </c>
      <c r="F234" s="175">
        <v>1</v>
      </c>
      <c r="G234" s="175">
        <v>1</v>
      </c>
      <c r="H234" s="175">
        <v>1</v>
      </c>
      <c r="I234" s="175">
        <v>1</v>
      </c>
      <c r="J234" s="175">
        <v>1</v>
      </c>
      <c r="K234" s="175">
        <v>1</v>
      </c>
      <c r="L234" s="175">
        <v>1</v>
      </c>
      <c r="M234" s="175">
        <v>1</v>
      </c>
      <c r="N234" s="175" t="s">
        <v>445</v>
      </c>
      <c r="O234" s="175"/>
      <c r="P234" s="175"/>
      <c r="Q234" s="184">
        <f>SUM(Tabela2[[#This Row],[G]]+Tabela2[[#This Row],[D]]+Tabela2[[#This Row],[N]]+Tabela2[[#This Row],[HM]])</f>
        <v>4</v>
      </c>
      <c r="R234" s="184">
        <f>SUM(Tabela2[[#This Row],[AO]]+Tabela2[[#This Row],[AD]]+Tabela2[[#This Row],[GWO]]+Tabela2[[#This Row],[GWD]])</f>
        <v>4</v>
      </c>
      <c r="S234" s="184">
        <f>Tabela2[[#This Row],[GWO]]+Tabela2[[#This Row],[GWD]]</f>
        <v>2</v>
      </c>
      <c r="T234" s="181">
        <f>SUM(Tabela2[[#This Row],[G]:[GWD]])</f>
        <v>8</v>
      </c>
    </row>
    <row r="235" spans="1:20">
      <c r="A235" s="183">
        <v>12</v>
      </c>
      <c r="B235" s="174" t="s">
        <v>750</v>
      </c>
      <c r="C235" s="174" t="s">
        <v>706</v>
      </c>
      <c r="D235" s="174">
        <v>2</v>
      </c>
      <c r="E235" s="174" t="s">
        <v>249</v>
      </c>
      <c r="F235" s="174">
        <v>1</v>
      </c>
      <c r="G235" s="174">
        <v>1</v>
      </c>
      <c r="H235" s="174">
        <v>1</v>
      </c>
      <c r="I235" s="174">
        <v>1</v>
      </c>
      <c r="J235" s="174">
        <v>1</v>
      </c>
      <c r="K235" s="174">
        <v>1</v>
      </c>
      <c r="L235" s="174">
        <v>1</v>
      </c>
      <c r="M235" s="174">
        <v>1</v>
      </c>
      <c r="N235" s="170"/>
      <c r="O235" s="170"/>
      <c r="P235" s="170"/>
      <c r="Q235" s="180">
        <f>SUM(Tabela2[[#This Row],[G]]+Tabela2[[#This Row],[D]]+Tabela2[[#This Row],[N]]+Tabela2[[#This Row],[HM]])</f>
        <v>4</v>
      </c>
      <c r="R235" s="180">
        <f>SUM(Tabela2[[#This Row],[AO]]+Tabela2[[#This Row],[AD]]+Tabela2[[#This Row],[GWO]]+Tabela2[[#This Row],[GWD]])</f>
        <v>4</v>
      </c>
      <c r="S235" s="180">
        <f>Tabela2[[#This Row],[GWO]]+Tabela2[[#This Row],[GWD]]</f>
        <v>2</v>
      </c>
      <c r="T235" s="180">
        <f>SUM(Tabela2[[#This Row],[G]:[GWD]])</f>
        <v>8</v>
      </c>
    </row>
    <row r="236" spans="1:20">
      <c r="A236" s="183">
        <v>81</v>
      </c>
      <c r="B236" s="174" t="s">
        <v>663</v>
      </c>
      <c r="C236" s="174" t="s">
        <v>290</v>
      </c>
      <c r="D236" s="174">
        <v>3</v>
      </c>
      <c r="E236" s="174" t="s">
        <v>249</v>
      </c>
      <c r="F236" s="174">
        <v>1</v>
      </c>
      <c r="G236" s="174">
        <v>1</v>
      </c>
      <c r="H236" s="174">
        <v>1</v>
      </c>
      <c r="I236" s="174">
        <v>1</v>
      </c>
      <c r="J236" s="174">
        <v>1</v>
      </c>
      <c r="K236" s="174">
        <v>1</v>
      </c>
      <c r="L236" s="174">
        <v>1</v>
      </c>
      <c r="M236" s="174">
        <v>1</v>
      </c>
      <c r="N236" s="174" t="s">
        <v>445</v>
      </c>
      <c r="O236" s="174"/>
      <c r="P236" s="174"/>
      <c r="Q236" s="185">
        <f>SUM(Tabela2[[#This Row],[G]]+Tabela2[[#This Row],[D]]+Tabela2[[#This Row],[N]]+Tabela2[[#This Row],[HM]])</f>
        <v>4</v>
      </c>
      <c r="R236" s="185">
        <f>SUM(Tabela2[[#This Row],[AO]]+Tabela2[[#This Row],[AD]]+Tabela2[[#This Row],[GWO]]+Tabela2[[#This Row],[GWD]])</f>
        <v>4</v>
      </c>
      <c r="S236" s="185">
        <f>Tabela2[[#This Row],[GWO]]+Tabela2[[#This Row],[GWD]]</f>
        <v>2</v>
      </c>
      <c r="T236" s="180">
        <f>SUM(Tabela2[[#This Row],[G]:[GWD]])</f>
        <v>8</v>
      </c>
    </row>
    <row r="237" spans="1:20">
      <c r="A237" s="183">
        <v>110</v>
      </c>
      <c r="B237" s="172" t="s">
        <v>634</v>
      </c>
      <c r="C237" s="172" t="s">
        <v>290</v>
      </c>
      <c r="D237" s="172">
        <v>3</v>
      </c>
      <c r="E237" s="172" t="s">
        <v>250</v>
      </c>
      <c r="F237" s="172">
        <v>1</v>
      </c>
      <c r="G237" s="172">
        <v>1</v>
      </c>
      <c r="H237" s="172">
        <v>1</v>
      </c>
      <c r="I237" s="172">
        <v>1</v>
      </c>
      <c r="J237" s="172">
        <v>1</v>
      </c>
      <c r="K237" s="172">
        <v>1</v>
      </c>
      <c r="L237" s="172">
        <v>1</v>
      </c>
      <c r="M237" s="172">
        <v>1</v>
      </c>
      <c r="N237" s="172" t="s">
        <v>445</v>
      </c>
      <c r="O237" s="172"/>
      <c r="P237" s="172"/>
      <c r="Q237" s="186">
        <f>SUM(Tabela2[[#This Row],[G]]+Tabela2[[#This Row],[D]]+Tabela2[[#This Row],[N]]+Tabela2[[#This Row],[HM]])</f>
        <v>4</v>
      </c>
      <c r="R237" s="186">
        <f>SUM(Tabela2[[#This Row],[AO]]+Tabela2[[#This Row],[AD]]+Tabela2[[#This Row],[GWO]]+Tabela2[[#This Row],[GWD]])</f>
        <v>4</v>
      </c>
      <c r="S237" s="186">
        <f>Tabela2[[#This Row],[GWO]]+Tabela2[[#This Row],[GWD]]</f>
        <v>2</v>
      </c>
      <c r="T237" s="180">
        <f>SUM(Tabela2[[#This Row],[G]:[GWD]])</f>
        <v>8</v>
      </c>
    </row>
    <row r="238" spans="1:20">
      <c r="A238" s="183">
        <v>137</v>
      </c>
      <c r="B238" s="171" t="s">
        <v>608</v>
      </c>
      <c r="C238" s="171" t="s">
        <v>290</v>
      </c>
      <c r="D238" s="171">
        <v>3</v>
      </c>
      <c r="E238" s="171" t="s">
        <v>251</v>
      </c>
      <c r="F238" s="171">
        <v>1</v>
      </c>
      <c r="G238" s="171">
        <v>1</v>
      </c>
      <c r="H238" s="171">
        <v>1</v>
      </c>
      <c r="I238" s="171">
        <v>1</v>
      </c>
      <c r="J238" s="171">
        <v>1</v>
      </c>
      <c r="K238" s="171">
        <v>1</v>
      </c>
      <c r="L238" s="171">
        <v>1</v>
      </c>
      <c r="M238" s="171">
        <v>1</v>
      </c>
      <c r="N238" s="170"/>
      <c r="O238" s="170"/>
      <c r="P238" s="170"/>
      <c r="Q238" s="180">
        <f>SUM(Tabela2[[#This Row],[G]]+Tabela2[[#This Row],[D]]+Tabela2[[#This Row],[N]]+Tabela2[[#This Row],[HM]])</f>
        <v>4</v>
      </c>
      <c r="R238" s="180">
        <f>SUM(Tabela2[[#This Row],[AO]]+Tabela2[[#This Row],[AD]]+Tabela2[[#This Row],[GWO]]+Tabela2[[#This Row],[GWD]])</f>
        <v>4</v>
      </c>
      <c r="S238" s="180">
        <f>Tabela2[[#This Row],[GWO]]+Tabela2[[#This Row],[GWD]]</f>
        <v>2</v>
      </c>
      <c r="T238" s="180">
        <f>SUM(Tabela2[[#This Row],[G]:[GWD]])</f>
        <v>8</v>
      </c>
    </row>
    <row r="239" spans="1:20" ht="30">
      <c r="A239" s="183">
        <v>111</v>
      </c>
      <c r="B239" s="178" t="s">
        <v>633</v>
      </c>
      <c r="C239" s="172" t="s">
        <v>570</v>
      </c>
      <c r="D239" s="172">
        <v>3</v>
      </c>
      <c r="E239" s="172" t="s">
        <v>250</v>
      </c>
      <c r="F239" s="172">
        <v>1</v>
      </c>
      <c r="G239" s="172">
        <v>1</v>
      </c>
      <c r="H239" s="172">
        <v>1</v>
      </c>
      <c r="I239" s="172">
        <v>1</v>
      </c>
      <c r="J239" s="172">
        <v>1</v>
      </c>
      <c r="K239" s="172">
        <v>1</v>
      </c>
      <c r="L239" s="172">
        <v>1</v>
      </c>
      <c r="M239" s="172">
        <v>1</v>
      </c>
      <c r="N239" s="170"/>
      <c r="O239" s="170"/>
      <c r="P239" s="170"/>
      <c r="Q239" s="180">
        <f>SUM(Tabela2[[#This Row],[G]]+Tabela2[[#This Row],[D]]+Tabela2[[#This Row],[N]]+Tabela2[[#This Row],[HM]])</f>
        <v>4</v>
      </c>
      <c r="R239" s="180">
        <f>SUM(Tabela2[[#This Row],[AO]]+Tabela2[[#This Row],[AD]]+Tabela2[[#This Row],[GWO]]+Tabela2[[#This Row],[GWD]])</f>
        <v>4</v>
      </c>
      <c r="S239" s="180">
        <f>Tabela2[[#This Row],[GWO]]+Tabela2[[#This Row],[GWD]]</f>
        <v>2</v>
      </c>
      <c r="T239" s="180">
        <f>SUM(Tabela2[[#This Row],[G]:[GWD]])</f>
        <v>8</v>
      </c>
    </row>
    <row r="240" spans="1:20" ht="30">
      <c r="A240" s="183">
        <v>138</v>
      </c>
      <c r="B240" s="171" t="s">
        <v>607</v>
      </c>
      <c r="C240" s="171" t="s">
        <v>570</v>
      </c>
      <c r="D240" s="171">
        <v>3</v>
      </c>
      <c r="E240" s="171" t="s">
        <v>251</v>
      </c>
      <c r="F240" s="171">
        <v>1</v>
      </c>
      <c r="G240" s="171">
        <v>1</v>
      </c>
      <c r="H240" s="171">
        <v>1</v>
      </c>
      <c r="I240" s="171">
        <v>1</v>
      </c>
      <c r="J240" s="171">
        <v>1</v>
      </c>
      <c r="K240" s="171">
        <v>1</v>
      </c>
      <c r="L240" s="171">
        <v>1</v>
      </c>
      <c r="M240" s="171">
        <v>1</v>
      </c>
      <c r="N240" s="170"/>
      <c r="O240" s="170"/>
      <c r="P240" s="170"/>
      <c r="Q240" s="180">
        <f>SUM(Tabela2[[#This Row],[G]]+Tabela2[[#This Row],[D]]+Tabela2[[#This Row],[N]]+Tabela2[[#This Row],[HM]])</f>
        <v>4</v>
      </c>
      <c r="R240" s="180">
        <f>SUM(Tabela2[[#This Row],[AO]]+Tabela2[[#This Row],[AD]]+Tabela2[[#This Row],[GWO]]+Tabela2[[#This Row],[GWD]])</f>
        <v>4</v>
      </c>
      <c r="S240" s="180">
        <f>Tabela2[[#This Row],[GWO]]+Tabela2[[#This Row],[GWD]]</f>
        <v>2</v>
      </c>
      <c r="T240" s="180">
        <f>SUM(Tabela2[[#This Row],[G]:[GWD]])</f>
        <v>8</v>
      </c>
    </row>
    <row r="241" spans="1:20" ht="30">
      <c r="A241" s="183">
        <v>139</v>
      </c>
      <c r="B241" s="171" t="s">
        <v>606</v>
      </c>
      <c r="C241" s="171" t="s">
        <v>568</v>
      </c>
      <c r="D241" s="171">
        <v>3</v>
      </c>
      <c r="E241" s="171" t="s">
        <v>251</v>
      </c>
      <c r="F241" s="171">
        <v>1</v>
      </c>
      <c r="G241" s="171">
        <v>1</v>
      </c>
      <c r="H241" s="171">
        <v>1</v>
      </c>
      <c r="I241" s="171">
        <v>1</v>
      </c>
      <c r="J241" s="171">
        <v>1</v>
      </c>
      <c r="K241" s="171">
        <v>1</v>
      </c>
      <c r="L241" s="171">
        <v>1</v>
      </c>
      <c r="M241" s="171">
        <v>1</v>
      </c>
      <c r="N241" s="170"/>
      <c r="O241" s="170"/>
      <c r="P241" s="170"/>
      <c r="Q241" s="180">
        <f>SUM(Tabela2[[#This Row],[G]]+Tabela2[[#This Row],[D]]+Tabela2[[#This Row],[N]]+Tabela2[[#This Row],[HM]])</f>
        <v>4</v>
      </c>
      <c r="R241" s="180">
        <f>SUM(Tabela2[[#This Row],[AO]]+Tabela2[[#This Row],[AD]]+Tabela2[[#This Row],[GWO]]+Tabela2[[#This Row],[GWD]])</f>
        <v>4</v>
      </c>
      <c r="S241" s="180">
        <f>Tabela2[[#This Row],[GWO]]+Tabela2[[#This Row],[GWD]]</f>
        <v>2</v>
      </c>
      <c r="T241" s="180">
        <f>SUM(Tabela2[[#This Row],[G]:[GWD]])</f>
        <v>8</v>
      </c>
    </row>
    <row r="242" spans="1:20" ht="30">
      <c r="A242" s="183">
        <v>172</v>
      </c>
      <c r="B242" s="170" t="s">
        <v>569</v>
      </c>
      <c r="C242" s="170" t="s">
        <v>568</v>
      </c>
      <c r="D242" s="170">
        <v>3</v>
      </c>
      <c r="E242" s="170" t="s">
        <v>272</v>
      </c>
      <c r="F242" s="170">
        <v>1</v>
      </c>
      <c r="G242" s="170">
        <v>1</v>
      </c>
      <c r="H242" s="170">
        <v>1</v>
      </c>
      <c r="I242" s="170">
        <v>1</v>
      </c>
      <c r="J242" s="170">
        <v>1</v>
      </c>
      <c r="K242" s="170">
        <v>1</v>
      </c>
      <c r="L242" s="170">
        <v>1</v>
      </c>
      <c r="M242" s="170">
        <v>1</v>
      </c>
      <c r="N242" s="170"/>
      <c r="O242" s="170"/>
      <c r="P242" s="170"/>
      <c r="Q242" s="180">
        <f>SUM(Tabela2[[#This Row],[G]]+Tabela2[[#This Row],[D]]+Tabela2[[#This Row],[N]]+Tabela2[[#This Row],[HM]])</f>
        <v>4</v>
      </c>
      <c r="R242" s="180">
        <f>SUM(Tabela2[[#This Row],[AO]]+Tabela2[[#This Row],[AD]]+Tabela2[[#This Row],[GWO]]+Tabela2[[#This Row],[GWD]])</f>
        <v>4</v>
      </c>
      <c r="S242" s="180">
        <f>Tabela2[[#This Row],[GWO]]+Tabela2[[#This Row],[GWD]]</f>
        <v>2</v>
      </c>
      <c r="T242" s="180">
        <f>SUM(Tabela2[[#This Row],[G]:[GWD]])</f>
        <v>8</v>
      </c>
    </row>
    <row r="243" spans="1:20" ht="30">
      <c r="A243" s="183">
        <v>113</v>
      </c>
      <c r="B243" s="172" t="s">
        <v>631</v>
      </c>
      <c r="C243" s="172" t="s">
        <v>566</v>
      </c>
      <c r="D243" s="172">
        <v>3</v>
      </c>
      <c r="E243" s="172" t="s">
        <v>250</v>
      </c>
      <c r="F243" s="172">
        <v>1</v>
      </c>
      <c r="G243" s="172">
        <v>1</v>
      </c>
      <c r="H243" s="172">
        <v>1</v>
      </c>
      <c r="I243" s="172">
        <v>1</v>
      </c>
      <c r="J243" s="172">
        <v>1</v>
      </c>
      <c r="K243" s="172">
        <v>1</v>
      </c>
      <c r="L243" s="172">
        <v>1</v>
      </c>
      <c r="M243" s="172">
        <v>1</v>
      </c>
      <c r="N243" s="170"/>
      <c r="O243" s="170"/>
      <c r="P243" s="170"/>
      <c r="Q243" s="180">
        <f>SUM(Tabela2[[#This Row],[G]]+Tabela2[[#This Row],[D]]+Tabela2[[#This Row],[N]]+Tabela2[[#This Row],[HM]])</f>
        <v>4</v>
      </c>
      <c r="R243" s="180">
        <f>SUM(Tabela2[[#This Row],[AO]]+Tabela2[[#This Row],[AD]]+Tabela2[[#This Row],[GWO]]+Tabela2[[#This Row],[GWD]])</f>
        <v>4</v>
      </c>
      <c r="S243" s="180">
        <f>Tabela2[[#This Row],[GWO]]+Tabela2[[#This Row],[GWD]]</f>
        <v>2</v>
      </c>
      <c r="T243" s="180">
        <f>SUM(Tabela2[[#This Row],[G]:[GWD]])</f>
        <v>8</v>
      </c>
    </row>
    <row r="244" spans="1:20" ht="30">
      <c r="A244" s="183">
        <v>140</v>
      </c>
      <c r="B244" s="171" t="s">
        <v>605</v>
      </c>
      <c r="C244" s="171" t="s">
        <v>566</v>
      </c>
      <c r="D244" s="171">
        <v>3</v>
      </c>
      <c r="E244" s="171" t="s">
        <v>251</v>
      </c>
      <c r="F244" s="171">
        <v>1</v>
      </c>
      <c r="G244" s="171">
        <v>1</v>
      </c>
      <c r="H244" s="171">
        <v>1</v>
      </c>
      <c r="I244" s="171">
        <v>1</v>
      </c>
      <c r="J244" s="171">
        <v>1</v>
      </c>
      <c r="K244" s="171">
        <v>1</v>
      </c>
      <c r="L244" s="171">
        <v>1</v>
      </c>
      <c r="M244" s="171">
        <v>1</v>
      </c>
      <c r="N244" s="170"/>
      <c r="O244" s="170"/>
      <c r="P244" s="170"/>
      <c r="Q244" s="180">
        <f>SUM(Tabela2[[#This Row],[G]]+Tabela2[[#This Row],[D]]+Tabela2[[#This Row],[N]]+Tabela2[[#This Row],[HM]])</f>
        <v>4</v>
      </c>
      <c r="R244" s="180">
        <f>SUM(Tabela2[[#This Row],[AO]]+Tabela2[[#This Row],[AD]]+Tabela2[[#This Row],[GWO]]+Tabela2[[#This Row],[GWD]])</f>
        <v>4</v>
      </c>
      <c r="S244" s="180">
        <f>Tabela2[[#This Row],[GWO]]+Tabela2[[#This Row],[GWD]]</f>
        <v>2</v>
      </c>
      <c r="T244" s="180">
        <f>SUM(Tabela2[[#This Row],[G]:[GWD]])</f>
        <v>8</v>
      </c>
    </row>
    <row r="245" spans="1:20" ht="30">
      <c r="A245" s="183">
        <v>173</v>
      </c>
      <c r="B245" s="170" t="s">
        <v>567</v>
      </c>
      <c r="C245" s="170" t="s">
        <v>566</v>
      </c>
      <c r="D245" s="170">
        <v>3</v>
      </c>
      <c r="E245" s="170" t="s">
        <v>272</v>
      </c>
      <c r="F245" s="170">
        <v>1</v>
      </c>
      <c r="G245" s="170">
        <v>1</v>
      </c>
      <c r="H245" s="170">
        <v>1</v>
      </c>
      <c r="I245" s="170">
        <v>1</v>
      </c>
      <c r="J245" s="170">
        <v>1</v>
      </c>
      <c r="K245" s="170">
        <v>1</v>
      </c>
      <c r="L245" s="170">
        <v>1</v>
      </c>
      <c r="M245" s="170">
        <v>1</v>
      </c>
      <c r="N245" s="170"/>
      <c r="O245" s="170"/>
      <c r="P245" s="170"/>
      <c r="Q245" s="180">
        <f>SUM(Tabela2[[#This Row],[G]]+Tabela2[[#This Row],[D]]+Tabela2[[#This Row],[N]]+Tabela2[[#This Row],[HM]])</f>
        <v>4</v>
      </c>
      <c r="R245" s="180">
        <f>SUM(Tabela2[[#This Row],[AO]]+Tabela2[[#This Row],[AD]]+Tabela2[[#This Row],[GWO]]+Tabela2[[#This Row],[GWD]])</f>
        <v>4</v>
      </c>
      <c r="S245" s="180">
        <f>Tabela2[[#This Row],[GWO]]+Tabela2[[#This Row],[GWD]]</f>
        <v>2</v>
      </c>
      <c r="T245" s="180">
        <f>SUM(Tabela2[[#This Row],[G]:[GWD]])</f>
        <v>8</v>
      </c>
    </row>
    <row r="246" spans="1:20">
      <c r="A246" s="183">
        <v>141</v>
      </c>
      <c r="B246" s="171" t="s">
        <v>604</v>
      </c>
      <c r="C246" s="171" t="s">
        <v>565</v>
      </c>
      <c r="D246" s="171">
        <v>3</v>
      </c>
      <c r="E246" s="171" t="s">
        <v>251</v>
      </c>
      <c r="F246" s="171">
        <v>1</v>
      </c>
      <c r="G246" s="171">
        <v>1</v>
      </c>
      <c r="H246" s="171">
        <v>1</v>
      </c>
      <c r="I246" s="171">
        <v>1</v>
      </c>
      <c r="J246" s="171">
        <v>1</v>
      </c>
      <c r="K246" s="171">
        <v>1</v>
      </c>
      <c r="L246" s="171">
        <v>1</v>
      </c>
      <c r="M246" s="171">
        <v>1</v>
      </c>
      <c r="N246" s="170"/>
      <c r="O246" s="170"/>
      <c r="P246" s="170"/>
      <c r="Q246" s="180">
        <f>SUM(Tabela2[[#This Row],[G]]+Tabela2[[#This Row],[D]]+Tabela2[[#This Row],[N]]+Tabela2[[#This Row],[HM]])</f>
        <v>4</v>
      </c>
      <c r="R246" s="180">
        <f>SUM(Tabela2[[#This Row],[AO]]+Tabela2[[#This Row],[AD]]+Tabela2[[#This Row],[GWO]]+Tabela2[[#This Row],[GWD]])</f>
        <v>4</v>
      </c>
      <c r="S246" s="180">
        <f>Tabela2[[#This Row],[GWO]]+Tabela2[[#This Row],[GWD]]</f>
        <v>2</v>
      </c>
      <c r="T246" s="180">
        <f>SUM(Tabela2[[#This Row],[G]:[GWD]])</f>
        <v>8</v>
      </c>
    </row>
    <row r="247" spans="1:20" ht="30">
      <c r="A247" s="183">
        <v>55</v>
      </c>
      <c r="B247" s="175" t="s">
        <v>696</v>
      </c>
      <c r="C247" s="175" t="s">
        <v>695</v>
      </c>
      <c r="D247" s="175">
        <v>3</v>
      </c>
      <c r="E247" s="175" t="s">
        <v>18</v>
      </c>
      <c r="F247" s="175">
        <v>1</v>
      </c>
      <c r="G247" s="175">
        <v>1</v>
      </c>
      <c r="H247" s="175">
        <v>1</v>
      </c>
      <c r="I247" s="175">
        <v>1</v>
      </c>
      <c r="J247" s="175">
        <v>1</v>
      </c>
      <c r="K247" s="175">
        <v>1</v>
      </c>
      <c r="L247" s="175">
        <v>1</v>
      </c>
      <c r="M247" s="175">
        <v>1</v>
      </c>
      <c r="N247" s="170"/>
      <c r="O247" s="170"/>
      <c r="P247" s="170"/>
      <c r="Q247" s="180">
        <f>SUM(Tabela2[[#This Row],[G]]+Tabela2[[#This Row],[D]]+Tabela2[[#This Row],[N]]+Tabela2[[#This Row],[HM]])</f>
        <v>4</v>
      </c>
      <c r="R247" s="180">
        <f>SUM(Tabela2[[#This Row],[AO]]+Tabela2[[#This Row],[AD]]+Tabela2[[#This Row],[GWO]]+Tabela2[[#This Row],[GWD]])</f>
        <v>4</v>
      </c>
      <c r="S247" s="180">
        <f>Tabela2[[#This Row],[GWO]]+Tabela2[[#This Row],[GWD]]</f>
        <v>2</v>
      </c>
      <c r="T247" s="180">
        <f>SUM(Tabela2[[#This Row],[G]:[GWD]])</f>
        <v>8</v>
      </c>
    </row>
    <row r="248" spans="1:20" ht="30">
      <c r="A248" s="183">
        <v>87</v>
      </c>
      <c r="B248" s="174" t="s">
        <v>657</v>
      </c>
      <c r="C248" s="174" t="s">
        <v>563</v>
      </c>
      <c r="D248" s="174">
        <v>3</v>
      </c>
      <c r="E248" s="174" t="s">
        <v>249</v>
      </c>
      <c r="F248" s="174">
        <v>1</v>
      </c>
      <c r="G248" s="174">
        <v>1</v>
      </c>
      <c r="H248" s="174">
        <v>1</v>
      </c>
      <c r="I248" s="174">
        <v>1</v>
      </c>
      <c r="J248" s="174">
        <v>1</v>
      </c>
      <c r="K248" s="174">
        <v>1</v>
      </c>
      <c r="L248" s="174">
        <v>1</v>
      </c>
      <c r="M248" s="174">
        <v>1</v>
      </c>
      <c r="N248" s="170"/>
      <c r="O248" s="170"/>
      <c r="P248" s="170"/>
      <c r="Q248" s="180">
        <f>SUM(Tabela2[[#This Row],[G]]+Tabela2[[#This Row],[D]]+Tabela2[[#This Row],[N]]+Tabela2[[#This Row],[HM]])</f>
        <v>4</v>
      </c>
      <c r="R248" s="180">
        <f>SUM(Tabela2[[#This Row],[AO]]+Tabela2[[#This Row],[AD]]+Tabela2[[#This Row],[GWO]]+Tabela2[[#This Row],[GWD]])</f>
        <v>4</v>
      </c>
      <c r="S248" s="180">
        <f>Tabela2[[#This Row],[GWO]]+Tabela2[[#This Row],[GWD]]</f>
        <v>2</v>
      </c>
      <c r="T248" s="180">
        <f>SUM(Tabela2[[#This Row],[G]:[GWD]])</f>
        <v>8</v>
      </c>
    </row>
    <row r="249" spans="1:20" ht="30">
      <c r="A249" s="183">
        <v>115</v>
      </c>
      <c r="B249" s="172" t="s">
        <v>629</v>
      </c>
      <c r="C249" s="172" t="s">
        <v>563</v>
      </c>
      <c r="D249" s="172">
        <v>3</v>
      </c>
      <c r="E249" s="172" t="s">
        <v>250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70"/>
      <c r="Q249" s="180">
        <f>SUM(Tabela2[[#This Row],[G]]+Tabela2[[#This Row],[D]]+Tabela2[[#This Row],[N]]+Tabela2[[#This Row],[HM]])</f>
        <v>4</v>
      </c>
      <c r="R249" s="180">
        <f>SUM(Tabela2[[#This Row],[AO]]+Tabela2[[#This Row],[AD]]+Tabela2[[#This Row],[GWO]]+Tabela2[[#This Row],[GWD]])</f>
        <v>4</v>
      </c>
      <c r="S249" s="180">
        <f>Tabela2[[#This Row],[GWO]]+Tabela2[[#This Row],[GWD]]</f>
        <v>2</v>
      </c>
      <c r="T249" s="180">
        <f>SUM(Tabela2[[#This Row],[G]:[GWD]])</f>
        <v>8</v>
      </c>
    </row>
    <row r="250" spans="1:20" ht="30">
      <c r="A250" s="183">
        <v>142</v>
      </c>
      <c r="B250" s="171" t="s">
        <v>603</v>
      </c>
      <c r="C250" s="171" t="s">
        <v>563</v>
      </c>
      <c r="D250" s="171">
        <v>3</v>
      </c>
      <c r="E250" s="171" t="s">
        <v>251</v>
      </c>
      <c r="F250" s="171">
        <v>1</v>
      </c>
      <c r="G250" s="171">
        <v>1</v>
      </c>
      <c r="H250" s="171">
        <v>1</v>
      </c>
      <c r="I250" s="171">
        <v>1</v>
      </c>
      <c r="J250" s="171">
        <v>1</v>
      </c>
      <c r="K250" s="171">
        <v>1</v>
      </c>
      <c r="L250" s="171">
        <v>1</v>
      </c>
      <c r="M250" s="171">
        <v>1</v>
      </c>
      <c r="N250" s="170"/>
      <c r="O250" s="170"/>
      <c r="P250" s="170"/>
      <c r="Q250" s="180">
        <f>SUM(Tabela2[[#This Row],[G]]+Tabela2[[#This Row],[D]]+Tabela2[[#This Row],[N]]+Tabela2[[#This Row],[HM]])</f>
        <v>4</v>
      </c>
      <c r="R250" s="180">
        <f>SUM(Tabela2[[#This Row],[AO]]+Tabela2[[#This Row],[AD]]+Tabela2[[#This Row],[GWO]]+Tabela2[[#This Row],[GWD]])</f>
        <v>4</v>
      </c>
      <c r="S250" s="180">
        <f>Tabela2[[#This Row],[GWO]]+Tabela2[[#This Row],[GWD]]</f>
        <v>2</v>
      </c>
      <c r="T250" s="180">
        <f>SUM(Tabela2[[#This Row],[G]:[GWD]])</f>
        <v>8</v>
      </c>
    </row>
    <row r="251" spans="1:20" ht="30">
      <c r="A251" s="183">
        <v>175</v>
      </c>
      <c r="B251" s="170" t="s">
        <v>564</v>
      </c>
      <c r="C251" s="170" t="s">
        <v>563</v>
      </c>
      <c r="D251" s="170">
        <v>3</v>
      </c>
      <c r="E251" s="170" t="s">
        <v>272</v>
      </c>
      <c r="F251" s="170">
        <v>1</v>
      </c>
      <c r="G251" s="170">
        <v>1</v>
      </c>
      <c r="H251" s="170">
        <v>1</v>
      </c>
      <c r="I251" s="170">
        <v>1</v>
      </c>
      <c r="J251" s="170">
        <v>1</v>
      </c>
      <c r="K251" s="170">
        <v>1</v>
      </c>
      <c r="L251" s="170">
        <v>1</v>
      </c>
      <c r="M251" s="170">
        <v>1</v>
      </c>
      <c r="N251" s="170"/>
      <c r="O251" s="170"/>
      <c r="P251" s="170"/>
      <c r="Q251" s="180">
        <f>SUM(Tabela2[[#This Row],[G]]+Tabela2[[#This Row],[D]]+Tabela2[[#This Row],[N]]+Tabela2[[#This Row],[HM]])</f>
        <v>4</v>
      </c>
      <c r="R251" s="180">
        <f>SUM(Tabela2[[#This Row],[AO]]+Tabela2[[#This Row],[AD]]+Tabela2[[#This Row],[GWO]]+Tabela2[[#This Row],[GWD]])</f>
        <v>4</v>
      </c>
      <c r="S251" s="180">
        <f>Tabela2[[#This Row],[GWO]]+Tabela2[[#This Row],[GWD]]</f>
        <v>2</v>
      </c>
      <c r="T251" s="180">
        <f>SUM(Tabela2[[#This Row],[G]:[GWD]])</f>
        <v>8</v>
      </c>
    </row>
    <row r="252" spans="1:20">
      <c r="A252" s="183">
        <v>56</v>
      </c>
      <c r="B252" s="175" t="s">
        <v>694</v>
      </c>
      <c r="C252" s="175" t="s">
        <v>693</v>
      </c>
      <c r="D252" s="175">
        <v>3</v>
      </c>
      <c r="E252" s="175" t="s">
        <v>18</v>
      </c>
      <c r="F252" s="175">
        <v>1</v>
      </c>
      <c r="G252" s="175">
        <v>1</v>
      </c>
      <c r="H252" s="175">
        <v>1</v>
      </c>
      <c r="I252" s="175">
        <v>1</v>
      </c>
      <c r="J252" s="175">
        <v>1</v>
      </c>
      <c r="K252" s="175">
        <v>1</v>
      </c>
      <c r="L252" s="175">
        <v>1</v>
      </c>
      <c r="M252" s="175">
        <v>1</v>
      </c>
      <c r="N252" s="170"/>
      <c r="O252" s="170"/>
      <c r="P252" s="170"/>
      <c r="Q252" s="180">
        <f>SUM(Tabela2[[#This Row],[G]]+Tabela2[[#This Row],[D]]+Tabela2[[#This Row],[N]]+Tabela2[[#This Row],[HM]])</f>
        <v>4</v>
      </c>
      <c r="R252" s="180">
        <f>SUM(Tabela2[[#This Row],[AO]]+Tabela2[[#This Row],[AD]]+Tabela2[[#This Row],[GWO]]+Tabela2[[#This Row],[GWD]])</f>
        <v>4</v>
      </c>
      <c r="S252" s="180">
        <f>Tabela2[[#This Row],[GWO]]+Tabela2[[#This Row],[GWD]]</f>
        <v>2</v>
      </c>
      <c r="T252" s="180">
        <f>SUM(Tabela2[[#This Row],[G]:[GWD]])</f>
        <v>8</v>
      </c>
    </row>
    <row r="253" spans="1:20">
      <c r="A253" s="183">
        <v>88</v>
      </c>
      <c r="B253" s="174" t="s">
        <v>656</v>
      </c>
      <c r="C253" s="174" t="s">
        <v>559</v>
      </c>
      <c r="D253" s="174">
        <v>3</v>
      </c>
      <c r="E253" s="174" t="s">
        <v>249</v>
      </c>
      <c r="F253" s="174">
        <v>1</v>
      </c>
      <c r="G253" s="174">
        <v>1</v>
      </c>
      <c r="H253" s="174">
        <v>1</v>
      </c>
      <c r="I253" s="174">
        <v>1</v>
      </c>
      <c r="J253" s="174">
        <v>1</v>
      </c>
      <c r="K253" s="174">
        <v>1</v>
      </c>
      <c r="L253" s="174">
        <v>1</v>
      </c>
      <c r="M253" s="174">
        <v>1</v>
      </c>
      <c r="N253" s="170"/>
      <c r="O253" s="170"/>
      <c r="P253" s="170"/>
      <c r="Q253" s="180">
        <f>SUM(Tabela2[[#This Row],[G]]+Tabela2[[#This Row],[D]]+Tabela2[[#This Row],[N]]+Tabela2[[#This Row],[HM]])</f>
        <v>4</v>
      </c>
      <c r="R253" s="180">
        <f>SUM(Tabela2[[#This Row],[AO]]+Tabela2[[#This Row],[AD]]+Tabela2[[#This Row],[GWO]]+Tabela2[[#This Row],[GWD]])</f>
        <v>4</v>
      </c>
      <c r="S253" s="180">
        <f>Tabela2[[#This Row],[GWO]]+Tabela2[[#This Row],[GWD]]</f>
        <v>2</v>
      </c>
      <c r="T253" s="180">
        <f>SUM(Tabela2[[#This Row],[G]:[GWD]])</f>
        <v>8</v>
      </c>
    </row>
    <row r="254" spans="1:20" ht="30">
      <c r="A254" s="183">
        <v>178</v>
      </c>
      <c r="B254" s="170" t="s">
        <v>558</v>
      </c>
      <c r="C254" s="170" t="s">
        <v>557</v>
      </c>
      <c r="D254" s="170">
        <v>3</v>
      </c>
      <c r="E254" s="170" t="s">
        <v>272</v>
      </c>
      <c r="F254" s="170">
        <v>1</v>
      </c>
      <c r="G254" s="170">
        <v>1</v>
      </c>
      <c r="H254" s="170">
        <v>1</v>
      </c>
      <c r="I254" s="170">
        <v>1</v>
      </c>
      <c r="J254" s="170">
        <v>1</v>
      </c>
      <c r="K254" s="170">
        <v>1</v>
      </c>
      <c r="L254" s="170">
        <v>1</v>
      </c>
      <c r="M254" s="170">
        <v>1</v>
      </c>
      <c r="N254" s="170"/>
      <c r="O254" s="170"/>
      <c r="P254" s="170"/>
      <c r="Q254" s="180">
        <f>SUM(Tabela2[[#This Row],[G]]+Tabela2[[#This Row],[D]]+Tabela2[[#This Row],[N]]+Tabela2[[#This Row],[HM]])</f>
        <v>4</v>
      </c>
      <c r="R254" s="180">
        <f>SUM(Tabela2[[#This Row],[AO]]+Tabela2[[#This Row],[AD]]+Tabela2[[#This Row],[GWO]]+Tabela2[[#This Row],[GWD]])</f>
        <v>4</v>
      </c>
      <c r="S254" s="180">
        <f>Tabela2[[#This Row],[GWO]]+Tabela2[[#This Row],[GWD]]</f>
        <v>2</v>
      </c>
      <c r="T254" s="180">
        <f>SUM(Tabela2[[#This Row],[G]:[GWD]])</f>
        <v>8</v>
      </c>
    </row>
    <row r="255" spans="1:20">
      <c r="A255" s="183">
        <v>90</v>
      </c>
      <c r="B255" s="174" t="s">
        <v>654</v>
      </c>
      <c r="C255" s="174" t="s">
        <v>552</v>
      </c>
      <c r="D255" s="174">
        <v>3</v>
      </c>
      <c r="E255" s="174" t="s">
        <v>249</v>
      </c>
      <c r="F255" s="174">
        <v>1</v>
      </c>
      <c r="G255" s="174">
        <v>1</v>
      </c>
      <c r="H255" s="174">
        <v>1</v>
      </c>
      <c r="I255" s="174">
        <v>1</v>
      </c>
      <c r="J255" s="174">
        <v>1</v>
      </c>
      <c r="K255" s="174">
        <v>1</v>
      </c>
      <c r="L255" s="174">
        <v>1</v>
      </c>
      <c r="M255" s="174">
        <v>1</v>
      </c>
      <c r="N255" s="174" t="s">
        <v>445</v>
      </c>
      <c r="O255" s="174"/>
      <c r="P255" s="174"/>
      <c r="Q255" s="185">
        <f>SUM(Tabela2[[#This Row],[G]]+Tabela2[[#This Row],[D]]+Tabela2[[#This Row],[N]]+Tabela2[[#This Row],[HM]])</f>
        <v>4</v>
      </c>
      <c r="R255" s="185">
        <f>SUM(Tabela2[[#This Row],[AO]]+Tabela2[[#This Row],[AD]]+Tabela2[[#This Row],[GWO]]+Tabela2[[#This Row],[GWD]])</f>
        <v>4</v>
      </c>
      <c r="S255" s="185">
        <f>Tabela2[[#This Row],[GWO]]+Tabela2[[#This Row],[GWD]]</f>
        <v>2</v>
      </c>
      <c r="T255" s="180">
        <f>SUM(Tabela2[[#This Row],[G]:[GWD]])</f>
        <v>8</v>
      </c>
    </row>
    <row r="256" spans="1:20">
      <c r="A256" s="183">
        <v>181</v>
      </c>
      <c r="B256" s="170" t="s">
        <v>553</v>
      </c>
      <c r="C256" s="170" t="s">
        <v>552</v>
      </c>
      <c r="D256" s="170">
        <v>3</v>
      </c>
      <c r="E256" s="170" t="s">
        <v>272</v>
      </c>
      <c r="F256" s="170">
        <v>1</v>
      </c>
      <c r="G256" s="170">
        <v>1</v>
      </c>
      <c r="H256" s="170">
        <v>1</v>
      </c>
      <c r="I256" s="170">
        <v>1</v>
      </c>
      <c r="J256" s="170">
        <v>1</v>
      </c>
      <c r="K256" s="170">
        <v>1</v>
      </c>
      <c r="L256" s="170">
        <v>1</v>
      </c>
      <c r="M256" s="170">
        <v>1</v>
      </c>
      <c r="N256" s="170"/>
      <c r="O256" s="170"/>
      <c r="P256" s="170"/>
      <c r="Q256" s="180">
        <f>SUM(Tabela2[[#This Row],[G]]+Tabela2[[#This Row],[D]]+Tabela2[[#This Row],[N]]+Tabela2[[#This Row],[HM]])</f>
        <v>4</v>
      </c>
      <c r="R256" s="180">
        <f>SUM(Tabela2[[#This Row],[AO]]+Tabela2[[#This Row],[AD]]+Tabela2[[#This Row],[GWO]]+Tabela2[[#This Row],[GWD]])</f>
        <v>4</v>
      </c>
      <c r="S256" s="180">
        <f>Tabela2[[#This Row],[GWO]]+Tabela2[[#This Row],[GWD]]</f>
        <v>2</v>
      </c>
      <c r="T256" s="180">
        <f>SUM(Tabela2[[#This Row],[G]:[GWD]])</f>
        <v>8</v>
      </c>
    </row>
    <row r="257" spans="1:20" ht="30">
      <c r="A257" s="183">
        <v>119</v>
      </c>
      <c r="B257" s="172" t="s">
        <v>626</v>
      </c>
      <c r="C257" s="172" t="s">
        <v>550</v>
      </c>
      <c r="D257" s="172">
        <v>3</v>
      </c>
      <c r="E257" s="172" t="s">
        <v>250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70"/>
      <c r="Q257" s="180">
        <f>SUM(Tabela2[[#This Row],[G]]+Tabela2[[#This Row],[D]]+Tabela2[[#This Row],[N]]+Tabela2[[#This Row],[HM]])</f>
        <v>4</v>
      </c>
      <c r="R257" s="180">
        <f>SUM(Tabela2[[#This Row],[AO]]+Tabela2[[#This Row],[AD]]+Tabela2[[#This Row],[GWO]]+Tabela2[[#This Row],[GWD]])</f>
        <v>4</v>
      </c>
      <c r="S257" s="180">
        <f>Tabela2[[#This Row],[GWO]]+Tabela2[[#This Row],[GWD]]</f>
        <v>2</v>
      </c>
      <c r="T257" s="180">
        <f>SUM(Tabela2[[#This Row],[G]:[GWD]])</f>
        <v>8</v>
      </c>
    </row>
    <row r="258" spans="1:20">
      <c r="A258" s="183">
        <v>92</v>
      </c>
      <c r="B258" s="174" t="s">
        <v>652</v>
      </c>
      <c r="C258" s="174" t="s">
        <v>546</v>
      </c>
      <c r="D258" s="174">
        <v>3</v>
      </c>
      <c r="E258" s="174" t="s">
        <v>249</v>
      </c>
      <c r="F258" s="174">
        <v>1</v>
      </c>
      <c r="G258" s="174">
        <v>1</v>
      </c>
      <c r="H258" s="174">
        <v>1</v>
      </c>
      <c r="I258" s="174">
        <v>1</v>
      </c>
      <c r="J258" s="174">
        <v>1</v>
      </c>
      <c r="K258" s="174">
        <v>1</v>
      </c>
      <c r="L258" s="174">
        <v>1</v>
      </c>
      <c r="M258" s="174">
        <v>1</v>
      </c>
      <c r="N258" s="174" t="s">
        <v>445</v>
      </c>
      <c r="O258" s="174"/>
      <c r="P258" s="174"/>
      <c r="Q258" s="185">
        <f>SUM(Tabela2[[#This Row],[G]]+Tabela2[[#This Row],[D]]+Tabela2[[#This Row],[N]]+Tabela2[[#This Row],[HM]])</f>
        <v>4</v>
      </c>
      <c r="R258" s="185">
        <f>SUM(Tabela2[[#This Row],[AO]]+Tabela2[[#This Row],[AD]]+Tabela2[[#This Row],[GWO]]+Tabela2[[#This Row],[GWD]])</f>
        <v>4</v>
      </c>
      <c r="S258" s="185">
        <f>Tabela2[[#This Row],[GWO]]+Tabela2[[#This Row],[GWD]]</f>
        <v>2</v>
      </c>
      <c r="T258" s="180">
        <f>SUM(Tabela2[[#This Row],[G]:[GWD]])</f>
        <v>8</v>
      </c>
    </row>
    <row r="259" spans="1:20">
      <c r="A259" s="183">
        <v>120</v>
      </c>
      <c r="B259" s="172" t="s">
        <v>625</v>
      </c>
      <c r="C259" s="172" t="s">
        <v>546</v>
      </c>
      <c r="D259" s="172">
        <v>3</v>
      </c>
      <c r="E259" s="172" t="s">
        <v>250</v>
      </c>
      <c r="F259" s="172">
        <v>1</v>
      </c>
      <c r="G259" s="172">
        <v>1</v>
      </c>
      <c r="H259" s="172">
        <v>1</v>
      </c>
      <c r="I259" s="172">
        <v>1</v>
      </c>
      <c r="J259" s="172">
        <v>1</v>
      </c>
      <c r="K259" s="172">
        <v>1</v>
      </c>
      <c r="L259" s="172">
        <v>1</v>
      </c>
      <c r="M259" s="172">
        <v>1</v>
      </c>
      <c r="N259" s="172" t="s">
        <v>445</v>
      </c>
      <c r="O259" s="172"/>
      <c r="P259" s="172"/>
      <c r="Q259" s="186">
        <f>SUM(Tabela2[[#This Row],[G]]+Tabela2[[#This Row],[D]]+Tabela2[[#This Row],[N]]+Tabela2[[#This Row],[HM]])</f>
        <v>4</v>
      </c>
      <c r="R259" s="186">
        <f>SUM(Tabela2[[#This Row],[AO]]+Tabela2[[#This Row],[AD]]+Tabela2[[#This Row],[GWO]]+Tabela2[[#This Row],[GWD]])</f>
        <v>4</v>
      </c>
      <c r="S259" s="186">
        <f>Tabela2[[#This Row],[GWO]]+Tabela2[[#This Row],[GWD]]</f>
        <v>2</v>
      </c>
      <c r="T259" s="180">
        <f>SUM(Tabela2[[#This Row],[G]:[GWD]])</f>
        <v>8</v>
      </c>
    </row>
    <row r="260" spans="1:20">
      <c r="A260" s="183">
        <v>149</v>
      </c>
      <c r="B260" s="171" t="s">
        <v>596</v>
      </c>
      <c r="C260" s="171" t="s">
        <v>546</v>
      </c>
      <c r="D260" s="171">
        <v>3</v>
      </c>
      <c r="E260" s="171" t="s">
        <v>251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1</v>
      </c>
      <c r="L260" s="171">
        <v>1</v>
      </c>
      <c r="M260" s="171">
        <v>1</v>
      </c>
      <c r="N260" s="170"/>
      <c r="O260" s="170"/>
      <c r="P260" s="170"/>
      <c r="Q260" s="180">
        <f>SUM(Tabela2[[#This Row],[G]]+Tabela2[[#This Row],[D]]+Tabela2[[#This Row],[N]]+Tabela2[[#This Row],[HM]])</f>
        <v>4</v>
      </c>
      <c r="R260" s="180">
        <f>SUM(Tabela2[[#This Row],[AO]]+Tabela2[[#This Row],[AD]]+Tabela2[[#This Row],[GWO]]+Tabela2[[#This Row],[GWD]])</f>
        <v>4</v>
      </c>
      <c r="S260" s="180">
        <f>Tabela2[[#This Row],[GWO]]+Tabela2[[#This Row],[GWD]]</f>
        <v>2</v>
      </c>
      <c r="T260" s="180">
        <f>SUM(Tabela2[[#This Row],[G]:[GWD]])</f>
        <v>8</v>
      </c>
    </row>
    <row r="261" spans="1:20">
      <c r="A261" s="183">
        <v>150</v>
      </c>
      <c r="B261" s="171" t="s">
        <v>595</v>
      </c>
      <c r="C261" s="171" t="s">
        <v>594</v>
      </c>
      <c r="D261" s="171">
        <v>3</v>
      </c>
      <c r="E261" s="171" t="s">
        <v>251</v>
      </c>
      <c r="F261" s="171">
        <v>1</v>
      </c>
      <c r="G261" s="171">
        <v>1</v>
      </c>
      <c r="H261" s="171">
        <v>1</v>
      </c>
      <c r="I261" s="171">
        <v>1</v>
      </c>
      <c r="J261" s="171">
        <v>1</v>
      </c>
      <c r="K261" s="171">
        <v>1</v>
      </c>
      <c r="L261" s="171">
        <v>1</v>
      </c>
      <c r="M261" s="171">
        <v>1</v>
      </c>
      <c r="N261" s="170"/>
      <c r="O261" s="170"/>
      <c r="P261" s="170"/>
      <c r="Q261" s="180">
        <f>SUM(Tabela2[[#This Row],[G]]+Tabela2[[#This Row],[D]]+Tabela2[[#This Row],[N]]+Tabela2[[#This Row],[HM]])</f>
        <v>4</v>
      </c>
      <c r="R261" s="180">
        <f>SUM(Tabela2[[#This Row],[AO]]+Tabela2[[#This Row],[AD]]+Tabela2[[#This Row],[GWO]]+Tabela2[[#This Row],[GWD]])</f>
        <v>4</v>
      </c>
      <c r="S261" s="180">
        <f>Tabela2[[#This Row],[GWO]]+Tabela2[[#This Row],[GWD]]</f>
        <v>2</v>
      </c>
      <c r="T261" s="180">
        <f>SUM(Tabela2[[#This Row],[G]:[GWD]])</f>
        <v>8</v>
      </c>
    </row>
    <row r="262" spans="1:20" ht="30">
      <c r="A262" s="183">
        <v>121</v>
      </c>
      <c r="B262" s="172" t="s">
        <v>624</v>
      </c>
      <c r="C262" s="172" t="s">
        <v>544</v>
      </c>
      <c r="D262" s="172">
        <v>3</v>
      </c>
      <c r="E262" s="172" t="s">
        <v>250</v>
      </c>
      <c r="F262" s="172">
        <v>1</v>
      </c>
      <c r="G262" s="172">
        <v>1</v>
      </c>
      <c r="H262" s="172">
        <v>1</v>
      </c>
      <c r="I262" s="172">
        <v>1</v>
      </c>
      <c r="J262" s="172">
        <v>1</v>
      </c>
      <c r="K262" s="172">
        <v>1</v>
      </c>
      <c r="L262" s="172">
        <v>1</v>
      </c>
      <c r="M262" s="172">
        <v>1</v>
      </c>
      <c r="N262" s="170"/>
      <c r="O262" s="170"/>
      <c r="P262" s="170"/>
      <c r="Q262" s="180">
        <f>SUM(Tabela2[[#This Row],[G]]+Tabela2[[#This Row],[D]]+Tabela2[[#This Row],[N]]+Tabela2[[#This Row],[HM]])</f>
        <v>4</v>
      </c>
      <c r="R262" s="180">
        <f>SUM(Tabela2[[#This Row],[AO]]+Tabela2[[#This Row],[AD]]+Tabela2[[#This Row],[GWO]]+Tabela2[[#This Row],[GWD]])</f>
        <v>4</v>
      </c>
      <c r="S262" s="180">
        <f>Tabela2[[#This Row],[GWO]]+Tabela2[[#This Row],[GWD]]</f>
        <v>2</v>
      </c>
      <c r="T262" s="180">
        <f>SUM(Tabela2[[#This Row],[G]:[GWD]])</f>
        <v>8</v>
      </c>
    </row>
    <row r="263" spans="1:20" ht="30">
      <c r="A263" s="183">
        <v>151</v>
      </c>
      <c r="B263" s="171" t="s">
        <v>593</v>
      </c>
      <c r="C263" s="171" t="s">
        <v>544</v>
      </c>
      <c r="D263" s="171">
        <v>3</v>
      </c>
      <c r="E263" s="171" t="s">
        <v>251</v>
      </c>
      <c r="F263" s="171">
        <v>1</v>
      </c>
      <c r="G263" s="171">
        <v>1</v>
      </c>
      <c r="H263" s="171">
        <v>1</v>
      </c>
      <c r="I263" s="171">
        <v>1</v>
      </c>
      <c r="J263" s="171">
        <v>1</v>
      </c>
      <c r="K263" s="171">
        <v>1</v>
      </c>
      <c r="L263" s="171">
        <v>1</v>
      </c>
      <c r="M263" s="171">
        <v>1</v>
      </c>
      <c r="N263" s="170"/>
      <c r="O263" s="170"/>
      <c r="P263" s="170"/>
      <c r="Q263" s="180">
        <f>SUM(Tabela2[[#This Row],[G]]+Tabela2[[#This Row],[D]]+Tabela2[[#This Row],[N]]+Tabela2[[#This Row],[HM]])</f>
        <v>4</v>
      </c>
      <c r="R263" s="180">
        <f>SUM(Tabela2[[#This Row],[AO]]+Tabela2[[#This Row],[AD]]+Tabela2[[#This Row],[GWO]]+Tabela2[[#This Row],[GWD]])</f>
        <v>4</v>
      </c>
      <c r="S263" s="180">
        <f>Tabela2[[#This Row],[GWO]]+Tabela2[[#This Row],[GWD]]</f>
        <v>2</v>
      </c>
      <c r="T263" s="180">
        <f>SUM(Tabela2[[#This Row],[G]:[GWD]])</f>
        <v>8</v>
      </c>
    </row>
    <row r="264" spans="1:20" ht="30">
      <c r="A264" s="183">
        <v>94</v>
      </c>
      <c r="B264" s="174" t="s">
        <v>650</v>
      </c>
      <c r="C264" s="174" t="s">
        <v>542</v>
      </c>
      <c r="D264" s="174">
        <v>3</v>
      </c>
      <c r="E264" s="174" t="s">
        <v>249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70"/>
      <c r="Q264" s="180">
        <f>SUM(Tabela2[[#This Row],[G]]+Tabela2[[#This Row],[D]]+Tabela2[[#This Row],[N]]+Tabela2[[#This Row],[HM]])</f>
        <v>4</v>
      </c>
      <c r="R264" s="180">
        <f>SUM(Tabela2[[#This Row],[AO]]+Tabela2[[#This Row],[AD]]+Tabela2[[#This Row],[GWO]]+Tabela2[[#This Row],[GWD]])</f>
        <v>4</v>
      </c>
      <c r="S264" s="180">
        <f>Tabela2[[#This Row],[GWO]]+Tabela2[[#This Row],[GWD]]</f>
        <v>2</v>
      </c>
      <c r="T264" s="180">
        <f>SUM(Tabela2[[#This Row],[G]:[GWD]])</f>
        <v>8</v>
      </c>
    </row>
    <row r="265" spans="1:20" ht="30">
      <c r="A265" s="183">
        <v>122</v>
      </c>
      <c r="B265" s="172" t="s">
        <v>623</v>
      </c>
      <c r="C265" s="172" t="s">
        <v>542</v>
      </c>
      <c r="D265" s="172">
        <v>3</v>
      </c>
      <c r="E265" s="172" t="s">
        <v>250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70"/>
      <c r="Q265" s="180">
        <f>SUM(Tabela2[[#This Row],[G]]+Tabela2[[#This Row],[D]]+Tabela2[[#This Row],[N]]+Tabela2[[#This Row],[HM]])</f>
        <v>4</v>
      </c>
      <c r="R265" s="180">
        <f>SUM(Tabela2[[#This Row],[AO]]+Tabela2[[#This Row],[AD]]+Tabela2[[#This Row],[GWO]]+Tabela2[[#This Row],[GWD]])</f>
        <v>4</v>
      </c>
      <c r="S265" s="180">
        <f>Tabela2[[#This Row],[GWO]]+Tabela2[[#This Row],[GWD]]</f>
        <v>2</v>
      </c>
      <c r="T265" s="180">
        <f>SUM(Tabela2[[#This Row],[G]:[GWD]])</f>
        <v>8</v>
      </c>
    </row>
    <row r="266" spans="1:20" ht="30">
      <c r="A266" s="183">
        <v>152</v>
      </c>
      <c r="B266" s="171" t="s">
        <v>592</v>
      </c>
      <c r="C266" s="171" t="s">
        <v>542</v>
      </c>
      <c r="D266" s="171">
        <v>3</v>
      </c>
      <c r="E266" s="171" t="s">
        <v>251</v>
      </c>
      <c r="F266" s="171">
        <v>1</v>
      </c>
      <c r="G266" s="171">
        <v>1</v>
      </c>
      <c r="H266" s="171">
        <v>1</v>
      </c>
      <c r="I266" s="171">
        <v>1</v>
      </c>
      <c r="J266" s="171">
        <v>1</v>
      </c>
      <c r="K266" s="171">
        <v>1</v>
      </c>
      <c r="L266" s="171">
        <v>1</v>
      </c>
      <c r="M266" s="171">
        <v>1</v>
      </c>
      <c r="N266" s="170"/>
      <c r="O266" s="170"/>
      <c r="P266" s="170"/>
      <c r="Q266" s="180">
        <f>SUM(Tabela2[[#This Row],[G]]+Tabela2[[#This Row],[D]]+Tabela2[[#This Row],[N]]+Tabela2[[#This Row],[HM]])</f>
        <v>4</v>
      </c>
      <c r="R266" s="180">
        <f>SUM(Tabela2[[#This Row],[AO]]+Tabela2[[#This Row],[AD]]+Tabela2[[#This Row],[GWO]]+Tabela2[[#This Row],[GWD]])</f>
        <v>4</v>
      </c>
      <c r="S266" s="180">
        <f>Tabela2[[#This Row],[GWO]]+Tabela2[[#This Row],[GWD]]</f>
        <v>2</v>
      </c>
      <c r="T266" s="180">
        <f>SUM(Tabela2[[#This Row],[G]:[GWD]])</f>
        <v>8</v>
      </c>
    </row>
    <row r="267" spans="1:20" ht="30">
      <c r="A267" s="183">
        <v>186</v>
      </c>
      <c r="B267" s="170" t="s">
        <v>543</v>
      </c>
      <c r="C267" s="170" t="s">
        <v>542</v>
      </c>
      <c r="D267" s="170">
        <v>3</v>
      </c>
      <c r="E267" s="170" t="s">
        <v>272</v>
      </c>
      <c r="F267" s="170">
        <v>1</v>
      </c>
      <c r="G267" s="170">
        <v>1</v>
      </c>
      <c r="H267" s="170">
        <v>1</v>
      </c>
      <c r="I267" s="170">
        <v>1</v>
      </c>
      <c r="J267" s="170">
        <v>1</v>
      </c>
      <c r="K267" s="170">
        <v>1</v>
      </c>
      <c r="L267" s="170">
        <v>1</v>
      </c>
      <c r="M267" s="170">
        <v>1</v>
      </c>
      <c r="N267" s="170"/>
      <c r="O267" s="170"/>
      <c r="P267" s="170"/>
      <c r="Q267" s="180">
        <f>SUM(Tabela2[[#This Row],[G]]+Tabela2[[#This Row],[D]]+Tabela2[[#This Row],[N]]+Tabela2[[#This Row],[HM]])</f>
        <v>4</v>
      </c>
      <c r="R267" s="180">
        <f>SUM(Tabela2[[#This Row],[AO]]+Tabela2[[#This Row],[AD]]+Tabela2[[#This Row],[GWO]]+Tabela2[[#This Row],[GWD]])</f>
        <v>4</v>
      </c>
      <c r="S267" s="180">
        <f>Tabela2[[#This Row],[GWO]]+Tabela2[[#This Row],[GWD]]</f>
        <v>2</v>
      </c>
      <c r="T267" s="180">
        <f>SUM(Tabela2[[#This Row],[G]:[GWD]])</f>
        <v>8</v>
      </c>
    </row>
    <row r="268" spans="1:20">
      <c r="A268" s="183">
        <v>63</v>
      </c>
      <c r="B268" s="175" t="s">
        <v>683</v>
      </c>
      <c r="C268" s="175" t="s">
        <v>540</v>
      </c>
      <c r="D268" s="175">
        <v>3</v>
      </c>
      <c r="E268" s="175" t="s">
        <v>18</v>
      </c>
      <c r="F268" s="175">
        <v>1</v>
      </c>
      <c r="G268" s="175">
        <v>1</v>
      </c>
      <c r="H268" s="175">
        <v>1</v>
      </c>
      <c r="I268" s="175">
        <v>1</v>
      </c>
      <c r="J268" s="175">
        <v>1</v>
      </c>
      <c r="K268" s="175">
        <v>1</v>
      </c>
      <c r="L268" s="175">
        <v>1</v>
      </c>
      <c r="M268" s="175">
        <v>1</v>
      </c>
      <c r="N268" s="170"/>
      <c r="O268" s="170"/>
      <c r="P268" s="170"/>
      <c r="Q268" s="180">
        <f>SUM(Tabela2[[#This Row],[G]]+Tabela2[[#This Row],[D]]+Tabela2[[#This Row],[N]]+Tabela2[[#This Row],[HM]])</f>
        <v>4</v>
      </c>
      <c r="R268" s="180">
        <f>SUM(Tabela2[[#This Row],[AO]]+Tabela2[[#This Row],[AD]]+Tabela2[[#This Row],[GWO]]+Tabela2[[#This Row],[GWD]])</f>
        <v>4</v>
      </c>
      <c r="S268" s="180">
        <f>Tabela2[[#This Row],[GWO]]+Tabela2[[#This Row],[GWD]]</f>
        <v>2</v>
      </c>
      <c r="T268" s="180">
        <f>SUM(Tabela2[[#This Row],[G]:[GWD]])</f>
        <v>8</v>
      </c>
    </row>
    <row r="269" spans="1:20">
      <c r="A269" s="183">
        <v>95</v>
      </c>
      <c r="B269" s="174" t="s">
        <v>649</v>
      </c>
      <c r="C269" s="174" t="s">
        <v>540</v>
      </c>
      <c r="D269" s="174">
        <v>3</v>
      </c>
      <c r="E269" s="174" t="s">
        <v>249</v>
      </c>
      <c r="F269" s="174">
        <v>1</v>
      </c>
      <c r="G269" s="174">
        <v>1</v>
      </c>
      <c r="H269" s="174">
        <v>1</v>
      </c>
      <c r="I269" s="174">
        <v>1</v>
      </c>
      <c r="J269" s="174">
        <v>1</v>
      </c>
      <c r="K269" s="174">
        <v>1</v>
      </c>
      <c r="L269" s="174">
        <v>1</v>
      </c>
      <c r="M269" s="174">
        <v>1</v>
      </c>
      <c r="N269" s="170"/>
      <c r="O269" s="170"/>
      <c r="P269" s="170"/>
      <c r="Q269" s="180">
        <f>SUM(Tabela2[[#This Row],[G]]+Tabela2[[#This Row],[D]]+Tabela2[[#This Row],[N]]+Tabela2[[#This Row],[HM]])</f>
        <v>4</v>
      </c>
      <c r="R269" s="180">
        <f>SUM(Tabela2[[#This Row],[AO]]+Tabela2[[#This Row],[AD]]+Tabela2[[#This Row],[GWO]]+Tabela2[[#This Row],[GWD]])</f>
        <v>4</v>
      </c>
      <c r="S269" s="180">
        <f>Tabela2[[#This Row],[GWO]]+Tabela2[[#This Row],[GWD]]</f>
        <v>2</v>
      </c>
      <c r="T269" s="180">
        <f>SUM(Tabela2[[#This Row],[G]:[GWD]])</f>
        <v>8</v>
      </c>
    </row>
    <row r="270" spans="1:20">
      <c r="A270" s="183">
        <v>123</v>
      </c>
      <c r="B270" s="172" t="s">
        <v>622</v>
      </c>
      <c r="C270" s="172" t="s">
        <v>540</v>
      </c>
      <c r="D270" s="172">
        <v>3</v>
      </c>
      <c r="E270" s="172" t="s">
        <v>250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2" t="s">
        <v>445</v>
      </c>
      <c r="O270" s="172"/>
      <c r="P270" s="172"/>
      <c r="Q270" s="186">
        <f>SUM(Tabela2[[#This Row],[G]]+Tabela2[[#This Row],[D]]+Tabela2[[#This Row],[N]]+Tabela2[[#This Row],[HM]])</f>
        <v>4</v>
      </c>
      <c r="R270" s="186">
        <f>SUM(Tabela2[[#This Row],[AO]]+Tabela2[[#This Row],[AD]]+Tabela2[[#This Row],[GWO]]+Tabela2[[#This Row],[GWD]])</f>
        <v>4</v>
      </c>
      <c r="S270" s="186">
        <f>Tabela2[[#This Row],[GWO]]+Tabela2[[#This Row],[GWD]]</f>
        <v>2</v>
      </c>
      <c r="T270" s="180">
        <f>SUM(Tabela2[[#This Row],[G]:[GWD]])</f>
        <v>8</v>
      </c>
    </row>
    <row r="271" spans="1:20">
      <c r="A271" s="183">
        <v>153</v>
      </c>
      <c r="B271" s="171" t="s">
        <v>591</v>
      </c>
      <c r="C271" s="171" t="s">
        <v>540</v>
      </c>
      <c r="D271" s="171">
        <v>3</v>
      </c>
      <c r="E271" s="171" t="s">
        <v>251</v>
      </c>
      <c r="F271" s="171">
        <v>1</v>
      </c>
      <c r="G271" s="171">
        <v>1</v>
      </c>
      <c r="H271" s="171">
        <v>1</v>
      </c>
      <c r="I271" s="171">
        <v>1</v>
      </c>
      <c r="J271" s="171">
        <v>1</v>
      </c>
      <c r="K271" s="171">
        <v>1</v>
      </c>
      <c r="L271" s="171">
        <v>1</v>
      </c>
      <c r="M271" s="171">
        <v>1</v>
      </c>
      <c r="N271" s="170"/>
      <c r="O271" s="170"/>
      <c r="P271" s="170"/>
      <c r="Q271" s="180">
        <f>SUM(Tabela2[[#This Row],[G]]+Tabela2[[#This Row],[D]]+Tabela2[[#This Row],[N]]+Tabela2[[#This Row],[HM]])</f>
        <v>4</v>
      </c>
      <c r="R271" s="180">
        <f>SUM(Tabela2[[#This Row],[AO]]+Tabela2[[#This Row],[AD]]+Tabela2[[#This Row],[GWO]]+Tabela2[[#This Row],[GWD]])</f>
        <v>4</v>
      </c>
      <c r="S271" s="180">
        <f>Tabela2[[#This Row],[GWO]]+Tabela2[[#This Row],[GWD]]</f>
        <v>2</v>
      </c>
      <c r="T271" s="180">
        <f>SUM(Tabela2[[#This Row],[G]:[GWD]])</f>
        <v>8</v>
      </c>
    </row>
    <row r="272" spans="1:20">
      <c r="A272" s="183">
        <v>187</v>
      </c>
      <c r="B272" s="170" t="s">
        <v>541</v>
      </c>
      <c r="C272" s="170" t="s">
        <v>540</v>
      </c>
      <c r="D272" s="170">
        <v>3</v>
      </c>
      <c r="E272" s="170" t="s">
        <v>272</v>
      </c>
      <c r="F272" s="170">
        <v>1</v>
      </c>
      <c r="G272" s="170">
        <v>1</v>
      </c>
      <c r="H272" s="170">
        <v>1</v>
      </c>
      <c r="I272" s="170">
        <v>1</v>
      </c>
      <c r="J272" s="170">
        <v>1</v>
      </c>
      <c r="K272" s="170">
        <v>1</v>
      </c>
      <c r="L272" s="170">
        <v>1</v>
      </c>
      <c r="M272" s="170">
        <v>1</v>
      </c>
      <c r="N272" s="170"/>
      <c r="O272" s="170"/>
      <c r="P272" s="170"/>
      <c r="Q272" s="180">
        <f>SUM(Tabela2[[#This Row],[G]]+Tabela2[[#This Row],[D]]+Tabela2[[#This Row],[N]]+Tabela2[[#This Row],[HM]])</f>
        <v>4</v>
      </c>
      <c r="R272" s="180">
        <f>SUM(Tabela2[[#This Row],[AO]]+Tabela2[[#This Row],[AD]]+Tabela2[[#This Row],[GWO]]+Tabela2[[#This Row],[GWD]])</f>
        <v>4</v>
      </c>
      <c r="S272" s="180">
        <f>Tabela2[[#This Row],[GWO]]+Tabela2[[#This Row],[GWD]]</f>
        <v>2</v>
      </c>
      <c r="T272" s="180">
        <f>SUM(Tabela2[[#This Row],[G]:[GWD]])</f>
        <v>8</v>
      </c>
    </row>
    <row r="273" spans="1:20">
      <c r="A273" s="183">
        <v>96</v>
      </c>
      <c r="B273" s="174" t="s">
        <v>648</v>
      </c>
      <c r="C273" s="174" t="s">
        <v>358</v>
      </c>
      <c r="D273" s="174">
        <v>3</v>
      </c>
      <c r="E273" s="174" t="s">
        <v>249</v>
      </c>
      <c r="F273" s="174">
        <v>1</v>
      </c>
      <c r="G273" s="174">
        <v>1</v>
      </c>
      <c r="H273" s="174">
        <v>1</v>
      </c>
      <c r="I273" s="174">
        <v>1</v>
      </c>
      <c r="J273" s="174">
        <v>1</v>
      </c>
      <c r="K273" s="174">
        <v>1</v>
      </c>
      <c r="L273" s="174">
        <v>1</v>
      </c>
      <c r="M273" s="174">
        <v>1</v>
      </c>
      <c r="N273" s="174" t="s">
        <v>445</v>
      </c>
      <c r="O273" s="174"/>
      <c r="P273" s="174"/>
      <c r="Q273" s="185">
        <f>SUM(Tabela2[[#This Row],[G]]+Tabela2[[#This Row],[D]]+Tabela2[[#This Row],[N]]+Tabela2[[#This Row],[HM]])</f>
        <v>4</v>
      </c>
      <c r="R273" s="185">
        <f>SUM(Tabela2[[#This Row],[AO]]+Tabela2[[#This Row],[AD]]+Tabela2[[#This Row],[GWO]]+Tabela2[[#This Row],[GWD]])</f>
        <v>4</v>
      </c>
      <c r="S273" s="185">
        <f>Tabela2[[#This Row],[GWO]]+Tabela2[[#This Row],[GWD]]</f>
        <v>2</v>
      </c>
      <c r="T273" s="180">
        <f>SUM(Tabela2[[#This Row],[G]:[GWD]])</f>
        <v>8</v>
      </c>
    </row>
    <row r="274" spans="1:20">
      <c r="A274" s="183">
        <v>124</v>
      </c>
      <c r="B274" s="172" t="s">
        <v>621</v>
      </c>
      <c r="C274" s="172" t="s">
        <v>358</v>
      </c>
      <c r="D274" s="172">
        <v>3</v>
      </c>
      <c r="E274" s="172" t="s">
        <v>250</v>
      </c>
      <c r="F274" s="172">
        <v>1</v>
      </c>
      <c r="G274" s="172">
        <v>1</v>
      </c>
      <c r="H274" s="172">
        <v>1</v>
      </c>
      <c r="I274" s="172">
        <v>1</v>
      </c>
      <c r="J274" s="172">
        <v>1</v>
      </c>
      <c r="K274" s="172">
        <v>1</v>
      </c>
      <c r="L274" s="172">
        <v>1</v>
      </c>
      <c r="M274" s="172">
        <v>1</v>
      </c>
      <c r="N274" s="170"/>
      <c r="O274" s="170"/>
      <c r="P274" s="170"/>
      <c r="Q274" s="180">
        <f>SUM(Tabela2[[#This Row],[G]]+Tabela2[[#This Row],[D]]+Tabela2[[#This Row],[N]]+Tabela2[[#This Row],[HM]])</f>
        <v>4</v>
      </c>
      <c r="R274" s="180">
        <f>SUM(Tabela2[[#This Row],[AO]]+Tabela2[[#This Row],[AD]]+Tabela2[[#This Row],[GWO]]+Tabela2[[#This Row],[GWD]])</f>
        <v>4</v>
      </c>
      <c r="S274" s="180">
        <f>Tabela2[[#This Row],[GWO]]+Tabela2[[#This Row],[GWD]]</f>
        <v>2</v>
      </c>
      <c r="T274" s="180">
        <f>SUM(Tabela2[[#This Row],[G]:[GWD]])</f>
        <v>8</v>
      </c>
    </row>
    <row r="275" spans="1:20">
      <c r="A275" s="183">
        <v>154</v>
      </c>
      <c r="B275" s="171" t="s">
        <v>590</v>
      </c>
      <c r="C275" s="171" t="s">
        <v>358</v>
      </c>
      <c r="D275" s="171">
        <v>3</v>
      </c>
      <c r="E275" s="171" t="s">
        <v>251</v>
      </c>
      <c r="F275" s="171">
        <v>1</v>
      </c>
      <c r="G275" s="171">
        <v>1</v>
      </c>
      <c r="H275" s="171">
        <v>1</v>
      </c>
      <c r="I275" s="171">
        <v>1</v>
      </c>
      <c r="J275" s="171">
        <v>1</v>
      </c>
      <c r="K275" s="171">
        <v>1</v>
      </c>
      <c r="L275" s="171">
        <v>1</v>
      </c>
      <c r="M275" s="171">
        <v>1</v>
      </c>
      <c r="N275" s="170"/>
      <c r="O275" s="170"/>
      <c r="P275" s="170"/>
      <c r="Q275" s="180">
        <f>SUM(Tabela2[[#This Row],[G]]+Tabela2[[#This Row],[D]]+Tabela2[[#This Row],[N]]+Tabela2[[#This Row],[HM]])</f>
        <v>4</v>
      </c>
      <c r="R275" s="180">
        <f>SUM(Tabela2[[#This Row],[AO]]+Tabela2[[#This Row],[AD]]+Tabela2[[#This Row],[GWO]]+Tabela2[[#This Row],[GWD]])</f>
        <v>4</v>
      </c>
      <c r="S275" s="180">
        <f>Tabela2[[#This Row],[GWO]]+Tabela2[[#This Row],[GWD]]</f>
        <v>2</v>
      </c>
      <c r="T275" s="180">
        <f>SUM(Tabela2[[#This Row],[G]:[GWD]])</f>
        <v>8</v>
      </c>
    </row>
    <row r="276" spans="1:20" ht="30">
      <c r="A276" s="183">
        <v>97</v>
      </c>
      <c r="B276" s="174" t="s">
        <v>647</v>
      </c>
      <c r="C276" s="174" t="s">
        <v>538</v>
      </c>
      <c r="D276" s="174">
        <v>3</v>
      </c>
      <c r="E276" s="174" t="s">
        <v>249</v>
      </c>
      <c r="F276" s="174">
        <v>1</v>
      </c>
      <c r="G276" s="174">
        <v>1</v>
      </c>
      <c r="H276" s="174">
        <v>1</v>
      </c>
      <c r="I276" s="174">
        <v>1</v>
      </c>
      <c r="J276" s="174">
        <v>1</v>
      </c>
      <c r="K276" s="174">
        <v>1</v>
      </c>
      <c r="L276" s="174">
        <v>1</v>
      </c>
      <c r="M276" s="174">
        <v>1</v>
      </c>
      <c r="N276" s="170"/>
      <c r="O276" s="191" t="s">
        <v>204</v>
      </c>
      <c r="P276" s="191"/>
      <c r="Q276" s="180">
        <f>SUM(Tabela2[[#This Row],[G]]+Tabela2[[#This Row],[D]]+Tabela2[[#This Row],[N]]+Tabela2[[#This Row],[HM]])</f>
        <v>4</v>
      </c>
      <c r="R276" s="180">
        <f>SUM(Tabela2[[#This Row],[AO]]+Tabela2[[#This Row],[AD]]+Tabela2[[#This Row],[GWO]]+Tabela2[[#This Row],[GWD]])</f>
        <v>4</v>
      </c>
      <c r="S276" s="180">
        <f>Tabela2[[#This Row],[GWO]]+Tabela2[[#This Row],[GWD]]</f>
        <v>2</v>
      </c>
      <c r="T276" s="180">
        <f>SUM(Tabela2[[#This Row],[G]:[GWD]])</f>
        <v>8</v>
      </c>
    </row>
    <row r="277" spans="1:20" ht="30">
      <c r="A277" s="183">
        <v>155</v>
      </c>
      <c r="B277" s="171" t="s">
        <v>589</v>
      </c>
      <c r="C277" s="171" t="s">
        <v>538</v>
      </c>
      <c r="D277" s="171">
        <v>3</v>
      </c>
      <c r="E277" s="171" t="s">
        <v>251</v>
      </c>
      <c r="F277" s="171">
        <v>1</v>
      </c>
      <c r="G277" s="171">
        <v>1</v>
      </c>
      <c r="H277" s="171">
        <v>1</v>
      </c>
      <c r="I277" s="171">
        <v>1</v>
      </c>
      <c r="J277" s="171">
        <v>1</v>
      </c>
      <c r="K277" s="171">
        <v>1</v>
      </c>
      <c r="L277" s="171">
        <v>1</v>
      </c>
      <c r="M277" s="171">
        <v>1</v>
      </c>
      <c r="N277" s="170"/>
      <c r="O277" s="170"/>
      <c r="P277" s="170"/>
      <c r="Q277" s="180">
        <f>SUM(Tabela2[[#This Row],[G]]+Tabela2[[#This Row],[D]]+Tabela2[[#This Row],[N]]+Tabela2[[#This Row],[HM]])</f>
        <v>4</v>
      </c>
      <c r="R277" s="180">
        <f>SUM(Tabela2[[#This Row],[AO]]+Tabela2[[#This Row],[AD]]+Tabela2[[#This Row],[GWO]]+Tabela2[[#This Row],[GWD]])</f>
        <v>4</v>
      </c>
      <c r="S277" s="180">
        <f>Tabela2[[#This Row],[GWO]]+Tabela2[[#This Row],[GWD]]</f>
        <v>2</v>
      </c>
      <c r="T277" s="180">
        <f>SUM(Tabela2[[#This Row],[G]:[GWD]])</f>
        <v>8</v>
      </c>
    </row>
    <row r="278" spans="1:20">
      <c r="A278" s="183">
        <v>66</v>
      </c>
      <c r="B278" s="175" t="s">
        <v>681</v>
      </c>
      <c r="C278" s="175" t="s">
        <v>680</v>
      </c>
      <c r="D278" s="175">
        <v>3</v>
      </c>
      <c r="E278" s="175" t="s">
        <v>18</v>
      </c>
      <c r="F278" s="175">
        <v>1</v>
      </c>
      <c r="G278" s="175">
        <v>1</v>
      </c>
      <c r="H278" s="175">
        <v>1</v>
      </c>
      <c r="I278" s="175">
        <v>1</v>
      </c>
      <c r="J278" s="175">
        <v>1</v>
      </c>
      <c r="K278" s="175">
        <v>1</v>
      </c>
      <c r="L278" s="175">
        <v>1</v>
      </c>
      <c r="M278" s="175">
        <v>1</v>
      </c>
      <c r="N278" s="170"/>
      <c r="O278" s="170"/>
      <c r="P278" s="170"/>
      <c r="Q278" s="180">
        <f>SUM(Tabela2[[#This Row],[G]]+Tabela2[[#This Row],[D]]+Tabela2[[#This Row],[N]]+Tabela2[[#This Row],[HM]])</f>
        <v>4</v>
      </c>
      <c r="R278" s="180">
        <f>SUM(Tabela2[[#This Row],[AO]]+Tabela2[[#This Row],[AD]]+Tabela2[[#This Row],[GWO]]+Tabela2[[#This Row],[GWD]])</f>
        <v>4</v>
      </c>
      <c r="S278" s="180">
        <f>Tabela2[[#This Row],[GWO]]+Tabela2[[#This Row],[GWD]]</f>
        <v>2</v>
      </c>
      <c r="T278" s="180">
        <f>SUM(Tabela2[[#This Row],[G]:[GWD]])</f>
        <v>8</v>
      </c>
    </row>
    <row r="279" spans="1:20">
      <c r="A279" s="183">
        <v>67</v>
      </c>
      <c r="B279" s="175" t="s">
        <v>679</v>
      </c>
      <c r="C279" s="175" t="s">
        <v>678</v>
      </c>
      <c r="D279" s="175">
        <v>3</v>
      </c>
      <c r="E279" s="175" t="s">
        <v>18</v>
      </c>
      <c r="F279" s="175">
        <v>1</v>
      </c>
      <c r="G279" s="175">
        <v>1</v>
      </c>
      <c r="H279" s="175">
        <v>1</v>
      </c>
      <c r="I279" s="175">
        <v>1</v>
      </c>
      <c r="J279" s="175">
        <v>1</v>
      </c>
      <c r="K279" s="175">
        <v>1</v>
      </c>
      <c r="L279" s="175">
        <v>1</v>
      </c>
      <c r="M279" s="175">
        <v>1</v>
      </c>
      <c r="N279" s="175" t="s">
        <v>445</v>
      </c>
      <c r="O279" s="175"/>
      <c r="P279" s="175"/>
      <c r="Q279" s="184">
        <f>SUM(Tabela2[[#This Row],[G]]+Tabela2[[#This Row],[D]]+Tabela2[[#This Row],[N]]+Tabela2[[#This Row],[HM]])</f>
        <v>4</v>
      </c>
      <c r="R279" s="184">
        <f>SUM(Tabela2[[#This Row],[AO]]+Tabela2[[#This Row],[AD]]+Tabela2[[#This Row],[GWO]]+Tabela2[[#This Row],[GWD]])</f>
        <v>4</v>
      </c>
      <c r="S279" s="184">
        <f>Tabela2[[#This Row],[GWO]]+Tabela2[[#This Row],[GWD]]</f>
        <v>2</v>
      </c>
      <c r="T279" s="180">
        <f>SUM(Tabela2[[#This Row],[G]:[GWD]])</f>
        <v>8</v>
      </c>
    </row>
    <row r="280" spans="1:20" ht="30">
      <c r="A280" s="183">
        <v>99</v>
      </c>
      <c r="B280" s="174" t="s">
        <v>645</v>
      </c>
      <c r="C280" s="174" t="s">
        <v>400</v>
      </c>
      <c r="D280" s="174">
        <v>3</v>
      </c>
      <c r="E280" s="174" t="s">
        <v>249</v>
      </c>
      <c r="F280" s="174">
        <v>1</v>
      </c>
      <c r="G280" s="174">
        <v>1</v>
      </c>
      <c r="H280" s="174">
        <v>1</v>
      </c>
      <c r="I280" s="174">
        <v>1</v>
      </c>
      <c r="J280" s="174">
        <v>1</v>
      </c>
      <c r="K280" s="174">
        <v>1</v>
      </c>
      <c r="L280" s="174">
        <v>1</v>
      </c>
      <c r="M280" s="174">
        <v>1</v>
      </c>
      <c r="N280" s="174" t="s">
        <v>445</v>
      </c>
      <c r="O280" s="174"/>
      <c r="P280" s="174"/>
      <c r="Q280" s="185">
        <f>SUM(Tabela2[[#This Row],[G]]+Tabela2[[#This Row],[D]]+Tabela2[[#This Row],[N]]+Tabela2[[#This Row],[HM]])</f>
        <v>4</v>
      </c>
      <c r="R280" s="185">
        <f>SUM(Tabela2[[#This Row],[AO]]+Tabela2[[#This Row],[AD]]+Tabela2[[#This Row],[GWO]]+Tabela2[[#This Row],[GWD]])</f>
        <v>4</v>
      </c>
      <c r="S280" s="185">
        <f>Tabela2[[#This Row],[GWO]]+Tabela2[[#This Row],[GWD]]</f>
        <v>2</v>
      </c>
      <c r="T280" s="180">
        <f>SUM(Tabela2[[#This Row],[G]:[GWD]])</f>
        <v>8</v>
      </c>
    </row>
    <row r="281" spans="1:20" ht="30">
      <c r="A281" s="183">
        <v>127</v>
      </c>
      <c r="B281" s="172" t="s">
        <v>618</v>
      </c>
      <c r="C281" s="172" t="s">
        <v>400</v>
      </c>
      <c r="D281" s="172">
        <v>3</v>
      </c>
      <c r="E281" s="172" t="s">
        <v>250</v>
      </c>
      <c r="F281" s="172">
        <v>1</v>
      </c>
      <c r="G281" s="172">
        <v>1</v>
      </c>
      <c r="H281" s="172">
        <v>1</v>
      </c>
      <c r="I281" s="172">
        <v>1</v>
      </c>
      <c r="J281" s="172">
        <v>1</v>
      </c>
      <c r="K281" s="172">
        <v>1</v>
      </c>
      <c r="L281" s="172">
        <v>1</v>
      </c>
      <c r="M281" s="172">
        <v>1</v>
      </c>
      <c r="N281" s="170"/>
      <c r="O281" s="170"/>
      <c r="P281" s="170"/>
      <c r="Q281" s="180">
        <f>SUM(Tabela2[[#This Row],[G]]+Tabela2[[#This Row],[D]]+Tabela2[[#This Row],[N]]+Tabela2[[#This Row],[HM]])</f>
        <v>4</v>
      </c>
      <c r="R281" s="180">
        <f>SUM(Tabela2[[#This Row],[AO]]+Tabela2[[#This Row],[AD]]+Tabela2[[#This Row],[GWO]]+Tabela2[[#This Row],[GWD]])</f>
        <v>4</v>
      </c>
      <c r="S281" s="180">
        <f>Tabela2[[#This Row],[GWO]]+Tabela2[[#This Row],[GWD]]</f>
        <v>2</v>
      </c>
      <c r="T281" s="180">
        <f>SUM(Tabela2[[#This Row],[G]:[GWD]])</f>
        <v>8</v>
      </c>
    </row>
    <row r="282" spans="1:20" ht="30">
      <c r="A282" s="183">
        <v>68</v>
      </c>
      <c r="B282" s="175" t="s">
        <v>677</v>
      </c>
      <c r="C282" s="175" t="s">
        <v>534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1</v>
      </c>
      <c r="I282" s="175">
        <v>1</v>
      </c>
      <c r="J282" s="175">
        <v>1</v>
      </c>
      <c r="K282" s="175">
        <v>1</v>
      </c>
      <c r="L282" s="175">
        <v>1</v>
      </c>
      <c r="M282" s="175">
        <v>1</v>
      </c>
      <c r="N282" s="170"/>
      <c r="O282" s="170"/>
      <c r="P282" s="170"/>
      <c r="Q282" s="180">
        <f>SUM(Tabela2[[#This Row],[G]]+Tabela2[[#This Row],[D]]+Tabela2[[#This Row],[N]]+Tabela2[[#This Row],[HM]])</f>
        <v>4</v>
      </c>
      <c r="R282" s="180">
        <f>SUM(Tabela2[[#This Row],[AO]]+Tabela2[[#This Row],[AD]]+Tabela2[[#This Row],[GWO]]+Tabela2[[#This Row],[GWD]])</f>
        <v>4</v>
      </c>
      <c r="S282" s="180">
        <f>Tabela2[[#This Row],[GWO]]+Tabela2[[#This Row],[GWD]]</f>
        <v>2</v>
      </c>
      <c r="T282" s="180">
        <f>SUM(Tabela2[[#This Row],[G]:[GWD]])</f>
        <v>8</v>
      </c>
    </row>
    <row r="283" spans="1:20" ht="30">
      <c r="A283" s="183">
        <v>100</v>
      </c>
      <c r="B283" s="179" t="s">
        <v>644</v>
      </c>
      <c r="C283" s="174" t="s">
        <v>534</v>
      </c>
      <c r="D283" s="174">
        <v>3</v>
      </c>
      <c r="E283" s="174" t="s">
        <v>249</v>
      </c>
      <c r="F283" s="174">
        <v>1</v>
      </c>
      <c r="G283" s="174">
        <v>1</v>
      </c>
      <c r="H283" s="174">
        <v>1</v>
      </c>
      <c r="I283" s="174">
        <v>1</v>
      </c>
      <c r="J283" s="174">
        <v>1</v>
      </c>
      <c r="K283" s="174">
        <v>1</v>
      </c>
      <c r="L283" s="174">
        <v>1</v>
      </c>
      <c r="M283" s="174">
        <v>1</v>
      </c>
      <c r="N283" s="170"/>
      <c r="O283" s="170"/>
      <c r="P283" s="170"/>
      <c r="Q283" s="180">
        <f>SUM(Tabela2[[#This Row],[G]]+Tabela2[[#This Row],[D]]+Tabela2[[#This Row],[N]]+Tabela2[[#This Row],[HM]])</f>
        <v>4</v>
      </c>
      <c r="R283" s="180">
        <f>SUM(Tabela2[[#This Row],[AO]]+Tabela2[[#This Row],[AD]]+Tabela2[[#This Row],[GWO]]+Tabela2[[#This Row],[GWD]])</f>
        <v>4</v>
      </c>
      <c r="S283" s="180">
        <f>Tabela2[[#This Row],[GWO]]+Tabela2[[#This Row],[GWD]]</f>
        <v>2</v>
      </c>
      <c r="T283" s="180">
        <f>SUM(Tabela2[[#This Row],[G]:[GWD]])</f>
        <v>8</v>
      </c>
    </row>
    <row r="284" spans="1:20" ht="30">
      <c r="A284" s="183">
        <v>128</v>
      </c>
      <c r="B284" s="172" t="s">
        <v>617</v>
      </c>
      <c r="C284" s="172" t="s">
        <v>534</v>
      </c>
      <c r="D284" s="172">
        <v>3</v>
      </c>
      <c r="E284" s="172" t="s">
        <v>250</v>
      </c>
      <c r="F284" s="172">
        <v>1</v>
      </c>
      <c r="G284" s="172">
        <v>1</v>
      </c>
      <c r="H284" s="172">
        <v>1</v>
      </c>
      <c r="I284" s="172">
        <v>1</v>
      </c>
      <c r="J284" s="172">
        <v>1</v>
      </c>
      <c r="K284" s="172">
        <v>1</v>
      </c>
      <c r="L284" s="172">
        <v>1</v>
      </c>
      <c r="M284" s="172">
        <v>1</v>
      </c>
      <c r="N284" s="170"/>
      <c r="O284" s="170"/>
      <c r="P284" s="170"/>
      <c r="Q284" s="180">
        <f>SUM(Tabela2[[#This Row],[G]]+Tabela2[[#This Row],[D]]+Tabela2[[#This Row],[N]]+Tabela2[[#This Row],[HM]])</f>
        <v>4</v>
      </c>
      <c r="R284" s="180">
        <f>SUM(Tabela2[[#This Row],[AO]]+Tabela2[[#This Row],[AD]]+Tabela2[[#This Row],[GWO]]+Tabela2[[#This Row],[GWD]])</f>
        <v>4</v>
      </c>
      <c r="S284" s="180">
        <f>Tabela2[[#This Row],[GWO]]+Tabela2[[#This Row],[GWD]]</f>
        <v>2</v>
      </c>
      <c r="T284" s="180">
        <f>SUM(Tabela2[[#This Row],[G]:[GWD]])</f>
        <v>8</v>
      </c>
    </row>
    <row r="285" spans="1:20" ht="30">
      <c r="A285" s="183">
        <v>157</v>
      </c>
      <c r="B285" s="171" t="s">
        <v>587</v>
      </c>
      <c r="C285" s="171" t="s">
        <v>534</v>
      </c>
      <c r="D285" s="171">
        <v>3</v>
      </c>
      <c r="E285" s="171" t="s">
        <v>251</v>
      </c>
      <c r="F285" s="171">
        <v>1</v>
      </c>
      <c r="G285" s="171">
        <v>1</v>
      </c>
      <c r="H285" s="171">
        <v>1</v>
      </c>
      <c r="I285" s="171">
        <v>1</v>
      </c>
      <c r="J285" s="171">
        <v>1</v>
      </c>
      <c r="K285" s="171">
        <v>1</v>
      </c>
      <c r="L285" s="171">
        <v>1</v>
      </c>
      <c r="M285" s="171">
        <v>1</v>
      </c>
      <c r="N285" s="170"/>
      <c r="O285" s="170"/>
      <c r="P285" s="170"/>
      <c r="Q285" s="180">
        <f>SUM(Tabela2[[#This Row],[G]]+Tabela2[[#This Row],[D]]+Tabela2[[#This Row],[N]]+Tabela2[[#This Row],[HM]])</f>
        <v>4</v>
      </c>
      <c r="R285" s="180">
        <f>SUM(Tabela2[[#This Row],[AO]]+Tabela2[[#This Row],[AD]]+Tabela2[[#This Row],[GWO]]+Tabela2[[#This Row],[GWD]])</f>
        <v>4</v>
      </c>
      <c r="S285" s="180">
        <f>Tabela2[[#This Row],[GWO]]+Tabela2[[#This Row],[GWD]]</f>
        <v>2</v>
      </c>
      <c r="T285" s="180">
        <f>SUM(Tabela2[[#This Row],[G]:[GWD]])</f>
        <v>8</v>
      </c>
    </row>
    <row r="286" spans="1:20" ht="30">
      <c r="A286" s="183">
        <v>191</v>
      </c>
      <c r="B286" s="170" t="s">
        <v>535</v>
      </c>
      <c r="C286" s="170" t="s">
        <v>534</v>
      </c>
      <c r="D286" s="170">
        <v>3</v>
      </c>
      <c r="E286" s="170" t="s">
        <v>272</v>
      </c>
      <c r="F286" s="170">
        <v>1</v>
      </c>
      <c r="G286" s="170">
        <v>1</v>
      </c>
      <c r="H286" s="170">
        <v>1</v>
      </c>
      <c r="I286" s="170">
        <v>1</v>
      </c>
      <c r="J286" s="170">
        <v>1</v>
      </c>
      <c r="K286" s="170">
        <v>1</v>
      </c>
      <c r="L286" s="170">
        <v>1</v>
      </c>
      <c r="M286" s="170">
        <v>1</v>
      </c>
      <c r="N286" s="170"/>
      <c r="O286" s="170"/>
      <c r="P286" s="170"/>
      <c r="Q286" s="180">
        <f>SUM(Tabela2[[#This Row],[G]]+Tabela2[[#This Row],[D]]+Tabela2[[#This Row],[N]]+Tabela2[[#This Row],[HM]])</f>
        <v>4</v>
      </c>
      <c r="R286" s="180">
        <f>SUM(Tabela2[[#This Row],[AO]]+Tabela2[[#This Row],[AD]]+Tabela2[[#This Row],[GWO]]+Tabela2[[#This Row],[GWD]])</f>
        <v>4</v>
      </c>
      <c r="S286" s="180">
        <f>Tabela2[[#This Row],[GWO]]+Tabela2[[#This Row],[GWD]]</f>
        <v>2</v>
      </c>
      <c r="T286" s="180">
        <f>SUM(Tabela2[[#This Row],[G]:[GWD]])</f>
        <v>8</v>
      </c>
    </row>
    <row r="287" spans="1:20" ht="30">
      <c r="A287" s="183">
        <v>69</v>
      </c>
      <c r="B287" s="175" t="s">
        <v>676</v>
      </c>
      <c r="C287" s="175" t="s">
        <v>532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1</v>
      </c>
      <c r="J287" s="175">
        <v>1</v>
      </c>
      <c r="K287" s="175">
        <v>1</v>
      </c>
      <c r="L287" s="175">
        <v>1</v>
      </c>
      <c r="M287" s="175">
        <v>1</v>
      </c>
      <c r="N287" s="175" t="s">
        <v>445</v>
      </c>
      <c r="O287" s="175"/>
      <c r="P287" s="175"/>
      <c r="Q287" s="184">
        <f>SUM(Tabela2[[#This Row],[G]]+Tabela2[[#This Row],[D]]+Tabela2[[#This Row],[N]]+Tabela2[[#This Row],[HM]])</f>
        <v>4</v>
      </c>
      <c r="R287" s="184">
        <f>SUM(Tabela2[[#This Row],[AO]]+Tabela2[[#This Row],[AD]]+Tabela2[[#This Row],[GWO]]+Tabela2[[#This Row],[GWD]])</f>
        <v>4</v>
      </c>
      <c r="S287" s="184">
        <f>Tabela2[[#This Row],[GWO]]+Tabela2[[#This Row],[GWD]]</f>
        <v>2</v>
      </c>
      <c r="T287" s="180">
        <f>SUM(Tabela2[[#This Row],[G]:[GWD]])</f>
        <v>8</v>
      </c>
    </row>
    <row r="288" spans="1:20" ht="30">
      <c r="A288" s="183">
        <v>101</v>
      </c>
      <c r="B288" s="174" t="s">
        <v>643</v>
      </c>
      <c r="C288" s="174" t="s">
        <v>532</v>
      </c>
      <c r="D288" s="174">
        <v>3</v>
      </c>
      <c r="E288" s="174" t="s">
        <v>249</v>
      </c>
      <c r="F288" s="174">
        <v>1</v>
      </c>
      <c r="G288" s="174">
        <v>1</v>
      </c>
      <c r="H288" s="174">
        <v>1</v>
      </c>
      <c r="I288" s="174">
        <v>1</v>
      </c>
      <c r="J288" s="174">
        <v>1</v>
      </c>
      <c r="K288" s="174">
        <v>1</v>
      </c>
      <c r="L288" s="174">
        <v>1</v>
      </c>
      <c r="M288" s="174">
        <v>1</v>
      </c>
      <c r="N288" s="174" t="s">
        <v>445</v>
      </c>
      <c r="O288" s="174"/>
      <c r="P288" s="174"/>
      <c r="Q288" s="185">
        <f>SUM(Tabela2[[#This Row],[G]]+Tabela2[[#This Row],[D]]+Tabela2[[#This Row],[N]]+Tabela2[[#This Row],[HM]])</f>
        <v>4</v>
      </c>
      <c r="R288" s="185">
        <f>SUM(Tabela2[[#This Row],[AO]]+Tabela2[[#This Row],[AD]]+Tabela2[[#This Row],[GWO]]+Tabela2[[#This Row],[GWD]])</f>
        <v>4</v>
      </c>
      <c r="S288" s="185">
        <f>Tabela2[[#This Row],[GWO]]+Tabela2[[#This Row],[GWD]]</f>
        <v>2</v>
      </c>
      <c r="T288" s="180">
        <f>SUM(Tabela2[[#This Row],[G]:[GWD]])</f>
        <v>8</v>
      </c>
    </row>
    <row r="289" spans="1:20" ht="30">
      <c r="A289" s="183">
        <v>129</v>
      </c>
      <c r="B289" s="172" t="s">
        <v>616</v>
      </c>
      <c r="C289" s="172" t="s">
        <v>532</v>
      </c>
      <c r="D289" s="172">
        <v>3</v>
      </c>
      <c r="E289" s="172" t="s">
        <v>250</v>
      </c>
      <c r="F289" s="172">
        <v>1</v>
      </c>
      <c r="G289" s="172">
        <v>1</v>
      </c>
      <c r="H289" s="172">
        <v>1</v>
      </c>
      <c r="I289" s="172">
        <v>1</v>
      </c>
      <c r="J289" s="172">
        <v>1</v>
      </c>
      <c r="K289" s="172">
        <v>1</v>
      </c>
      <c r="L289" s="172">
        <v>1</v>
      </c>
      <c r="M289" s="172">
        <v>1</v>
      </c>
      <c r="N289" s="170"/>
      <c r="O289" s="170"/>
      <c r="P289" s="170"/>
      <c r="Q289" s="180">
        <f>SUM(Tabela2[[#This Row],[G]]+Tabela2[[#This Row],[D]]+Tabela2[[#This Row],[N]]+Tabela2[[#This Row],[HM]])</f>
        <v>4</v>
      </c>
      <c r="R289" s="180">
        <f>SUM(Tabela2[[#This Row],[AO]]+Tabela2[[#This Row],[AD]]+Tabela2[[#This Row],[GWO]]+Tabela2[[#This Row],[GWD]])</f>
        <v>4</v>
      </c>
      <c r="S289" s="180">
        <f>Tabela2[[#This Row],[GWO]]+Tabela2[[#This Row],[GWD]]</f>
        <v>2</v>
      </c>
      <c r="T289" s="180">
        <f>SUM(Tabela2[[#This Row],[G]:[GWD]])</f>
        <v>8</v>
      </c>
    </row>
    <row r="290" spans="1:20" ht="30">
      <c r="A290" s="183">
        <v>158</v>
      </c>
      <c r="B290" s="171" t="s">
        <v>586</v>
      </c>
      <c r="C290" s="171" t="s">
        <v>532</v>
      </c>
      <c r="D290" s="171">
        <v>3</v>
      </c>
      <c r="E290" s="171" t="s">
        <v>251</v>
      </c>
      <c r="F290" s="171">
        <v>1</v>
      </c>
      <c r="G290" s="171">
        <v>1</v>
      </c>
      <c r="H290" s="171">
        <v>1</v>
      </c>
      <c r="I290" s="171">
        <v>1</v>
      </c>
      <c r="J290" s="171">
        <v>1</v>
      </c>
      <c r="K290" s="171">
        <v>1</v>
      </c>
      <c r="L290" s="171">
        <v>1</v>
      </c>
      <c r="M290" s="171">
        <v>1</v>
      </c>
      <c r="N290" s="170"/>
      <c r="O290" s="170"/>
      <c r="P290" s="170"/>
      <c r="Q290" s="180">
        <f>SUM(Tabela2[[#This Row],[G]]+Tabela2[[#This Row],[D]]+Tabela2[[#This Row],[N]]+Tabela2[[#This Row],[HM]])</f>
        <v>4</v>
      </c>
      <c r="R290" s="180">
        <f>SUM(Tabela2[[#This Row],[AO]]+Tabela2[[#This Row],[AD]]+Tabela2[[#This Row],[GWO]]+Tabela2[[#This Row],[GWD]])</f>
        <v>4</v>
      </c>
      <c r="S290" s="180">
        <f>Tabela2[[#This Row],[GWO]]+Tabela2[[#This Row],[GWD]]</f>
        <v>2</v>
      </c>
      <c r="T290" s="180">
        <f>SUM(Tabela2[[#This Row],[G]:[GWD]])</f>
        <v>8</v>
      </c>
    </row>
    <row r="291" spans="1:20" ht="30">
      <c r="A291" s="183">
        <v>192</v>
      </c>
      <c r="B291" s="170" t="s">
        <v>533</v>
      </c>
      <c r="C291" s="170" t="s">
        <v>532</v>
      </c>
      <c r="D291" s="170">
        <v>3</v>
      </c>
      <c r="E291" s="170" t="s">
        <v>272</v>
      </c>
      <c r="F291" s="170">
        <v>1</v>
      </c>
      <c r="G291" s="170">
        <v>1</v>
      </c>
      <c r="H291" s="170">
        <v>1</v>
      </c>
      <c r="I291" s="170">
        <v>1</v>
      </c>
      <c r="J291" s="170">
        <v>1</v>
      </c>
      <c r="K291" s="170">
        <v>1</v>
      </c>
      <c r="L291" s="170">
        <v>1</v>
      </c>
      <c r="M291" s="170">
        <v>1</v>
      </c>
      <c r="N291" s="170"/>
      <c r="O291" s="170"/>
      <c r="P291" s="170"/>
      <c r="Q291" s="180">
        <f>SUM(Tabela2[[#This Row],[G]]+Tabela2[[#This Row],[D]]+Tabela2[[#This Row],[N]]+Tabela2[[#This Row],[HM]])</f>
        <v>4</v>
      </c>
      <c r="R291" s="180">
        <f>SUM(Tabela2[[#This Row],[AO]]+Tabela2[[#This Row],[AD]]+Tabela2[[#This Row],[GWO]]+Tabela2[[#This Row],[GWD]])</f>
        <v>4</v>
      </c>
      <c r="S291" s="180">
        <f>Tabela2[[#This Row],[GWO]]+Tabela2[[#This Row],[GWD]]</f>
        <v>2</v>
      </c>
      <c r="T291" s="180">
        <f>SUM(Tabela2[[#This Row],[G]:[GWD]])</f>
        <v>8</v>
      </c>
    </row>
    <row r="292" spans="1:20" ht="30">
      <c r="A292" s="183">
        <v>70</v>
      </c>
      <c r="B292" s="175" t="s">
        <v>675</v>
      </c>
      <c r="C292" s="175" t="s">
        <v>530</v>
      </c>
      <c r="D292" s="175">
        <v>3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1</v>
      </c>
      <c r="J292" s="175">
        <v>1</v>
      </c>
      <c r="K292" s="175">
        <v>1</v>
      </c>
      <c r="L292" s="175">
        <v>1</v>
      </c>
      <c r="M292" s="175">
        <v>1</v>
      </c>
      <c r="N292" s="170"/>
      <c r="O292" s="170"/>
      <c r="P292" s="170"/>
      <c r="Q292" s="180">
        <f>SUM(Tabela2[[#This Row],[G]]+Tabela2[[#This Row],[D]]+Tabela2[[#This Row],[N]]+Tabela2[[#This Row],[HM]])</f>
        <v>4</v>
      </c>
      <c r="R292" s="180">
        <f>SUM(Tabela2[[#This Row],[AO]]+Tabela2[[#This Row],[AD]]+Tabela2[[#This Row],[GWO]]+Tabela2[[#This Row],[GWD]])</f>
        <v>4</v>
      </c>
      <c r="S292" s="180">
        <f>Tabela2[[#This Row],[GWO]]+Tabela2[[#This Row],[GWD]]</f>
        <v>2</v>
      </c>
      <c r="T292" s="180">
        <f>SUM(Tabela2[[#This Row],[G]:[GWD]])</f>
        <v>8</v>
      </c>
    </row>
    <row r="293" spans="1:20" ht="30">
      <c r="A293" s="183">
        <v>102</v>
      </c>
      <c r="B293" s="174" t="s">
        <v>642</v>
      </c>
      <c r="C293" s="174" t="s">
        <v>530</v>
      </c>
      <c r="D293" s="174">
        <v>3</v>
      </c>
      <c r="E293" s="174" t="s">
        <v>249</v>
      </c>
      <c r="F293" s="174">
        <v>1</v>
      </c>
      <c r="G293" s="174">
        <v>1</v>
      </c>
      <c r="H293" s="174">
        <v>1</v>
      </c>
      <c r="I293" s="174">
        <v>1</v>
      </c>
      <c r="J293" s="174">
        <v>1</v>
      </c>
      <c r="K293" s="174">
        <v>1</v>
      </c>
      <c r="L293" s="174">
        <v>1</v>
      </c>
      <c r="M293" s="174">
        <v>1</v>
      </c>
      <c r="N293" s="170"/>
      <c r="O293" s="170"/>
      <c r="P293" s="170"/>
      <c r="Q293" s="180">
        <f>SUM(Tabela2[[#This Row],[G]]+Tabela2[[#This Row],[D]]+Tabela2[[#This Row],[N]]+Tabela2[[#This Row],[HM]])</f>
        <v>4</v>
      </c>
      <c r="R293" s="180">
        <f>SUM(Tabela2[[#This Row],[AO]]+Tabela2[[#This Row],[AD]]+Tabela2[[#This Row],[GWO]]+Tabela2[[#This Row],[GWD]])</f>
        <v>4</v>
      </c>
      <c r="S293" s="180">
        <f>Tabela2[[#This Row],[GWO]]+Tabela2[[#This Row],[GWD]]</f>
        <v>2</v>
      </c>
      <c r="T293" s="180">
        <f>SUM(Tabela2[[#This Row],[G]:[GWD]])</f>
        <v>8</v>
      </c>
    </row>
    <row r="294" spans="1:20" ht="30">
      <c r="A294" s="183">
        <v>130</v>
      </c>
      <c r="B294" s="172" t="s">
        <v>615</v>
      </c>
      <c r="C294" s="172" t="s">
        <v>530</v>
      </c>
      <c r="D294" s="172">
        <v>3</v>
      </c>
      <c r="E294" s="172" t="s">
        <v>250</v>
      </c>
      <c r="F294" s="172">
        <v>1</v>
      </c>
      <c r="G294" s="172">
        <v>1</v>
      </c>
      <c r="H294" s="172">
        <v>1</v>
      </c>
      <c r="I294" s="172">
        <v>1</v>
      </c>
      <c r="J294" s="172">
        <v>1</v>
      </c>
      <c r="K294" s="172">
        <v>1</v>
      </c>
      <c r="L294" s="172">
        <v>1</v>
      </c>
      <c r="M294" s="172">
        <v>1</v>
      </c>
      <c r="N294" s="172" t="s">
        <v>445</v>
      </c>
      <c r="O294" s="172"/>
      <c r="P294" s="172"/>
      <c r="Q294" s="186">
        <f>SUM(Tabela2[[#This Row],[G]]+Tabela2[[#This Row],[D]]+Tabela2[[#This Row],[N]]+Tabela2[[#This Row],[HM]])</f>
        <v>4</v>
      </c>
      <c r="R294" s="186">
        <f>SUM(Tabela2[[#This Row],[AO]]+Tabela2[[#This Row],[AD]]+Tabela2[[#This Row],[GWO]]+Tabela2[[#This Row],[GWD]])</f>
        <v>4</v>
      </c>
      <c r="S294" s="186">
        <f>Tabela2[[#This Row],[GWO]]+Tabela2[[#This Row],[GWD]]</f>
        <v>2</v>
      </c>
      <c r="T294" s="180">
        <f>SUM(Tabela2[[#This Row],[G]:[GWD]])</f>
        <v>8</v>
      </c>
    </row>
    <row r="295" spans="1:20" ht="30">
      <c r="A295" s="183">
        <v>159</v>
      </c>
      <c r="B295" s="171" t="s">
        <v>585</v>
      </c>
      <c r="C295" s="171" t="s">
        <v>530</v>
      </c>
      <c r="D295" s="171">
        <v>3</v>
      </c>
      <c r="E295" s="171" t="s">
        <v>251</v>
      </c>
      <c r="F295" s="171">
        <v>1</v>
      </c>
      <c r="G295" s="171">
        <v>1</v>
      </c>
      <c r="H295" s="171">
        <v>1</v>
      </c>
      <c r="I295" s="171">
        <v>1</v>
      </c>
      <c r="J295" s="171">
        <v>1</v>
      </c>
      <c r="K295" s="171">
        <v>1</v>
      </c>
      <c r="L295" s="171">
        <v>1</v>
      </c>
      <c r="M295" s="171">
        <v>1</v>
      </c>
      <c r="N295" s="170"/>
      <c r="O295" s="170"/>
      <c r="P295" s="170"/>
      <c r="Q295" s="180">
        <f>SUM(Tabela2[[#This Row],[G]]+Tabela2[[#This Row],[D]]+Tabela2[[#This Row],[N]]+Tabela2[[#This Row],[HM]])</f>
        <v>4</v>
      </c>
      <c r="R295" s="180">
        <f>SUM(Tabela2[[#This Row],[AO]]+Tabela2[[#This Row],[AD]]+Tabela2[[#This Row],[GWO]]+Tabela2[[#This Row],[GWD]])</f>
        <v>4</v>
      </c>
      <c r="S295" s="180">
        <f>Tabela2[[#This Row],[GWO]]+Tabela2[[#This Row],[GWD]]</f>
        <v>2</v>
      </c>
      <c r="T295" s="180">
        <f>SUM(Tabela2[[#This Row],[G]:[GWD]])</f>
        <v>8</v>
      </c>
    </row>
    <row r="296" spans="1:20" ht="30">
      <c r="A296" s="183">
        <v>193</v>
      </c>
      <c r="B296" s="170" t="s">
        <v>531</v>
      </c>
      <c r="C296" s="170" t="s">
        <v>530</v>
      </c>
      <c r="D296" s="170">
        <v>3</v>
      </c>
      <c r="E296" s="170" t="s">
        <v>272</v>
      </c>
      <c r="F296" s="170">
        <v>1</v>
      </c>
      <c r="G296" s="170">
        <v>1</v>
      </c>
      <c r="H296" s="170">
        <v>1</v>
      </c>
      <c r="I296" s="170">
        <v>1</v>
      </c>
      <c r="J296" s="170">
        <v>1</v>
      </c>
      <c r="K296" s="170">
        <v>1</v>
      </c>
      <c r="L296" s="170">
        <v>1</v>
      </c>
      <c r="M296" s="170">
        <v>1</v>
      </c>
      <c r="N296" s="170"/>
      <c r="O296" s="170"/>
      <c r="P296" s="170"/>
      <c r="Q296" s="180">
        <f>SUM(Tabela2[[#This Row],[G]]+Tabela2[[#This Row],[D]]+Tabela2[[#This Row],[N]]+Tabela2[[#This Row],[HM]])</f>
        <v>4</v>
      </c>
      <c r="R296" s="180">
        <f>SUM(Tabela2[[#This Row],[AO]]+Tabela2[[#This Row],[AD]]+Tabela2[[#This Row],[GWO]]+Tabela2[[#This Row],[GWD]])</f>
        <v>4</v>
      </c>
      <c r="S296" s="180">
        <f>Tabela2[[#This Row],[GWO]]+Tabela2[[#This Row],[GWD]]</f>
        <v>2</v>
      </c>
      <c r="T296" s="180">
        <f>SUM(Tabela2[[#This Row],[G]:[GWD]])</f>
        <v>8</v>
      </c>
    </row>
    <row r="297" spans="1:20" ht="30">
      <c r="A297" s="183">
        <v>71</v>
      </c>
      <c r="B297" s="175" t="s">
        <v>674</v>
      </c>
      <c r="C297" s="175" t="s">
        <v>528</v>
      </c>
      <c r="D297" s="175">
        <v>3</v>
      </c>
      <c r="E297" s="175" t="s">
        <v>18</v>
      </c>
      <c r="F297" s="175">
        <v>1</v>
      </c>
      <c r="G297" s="175">
        <v>1</v>
      </c>
      <c r="H297" s="175">
        <v>1</v>
      </c>
      <c r="I297" s="175">
        <v>1</v>
      </c>
      <c r="J297" s="175">
        <v>1</v>
      </c>
      <c r="K297" s="175">
        <v>1</v>
      </c>
      <c r="L297" s="175">
        <v>1</v>
      </c>
      <c r="M297" s="175">
        <v>1</v>
      </c>
      <c r="N297" s="170"/>
      <c r="O297" s="170"/>
      <c r="P297" s="170"/>
      <c r="Q297" s="180">
        <f>SUM(Tabela2[[#This Row],[G]]+Tabela2[[#This Row],[D]]+Tabela2[[#This Row],[N]]+Tabela2[[#This Row],[HM]])</f>
        <v>4</v>
      </c>
      <c r="R297" s="180">
        <f>SUM(Tabela2[[#This Row],[AO]]+Tabela2[[#This Row],[AD]]+Tabela2[[#This Row],[GWO]]+Tabela2[[#This Row],[GWD]])</f>
        <v>4</v>
      </c>
      <c r="S297" s="180">
        <f>Tabela2[[#This Row],[GWO]]+Tabela2[[#This Row],[GWD]]</f>
        <v>2</v>
      </c>
      <c r="T297" s="180">
        <f>SUM(Tabela2[[#This Row],[G]:[GWD]])</f>
        <v>8</v>
      </c>
    </row>
    <row r="298" spans="1:20" ht="30">
      <c r="A298" s="183">
        <v>131</v>
      </c>
      <c r="B298" s="172" t="s">
        <v>614</v>
      </c>
      <c r="C298" s="172" t="s">
        <v>528</v>
      </c>
      <c r="D298" s="172">
        <v>3</v>
      </c>
      <c r="E298" s="172" t="s">
        <v>250</v>
      </c>
      <c r="F298" s="172">
        <v>1</v>
      </c>
      <c r="G298" s="172">
        <v>1</v>
      </c>
      <c r="H298" s="172">
        <v>1</v>
      </c>
      <c r="I298" s="172">
        <v>1</v>
      </c>
      <c r="J298" s="172">
        <v>1</v>
      </c>
      <c r="K298" s="172">
        <v>1</v>
      </c>
      <c r="L298" s="172">
        <v>1</v>
      </c>
      <c r="M298" s="172">
        <v>1</v>
      </c>
      <c r="N298" s="170"/>
      <c r="O298" s="170"/>
      <c r="P298" s="170"/>
      <c r="Q298" s="180">
        <f>SUM(Tabela2[[#This Row],[G]]+Tabela2[[#This Row],[D]]+Tabela2[[#This Row],[N]]+Tabela2[[#This Row],[HM]])</f>
        <v>4</v>
      </c>
      <c r="R298" s="180">
        <f>SUM(Tabela2[[#This Row],[AO]]+Tabela2[[#This Row],[AD]]+Tabela2[[#This Row],[GWO]]+Tabela2[[#This Row],[GWD]])</f>
        <v>4</v>
      </c>
      <c r="S298" s="180">
        <f>Tabela2[[#This Row],[GWO]]+Tabela2[[#This Row],[GWD]]</f>
        <v>2</v>
      </c>
      <c r="T298" s="180">
        <f>SUM(Tabela2[[#This Row],[G]:[GWD]])</f>
        <v>8</v>
      </c>
    </row>
    <row r="299" spans="1:20" ht="30">
      <c r="A299" s="183">
        <v>160</v>
      </c>
      <c r="B299" s="171" t="s">
        <v>584</v>
      </c>
      <c r="C299" s="171" t="s">
        <v>528</v>
      </c>
      <c r="D299" s="171">
        <v>3</v>
      </c>
      <c r="E299" s="171" t="s">
        <v>251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70"/>
      <c r="Q299" s="180">
        <f>SUM(Tabela2[[#This Row],[G]]+Tabela2[[#This Row],[D]]+Tabela2[[#This Row],[N]]+Tabela2[[#This Row],[HM]])</f>
        <v>4</v>
      </c>
      <c r="R299" s="180">
        <f>SUM(Tabela2[[#This Row],[AO]]+Tabela2[[#This Row],[AD]]+Tabela2[[#This Row],[GWO]]+Tabela2[[#This Row],[GWD]])</f>
        <v>4</v>
      </c>
      <c r="S299" s="180">
        <f>Tabela2[[#This Row],[GWO]]+Tabela2[[#This Row],[GWD]]</f>
        <v>2</v>
      </c>
      <c r="T299" s="180">
        <f>SUM(Tabela2[[#This Row],[G]:[GWD]])</f>
        <v>8</v>
      </c>
    </row>
    <row r="300" spans="1:20" ht="30">
      <c r="A300" s="183">
        <v>72</v>
      </c>
      <c r="B300" s="175" t="s">
        <v>673</v>
      </c>
      <c r="C300" s="175" t="s">
        <v>526</v>
      </c>
      <c r="D300" s="175">
        <v>3</v>
      </c>
      <c r="E300" s="175" t="s">
        <v>18</v>
      </c>
      <c r="F300" s="175">
        <v>1</v>
      </c>
      <c r="G300" s="175">
        <v>1</v>
      </c>
      <c r="H300" s="175">
        <v>1</v>
      </c>
      <c r="I300" s="175">
        <v>1</v>
      </c>
      <c r="J300" s="175">
        <v>1</v>
      </c>
      <c r="K300" s="175">
        <v>1</v>
      </c>
      <c r="L300" s="175">
        <v>1</v>
      </c>
      <c r="M300" s="175">
        <v>1</v>
      </c>
      <c r="N300" s="170"/>
      <c r="O300" s="170"/>
      <c r="P300" s="170"/>
      <c r="Q300" s="180">
        <f>SUM(Tabela2[[#This Row],[G]]+Tabela2[[#This Row],[D]]+Tabela2[[#This Row],[N]]+Tabela2[[#This Row],[HM]])</f>
        <v>4</v>
      </c>
      <c r="R300" s="180">
        <f>SUM(Tabela2[[#This Row],[AO]]+Tabela2[[#This Row],[AD]]+Tabela2[[#This Row],[GWO]]+Tabela2[[#This Row],[GWD]])</f>
        <v>4</v>
      </c>
      <c r="S300" s="180">
        <f>Tabela2[[#This Row],[GWO]]+Tabela2[[#This Row],[GWD]]</f>
        <v>2</v>
      </c>
      <c r="T300" s="180">
        <f>SUM(Tabela2[[#This Row],[G]:[GWD]])</f>
        <v>8</v>
      </c>
    </row>
    <row r="301" spans="1:20" ht="30">
      <c r="A301" s="183">
        <v>104</v>
      </c>
      <c r="B301" s="174" t="s">
        <v>640</v>
      </c>
      <c r="C301" s="174" t="s">
        <v>526</v>
      </c>
      <c r="D301" s="174">
        <v>3</v>
      </c>
      <c r="E301" s="174" t="s">
        <v>249</v>
      </c>
      <c r="F301" s="174">
        <v>1</v>
      </c>
      <c r="G301" s="174">
        <v>1</v>
      </c>
      <c r="H301" s="174">
        <v>1</v>
      </c>
      <c r="I301" s="174">
        <v>1</v>
      </c>
      <c r="J301" s="174">
        <v>1</v>
      </c>
      <c r="K301" s="174">
        <v>1</v>
      </c>
      <c r="L301" s="174">
        <v>1</v>
      </c>
      <c r="M301" s="174">
        <v>1</v>
      </c>
      <c r="N301" s="170"/>
      <c r="O301" s="170"/>
      <c r="P301" s="170"/>
      <c r="Q301" s="180">
        <f>SUM(Tabela2[[#This Row],[G]]+Tabela2[[#This Row],[D]]+Tabela2[[#This Row],[N]]+Tabela2[[#This Row],[HM]])</f>
        <v>4</v>
      </c>
      <c r="R301" s="180">
        <f>SUM(Tabela2[[#This Row],[AO]]+Tabela2[[#This Row],[AD]]+Tabela2[[#This Row],[GWO]]+Tabela2[[#This Row],[GWD]])</f>
        <v>4</v>
      </c>
      <c r="S301" s="180">
        <f>Tabela2[[#This Row],[GWO]]+Tabela2[[#This Row],[GWD]]</f>
        <v>2</v>
      </c>
      <c r="T301" s="180">
        <f>SUM(Tabela2[[#This Row],[G]:[GWD]])</f>
        <v>8</v>
      </c>
    </row>
    <row r="302" spans="1:20" ht="30">
      <c r="A302" s="183">
        <v>132</v>
      </c>
      <c r="B302" s="172" t="s">
        <v>613</v>
      </c>
      <c r="C302" s="172" t="s">
        <v>526</v>
      </c>
      <c r="D302" s="172">
        <v>3</v>
      </c>
      <c r="E302" s="172" t="s">
        <v>250</v>
      </c>
      <c r="F302" s="172">
        <v>1</v>
      </c>
      <c r="G302" s="172">
        <v>1</v>
      </c>
      <c r="H302" s="172">
        <v>1</v>
      </c>
      <c r="I302" s="172">
        <v>1</v>
      </c>
      <c r="J302" s="172">
        <v>1</v>
      </c>
      <c r="K302" s="172">
        <v>1</v>
      </c>
      <c r="L302" s="172">
        <v>1</v>
      </c>
      <c r="M302" s="172">
        <v>1</v>
      </c>
      <c r="N302" s="170"/>
      <c r="O302" s="170"/>
      <c r="P302" s="170"/>
      <c r="Q302" s="180">
        <f>SUM(Tabela2[[#This Row],[G]]+Tabela2[[#This Row],[D]]+Tabela2[[#This Row],[N]]+Tabela2[[#This Row],[HM]])</f>
        <v>4</v>
      </c>
      <c r="R302" s="180">
        <f>SUM(Tabela2[[#This Row],[AO]]+Tabela2[[#This Row],[AD]]+Tabela2[[#This Row],[GWO]]+Tabela2[[#This Row],[GWD]])</f>
        <v>4</v>
      </c>
      <c r="S302" s="180">
        <f>Tabela2[[#This Row],[GWO]]+Tabela2[[#This Row],[GWD]]</f>
        <v>2</v>
      </c>
      <c r="T302" s="180">
        <f>SUM(Tabela2[[#This Row],[G]:[GWD]])</f>
        <v>8</v>
      </c>
    </row>
    <row r="303" spans="1:20" ht="30">
      <c r="A303" s="183">
        <v>161</v>
      </c>
      <c r="B303" s="171" t="s">
        <v>583</v>
      </c>
      <c r="C303" s="171" t="s">
        <v>526</v>
      </c>
      <c r="D303" s="171">
        <v>3</v>
      </c>
      <c r="E303" s="171" t="s">
        <v>251</v>
      </c>
      <c r="F303" s="171">
        <v>1</v>
      </c>
      <c r="G303" s="171">
        <v>1</v>
      </c>
      <c r="H303" s="171">
        <v>1</v>
      </c>
      <c r="I303" s="171">
        <v>1</v>
      </c>
      <c r="J303" s="171">
        <v>1</v>
      </c>
      <c r="K303" s="171">
        <v>1</v>
      </c>
      <c r="L303" s="171">
        <v>1</v>
      </c>
      <c r="M303" s="171">
        <v>1</v>
      </c>
      <c r="N303" s="170"/>
      <c r="O303" s="170"/>
      <c r="P303" s="170"/>
      <c r="Q303" s="180">
        <f>SUM(Tabela2[[#This Row],[G]]+Tabela2[[#This Row],[D]]+Tabela2[[#This Row],[N]]+Tabela2[[#This Row],[HM]])</f>
        <v>4</v>
      </c>
      <c r="R303" s="180">
        <f>SUM(Tabela2[[#This Row],[AO]]+Tabela2[[#This Row],[AD]]+Tabela2[[#This Row],[GWO]]+Tabela2[[#This Row],[GWD]])</f>
        <v>4</v>
      </c>
      <c r="S303" s="180">
        <f>Tabela2[[#This Row],[GWO]]+Tabela2[[#This Row],[GWD]]</f>
        <v>2</v>
      </c>
      <c r="T303" s="180">
        <f>SUM(Tabela2[[#This Row],[G]:[GWD]])</f>
        <v>8</v>
      </c>
    </row>
    <row r="304" spans="1:20" ht="30">
      <c r="A304" s="183">
        <v>195</v>
      </c>
      <c r="B304" s="170" t="s">
        <v>527</v>
      </c>
      <c r="C304" s="170" t="s">
        <v>526</v>
      </c>
      <c r="D304" s="170">
        <v>3</v>
      </c>
      <c r="E304" s="170" t="s">
        <v>272</v>
      </c>
      <c r="F304" s="170">
        <v>1</v>
      </c>
      <c r="G304" s="170">
        <v>1</v>
      </c>
      <c r="H304" s="170">
        <v>1</v>
      </c>
      <c r="I304" s="170">
        <v>1</v>
      </c>
      <c r="J304" s="170">
        <v>1</v>
      </c>
      <c r="K304" s="170">
        <v>1</v>
      </c>
      <c r="L304" s="170">
        <v>1</v>
      </c>
      <c r="M304" s="170">
        <v>1</v>
      </c>
      <c r="N304" s="170"/>
      <c r="O304" s="170"/>
      <c r="P304" s="170"/>
      <c r="Q304" s="180">
        <f>SUM(Tabela2[[#This Row],[G]]+Tabela2[[#This Row],[D]]+Tabela2[[#This Row],[N]]+Tabela2[[#This Row],[HM]])</f>
        <v>4</v>
      </c>
      <c r="R304" s="180">
        <f>SUM(Tabela2[[#This Row],[AO]]+Tabela2[[#This Row],[AD]]+Tabela2[[#This Row],[GWO]]+Tabela2[[#This Row],[GWD]])</f>
        <v>4</v>
      </c>
      <c r="S304" s="180">
        <f>Tabela2[[#This Row],[GWO]]+Tabela2[[#This Row],[GWD]]</f>
        <v>2</v>
      </c>
      <c r="T304" s="180">
        <f>SUM(Tabela2[[#This Row],[G]:[GWD]])</f>
        <v>8</v>
      </c>
    </row>
    <row r="305" spans="1:20" ht="30">
      <c r="A305" s="183">
        <v>73</v>
      </c>
      <c r="B305" s="175" t="s">
        <v>672</v>
      </c>
      <c r="C305" s="175" t="s">
        <v>671</v>
      </c>
      <c r="D305" s="175">
        <v>3</v>
      </c>
      <c r="E305" s="175" t="s">
        <v>18</v>
      </c>
      <c r="F305" s="175">
        <v>1</v>
      </c>
      <c r="G305" s="175">
        <v>1</v>
      </c>
      <c r="H305" s="175">
        <v>1</v>
      </c>
      <c r="I305" s="175">
        <v>1</v>
      </c>
      <c r="J305" s="175">
        <v>1</v>
      </c>
      <c r="K305" s="175">
        <v>1</v>
      </c>
      <c r="L305" s="175">
        <v>1</v>
      </c>
      <c r="M305" s="175">
        <v>1</v>
      </c>
      <c r="N305" s="175" t="s">
        <v>445</v>
      </c>
      <c r="O305" s="175"/>
      <c r="P305" s="175"/>
      <c r="Q305" s="184">
        <f>SUM(Tabela2[[#This Row],[G]]+Tabela2[[#This Row],[D]]+Tabela2[[#This Row],[N]]+Tabela2[[#This Row],[HM]])</f>
        <v>4</v>
      </c>
      <c r="R305" s="184">
        <f>SUM(Tabela2[[#This Row],[AO]]+Tabela2[[#This Row],[AD]]+Tabela2[[#This Row],[GWO]]+Tabela2[[#This Row],[GWD]])</f>
        <v>4</v>
      </c>
      <c r="S305" s="184">
        <f>Tabela2[[#This Row],[GWO]]+Tabela2[[#This Row],[GWD]]</f>
        <v>2</v>
      </c>
      <c r="T305" s="180">
        <f>SUM(Tabela2[[#This Row],[G]:[GWD]])</f>
        <v>8</v>
      </c>
    </row>
    <row r="306" spans="1:20">
      <c r="A306" s="183">
        <v>105</v>
      </c>
      <c r="B306" s="174" t="s">
        <v>639</v>
      </c>
      <c r="C306" s="174" t="s">
        <v>284</v>
      </c>
      <c r="D306" s="174">
        <v>3</v>
      </c>
      <c r="E306" s="174" t="s">
        <v>249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0"/>
      <c r="O306" s="170"/>
      <c r="P306" s="194" t="s">
        <v>204</v>
      </c>
      <c r="Q306" s="180">
        <f>SUM(Tabela2[[#This Row],[G]]+Tabela2[[#This Row],[D]]+Tabela2[[#This Row],[N]]+Tabela2[[#This Row],[HM]])</f>
        <v>4</v>
      </c>
      <c r="R306" s="180">
        <f>SUM(Tabela2[[#This Row],[AO]]+Tabela2[[#This Row],[AD]]+Tabela2[[#This Row],[GWO]]+Tabela2[[#This Row],[GWD]])</f>
        <v>4</v>
      </c>
      <c r="S306" s="180">
        <f>Tabela2[[#This Row],[GWO]]+Tabela2[[#This Row],[GWD]]</f>
        <v>2</v>
      </c>
      <c r="T306" s="180">
        <f>SUM(Tabela2[[#This Row],[G]:[GWD]])</f>
        <v>8</v>
      </c>
    </row>
    <row r="307" spans="1:20">
      <c r="A307" s="183">
        <v>162</v>
      </c>
      <c r="B307" s="171" t="s">
        <v>582</v>
      </c>
      <c r="C307" s="171" t="s">
        <v>284</v>
      </c>
      <c r="D307" s="171">
        <v>3</v>
      </c>
      <c r="E307" s="171" t="s">
        <v>251</v>
      </c>
      <c r="F307" s="171">
        <v>1</v>
      </c>
      <c r="G307" s="171">
        <v>1</v>
      </c>
      <c r="H307" s="171">
        <v>1</v>
      </c>
      <c r="I307" s="171">
        <v>1</v>
      </c>
      <c r="J307" s="171">
        <v>1</v>
      </c>
      <c r="K307" s="171">
        <v>1</v>
      </c>
      <c r="L307" s="171">
        <v>1</v>
      </c>
      <c r="M307" s="171">
        <v>1</v>
      </c>
      <c r="N307" s="170"/>
      <c r="O307" s="170"/>
      <c r="P307" s="170"/>
      <c r="Q307" s="180">
        <f>SUM(Tabela2[[#This Row],[G]]+Tabela2[[#This Row],[D]]+Tabela2[[#This Row],[N]]+Tabela2[[#This Row],[HM]])</f>
        <v>4</v>
      </c>
      <c r="R307" s="180">
        <f>SUM(Tabela2[[#This Row],[AO]]+Tabela2[[#This Row],[AD]]+Tabela2[[#This Row],[GWO]]+Tabela2[[#This Row],[GWD]])</f>
        <v>4</v>
      </c>
      <c r="S307" s="180">
        <f>Tabela2[[#This Row],[GWO]]+Tabela2[[#This Row],[GWD]]</f>
        <v>2</v>
      </c>
      <c r="T307" s="180">
        <f>SUM(Tabela2[[#This Row],[G]:[GWD]])</f>
        <v>8</v>
      </c>
    </row>
    <row r="308" spans="1:20">
      <c r="A308" s="183">
        <v>196</v>
      </c>
      <c r="B308" s="170" t="s">
        <v>525</v>
      </c>
      <c r="C308" s="170" t="s">
        <v>284</v>
      </c>
      <c r="D308" s="170">
        <v>3</v>
      </c>
      <c r="E308" s="170" t="s">
        <v>272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1</v>
      </c>
      <c r="M308" s="170">
        <v>1</v>
      </c>
      <c r="N308" s="170"/>
      <c r="O308" s="170"/>
      <c r="P308" s="170"/>
      <c r="Q308" s="180">
        <f>SUM(Tabela2[[#This Row],[G]]+Tabela2[[#This Row],[D]]+Tabela2[[#This Row],[N]]+Tabela2[[#This Row],[HM]])</f>
        <v>4</v>
      </c>
      <c r="R308" s="180">
        <f>SUM(Tabela2[[#This Row],[AO]]+Tabela2[[#This Row],[AD]]+Tabela2[[#This Row],[GWO]]+Tabela2[[#This Row],[GWD]])</f>
        <v>4</v>
      </c>
      <c r="S308" s="180">
        <f>Tabela2[[#This Row],[GWO]]+Tabela2[[#This Row],[GWD]]</f>
        <v>2</v>
      </c>
      <c r="T308" s="180">
        <f>SUM(Tabela2[[#This Row],[G]:[GWD]])</f>
        <v>8</v>
      </c>
    </row>
    <row r="309" spans="1:20">
      <c r="A309" s="183">
        <v>75</v>
      </c>
      <c r="B309" s="175" t="s">
        <v>669</v>
      </c>
      <c r="C309" s="175" t="s">
        <v>376</v>
      </c>
      <c r="D309" s="175">
        <v>3</v>
      </c>
      <c r="E309" s="175" t="s">
        <v>18</v>
      </c>
      <c r="F309" s="175">
        <v>1</v>
      </c>
      <c r="G309" s="175">
        <v>1</v>
      </c>
      <c r="H309" s="175">
        <v>1</v>
      </c>
      <c r="I309" s="175">
        <v>1</v>
      </c>
      <c r="J309" s="175">
        <v>1</v>
      </c>
      <c r="K309" s="175">
        <v>1</v>
      </c>
      <c r="L309" s="175">
        <v>1</v>
      </c>
      <c r="M309" s="175">
        <v>1</v>
      </c>
      <c r="N309" s="170"/>
      <c r="O309" s="170"/>
      <c r="P309" s="170"/>
      <c r="Q309" s="180">
        <f>SUM(Tabela2[[#This Row],[G]]+Tabela2[[#This Row],[D]]+Tabela2[[#This Row],[N]]+Tabela2[[#This Row],[HM]])</f>
        <v>4</v>
      </c>
      <c r="R309" s="180">
        <f>SUM(Tabela2[[#This Row],[AO]]+Tabela2[[#This Row],[AD]]+Tabela2[[#This Row],[GWO]]+Tabela2[[#This Row],[GWD]])</f>
        <v>4</v>
      </c>
      <c r="S309" s="180">
        <f>Tabela2[[#This Row],[GWO]]+Tabela2[[#This Row],[GWD]]</f>
        <v>2</v>
      </c>
      <c r="T309" s="180">
        <f>SUM(Tabela2[[#This Row],[G]:[GWD]])</f>
        <v>8</v>
      </c>
    </row>
    <row r="310" spans="1:20">
      <c r="A310" s="183">
        <v>163</v>
      </c>
      <c r="B310" s="171" t="s">
        <v>581</v>
      </c>
      <c r="C310" s="171" t="s">
        <v>376</v>
      </c>
      <c r="D310" s="171">
        <v>3</v>
      </c>
      <c r="E310" s="171" t="s">
        <v>251</v>
      </c>
      <c r="F310" s="171">
        <v>1</v>
      </c>
      <c r="G310" s="171">
        <v>1</v>
      </c>
      <c r="H310" s="171">
        <v>1</v>
      </c>
      <c r="I310" s="171">
        <v>1</v>
      </c>
      <c r="J310" s="171">
        <v>1</v>
      </c>
      <c r="K310" s="171">
        <v>1</v>
      </c>
      <c r="L310" s="171">
        <v>1</v>
      </c>
      <c r="M310" s="171">
        <v>1</v>
      </c>
      <c r="N310" s="170"/>
      <c r="O310" s="170"/>
      <c r="P310" s="170"/>
      <c r="Q310" s="180">
        <f>SUM(Tabela2[[#This Row],[G]]+Tabela2[[#This Row],[D]]+Tabela2[[#This Row],[N]]+Tabela2[[#This Row],[HM]])</f>
        <v>4</v>
      </c>
      <c r="R310" s="180">
        <f>SUM(Tabela2[[#This Row],[AO]]+Tabela2[[#This Row],[AD]]+Tabela2[[#This Row],[GWO]]+Tabela2[[#This Row],[GWD]])</f>
        <v>4</v>
      </c>
      <c r="S310" s="180">
        <f>Tabela2[[#This Row],[GWO]]+Tabela2[[#This Row],[GWD]]</f>
        <v>2</v>
      </c>
      <c r="T310" s="180">
        <f>SUM(Tabela2[[#This Row],[G]:[GWD]])</f>
        <v>8</v>
      </c>
    </row>
    <row r="311" spans="1:20">
      <c r="A311" s="183">
        <v>165</v>
      </c>
      <c r="B311" s="171" t="s">
        <v>579</v>
      </c>
      <c r="C311" s="171" t="s">
        <v>578</v>
      </c>
      <c r="D311" s="171">
        <v>3</v>
      </c>
      <c r="E311" s="171" t="s">
        <v>251</v>
      </c>
      <c r="F311" s="171">
        <v>1</v>
      </c>
      <c r="G311" s="171">
        <v>1</v>
      </c>
      <c r="H311" s="171">
        <v>1</v>
      </c>
      <c r="I311" s="171">
        <v>1</v>
      </c>
      <c r="J311" s="171">
        <v>1</v>
      </c>
      <c r="K311" s="171">
        <v>1</v>
      </c>
      <c r="L311" s="171">
        <v>1</v>
      </c>
      <c r="M311" s="171">
        <v>1</v>
      </c>
      <c r="N311" s="170"/>
      <c r="O311" s="170"/>
      <c r="P311" s="170"/>
      <c r="Q311" s="180">
        <f>SUM(Tabela2[[#This Row],[G]]+Tabela2[[#This Row],[D]]+Tabela2[[#This Row],[N]]+Tabela2[[#This Row],[HM]])</f>
        <v>4</v>
      </c>
      <c r="R311" s="180">
        <f>SUM(Tabela2[[#This Row],[AO]]+Tabela2[[#This Row],[AD]]+Tabela2[[#This Row],[GWO]]+Tabela2[[#This Row],[GWD]])</f>
        <v>4</v>
      </c>
      <c r="S311" s="180">
        <f>Tabela2[[#This Row],[GWO]]+Tabela2[[#This Row],[GWD]]</f>
        <v>2</v>
      </c>
      <c r="T311" s="180">
        <f>SUM(Tabela2[[#This Row],[G]:[GWD]])</f>
        <v>8</v>
      </c>
    </row>
    <row r="312" spans="1:20">
      <c r="A312" s="183">
        <v>106</v>
      </c>
      <c r="B312" s="174" t="s">
        <v>638</v>
      </c>
      <c r="C312" s="174" t="s">
        <v>523</v>
      </c>
      <c r="D312" s="174">
        <v>3</v>
      </c>
      <c r="E312" s="174" t="s">
        <v>249</v>
      </c>
      <c r="F312" s="174">
        <v>1</v>
      </c>
      <c r="G312" s="174">
        <v>1</v>
      </c>
      <c r="H312" s="174">
        <v>1</v>
      </c>
      <c r="I312" s="174">
        <v>1</v>
      </c>
      <c r="J312" s="174">
        <v>1</v>
      </c>
      <c r="K312" s="174">
        <v>1</v>
      </c>
      <c r="L312" s="174">
        <v>1</v>
      </c>
      <c r="M312" s="174">
        <v>1</v>
      </c>
      <c r="N312" s="170"/>
      <c r="O312" s="170"/>
      <c r="P312" s="170"/>
      <c r="Q312" s="180">
        <f>SUM(Tabela2[[#This Row],[G]]+Tabela2[[#This Row],[D]]+Tabela2[[#This Row],[N]]+Tabela2[[#This Row],[HM]])</f>
        <v>4</v>
      </c>
      <c r="R312" s="180">
        <f>SUM(Tabela2[[#This Row],[AO]]+Tabela2[[#This Row],[AD]]+Tabela2[[#This Row],[GWO]]+Tabela2[[#This Row],[GWD]])</f>
        <v>4</v>
      </c>
      <c r="S312" s="180">
        <f>Tabela2[[#This Row],[GWO]]+Tabela2[[#This Row],[GWD]]</f>
        <v>2</v>
      </c>
      <c r="T312" s="180">
        <f>SUM(Tabela2[[#This Row],[G]:[GWD]])</f>
        <v>8</v>
      </c>
    </row>
    <row r="313" spans="1:20">
      <c r="A313" s="183">
        <v>198</v>
      </c>
      <c r="B313" s="170" t="s">
        <v>524</v>
      </c>
      <c r="C313" s="170" t="s">
        <v>523</v>
      </c>
      <c r="D313" s="170">
        <v>3</v>
      </c>
      <c r="E313" s="170" t="s">
        <v>272</v>
      </c>
      <c r="F313" s="170">
        <v>1</v>
      </c>
      <c r="G313" s="170">
        <v>1</v>
      </c>
      <c r="H313" s="170">
        <v>1</v>
      </c>
      <c r="I313" s="170">
        <v>1</v>
      </c>
      <c r="J313" s="170">
        <v>1</v>
      </c>
      <c r="K313" s="170">
        <v>1</v>
      </c>
      <c r="L313" s="170">
        <v>1</v>
      </c>
      <c r="M313" s="170">
        <v>1</v>
      </c>
      <c r="N313" s="170"/>
      <c r="O313" s="170"/>
      <c r="P313" s="170"/>
      <c r="Q313" s="180">
        <f>SUM(Tabela2[[#This Row],[G]]+Tabela2[[#This Row],[D]]+Tabela2[[#This Row],[N]]+Tabela2[[#This Row],[HM]])</f>
        <v>4</v>
      </c>
      <c r="R313" s="180">
        <f>SUM(Tabela2[[#This Row],[AO]]+Tabela2[[#This Row],[AD]]+Tabela2[[#This Row],[GWO]]+Tabela2[[#This Row],[GWD]])</f>
        <v>4</v>
      </c>
      <c r="S313" s="180">
        <f>Tabela2[[#This Row],[GWO]]+Tabela2[[#This Row],[GWD]]</f>
        <v>2</v>
      </c>
      <c r="T313" s="180">
        <f>SUM(Tabela2[[#This Row],[G]:[GWD]])</f>
        <v>8</v>
      </c>
    </row>
    <row r="314" spans="1:20">
      <c r="A314" s="183">
        <v>77</v>
      </c>
      <c r="B314" s="175" t="s">
        <v>667</v>
      </c>
      <c r="C314" s="175" t="s">
        <v>521</v>
      </c>
      <c r="D314" s="175">
        <v>3</v>
      </c>
      <c r="E314" s="175" t="s">
        <v>18</v>
      </c>
      <c r="F314" s="175">
        <v>1</v>
      </c>
      <c r="G314" s="175">
        <v>1</v>
      </c>
      <c r="H314" s="175">
        <v>1</v>
      </c>
      <c r="I314" s="175">
        <v>1</v>
      </c>
      <c r="J314" s="175">
        <v>1</v>
      </c>
      <c r="K314" s="175">
        <v>1</v>
      </c>
      <c r="L314" s="175">
        <v>1</v>
      </c>
      <c r="M314" s="175">
        <v>1</v>
      </c>
      <c r="N314" s="175" t="s">
        <v>445</v>
      </c>
      <c r="O314" s="175"/>
      <c r="P314" s="175"/>
      <c r="Q314" s="184">
        <f>SUM(Tabela2[[#This Row],[G]]+Tabela2[[#This Row],[D]]+Tabela2[[#This Row],[N]]+Tabela2[[#This Row],[HM]])</f>
        <v>4</v>
      </c>
      <c r="R314" s="184">
        <f>SUM(Tabela2[[#This Row],[AO]]+Tabela2[[#This Row],[AD]]+Tabela2[[#This Row],[GWO]]+Tabela2[[#This Row],[GWD]])</f>
        <v>4</v>
      </c>
      <c r="S314" s="184">
        <f>Tabela2[[#This Row],[GWO]]+Tabela2[[#This Row],[GWD]]</f>
        <v>2</v>
      </c>
      <c r="T314" s="180">
        <f>SUM(Tabela2[[#This Row],[G]:[GWD]])</f>
        <v>8</v>
      </c>
    </row>
    <row r="315" spans="1:20">
      <c r="A315" s="183">
        <v>134</v>
      </c>
      <c r="B315" s="172" t="s">
        <v>611</v>
      </c>
      <c r="C315" s="172" t="s">
        <v>521</v>
      </c>
      <c r="D315" s="172">
        <v>3</v>
      </c>
      <c r="E315" s="172" t="s">
        <v>250</v>
      </c>
      <c r="F315" s="172">
        <v>1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2" t="s">
        <v>445</v>
      </c>
      <c r="O315" s="172"/>
      <c r="P315" s="172"/>
      <c r="Q315" s="186">
        <f>SUM(Tabela2[[#This Row],[G]]+Tabela2[[#This Row],[D]]+Tabela2[[#This Row],[N]]+Tabela2[[#This Row],[HM]])</f>
        <v>4</v>
      </c>
      <c r="R315" s="186">
        <f>SUM(Tabela2[[#This Row],[AO]]+Tabela2[[#This Row],[AD]]+Tabela2[[#This Row],[GWO]]+Tabela2[[#This Row],[GWD]])</f>
        <v>4</v>
      </c>
      <c r="S315" s="186">
        <f>Tabela2[[#This Row],[GWO]]+Tabela2[[#This Row],[GWD]]</f>
        <v>2</v>
      </c>
      <c r="T315" s="180">
        <f>SUM(Tabela2[[#This Row],[G]:[GWD]])</f>
        <v>8</v>
      </c>
    </row>
    <row r="316" spans="1:20">
      <c r="A316" s="183">
        <v>167</v>
      </c>
      <c r="B316" s="171" t="s">
        <v>576</v>
      </c>
      <c r="C316" s="171" t="s">
        <v>287</v>
      </c>
      <c r="D316" s="171">
        <v>3</v>
      </c>
      <c r="E316" s="171" t="s">
        <v>251</v>
      </c>
      <c r="F316" s="171">
        <v>1</v>
      </c>
      <c r="G316" s="171">
        <v>1</v>
      </c>
      <c r="H316" s="171">
        <v>1</v>
      </c>
      <c r="I316" s="171">
        <v>1</v>
      </c>
      <c r="J316" s="171">
        <v>1</v>
      </c>
      <c r="K316" s="171">
        <v>1</v>
      </c>
      <c r="L316" s="171">
        <v>1</v>
      </c>
      <c r="M316" s="171">
        <v>1</v>
      </c>
      <c r="N316" s="171" t="s">
        <v>445</v>
      </c>
      <c r="O316" s="171"/>
      <c r="P316" s="171"/>
      <c r="Q316" s="187">
        <f>SUM(Tabela2[[#This Row],[G]]+Tabela2[[#This Row],[D]]+Tabela2[[#This Row],[N]]+Tabela2[[#This Row],[HM]])</f>
        <v>4</v>
      </c>
      <c r="R316" s="187">
        <f>SUM(Tabela2[[#This Row],[AO]]+Tabela2[[#This Row],[AD]]+Tabela2[[#This Row],[GWO]]+Tabela2[[#This Row],[GWD]])</f>
        <v>4</v>
      </c>
      <c r="S316" s="187">
        <f>Tabela2[[#This Row],[GWO]]+Tabela2[[#This Row],[GWD]]</f>
        <v>2</v>
      </c>
      <c r="T316" s="180">
        <f>SUM(Tabela2[[#This Row],[G]:[GWD]])</f>
        <v>8</v>
      </c>
    </row>
    <row r="317" spans="1:20" ht="30">
      <c r="A317" s="183">
        <v>303</v>
      </c>
      <c r="B317" s="170" t="s">
        <v>414</v>
      </c>
      <c r="C317" s="170" t="s">
        <v>357</v>
      </c>
      <c r="D317" s="170">
        <v>4</v>
      </c>
      <c r="E317" s="170" t="s">
        <v>272</v>
      </c>
      <c r="F317" s="170">
        <v>1</v>
      </c>
      <c r="G317" s="170">
        <v>1</v>
      </c>
      <c r="H317" s="170">
        <v>1</v>
      </c>
      <c r="I317" s="170">
        <v>1</v>
      </c>
      <c r="J317" s="170">
        <v>1</v>
      </c>
      <c r="K317" s="170">
        <v>1</v>
      </c>
      <c r="L317" s="170">
        <v>1</v>
      </c>
      <c r="M317" s="170">
        <v>1</v>
      </c>
      <c r="N317" s="170"/>
      <c r="O317" s="170"/>
      <c r="P317" s="170"/>
      <c r="Q317" s="180">
        <f>SUM(Tabela2[[#This Row],[G]]+Tabela2[[#This Row],[D]]+Tabela2[[#This Row],[N]]+Tabela2[[#This Row],[HM]])</f>
        <v>4</v>
      </c>
      <c r="R317" s="180">
        <f>SUM(Tabela2[[#This Row],[AO]]+Tabela2[[#This Row],[AD]]+Tabela2[[#This Row],[GWO]]+Tabela2[[#This Row],[GWD]])</f>
        <v>4</v>
      </c>
      <c r="S317" s="180">
        <f>Tabela2[[#This Row],[GWO]]+Tabela2[[#This Row],[GWD]]</f>
        <v>2</v>
      </c>
      <c r="T317" s="180">
        <f>SUM(Tabela2[[#This Row],[G]:[GWD]])</f>
        <v>8</v>
      </c>
    </row>
    <row r="318" spans="1:20" ht="30">
      <c r="A318" s="183">
        <v>258</v>
      </c>
      <c r="B318" s="172" t="s">
        <v>464</v>
      </c>
      <c r="C318" s="172" t="s">
        <v>407</v>
      </c>
      <c r="D318" s="172">
        <v>4</v>
      </c>
      <c r="E318" s="172" t="s">
        <v>250</v>
      </c>
      <c r="F318" s="172">
        <v>1</v>
      </c>
      <c r="G318" s="172">
        <v>1</v>
      </c>
      <c r="H318" s="172">
        <v>1</v>
      </c>
      <c r="I318" s="172">
        <v>1</v>
      </c>
      <c r="J318" s="172">
        <v>1</v>
      </c>
      <c r="K318" s="172">
        <v>1</v>
      </c>
      <c r="L318" s="172">
        <v>1</v>
      </c>
      <c r="M318" s="172">
        <v>1</v>
      </c>
      <c r="N318" s="170"/>
      <c r="O318" s="170"/>
      <c r="P318" s="170"/>
      <c r="Q318" s="180">
        <f>SUM(Tabela2[[#This Row],[G]]+Tabela2[[#This Row],[D]]+Tabela2[[#This Row],[N]]+Tabela2[[#This Row],[HM]])</f>
        <v>4</v>
      </c>
      <c r="R318" s="180">
        <f>SUM(Tabela2[[#This Row],[AO]]+Tabela2[[#This Row],[AD]]+Tabela2[[#This Row],[GWO]]+Tabela2[[#This Row],[GWD]])</f>
        <v>4</v>
      </c>
      <c r="S318" s="180">
        <f>Tabela2[[#This Row],[GWO]]+Tabela2[[#This Row],[GWD]]</f>
        <v>2</v>
      </c>
      <c r="T318" s="180">
        <f>SUM(Tabela2[[#This Row],[G]:[GWD]])</f>
        <v>8</v>
      </c>
    </row>
    <row r="319" spans="1:20">
      <c r="A319" s="183">
        <v>208</v>
      </c>
      <c r="B319" s="175" t="s">
        <v>512</v>
      </c>
      <c r="C319" s="175" t="s">
        <v>405</v>
      </c>
      <c r="D319" s="175">
        <v>4</v>
      </c>
      <c r="E319" s="175" t="s">
        <v>18</v>
      </c>
      <c r="F319" s="175">
        <v>1</v>
      </c>
      <c r="G319" s="175">
        <v>1</v>
      </c>
      <c r="H319" s="175">
        <v>1</v>
      </c>
      <c r="I319" s="175">
        <v>1</v>
      </c>
      <c r="J319" s="175">
        <v>1</v>
      </c>
      <c r="K319" s="175">
        <v>1</v>
      </c>
      <c r="L319" s="175">
        <v>1</v>
      </c>
      <c r="M319" s="175">
        <v>1</v>
      </c>
      <c r="N319" s="170"/>
      <c r="O319" s="170"/>
      <c r="P319" s="170"/>
      <c r="Q319" s="180">
        <f>SUM(Tabela2[[#This Row],[G]]+Tabela2[[#This Row],[D]]+Tabela2[[#This Row],[N]]+Tabela2[[#This Row],[HM]])</f>
        <v>4</v>
      </c>
      <c r="R319" s="180">
        <f>SUM(Tabela2[[#This Row],[AO]]+Tabela2[[#This Row],[AD]]+Tabela2[[#This Row],[GWO]]+Tabela2[[#This Row],[GWD]])</f>
        <v>4</v>
      </c>
      <c r="S319" s="180">
        <f>Tabela2[[#This Row],[GWO]]+Tabela2[[#This Row],[GWD]]</f>
        <v>2</v>
      </c>
      <c r="T319" s="180">
        <f>SUM(Tabela2[[#This Row],[G]:[GWD]])</f>
        <v>8</v>
      </c>
    </row>
    <row r="320" spans="1:20">
      <c r="A320" s="183">
        <v>233</v>
      </c>
      <c r="B320" s="174" t="s">
        <v>488</v>
      </c>
      <c r="C320" s="174" t="s">
        <v>405</v>
      </c>
      <c r="D320" s="174">
        <v>4</v>
      </c>
      <c r="E320" s="174" t="s">
        <v>249</v>
      </c>
      <c r="F320" s="174">
        <v>1</v>
      </c>
      <c r="G320" s="174">
        <v>1</v>
      </c>
      <c r="H320" s="174">
        <v>1</v>
      </c>
      <c r="I320" s="174">
        <v>1</v>
      </c>
      <c r="J320" s="174">
        <v>1</v>
      </c>
      <c r="K320" s="174">
        <v>1</v>
      </c>
      <c r="L320" s="174">
        <v>1</v>
      </c>
      <c r="M320" s="174">
        <v>1</v>
      </c>
      <c r="N320" s="170"/>
      <c r="O320" s="170"/>
      <c r="P320" s="170"/>
      <c r="Q320" s="180">
        <f>SUM(Tabela2[[#This Row],[G]]+Tabela2[[#This Row],[D]]+Tabela2[[#This Row],[N]]+Tabela2[[#This Row],[HM]])</f>
        <v>4</v>
      </c>
      <c r="R320" s="180">
        <f>SUM(Tabela2[[#This Row],[AO]]+Tabela2[[#This Row],[AD]]+Tabela2[[#This Row],[GWO]]+Tabela2[[#This Row],[GWD]])</f>
        <v>4</v>
      </c>
      <c r="S320" s="180">
        <f>Tabela2[[#This Row],[GWO]]+Tabela2[[#This Row],[GWD]]</f>
        <v>2</v>
      </c>
      <c r="T320" s="180">
        <f>SUM(Tabela2[[#This Row],[G]:[GWD]])</f>
        <v>8</v>
      </c>
    </row>
    <row r="321" spans="1:20">
      <c r="A321" s="183">
        <v>308</v>
      </c>
      <c r="B321" s="170" t="s">
        <v>406</v>
      </c>
      <c r="C321" s="170" t="s">
        <v>405</v>
      </c>
      <c r="D321" s="170">
        <v>4</v>
      </c>
      <c r="E321" s="170" t="s">
        <v>272</v>
      </c>
      <c r="F321" s="170">
        <v>1</v>
      </c>
      <c r="G321" s="170">
        <v>1</v>
      </c>
      <c r="H321" s="170">
        <v>1</v>
      </c>
      <c r="I321" s="170">
        <v>1</v>
      </c>
      <c r="J321" s="170">
        <v>1</v>
      </c>
      <c r="K321" s="170">
        <v>1</v>
      </c>
      <c r="L321" s="170">
        <v>1</v>
      </c>
      <c r="M321" s="170">
        <v>1</v>
      </c>
      <c r="N321" s="170"/>
      <c r="O321" s="170"/>
      <c r="P321" s="170"/>
      <c r="Q321" s="180">
        <f>SUM(Tabela2[[#This Row],[G]]+Tabela2[[#This Row],[D]]+Tabela2[[#This Row],[N]]+Tabela2[[#This Row],[HM]])</f>
        <v>4</v>
      </c>
      <c r="R321" s="180">
        <f>SUM(Tabela2[[#This Row],[AO]]+Tabela2[[#This Row],[AD]]+Tabela2[[#This Row],[GWO]]+Tabela2[[#This Row],[GWD]])</f>
        <v>4</v>
      </c>
      <c r="S321" s="180">
        <f>Tabela2[[#This Row],[GWO]]+Tabela2[[#This Row],[GWD]]</f>
        <v>2</v>
      </c>
      <c r="T321" s="180">
        <f>SUM(Tabela2[[#This Row],[G]:[GWD]])</f>
        <v>8</v>
      </c>
    </row>
    <row r="322" spans="1:20">
      <c r="A322" s="183">
        <v>214</v>
      </c>
      <c r="B322" s="175" t="s">
        <v>506</v>
      </c>
      <c r="C322" s="175" t="s">
        <v>215</v>
      </c>
      <c r="D322" s="175">
        <v>4</v>
      </c>
      <c r="E322" s="175" t="s">
        <v>18</v>
      </c>
      <c r="F322" s="175">
        <v>1</v>
      </c>
      <c r="G322" s="175">
        <v>1</v>
      </c>
      <c r="H322" s="175">
        <v>1</v>
      </c>
      <c r="I322" s="175">
        <v>1</v>
      </c>
      <c r="J322" s="175">
        <v>1</v>
      </c>
      <c r="K322" s="175">
        <v>1</v>
      </c>
      <c r="L322" s="175">
        <v>1</v>
      </c>
      <c r="M322" s="175">
        <v>1</v>
      </c>
      <c r="N322" s="170"/>
      <c r="O322" s="170"/>
      <c r="P322" s="170"/>
      <c r="Q322" s="180">
        <f>SUM(Tabela2[[#This Row],[G]]+Tabela2[[#This Row],[D]]+Tabela2[[#This Row],[N]]+Tabela2[[#This Row],[HM]])</f>
        <v>4</v>
      </c>
      <c r="R322" s="180">
        <f>SUM(Tabela2[[#This Row],[AO]]+Tabela2[[#This Row],[AD]]+Tabela2[[#This Row],[GWO]]+Tabela2[[#This Row],[GWD]])</f>
        <v>4</v>
      </c>
      <c r="S322" s="180">
        <f>Tabela2[[#This Row],[GWO]]+Tabela2[[#This Row],[GWD]]</f>
        <v>2</v>
      </c>
      <c r="T322" s="180">
        <f>SUM(Tabela2[[#This Row],[G]:[GWD]])</f>
        <v>8</v>
      </c>
    </row>
    <row r="323" spans="1:20">
      <c r="A323" s="183">
        <v>239</v>
      </c>
      <c r="B323" s="174" t="s">
        <v>483</v>
      </c>
      <c r="C323" s="174" t="s">
        <v>215</v>
      </c>
      <c r="D323" s="174">
        <v>4</v>
      </c>
      <c r="E323" s="174" t="s">
        <v>249</v>
      </c>
      <c r="F323" s="174">
        <v>1</v>
      </c>
      <c r="G323" s="174">
        <v>1</v>
      </c>
      <c r="H323" s="174">
        <v>1</v>
      </c>
      <c r="I323" s="174">
        <v>1</v>
      </c>
      <c r="J323" s="174">
        <v>1</v>
      </c>
      <c r="K323" s="174">
        <v>1</v>
      </c>
      <c r="L323" s="174">
        <v>1</v>
      </c>
      <c r="M323" s="174">
        <v>1</v>
      </c>
      <c r="N323" s="174" t="s">
        <v>445</v>
      </c>
      <c r="O323" s="174"/>
      <c r="P323" s="174"/>
      <c r="Q323" s="185">
        <f>SUM(Tabela2[[#This Row],[G]]+Tabela2[[#This Row],[D]]+Tabela2[[#This Row],[N]]+Tabela2[[#This Row],[HM]])</f>
        <v>4</v>
      </c>
      <c r="R323" s="185">
        <f>SUM(Tabela2[[#This Row],[AO]]+Tabela2[[#This Row],[AD]]+Tabela2[[#This Row],[GWO]]+Tabela2[[#This Row],[GWD]])</f>
        <v>4</v>
      </c>
      <c r="S323" s="185">
        <f>Tabela2[[#This Row],[GWO]]+Tabela2[[#This Row],[GWD]]</f>
        <v>2</v>
      </c>
      <c r="T323" s="180">
        <f>SUM(Tabela2[[#This Row],[G]:[GWD]])</f>
        <v>8</v>
      </c>
    </row>
    <row r="324" spans="1:20">
      <c r="A324" s="183">
        <v>223</v>
      </c>
      <c r="B324" s="175" t="s">
        <v>498</v>
      </c>
      <c r="C324" s="175" t="s">
        <v>378</v>
      </c>
      <c r="D324" s="175">
        <v>4</v>
      </c>
      <c r="E324" s="175" t="s">
        <v>18</v>
      </c>
      <c r="F324" s="175">
        <v>1</v>
      </c>
      <c r="G324" s="175">
        <v>1</v>
      </c>
      <c r="H324" s="175">
        <v>1</v>
      </c>
      <c r="I324" s="175">
        <v>1</v>
      </c>
      <c r="J324" s="175">
        <v>1</v>
      </c>
      <c r="K324" s="175">
        <v>1</v>
      </c>
      <c r="L324" s="175">
        <v>1</v>
      </c>
      <c r="M324" s="175">
        <v>1</v>
      </c>
      <c r="N324" s="170"/>
      <c r="O324" s="170"/>
      <c r="P324" s="170"/>
      <c r="Q324" s="180">
        <f>SUM(Tabela2[[#This Row],[G]]+Tabela2[[#This Row],[D]]+Tabela2[[#This Row],[N]]+Tabela2[[#This Row],[HM]])</f>
        <v>4</v>
      </c>
      <c r="R324" s="180">
        <f>SUM(Tabela2[[#This Row],[AO]]+Tabela2[[#This Row],[AD]]+Tabela2[[#This Row],[GWO]]+Tabela2[[#This Row],[GWD]])</f>
        <v>4</v>
      </c>
      <c r="S324" s="180">
        <f>Tabela2[[#This Row],[GWO]]+Tabela2[[#This Row],[GWD]]</f>
        <v>2</v>
      </c>
      <c r="T324" s="180">
        <f>SUM(Tabela2[[#This Row],[G]:[GWD]])</f>
        <v>8</v>
      </c>
    </row>
    <row r="325" spans="1:20">
      <c r="A325" s="183">
        <v>251</v>
      </c>
      <c r="B325" s="174" t="s">
        <v>471</v>
      </c>
      <c r="C325" s="174" t="s">
        <v>376</v>
      </c>
      <c r="D325" s="174">
        <v>4</v>
      </c>
      <c r="E325" s="174" t="s">
        <v>249</v>
      </c>
      <c r="F325" s="174">
        <v>1</v>
      </c>
      <c r="G325" s="174">
        <v>1</v>
      </c>
      <c r="H325" s="174">
        <v>1</v>
      </c>
      <c r="I325" s="174">
        <v>1</v>
      </c>
      <c r="J325" s="174">
        <v>1</v>
      </c>
      <c r="K325" s="174">
        <v>1</v>
      </c>
      <c r="L325" s="174">
        <v>1</v>
      </c>
      <c r="M325" s="174">
        <v>1</v>
      </c>
      <c r="N325" s="170"/>
      <c r="O325" s="170"/>
      <c r="P325" s="170"/>
      <c r="Q325" s="180">
        <f>SUM(Tabela2[[#This Row],[G]]+Tabela2[[#This Row],[D]]+Tabela2[[#This Row],[N]]+Tabela2[[#This Row],[HM]])</f>
        <v>4</v>
      </c>
      <c r="R325" s="180">
        <f>SUM(Tabela2[[#This Row],[AO]]+Tabela2[[#This Row],[AD]]+Tabela2[[#This Row],[GWO]]+Tabela2[[#This Row],[GWD]])</f>
        <v>4</v>
      </c>
      <c r="S325" s="180">
        <f>Tabela2[[#This Row],[GWO]]+Tabela2[[#This Row],[GWD]]</f>
        <v>2</v>
      </c>
      <c r="T325" s="180">
        <f>SUM(Tabela2[[#This Row],[G]:[GWD]])</f>
        <v>8</v>
      </c>
    </row>
    <row r="326" spans="1:20">
      <c r="A326" s="183">
        <v>250</v>
      </c>
      <c r="B326" s="174" t="s">
        <v>472</v>
      </c>
      <c r="C326" s="174" t="s">
        <v>184</v>
      </c>
      <c r="D326" s="174">
        <v>4</v>
      </c>
      <c r="E326" s="174" t="s">
        <v>249</v>
      </c>
      <c r="F326" s="174">
        <v>1</v>
      </c>
      <c r="G326" s="174">
        <v>1</v>
      </c>
      <c r="H326" s="174">
        <v>1</v>
      </c>
      <c r="I326" s="174">
        <v>1</v>
      </c>
      <c r="J326" s="174">
        <v>1</v>
      </c>
      <c r="K326" s="174">
        <v>1</v>
      </c>
      <c r="L326" s="174">
        <v>1</v>
      </c>
      <c r="M326" s="174">
        <v>1</v>
      </c>
      <c r="N326" s="170"/>
      <c r="O326" s="170"/>
      <c r="P326" s="170"/>
      <c r="Q326" s="180">
        <f>SUM(Tabela2[[#This Row],[G]]+Tabela2[[#This Row],[D]]+Tabela2[[#This Row],[N]]+Tabela2[[#This Row],[HM]])</f>
        <v>4</v>
      </c>
      <c r="R326" s="180">
        <f>SUM(Tabela2[[#This Row],[AO]]+Tabela2[[#This Row],[AD]]+Tabela2[[#This Row],[GWO]]+Tabela2[[#This Row],[GWD]])</f>
        <v>4</v>
      </c>
      <c r="S326" s="180">
        <f>Tabela2[[#This Row],[GWO]]+Tabela2[[#This Row],[GWD]]</f>
        <v>2</v>
      </c>
      <c r="T326" s="180">
        <f>SUM(Tabela2[[#This Row],[G]:[GWD]])</f>
        <v>8</v>
      </c>
    </row>
    <row r="327" spans="1:20">
      <c r="A327" s="183">
        <v>174</v>
      </c>
      <c r="B327" s="177" t="s">
        <v>565</v>
      </c>
      <c r="C327" s="177" t="s">
        <v>565</v>
      </c>
      <c r="D327" s="177">
        <v>3</v>
      </c>
      <c r="E327" s="177" t="s">
        <v>272</v>
      </c>
      <c r="F327" s="177"/>
      <c r="G327" s="177"/>
      <c r="H327" s="177"/>
      <c r="I327" s="177"/>
      <c r="J327" s="177"/>
      <c r="K327" s="177"/>
      <c r="L327" s="177"/>
      <c r="M327" s="177"/>
      <c r="N327" s="177"/>
      <c r="O327" s="177"/>
      <c r="P327" s="177"/>
      <c r="Q327" s="182">
        <f>SUM(Tabela2[[#This Row],[G]]+Tabela2[[#This Row],[D]]+Tabela2[[#This Row],[N]]+Tabela2[[#This Row],[HM]])</f>
        <v>0</v>
      </c>
      <c r="R327" s="182">
        <f>SUM(Tabela2[[#This Row],[AO]]+Tabela2[[#This Row],[AD]]+Tabela2[[#This Row],[GWO]]+Tabela2[[#This Row],[GWD]])</f>
        <v>0</v>
      </c>
      <c r="S327" s="182">
        <f>Tabela2[[#This Row],[GWO]]+Tabela2[[#This Row],[GWD]]</f>
        <v>0</v>
      </c>
      <c r="T327" s="182">
        <f>SUM(Tabela2[[#This Row],[G]:[GWD]])</f>
        <v>0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"/>
  <sheetViews>
    <sheetView workbookViewId="0">
      <selection activeCell="K2" sqref="K2"/>
    </sheetView>
  </sheetViews>
  <sheetFormatPr defaultRowHeight="14.25"/>
  <sheetData>
    <row r="1" spans="1:11">
      <c r="G1">
        <v>1</v>
      </c>
      <c r="H1">
        <v>2</v>
      </c>
      <c r="I1">
        <v>3</v>
      </c>
      <c r="J1">
        <v>4</v>
      </c>
      <c r="K1">
        <v>5</v>
      </c>
    </row>
    <row r="2" spans="1:11">
      <c r="A2" t="s">
        <v>854</v>
      </c>
      <c r="B2" s="15">
        <v>0.22</v>
      </c>
      <c r="C2">
        <v>1</v>
      </c>
      <c r="D2">
        <f>SUMPRODUCT(B2:B4,C2:C4)</f>
        <v>0.30826399999999998</v>
      </c>
      <c r="F2">
        <v>0.22</v>
      </c>
      <c r="G2">
        <f>POWER(1-$F$2,G1)</f>
        <v>0.78</v>
      </c>
      <c r="H2">
        <f>POWER(1-$F$2,H1)</f>
        <v>0.60840000000000005</v>
      </c>
      <c r="I2">
        <f>POWER(1-$F$2,I1)</f>
        <v>0.47455200000000003</v>
      </c>
      <c r="J2">
        <f>POWER(1-$F$2,J1)</f>
        <v>0.37015056000000007</v>
      </c>
      <c r="K2">
        <f>POWER(1-$F$2,K1)</f>
        <v>0.28871743680000006</v>
      </c>
    </row>
    <row r="3" spans="1:11">
      <c r="A3" t="s">
        <v>855</v>
      </c>
      <c r="B3" s="15">
        <f>22%*17%</f>
        <v>3.7400000000000003E-2</v>
      </c>
      <c r="C3">
        <v>2</v>
      </c>
      <c r="D3">
        <f>SUMPRODUCT(B2:B3,C2:C3)</f>
        <v>0.29480000000000001</v>
      </c>
    </row>
    <row r="4" spans="1:11">
      <c r="A4" t="s">
        <v>856</v>
      </c>
      <c r="B4" s="15">
        <f>B3*12%</f>
        <v>4.4879999999999998E-3</v>
      </c>
      <c r="C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17</vt:i4>
      </vt:variant>
    </vt:vector>
  </HeadingPairs>
  <TitlesOfParts>
    <vt:vector size="17" baseType="lpstr">
      <vt:lpstr>Crystals</vt:lpstr>
      <vt:lpstr>EXP lvls</vt:lpstr>
      <vt:lpstr>Arkusz3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ToA auto</vt:lpstr>
      <vt:lpstr>Mon.Utilities</vt:lpstr>
      <vt:lpstr>Arkusz2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2015-12-15T23:30:31Z</dcterms:modified>
</cp:coreProperties>
</file>