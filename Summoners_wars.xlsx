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25725"/>
  <pivotCaches>
    <pivotCache cacheId="272" r:id="rId10"/>
  </pivotCaches>
</workbook>
</file>

<file path=xl/calcChain.xml><?xml version="1.0" encoding="utf-8"?>
<calcChain xmlns="http://schemas.openxmlformats.org/spreadsheetml/2006/main">
  <c r="K2" i="3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7"/>
  <c r="K858"/>
  <c r="K859"/>
  <c r="K860"/>
  <c r="K861"/>
  <c r="K862"/>
  <c r="K863"/>
  <c r="K864"/>
  <c r="K865"/>
  <c r="K866"/>
  <c r="K867"/>
  <c r="K868"/>
  <c r="K869"/>
  <c r="K870"/>
  <c r="K871"/>
  <c r="K872"/>
  <c r="K873"/>
  <c r="K874"/>
  <c r="K875"/>
  <c r="K876"/>
  <c r="K877"/>
  <c r="K878"/>
  <c r="K879"/>
  <c r="K880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7"/>
  <c r="L858"/>
  <c r="L859"/>
  <c r="L860"/>
  <c r="L861"/>
  <c r="L862"/>
  <c r="L863"/>
  <c r="L864"/>
  <c r="L865"/>
  <c r="L866"/>
  <c r="L867"/>
  <c r="L868"/>
  <c r="L869"/>
  <c r="L870"/>
  <c r="L871"/>
  <c r="L872"/>
  <c r="L873"/>
  <c r="L874"/>
  <c r="L875"/>
  <c r="L876"/>
  <c r="L877"/>
  <c r="L878"/>
  <c r="L879"/>
  <c r="L880"/>
  <c r="L881"/>
  <c r="L882"/>
  <c r="L883"/>
  <c r="L884"/>
  <c r="L885"/>
  <c r="L886"/>
  <c r="L887"/>
  <c r="L888"/>
  <c r="L889"/>
  <c r="L890"/>
  <c r="L891"/>
  <c r="L892"/>
  <c r="L893"/>
  <c r="L894"/>
  <c r="L895"/>
  <c r="L896"/>
  <c r="L897"/>
  <c r="L898"/>
  <c r="L899"/>
  <c r="L900"/>
  <c r="L901"/>
  <c r="L902"/>
  <c r="L903"/>
  <c r="L904"/>
  <c r="L905"/>
  <c r="L906"/>
  <c r="L907"/>
  <c r="L908"/>
  <c r="L909"/>
  <c r="L910"/>
  <c r="L911"/>
  <c r="L912"/>
  <c r="L913"/>
  <c r="L914"/>
  <c r="L915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Q25" i="4"/>
  <c r="L25"/>
  <c r="K25"/>
  <c r="J25"/>
  <c r="Q24"/>
  <c r="L24"/>
  <c r="K24"/>
  <c r="J24"/>
  <c r="Q23"/>
  <c r="L23"/>
  <c r="K23"/>
  <c r="J23"/>
  <c r="Q22"/>
  <c r="L22"/>
  <c r="K22"/>
  <c r="J22"/>
  <c r="Q12"/>
  <c r="L12"/>
  <c r="K12"/>
  <c r="J12"/>
  <c r="W6" i="5"/>
  <c r="W5"/>
  <c r="W4"/>
  <c r="V6"/>
  <c r="V5"/>
  <c r="V4"/>
  <c r="U6"/>
  <c r="U5"/>
  <c r="U4"/>
  <c r="T6"/>
  <c r="T5"/>
  <c r="T4"/>
  <c r="S6"/>
  <c r="S5"/>
  <c r="S4"/>
  <c r="R6"/>
  <c r="R5"/>
  <c r="M25" i="4" l="1"/>
  <c r="P25" s="1"/>
  <c r="O25"/>
  <c r="R25" s="1"/>
  <c r="O24"/>
  <c r="O22"/>
  <c r="R24"/>
  <c r="O12"/>
  <c r="O23"/>
  <c r="R23" s="1"/>
  <c r="R22"/>
  <c r="R12"/>
  <c r="Q6" i="5"/>
  <c r="Q5"/>
  <c r="Q4"/>
  <c r="R4"/>
  <c r="T47" i="9" l="1"/>
  <c r="P47"/>
  <c r="L47"/>
  <c r="R46"/>
  <c r="N46"/>
  <c r="J46"/>
  <c r="T45"/>
  <c r="P45"/>
  <c r="L45"/>
  <c r="I40"/>
  <c r="M40"/>
  <c r="Q40"/>
  <c r="J41"/>
  <c r="N41"/>
  <c r="R41"/>
  <c r="K42"/>
  <c r="O42"/>
  <c r="S42"/>
  <c r="Q47"/>
  <c r="M47"/>
  <c r="I47"/>
  <c r="S46"/>
  <c r="O46"/>
  <c r="K46"/>
  <c r="Q45"/>
  <c r="M45"/>
  <c r="I45"/>
  <c r="L40"/>
  <c r="P40"/>
  <c r="T40"/>
  <c r="I41"/>
  <c r="M41"/>
  <c r="Q41"/>
  <c r="J42"/>
  <c r="N42"/>
  <c r="R42"/>
  <c r="R47"/>
  <c r="N47"/>
  <c r="J47"/>
  <c r="T46"/>
  <c r="P46"/>
  <c r="L46"/>
  <c r="R45"/>
  <c r="N45"/>
  <c r="J45"/>
  <c r="K40"/>
  <c r="O40"/>
  <c r="S40"/>
  <c r="L41"/>
  <c r="P41"/>
  <c r="T41"/>
  <c r="I42"/>
  <c r="M42"/>
  <c r="Q42"/>
  <c r="S47"/>
  <c r="O47"/>
  <c r="K47"/>
  <c r="Q46"/>
  <c r="M46"/>
  <c r="I46"/>
  <c r="S45"/>
  <c r="O45"/>
  <c r="K45"/>
  <c r="J40"/>
  <c r="N40"/>
  <c r="R40"/>
  <c r="K41"/>
  <c r="O41"/>
  <c r="S41"/>
  <c r="L42"/>
  <c r="P42"/>
  <c r="T42"/>
  <c r="M30" i="1"/>
  <c r="J753" i="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740"/>
  <c r="J741"/>
  <c r="J742"/>
  <c r="J743"/>
  <c r="J744"/>
  <c r="J745"/>
  <c r="J746"/>
  <c r="J747"/>
  <c r="J748"/>
  <c r="J749"/>
  <c r="J750"/>
  <c r="J751"/>
  <c r="J752"/>
  <c r="Q14" i="4"/>
  <c r="L14"/>
  <c r="K14"/>
  <c r="J14"/>
  <c r="J2"/>
  <c r="I25" l="1"/>
  <c r="N25" s="1"/>
  <c r="M23"/>
  <c r="P23" s="1"/>
  <c r="I23"/>
  <c r="N23" s="1"/>
  <c r="I24"/>
  <c r="N24" s="1"/>
  <c r="M24"/>
  <c r="P24" s="1"/>
  <c r="R14"/>
  <c r="O14"/>
  <c r="K2" l="1"/>
  <c r="Q2"/>
  <c r="L2"/>
  <c r="O2" l="1"/>
  <c r="R2" s="1"/>
  <c r="I38" i="9"/>
  <c r="M31" i="1"/>
  <c r="M29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H36"/>
  <c r="H38" s="1"/>
  <c r="G36"/>
  <c r="G38" s="1"/>
  <c r="F36"/>
  <c r="F38" s="1"/>
  <c r="H47" l="1"/>
  <c r="H45"/>
  <c r="H42"/>
  <c r="H40"/>
  <c r="H46"/>
  <c r="H41"/>
  <c r="G46"/>
  <c r="G40"/>
  <c r="G42"/>
  <c r="G47"/>
  <c r="G45"/>
  <c r="G41"/>
  <c r="F45"/>
  <c r="F41"/>
  <c r="F47"/>
  <c r="F40"/>
  <c r="F46"/>
  <c r="F42"/>
  <c r="M32" i="1"/>
  <c r="M33" s="1"/>
  <c r="Q19" i="4"/>
  <c r="L19"/>
  <c r="K19"/>
  <c r="J19"/>
  <c r="U46" i="9" l="1"/>
  <c r="U47"/>
  <c r="U45"/>
  <c r="O19" i="4"/>
  <c r="R19" s="1"/>
  <c r="Q18"/>
  <c r="Q7"/>
  <c r="Q6"/>
  <c r="Q3"/>
  <c r="Q15"/>
  <c r="Q8"/>
  <c r="Q16"/>
  <c r="Q20"/>
  <c r="Q17"/>
  <c r="Q5"/>
  <c r="Q4"/>
  <c r="Q10"/>
  <c r="Q9"/>
  <c r="Q11"/>
  <c r="Q21"/>
  <c r="Q13"/>
  <c r="O29" i="1"/>
  <c r="M17"/>
  <c r="M18" s="1"/>
  <c r="J6" i="4"/>
  <c r="J18"/>
  <c r="J7"/>
  <c r="J5"/>
  <c r="J8"/>
  <c r="J15"/>
  <c r="J16"/>
  <c r="J20"/>
  <c r="J4"/>
  <c r="J3"/>
  <c r="J10"/>
  <c r="J11"/>
  <c r="J9"/>
  <c r="J21"/>
  <c r="J17"/>
  <c r="J13"/>
  <c r="L6"/>
  <c r="L18"/>
  <c r="L7"/>
  <c r="L5"/>
  <c r="L8"/>
  <c r="L15"/>
  <c r="L16"/>
  <c r="L20"/>
  <c r="L4"/>
  <c r="L3"/>
  <c r="L10"/>
  <c r="L11"/>
  <c r="L9"/>
  <c r="L21"/>
  <c r="L17"/>
  <c r="L13"/>
  <c r="O6" l="1"/>
  <c r="R6" s="1"/>
  <c r="O4"/>
  <c r="R4" s="1"/>
  <c r="O8"/>
  <c r="R8" s="1"/>
  <c r="M34" i="1"/>
  <c r="O9" i="4"/>
  <c r="R9" s="1"/>
  <c r="O13"/>
  <c r="R13" s="1"/>
  <c r="O15"/>
  <c r="R15" s="1"/>
  <c r="O18"/>
  <c r="R18" s="1"/>
  <c r="O3"/>
  <c r="R3" s="1"/>
  <c r="O21"/>
  <c r="R21" s="1"/>
  <c r="O10"/>
  <c r="R10" s="1"/>
  <c r="O16"/>
  <c r="R16" s="1"/>
  <c r="O7"/>
  <c r="R7" s="1"/>
  <c r="O17"/>
  <c r="R17" s="1"/>
  <c r="O11"/>
  <c r="R11" s="1"/>
  <c r="O20"/>
  <c r="R20" s="1"/>
  <c r="O5"/>
  <c r="R5" s="1"/>
  <c r="K7"/>
  <c r="O31" i="1" l="1"/>
  <c r="O33"/>
  <c r="K13" i="4"/>
  <c r="O37" i="1" l="1"/>
  <c r="O35"/>
  <c r="J543" i="3"/>
  <c r="M36" i="1" l="1"/>
  <c r="K10" i="4"/>
  <c r="I15" l="1"/>
  <c r="N15" s="1"/>
  <c r="I4"/>
  <c r="N4" s="1"/>
  <c r="M17"/>
  <c r="P17" s="1"/>
  <c r="M15"/>
  <c r="P15" s="1"/>
  <c r="M4"/>
  <c r="P4" s="1"/>
  <c r="M22"/>
  <c r="P22" s="1"/>
  <c r="M12" l="1"/>
  <c r="P12" s="1"/>
  <c r="M2"/>
  <c r="P2" s="1"/>
  <c r="I5"/>
  <c r="N5" s="1"/>
  <c r="M14"/>
  <c r="P14" s="1"/>
  <c r="M9"/>
  <c r="P9" s="1"/>
  <c r="M7"/>
  <c r="P7" s="1"/>
  <c r="M20"/>
  <c r="P20" s="1"/>
  <c r="M21"/>
  <c r="P21" s="1"/>
  <c r="M5"/>
  <c r="P5" s="1"/>
  <c r="M16"/>
  <c r="P16" s="1"/>
  <c r="M13"/>
  <c r="P13" s="1"/>
  <c r="M18"/>
  <c r="P18" s="1"/>
  <c r="M11"/>
  <c r="P11" s="1"/>
  <c r="M10"/>
  <c r="P10" s="1"/>
  <c r="M6"/>
  <c r="P6" s="1"/>
  <c r="M19"/>
  <c r="P19" s="1"/>
  <c r="M3"/>
  <c r="P3" s="1"/>
  <c r="M8"/>
  <c r="P8" s="1"/>
  <c r="J739" i="3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I22" i="4" s="1"/>
  <c r="N22" s="1"/>
  <c r="J534" i="3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J372"/>
  <c r="J371"/>
  <c r="J364"/>
  <c r="J360"/>
  <c r="J354"/>
  <c r="J349"/>
  <c r="J343"/>
  <c r="J324"/>
  <c r="J319"/>
  <c r="J314"/>
  <c r="J307"/>
  <c r="J299"/>
  <c r="J296"/>
  <c r="J294"/>
  <c r="J28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J17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I17" i="4" s="1"/>
  <c r="N17" s="1"/>
  <c r="J59" i="3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I12" i="4" s="1"/>
  <c r="N12" s="1"/>
  <c r="J121" i="3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K9" i="4"/>
  <c r="M16" i="1"/>
  <c r="M19" s="1"/>
  <c r="I2" i="4" l="1"/>
  <c r="N2" s="1"/>
  <c r="I14"/>
  <c r="N14" s="1"/>
  <c r="I11"/>
  <c r="N11" s="1"/>
  <c r="I9"/>
  <c r="N9" s="1"/>
  <c r="I10"/>
  <c r="N10" s="1"/>
  <c r="I19"/>
  <c r="N19" s="1"/>
  <c r="I21"/>
  <c r="N21" s="1"/>
  <c r="I20"/>
  <c r="N20" s="1"/>
  <c r="I13"/>
  <c r="N13" s="1"/>
  <c r="I7"/>
  <c r="N7" s="1"/>
  <c r="I16"/>
  <c r="N16" s="1"/>
  <c r="I6"/>
  <c r="N6" s="1"/>
  <c r="I18"/>
  <c r="N18" s="1"/>
  <c r="I8"/>
  <c r="N8" s="1"/>
  <c r="I3"/>
  <c r="N3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20" i="4"/>
  <c r="K21"/>
  <c r="K16"/>
  <c r="K8"/>
  <c r="K17"/>
  <c r="K18"/>
  <c r="K11"/>
  <c r="K15"/>
  <c r="K3"/>
  <c r="K4"/>
  <c r="K5"/>
  <c r="K6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0" i="1" l="1"/>
  <c r="M11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B3" s="1"/>
  <c r="M40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N27"/>
  <c r="O27" s="1"/>
  <c r="P25"/>
  <c r="R25" s="1"/>
  <c r="M26" l="1"/>
  <c r="P26"/>
  <c r="R26" s="1"/>
  <c r="M27"/>
  <c r="P27" s="1"/>
  <c r="R27" s="1"/>
</calcChain>
</file>

<file path=xl/sharedStrings.xml><?xml version="1.0" encoding="utf-8"?>
<sst xmlns="http://schemas.openxmlformats.org/spreadsheetml/2006/main" count="3249" uniqueCount="326">
  <si>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</si>
  <si>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</si>
  <si>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</si>
  <si>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</si>
  <si>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</si>
  <si>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</si>
  <si>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</si>
  <si>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</si>
  <si>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</si>
  <si>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</si>
  <si>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</si>
  <si>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</si>
  <si>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</si>
  <si>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</si>
  <si>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</si>
  <si>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</si>
  <si>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</si>
  <si>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</si>
  <si>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</si>
  <si>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</si>
  <si>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</si>
  <si>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</si>
  <si>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</si>
  <si>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</si>
  <si>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</si>
  <si>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</si>
  <si>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</si>
  <si>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</si>
  <si>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</si>
  <si>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</si>
  <si>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</si>
  <si>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</si>
  <si>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</si>
  <si>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</si>
  <si>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</si>
  <si>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</si>
  <si>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</si>
  <si>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</si>
  <si>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</si>
  <si>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</si>
  <si>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</si>
  <si>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</si>
  <si>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</si>
  <si>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</si>
  <si>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</si>
  <si>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</si>
  <si>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</si>
  <si>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</si>
  <si>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</si>
  <si>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</si>
  <si>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</si>
  <si>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</si>
  <si>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</si>
  <si>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</si>
  <si>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</si>
  <si>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</si>
  <si>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</si>
  <si>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</si>
  <si>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</si>
  <si>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</si>
  <si>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</si>
  <si>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</si>
  <si>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</si>
  <si>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</si>
  <si>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</si>
  <si>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</si>
  <si>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</si>
  <si>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</si>
  <si>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</si>
  <si>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</si>
  <si>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</si>
  <si>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</si>
  <si>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</si>
  <si>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</si>
  <si>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</si>
  <si>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</si>
  <si>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</si>
  <si>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</si>
  <si>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</si>
  <si>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</si>
  <si>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</si>
  <si>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</si>
  <si>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</si>
  <si>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</si>
  <si>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</si>
  <si>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</si>
  <si>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</si>
  <si>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</si>
  <si>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</si>
  <si>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</si>
  <si>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</si>
  <si>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</si>
  <si>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</si>
  <si>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</si>
  <si>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</si>
  <si>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</si>
  <si>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</si>
  <si>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</si>
  <si>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</si>
  <si>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</si>
  <si>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</si>
  <si>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</si>
  <si>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</si>
  <si>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</si>
  <si>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</si>
  <si>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</si>
  <si>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</si>
  <si>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</si>
  <si>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</si>
  <si>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</si>
  <si>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</si>
  <si>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</si>
  <si>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</si>
  <si>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</si>
  <si>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</si>
  <si>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</si>
  <si>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</si>
  <si>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</si>
  <si>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</si>
  <si>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</si>
  <si>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</si>
  <si>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</si>
  <si>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</si>
  <si>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</si>
  <si>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</si>
  <si>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</si>
  <si>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</si>
  <si>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</si>
  <si>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</si>
  <si>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</si>
  <si>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</si>
  <si>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</si>
  <si>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</si>
  <si>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</si>
  <si>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</si>
  <si>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</si>
  <si>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</si>
  <si>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</si>
  <si>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</si>
  <si>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</si>
  <si>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</si>
  <si>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</si>
  <si>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</si>
  <si>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</si>
  <si>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</si>
  <si>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</si>
  <si>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</si>
  <si>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</si>
  <si>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</si>
  <si>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</si>
  <si>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</si>
  <si>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</si>
  <si>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</si>
  <si>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</si>
  <si>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</si>
  <si>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</si>
  <si>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</si>
  <si>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</si>
  <si>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</si>
  <si>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</si>
  <si>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SummStone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</si>
  <si>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</si>
  <si>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</si>
  <si>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</si>
  <si>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</si>
  <si>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</si>
  <si>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</si>
  <si>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</si>
  <si>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</si>
  <si>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</si>
  <si>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</si>
  <si>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</si>
  <si>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</si>
  <si>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</si>
  <si>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</si>
  <si>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</si>
  <si>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</si>
  <si>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</si>
  <si>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</si>
  <si>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</si>
  <si>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</si>
  <si>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</si>
  <si>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</si>
  <si>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</si>
  <si>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</si>
  <si>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</si>
  <si>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</si>
  <si>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</si>
  <si>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</si>
  <si>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</si>
  <si>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</si>
  <si>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</si>
  <si>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</si>
  <si>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</si>
  <si>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</si>
  <si>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</si>
  <si>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</si>
  <si>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</si>
  <si>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</si>
  <si>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</si>
  <si>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</si>
  <si>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</si>
  <si>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</si>
  <si>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</si>
  <si>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</si>
  <si>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</si>
  <si>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</si>
  <si>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</si>
  <si>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</si>
  <si>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</si>
  <si>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</si>
  <si>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</si>
  <si>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</si>
  <si>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</si>
  <si>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</si>
  <si>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</si>
  <si>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</si>
  <si>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</si>
  <si>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</si>
  <si>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</si>
  <si>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</si>
  <si>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</si>
  <si>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</si>
  <si>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</si>
  <si>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</si>
  <si>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</si>
  <si>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</si>
  <si>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</si>
  <si>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SD(Bearman)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</si>
  <si>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</si>
  <si>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</si>
  <si>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</si>
  <si>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</si>
  <si>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</si>
  <si>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</si>
  <si>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</si>
  <si>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</si>
  <si>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</si>
  <si>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</si>
  <si>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</si>
  <si>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</si>
  <si>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</si>
  <si>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</si>
  <si>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</si>
  <si>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</si>
  <si>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</si>
  <si>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</si>
  <si>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</si>
  <si>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</si>
  <si>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</si>
  <si>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</si>
  <si>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</si>
  <si>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</si>
  <si>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</si>
  <si>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</si>
  <si>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</si>
  <si>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</si>
  <si>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</si>
  <si>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</si>
  <si>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</si>
  <si>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</si>
  <si>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</si>
  <si>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</si>
  <si>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</si>
  <si>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</si>
  <si>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</si>
  <si>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</si>
  <si>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</si>
  <si>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</si>
  <si>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</si>
  <si>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</si>
  <si>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</si>
  <si>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</si>
  <si>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</si>
  <si>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</si>
  <si>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</si>
  <si>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</si>
  <si>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</si>
  <si>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</si>
  <si>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</si>
  <si>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</si>
  <si>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</si>
  <si>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</si>
  <si>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</si>
  <si>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</si>
  <si>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</si>
  <si>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</si>
  <si>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</si>
  <si>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</si>
  <si>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</si>
  <si>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</si>
  <si>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</si>
  <si>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</si>
  <si>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</si>
  <si>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</si>
  <si>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</si>
  <si>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</si>
  <si>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</si>
  <si>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</si>
  <si>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</si>
  <si>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</si>
  <si>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</si>
  <si>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</si>
  <si>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</si>
  <si>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</si>
  <si>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</si>
  <si>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Myst.Scroll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</si>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</sst>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0" xfId="0" applyNumberFormat="1" applyBorder="1"/>
    <xf numFmtId="2" fontId="0" fillId="0" borderId="6" xfId="0" applyNumberFormat="1" applyBorder="1"/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</cellXfs>
  <cellStyles count="1">
    <cellStyle name="Normalny" xfId="0" builtinId="0"/>
  </cellStyles>
  <dxfs count="29"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4" formatCode="#,##0.00"/>
    </dxf>
    <dxf>
      <numFmt numFmtId="13" formatCode="0%"/>
    </dxf>
    <dxf>
      <numFmt numFmtId="0" formatCode="General"/>
    </dxf>
    <dxf>
      <numFmt numFmtId="0" formatCode="General"/>
    </dxf>
    <dxf>
      <alignment horizontal="general" vertical="bottom" textRotation="0" wrapText="0" indent="0" relativeIndent="0" justifyLastLine="0" shrinkToFit="0" mergeCell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8.776630787041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4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0"/>
    <x v="0"/>
    <x v="10"/>
    <m/>
    <n v="0"/>
    <s v="Water"/>
    <m/>
    <x v="0"/>
    <n v="0"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  <r>
    <x v="13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27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5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3"/>
        <item x="11"/>
        <item h="1" x="12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27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5">
        <item h="1" x="5"/>
        <item h="1" x="1"/>
        <item h="1" x="2"/>
        <item x="3"/>
        <item h="1" x="4"/>
        <item h="1" x="0"/>
        <item h="1" x="13"/>
        <item x="6"/>
        <item h="1" x="7"/>
        <item x="8"/>
        <item h="1" x="9"/>
        <item x="10"/>
        <item x="11"/>
        <item h="1" x="12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27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5">
        <item x="5"/>
        <item x="1"/>
        <item x="2"/>
        <item x="3"/>
        <item x="4"/>
        <item x="0"/>
        <item h="1" x="13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2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2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8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calculatedColumnFormula>
    </tableColumn>
    <tableColumn id="10" name="Exp Gain" dataDxfId="9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2" name="LocFeatures" displayName="LocFeatures" ref="A1:V96" totalsRowShown="0">
  <autoFilter ref="A1:V96"/>
  <sortState ref="A2:V107">
    <sortCondition ref="A2:A107"/>
    <sortCondition ref="B2:B107"/>
    <sortCondition ref="C2:C107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25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24">
      <calculatedColumnFormula>4*LocFeatures[[#This Row],[XP Gain per member]]</calculatedColumnFormula>
    </tableColumn>
    <tableColumn id="11" name="XP Train Gain"/>
    <tableColumn id="22" name="XP drop" dataDxfId="23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22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21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20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1" name="Tabela11" displayName="Tabela11" ref="Q3:W6" totalsRowShown="0" headerRowDxfId="10" tableBorderDxfId="17">
  <autoFilter ref="Q3:W6"/>
  <tableColumns count="7">
    <tableColumn id="1" name="Kolumna1">
      <calculatedColumnFormula>G5</calculatedColumnFormula>
    </tableColumn>
    <tableColumn id="2" name="4" dataDxfId="16"/>
    <tableColumn id="3" name="5" dataDxfId="15"/>
    <tableColumn id="4" name="7" dataDxfId="14"/>
    <tableColumn id="5" name="8" dataDxfId="13"/>
    <tableColumn id="6" name="9" dataDxfId="12"/>
    <tableColumn id="7" name="10" dataDxfId="1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M32" sqref="M3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180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181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180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257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180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M2000"/>
  <sheetViews>
    <sheetView zoomScale="85" zoomScaleNormal="85" workbookViewId="0">
      <pane ySplit="1" topLeftCell="A859" activePane="bottomLeft" state="frozen"/>
      <selection pane="bottomLeft" activeCell="A895" sqref="A89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223</v>
      </c>
      <c r="I1" t="s">
        <v>194</v>
      </c>
      <c r="J1" t="s">
        <v>193</v>
      </c>
      <c r="K1" t="s">
        <v>200</v>
      </c>
      <c r="L1" t="s">
        <v>198</v>
      </c>
      <c r="M1" t="s">
        <v>299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 t="s">
        <v>12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 t="s">
        <v>12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 t="s">
        <v>12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 t="s">
        <v>17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 t="s">
        <v>17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 t="s">
        <v>12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 t="s">
        <v>12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288</v>
      </c>
      <c r="G120">
        <v>2</v>
      </c>
      <c r="H120" t="s">
        <v>309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 t="s">
        <v>12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 t="s">
        <v>12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 t="s">
        <v>17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 t="s">
        <v>12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 t="s">
        <v>12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 t="s">
        <v>12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288</v>
      </c>
      <c r="G170">
        <v>2</v>
      </c>
      <c r="H170" t="s">
        <v>309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288</v>
      </c>
      <c r="G174">
        <v>1</v>
      </c>
      <c r="H174" t="s">
        <v>310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285</v>
      </c>
      <c r="G176">
        <v>2</v>
      </c>
      <c r="H176" t="s">
        <v>309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 t="s">
        <v>12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 t="s">
        <v>12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 t="s">
        <v>17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 t="s">
        <v>12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 t="s">
        <v>12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 t="s">
        <v>12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 t="s">
        <v>12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 t="s">
        <v>12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 t="s">
        <v>12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 t="s">
        <v>12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 t="s">
        <v>12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 t="s">
        <v>12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288</v>
      </c>
      <c r="G284">
        <v>4</v>
      </c>
      <c r="H284" t="s">
        <v>309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312</v>
      </c>
      <c r="G285">
        <v>3</v>
      </c>
      <c r="H285" t="s">
        <v>309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312</v>
      </c>
      <c r="G286">
        <v>2</v>
      </c>
      <c r="H286" t="s">
        <v>309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312</v>
      </c>
      <c r="G287">
        <v>1</v>
      </c>
      <c r="H287" t="s">
        <v>310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312</v>
      </c>
      <c r="G288">
        <v>2</v>
      </c>
      <c r="H288" t="s">
        <v>309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312</v>
      </c>
      <c r="G289">
        <v>1</v>
      </c>
      <c r="H289" t="s">
        <v>310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312</v>
      </c>
      <c r="G290">
        <v>2</v>
      </c>
      <c r="H290" t="s">
        <v>309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 t="s">
        <v>12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312</v>
      </c>
      <c r="G292">
        <v>2</v>
      </c>
      <c r="H292" t="s">
        <v>310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312</v>
      </c>
      <c r="G293">
        <v>1</v>
      </c>
      <c r="H293" t="s">
        <v>310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160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312</v>
      </c>
      <c r="G297">
        <v>1</v>
      </c>
      <c r="H297" t="s">
        <v>310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312</v>
      </c>
      <c r="G298">
        <v>3</v>
      </c>
      <c r="H298" t="s">
        <v>310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312</v>
      </c>
      <c r="G300">
        <v>4</v>
      </c>
      <c r="H300" t="s">
        <v>309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 t="s">
        <v>12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162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 t="s">
        <v>26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 t="s">
        <v>12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 t="s">
        <v>12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 t="s">
        <v>12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4" spans="1:12">
      <c r="A334" t="s">
        <v>191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288</v>
      </c>
      <c r="G335">
        <v>1</v>
      </c>
      <c r="H335" t="s">
        <v>310</v>
      </c>
      <c r="I335">
        <v>0</v>
      </c>
      <c r="J335">
        <v>0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6" spans="1:12">
      <c r="A336" t="s">
        <v>192</v>
      </c>
      <c r="B336" t="s">
        <v>9</v>
      </c>
      <c r="C336">
        <v>5</v>
      </c>
      <c r="D336">
        <v>1000</v>
      </c>
      <c r="E336">
        <v>0</v>
      </c>
      <c r="F336" t="s">
        <v>287</v>
      </c>
      <c r="G336">
        <v>5</v>
      </c>
      <c r="H336" t="s">
        <v>309</v>
      </c>
      <c r="I336">
        <v>0</v>
      </c>
      <c r="J336">
        <v>0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162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7" spans="1:12">
      <c r="A367" t="s">
        <v>191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8" spans="1:12">
      <c r="A368" t="s">
        <v>191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69" spans="1:12">
      <c r="A369" t="s">
        <v>191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0" spans="1:12">
      <c r="A370" t="s">
        <v>191</v>
      </c>
      <c r="B370" t="s">
        <v>9</v>
      </c>
      <c r="C370">
        <v>5</v>
      </c>
      <c r="D370">
        <v>2547</v>
      </c>
      <c r="E370">
        <v>2</v>
      </c>
      <c r="F370" t="s">
        <v>162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1" spans="1:12">
      <c r="A371" t="s">
        <v>191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2" spans="1:12">
      <c r="A372" t="s">
        <v>191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3" spans="1:12">
      <c r="A373" t="s">
        <v>191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4" spans="1:12">
      <c r="A374" t="s">
        <v>191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5" spans="1:12">
      <c r="A375" t="s">
        <v>191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6" spans="1:12">
      <c r="A376" t="s">
        <v>191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7" spans="1:12">
      <c r="A377" t="s">
        <v>191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8" spans="1:12">
      <c r="A378" t="s">
        <v>191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79" spans="1:12">
      <c r="A379" t="s">
        <v>191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0" spans="1:12">
      <c r="A380" t="s">
        <v>191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1" spans="1:12">
      <c r="A381" t="s">
        <v>191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2" spans="1:12">
      <c r="A382" t="s">
        <v>191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 t="s">
        <v>12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8" spans="1:12">
      <c r="A438" t="s">
        <v>197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 t="s">
        <v>12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 t="s">
        <v>26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 t="s">
        <v>17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 t="s">
        <v>17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 t="s">
        <v>17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 t="s">
        <v>12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162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162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162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 t="s">
        <v>17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 t="s">
        <v>12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 t="s">
        <v>17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162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 t="s">
        <v>17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 t="s">
        <v>26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162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 t="s">
        <v>26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288</v>
      </c>
      <c r="G522">
        <v>1</v>
      </c>
      <c r="H522" t="s">
        <v>310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288</v>
      </c>
      <c r="G523">
        <v>1</v>
      </c>
      <c r="H523" t="s">
        <v>310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288</v>
      </c>
      <c r="G524">
        <v>4</v>
      </c>
      <c r="H524" t="s">
        <v>309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5" spans="1:12">
      <c r="A525" s="10" t="s">
        <v>191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6" spans="1:12">
      <c r="A526" s="10" t="s">
        <v>191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7" spans="1:12">
      <c r="A527" s="10" t="s">
        <v>191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28" spans="1:12">
      <c r="A528" s="10" t="s">
        <v>191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 t="s">
        <v>12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529" spans="1:12">
      <c r="A529" s="10" t="s">
        <v>191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0" spans="1:12">
      <c r="A530" s="10" t="s">
        <v>191</v>
      </c>
      <c r="B530" t="s">
        <v>9</v>
      </c>
      <c r="C530">
        <v>6</v>
      </c>
      <c r="D530">
        <v>2638</v>
      </c>
      <c r="E530">
        <v>0</v>
      </c>
      <c r="F530" t="s">
        <v>162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1" spans="1:12">
      <c r="A531" s="10" t="s">
        <v>191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2" spans="1:12">
      <c r="A532" s="10" t="s">
        <v>191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3" spans="1:12">
      <c r="A533" s="10" t="s">
        <v>191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4" spans="1:12">
      <c r="A534" s="10" t="s">
        <v>191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5" spans="1:12">
      <c r="A535" s="10" t="s">
        <v>230</v>
      </c>
      <c r="B535" t="s">
        <v>9</v>
      </c>
      <c r="C535">
        <v>8</v>
      </c>
      <c r="D535">
        <v>2498</v>
      </c>
      <c r="E535">
        <v>2</v>
      </c>
      <c r="F535" t="s">
        <v>285</v>
      </c>
      <c r="G535">
        <v>3</v>
      </c>
      <c r="H535" t="s">
        <v>309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6" spans="1:12">
      <c r="A536" s="10" t="s">
        <v>230</v>
      </c>
      <c r="B536" t="s">
        <v>9</v>
      </c>
      <c r="C536">
        <v>7</v>
      </c>
      <c r="D536">
        <v>2073</v>
      </c>
      <c r="E536">
        <v>0</v>
      </c>
      <c r="F536" t="s">
        <v>285</v>
      </c>
      <c r="G536">
        <v>1</v>
      </c>
      <c r="H536" t="s">
        <v>310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7" spans="1:12">
      <c r="A537" s="10" t="s">
        <v>230</v>
      </c>
      <c r="B537" t="s">
        <v>9</v>
      </c>
      <c r="C537">
        <v>7</v>
      </c>
      <c r="D537">
        <v>2143</v>
      </c>
      <c r="E537">
        <v>0</v>
      </c>
      <c r="F537" t="s">
        <v>285</v>
      </c>
      <c r="G537">
        <v>3</v>
      </c>
      <c r="H537" t="s">
        <v>309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8" spans="1:12">
      <c r="A538" s="10" t="s">
        <v>230</v>
      </c>
      <c r="B538" t="s">
        <v>9</v>
      </c>
      <c r="C538">
        <v>7</v>
      </c>
      <c r="D538">
        <v>1852</v>
      </c>
      <c r="E538">
        <v>1</v>
      </c>
      <c r="F538" t="s">
        <v>285</v>
      </c>
      <c r="G538">
        <v>1</v>
      </c>
      <c r="H538" t="s">
        <v>310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39" spans="1:12">
      <c r="A539" s="10" t="s">
        <v>230</v>
      </c>
      <c r="B539" t="s">
        <v>9</v>
      </c>
      <c r="C539">
        <v>7</v>
      </c>
      <c r="D539">
        <v>2417</v>
      </c>
      <c r="E539">
        <v>0</v>
      </c>
      <c r="F539" t="s">
        <v>227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862.5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1651.5500000000002</v>
      </c>
    </row>
    <row r="540" spans="1:12">
      <c r="A540" s="10" t="s">
        <v>230</v>
      </c>
      <c r="B540" t="s">
        <v>9</v>
      </c>
      <c r="C540">
        <v>8</v>
      </c>
      <c r="D540">
        <v>2146</v>
      </c>
      <c r="E540">
        <v>0</v>
      </c>
      <c r="F540" t="s">
        <v>285</v>
      </c>
      <c r="G540">
        <v>2</v>
      </c>
      <c r="H540" t="s">
        <v>310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1" spans="1:12">
      <c r="A541" s="10" t="s">
        <v>230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2" spans="1:12">
      <c r="A542" s="10" t="s">
        <v>230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3" spans="1:12">
      <c r="A543" s="10" t="s">
        <v>230</v>
      </c>
      <c r="B543" t="s">
        <v>9</v>
      </c>
      <c r="C543">
        <v>8</v>
      </c>
      <c r="D543">
        <v>2223</v>
      </c>
      <c r="E543">
        <v>1</v>
      </c>
      <c r="F543" t="s">
        <v>285</v>
      </c>
      <c r="G543">
        <v>5</v>
      </c>
      <c r="H543" t="s">
        <v>309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4" spans="1:12">
      <c r="A544" s="10" t="s">
        <v>230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5" spans="1:12">
      <c r="A545" s="10" t="s">
        <v>230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6" spans="1:12">
      <c r="A546" s="10" t="s">
        <v>230</v>
      </c>
      <c r="B546" t="s">
        <v>9</v>
      </c>
      <c r="C546">
        <v>8</v>
      </c>
      <c r="D546">
        <v>2404</v>
      </c>
      <c r="E546">
        <v>1</v>
      </c>
      <c r="F546" t="s">
        <v>285</v>
      </c>
      <c r="G546">
        <v>4</v>
      </c>
      <c r="H546" t="s">
        <v>309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7" spans="1:12">
      <c r="A547" s="10" t="s">
        <v>230</v>
      </c>
      <c r="B547" t="s">
        <v>9</v>
      </c>
      <c r="C547">
        <v>8</v>
      </c>
      <c r="D547">
        <v>3017</v>
      </c>
      <c r="E547">
        <v>1</v>
      </c>
      <c r="F547" t="s">
        <v>285</v>
      </c>
      <c r="G547">
        <v>4</v>
      </c>
      <c r="H547" t="s">
        <v>309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8" spans="1:12">
      <c r="A548" s="10" t="s">
        <v>230</v>
      </c>
      <c r="B548" t="s">
        <v>9</v>
      </c>
      <c r="C548">
        <v>8</v>
      </c>
      <c r="D548">
        <v>2175</v>
      </c>
      <c r="E548">
        <v>0</v>
      </c>
      <c r="F548" t="s">
        <v>162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49" spans="1:12">
      <c r="A549" s="10" t="s">
        <v>230</v>
      </c>
      <c r="B549" t="s">
        <v>9</v>
      </c>
      <c r="C549">
        <v>8</v>
      </c>
      <c r="D549">
        <v>2276</v>
      </c>
      <c r="E549">
        <v>0</v>
      </c>
      <c r="F549" t="s">
        <v>285</v>
      </c>
      <c r="G549">
        <v>4</v>
      </c>
      <c r="H549" t="s">
        <v>309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0" spans="1:12">
      <c r="A550" s="10" t="s">
        <v>230</v>
      </c>
      <c r="B550" t="s">
        <v>9</v>
      </c>
      <c r="C550">
        <v>8</v>
      </c>
      <c r="D550">
        <v>2576</v>
      </c>
      <c r="E550">
        <v>3</v>
      </c>
      <c r="F550" t="s">
        <v>285</v>
      </c>
      <c r="G550">
        <v>4</v>
      </c>
      <c r="H550" t="s">
        <v>309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1" spans="1:12">
      <c r="A551" s="10" t="s">
        <v>230</v>
      </c>
      <c r="B551" t="s">
        <v>9</v>
      </c>
      <c r="C551">
        <v>8</v>
      </c>
      <c r="D551">
        <v>2058</v>
      </c>
      <c r="E551">
        <v>1</v>
      </c>
      <c r="F551" t="s">
        <v>285</v>
      </c>
      <c r="G551">
        <v>5</v>
      </c>
      <c r="H551" t="s">
        <v>309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2" spans="1:12">
      <c r="A552" s="10" t="s">
        <v>230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3" spans="1:12">
      <c r="A553" s="10" t="s">
        <v>230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4" spans="1:12">
      <c r="A554" s="10" t="s">
        <v>230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5" spans="1:12">
      <c r="A555" s="10" t="s">
        <v>230</v>
      </c>
      <c r="B555" t="s">
        <v>9</v>
      </c>
      <c r="C555">
        <v>8</v>
      </c>
      <c r="D555">
        <v>2526</v>
      </c>
      <c r="E555">
        <v>0</v>
      </c>
      <c r="F555" t="s">
        <v>285</v>
      </c>
      <c r="G555">
        <v>1</v>
      </c>
      <c r="H555" t="s">
        <v>311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6" spans="1:12">
      <c r="A556" s="10" t="s">
        <v>230</v>
      </c>
      <c r="B556" t="s">
        <v>9</v>
      </c>
      <c r="C556">
        <v>8</v>
      </c>
      <c r="D556">
        <v>2483</v>
      </c>
      <c r="E556">
        <v>3</v>
      </c>
      <c r="F556" t="s">
        <v>285</v>
      </c>
      <c r="G556">
        <v>1</v>
      </c>
      <c r="H556" t="s">
        <v>311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7" spans="1:12">
      <c r="A557" s="10" t="s">
        <v>230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8" spans="1:12">
      <c r="A558" s="10" t="s">
        <v>230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59" spans="1:12">
      <c r="A559" s="10" t="s">
        <v>230</v>
      </c>
      <c r="B559" t="s">
        <v>9</v>
      </c>
      <c r="C559">
        <v>8</v>
      </c>
      <c r="D559">
        <v>2671</v>
      </c>
      <c r="E559">
        <v>2</v>
      </c>
      <c r="F559" t="s">
        <v>285</v>
      </c>
      <c r="G559">
        <v>4</v>
      </c>
      <c r="H559" t="s">
        <v>309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0" spans="1:12">
      <c r="A560" s="10" t="s">
        <v>230</v>
      </c>
      <c r="B560" t="s">
        <v>9</v>
      </c>
      <c r="C560">
        <v>8</v>
      </c>
      <c r="D560">
        <v>2186</v>
      </c>
      <c r="E560">
        <v>1</v>
      </c>
      <c r="F560" t="s">
        <v>229</v>
      </c>
      <c r="G560" t="s">
        <v>17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1" spans="1:12">
      <c r="A561" s="10" t="s">
        <v>230</v>
      </c>
      <c r="B561" t="s">
        <v>9</v>
      </c>
      <c r="C561">
        <v>8</v>
      </c>
      <c r="D561">
        <v>2316</v>
      </c>
      <c r="E561">
        <v>0</v>
      </c>
      <c r="F561" t="s">
        <v>285</v>
      </c>
      <c r="G561">
        <v>3</v>
      </c>
      <c r="H561" t="s">
        <v>309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2" spans="1:12">
      <c r="A562" s="10" t="s">
        <v>230</v>
      </c>
      <c r="B562" t="s">
        <v>9</v>
      </c>
      <c r="C562">
        <v>8</v>
      </c>
      <c r="D562">
        <v>2046</v>
      </c>
      <c r="E562">
        <v>1</v>
      </c>
      <c r="F562" t="s">
        <v>285</v>
      </c>
      <c r="G562">
        <v>4</v>
      </c>
      <c r="H562" t="s">
        <v>309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3" spans="1:12">
      <c r="A563" s="10" t="s">
        <v>230</v>
      </c>
      <c r="B563" t="s">
        <v>9</v>
      </c>
      <c r="C563">
        <v>8</v>
      </c>
      <c r="D563">
        <v>2303</v>
      </c>
      <c r="E563">
        <v>3</v>
      </c>
      <c r="F563" t="s">
        <v>285</v>
      </c>
      <c r="G563">
        <v>1</v>
      </c>
      <c r="H563" t="s">
        <v>310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4" spans="1:12">
      <c r="A564" s="10" t="s">
        <v>230</v>
      </c>
      <c r="B564" t="s">
        <v>9</v>
      </c>
      <c r="C564">
        <v>8</v>
      </c>
      <c r="D564">
        <v>2396</v>
      </c>
      <c r="E564">
        <v>1</v>
      </c>
      <c r="F564" t="s">
        <v>285</v>
      </c>
      <c r="G564">
        <v>1</v>
      </c>
      <c r="H564" t="s">
        <v>310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5" spans="1:12">
      <c r="A565" s="10" t="s">
        <v>230</v>
      </c>
      <c r="B565" t="s">
        <v>9</v>
      </c>
      <c r="C565">
        <v>8</v>
      </c>
      <c r="D565">
        <v>2325</v>
      </c>
      <c r="E565">
        <v>1</v>
      </c>
      <c r="F565" t="s">
        <v>285</v>
      </c>
      <c r="G565">
        <v>2</v>
      </c>
      <c r="H565" t="s">
        <v>311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6" spans="1:12">
      <c r="A566" s="10" t="s">
        <v>230</v>
      </c>
      <c r="B566" t="s">
        <v>9</v>
      </c>
      <c r="C566">
        <v>8</v>
      </c>
      <c r="D566">
        <v>2398</v>
      </c>
      <c r="E566">
        <v>1</v>
      </c>
      <c r="F566" t="s">
        <v>285</v>
      </c>
      <c r="G566">
        <v>3</v>
      </c>
      <c r="H566" t="s">
        <v>309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7" spans="1:12">
      <c r="A567" s="10" t="s">
        <v>230</v>
      </c>
      <c r="B567" t="s">
        <v>9</v>
      </c>
      <c r="C567">
        <v>8</v>
      </c>
      <c r="D567">
        <v>2668</v>
      </c>
      <c r="E567">
        <v>0</v>
      </c>
      <c r="F567" t="s">
        <v>285</v>
      </c>
      <c r="G567">
        <v>3</v>
      </c>
      <c r="H567" t="s">
        <v>311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288</v>
      </c>
      <c r="G568">
        <v>2</v>
      </c>
      <c r="H568" t="s">
        <v>310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288</v>
      </c>
      <c r="G569">
        <v>1</v>
      </c>
      <c r="H569" t="s">
        <v>310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288</v>
      </c>
      <c r="G570">
        <v>4</v>
      </c>
      <c r="H570" t="s">
        <v>309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288</v>
      </c>
      <c r="G571">
        <v>1</v>
      </c>
      <c r="H571" t="s">
        <v>310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288</v>
      </c>
      <c r="G572">
        <v>1</v>
      </c>
      <c r="H572" t="s">
        <v>310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288</v>
      </c>
      <c r="G573">
        <v>4</v>
      </c>
      <c r="H573" t="s">
        <v>309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288</v>
      </c>
      <c r="G574">
        <v>3</v>
      </c>
      <c r="H574" t="s">
        <v>310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288</v>
      </c>
      <c r="G575">
        <v>3</v>
      </c>
      <c r="H575" t="s">
        <v>310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288</v>
      </c>
      <c r="G576">
        <v>4</v>
      </c>
      <c r="H576" t="s">
        <v>309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288</v>
      </c>
      <c r="G577">
        <v>3</v>
      </c>
      <c r="H577" t="s">
        <v>309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285</v>
      </c>
      <c r="G578">
        <v>3</v>
      </c>
      <c r="H578" t="s">
        <v>309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288</v>
      </c>
      <c r="G579">
        <v>5</v>
      </c>
      <c r="H579" t="s">
        <v>309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162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288</v>
      </c>
      <c r="G582">
        <v>3</v>
      </c>
      <c r="H582" t="s">
        <v>309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288</v>
      </c>
      <c r="G583">
        <v>2</v>
      </c>
      <c r="H583" t="s">
        <v>311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4" spans="1:12">
      <c r="A584" s="10" t="s">
        <v>191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27</v>
      </c>
      <c r="H584" t="s">
        <v>233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 t="s">
        <v>12</v>
      </c>
      <c r="I586">
        <v>0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 t="s">
        <v>12</v>
      </c>
      <c r="I587">
        <v>0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I589">
        <v>0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I590">
        <v>0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I592">
        <v>0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I599">
        <v>0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 t="s">
        <v>12</v>
      </c>
      <c r="I604">
        <v>0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I605">
        <v>0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I606">
        <v>0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I608">
        <v>0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 t="s">
        <v>12</v>
      </c>
      <c r="I611">
        <v>0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Drop]]+IF(DropAnalityka[[#This Row],[Drop]]="Scroll", 2000*DropAnalityka[[#This Row],[Quality/Quantity]],0)</f>
        <v>1159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Drop]]+IF(DropAnalityka[[#This Row],[Drop]]="Scroll", 2000*DropAnalityka[[#This Row],[Quality/Quantity]],0)</f>
        <v>1159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Drop]]+IF(DropAnalityka[[#This Row],[Drop]]="Scroll", 2000*DropAnalityka[[#This Row],[Quality/Quantity]],0)</f>
        <v>1159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I619">
        <v>0</v>
      </c>
      <c r="J619">
        <f>DropAnalityka[[#This Row],[Sell Drop]]+IF(DropAnalityka[[#This Row],[Drop]]="Scroll", 2000*DropAnalityka[[#This Row],[Quality/Quantity]],0)</f>
        <v>4000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I620">
        <v>0</v>
      </c>
      <c r="J620">
        <f>DropAnalityka[[#This Row],[Sell Drop]]+IF(DropAnalityka[[#This Row],[Drop]]="Scroll", 2000*DropAnalityka[[#This Row],[Quality/Quantity]],0)</f>
        <v>4000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I621">
        <v>0</v>
      </c>
      <c r="J621">
        <f>DropAnalityka[[#This Row],[Sell Drop]]+IF(DropAnalityka[[#This Row],[Drop]]="Scroll", 2000*DropAnalityka[[#This Row],[Quality/Quantity]],0)</f>
        <v>4000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Drop]]+IF(DropAnalityka[[#This Row],[Drop]]="Scroll", 2000*DropAnalityka[[#This Row],[Quality/Quantity]],0)</f>
        <v>1824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Drop]]+IF(DropAnalityka[[#This Row],[Drop]]="Scroll", 2000*DropAnalityka[[#This Row],[Quality/Quantity]],0)</f>
        <v>1976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Drop]]+IF(DropAnalityka[[#This Row],[Drop]]="Scroll", 2000*DropAnalityka[[#This Row],[Quality/Quantity]],0)</f>
        <v>1976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Drop]]+IF(DropAnalityka[[#This Row],[Drop]]="Scroll", 2000*DropAnalityka[[#This Row],[Quality/Quantity]],0)</f>
        <v>1824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Drop]]+IF(DropAnalityka[[#This Row],[Drop]]="Scroll", 2000*DropAnalityka[[#This Row],[Quality/Quantity]],0)</f>
        <v>1824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Drop]]+IF(DropAnalityka[[#This Row],[Drop]]="Scroll", 2000*DropAnalityka[[#This Row],[Quality/Quantity]],0)</f>
        <v>2937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Drop]]+IF(DropAnalityka[[#This Row],[Drop]]="Scroll", 2000*DropAnalityka[[#This Row],[Quality/Quantity]],0)</f>
        <v>1824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Drop]]+IF(DropAnalityka[[#This Row],[Drop]]="Scroll", 2000*DropAnalityka[[#This Row],[Quality/Quantity]],0)</f>
        <v>1824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Drop]]+IF(DropAnalityka[[#This Row],[Drop]]="Scroll", 2000*DropAnalityka[[#This Row],[Quality/Quantity]],0)</f>
        <v>1824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Drop]]+IF(DropAnalityka[[#This Row],[Drop]]="Scroll", 2000*DropAnalityka[[#This Row],[Quality/Quantity]],0)</f>
        <v>1824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Drop]]+IF(DropAnalityka[[#This Row],[Drop]]="Scroll", 2000*DropAnalityka[[#This Row],[Quality/Quantity]],0)</f>
        <v>2937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Drop]]+IF(DropAnalityka[[#This Row],[Drop]]="Scroll", 2000*DropAnalityka[[#This Row],[Quality/Quantity]],0)</f>
        <v>3182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Drop]]+IF(DropAnalityka[[#This Row],[Drop]]="Scroll", 2000*DropAnalityka[[#This Row],[Quality/Quantity]],0)</f>
        <v>2128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I635">
        <v>0</v>
      </c>
      <c r="J635">
        <f>DropAnalityka[[#This Row],[Sell Drop]]+IF(DropAnalityka[[#This Row],[Drop]]="Scroll", 2000*DropAnalityka[[#This Row],[Quality/Quantity]],0)</f>
        <v>4000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Drop]]+IF(DropAnalityka[[#This Row],[Drop]]="Scroll", 2000*DropAnalityka[[#This Row],[Quality/Quantity]],0)</f>
        <v>1352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I637">
        <v>0</v>
      </c>
      <c r="J637">
        <f>DropAnalityka[[#This Row],[Sell Drop]]+IF(DropAnalityka[[#This Row],[Drop]]="Scroll", 2000*DropAnalityka[[#This Row],[Quality/Quantity]],0)</f>
        <v>6000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Drop]]+IF(DropAnalityka[[#This Row],[Drop]]="Scroll", 2000*DropAnalityka[[#This Row],[Quality/Quantity]],0)</f>
        <v>1352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Drop]]+IF(DropAnalityka[[#This Row],[Drop]]="Scroll", 2000*DropAnalityka[[#This Row],[Quality/Quantity]],0)</f>
        <v>1352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Drop]]+IF(DropAnalityka[[#This Row],[Drop]]="Scroll", 2000*DropAnalityka[[#This Row],[Quality/Quantity]],0)</f>
        <v>2411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Drop]]+IF(DropAnalityka[[#This Row],[Drop]]="Scroll", 2000*DropAnalityka[[#This Row],[Quality/Quantity]],0)</f>
        <v>2067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Drop]]+IF(DropAnalityka[[#This Row],[Drop]]="Scroll", 2000*DropAnalityka[[#This Row],[Quality/Quantity]],0)</f>
        <v>1159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Drop]]+IF(DropAnalityka[[#This Row],[Drop]]="Scroll", 2000*DropAnalityka[[#This Row],[Quality/Quantity]],0)</f>
        <v>1159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Drop]]+IF(DropAnalityka[[#This Row],[Drop]]="Scroll", 2000*DropAnalityka[[#This Row],[Quality/Quantity]],0)</f>
        <v>2067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Drop]]+IF(DropAnalityka[[#This Row],[Drop]]="Scroll", 2000*DropAnalityka[[#This Row],[Quality/Quantity]],0)</f>
        <v>1546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Drop]]+IF(DropAnalityka[[#This Row],[Drop]]="Scroll", 2000*DropAnalityka[[#This Row],[Quality/Quantity]],0)</f>
        <v>1159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Drop]]+IF(DropAnalityka[[#This Row],[Drop]]="Scroll", 2000*DropAnalityka[[#This Row],[Quality/Quantity]],0)</f>
        <v>2067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I648">
        <v>0</v>
      </c>
      <c r="J648">
        <f>DropAnalityka[[#This Row],[Sell Drop]]+IF(DropAnalityka[[#This Row],[Drop]]="Scroll", 2000*DropAnalityka[[#This Row],[Quality/Quantity]],0)</f>
        <v>6000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Drop]]+IF(DropAnalityka[[#This Row],[Drop]]="Scroll", 2000*DropAnalityka[[#This Row],[Quality/Quantity]],0)</f>
        <v>1159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Drop]]+IF(DropAnalityka[[#This Row],[Drop]]="Scroll", 2000*DropAnalityka[[#This Row],[Quality/Quantity]],0)</f>
        <v>1159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Drop]]+IF(DropAnalityka[[#This Row],[Drop]]="Scroll", 2000*DropAnalityka[[#This Row],[Quality/Quantity]],0)</f>
        <v>1159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Drop]]+IF(DropAnalityka[[#This Row],[Drop]]="Scroll", 2000*DropAnalityka[[#This Row],[Quality/Quantity]],0)</f>
        <v>1159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I653">
        <v>0</v>
      </c>
      <c r="J653">
        <f>DropAnalityka[[#This Row],[Sell Drop]]+IF(DropAnalityka[[#This Row],[Drop]]="Scroll", 2000*DropAnalityka[[#This Row],[Quality/Quantity]],0)</f>
        <v>6000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Drop]]+IF(DropAnalityka[[#This Row],[Drop]]="Scroll", 2000*DropAnalityka[[#This Row],[Quality/Quantity]],0)</f>
        <v>1824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288</v>
      </c>
      <c r="G655">
        <v>4</v>
      </c>
      <c r="H655" t="s">
        <v>309</v>
      </c>
      <c r="I655">
        <v>0</v>
      </c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288</v>
      </c>
      <c r="G656">
        <v>1</v>
      </c>
      <c r="H656" t="s">
        <v>311</v>
      </c>
      <c r="I656">
        <v>0</v>
      </c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288</v>
      </c>
      <c r="G657">
        <v>1</v>
      </c>
      <c r="H657" t="s">
        <v>310</v>
      </c>
      <c r="I657">
        <v>0</v>
      </c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285</v>
      </c>
      <c r="G658">
        <v>1</v>
      </c>
      <c r="H658" t="s">
        <v>310</v>
      </c>
      <c r="I658">
        <v>0</v>
      </c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I659">
        <v>0</v>
      </c>
      <c r="J659">
        <f>DropAnalityka[[#This Row],[Sell Drop]]+IF(DropAnalityka[[#This Row],[Drop]]="Scroll", 2000*DropAnalityka[[#This Row],[Quality/Quantity]],0)</f>
        <v>8000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288</v>
      </c>
      <c r="G660">
        <v>1</v>
      </c>
      <c r="H660" t="s">
        <v>310</v>
      </c>
      <c r="I660">
        <v>0</v>
      </c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I661">
        <v>0</v>
      </c>
      <c r="J661">
        <f>DropAnalityka[[#This Row],[Sell Drop]]+IF(DropAnalityka[[#This Row],[Drop]]="Scroll", 2000*DropAnalityka[[#This Row],[Quality/Quantity]],0)</f>
        <v>8000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288</v>
      </c>
      <c r="G662">
        <v>1</v>
      </c>
      <c r="H662" t="s">
        <v>310</v>
      </c>
      <c r="I662">
        <v>0</v>
      </c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288</v>
      </c>
      <c r="G663">
        <v>5</v>
      </c>
      <c r="H663" t="s">
        <v>309</v>
      </c>
      <c r="I663">
        <v>0</v>
      </c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288</v>
      </c>
      <c r="G664">
        <v>4</v>
      </c>
      <c r="H664" t="s">
        <v>309</v>
      </c>
      <c r="I664">
        <v>0</v>
      </c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288</v>
      </c>
      <c r="G665">
        <v>2</v>
      </c>
      <c r="H665" t="s">
        <v>310</v>
      </c>
      <c r="I665">
        <v>0</v>
      </c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288</v>
      </c>
      <c r="G666">
        <v>1</v>
      </c>
      <c r="H666" t="s">
        <v>310</v>
      </c>
      <c r="I666">
        <v>0</v>
      </c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288</v>
      </c>
      <c r="G667">
        <v>3</v>
      </c>
      <c r="H667" t="s">
        <v>309</v>
      </c>
      <c r="I667">
        <v>0</v>
      </c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286</v>
      </c>
      <c r="G668">
        <v>1</v>
      </c>
      <c r="H668" t="s">
        <v>310</v>
      </c>
      <c r="I668">
        <v>0</v>
      </c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286</v>
      </c>
      <c r="G669">
        <v>2</v>
      </c>
      <c r="H669" t="s">
        <v>310</v>
      </c>
      <c r="I669">
        <v>0</v>
      </c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288</v>
      </c>
      <c r="G670">
        <v>5</v>
      </c>
      <c r="H670" t="s">
        <v>309</v>
      </c>
      <c r="I670">
        <v>0</v>
      </c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 t="s">
        <v>12</v>
      </c>
      <c r="I671">
        <v>0</v>
      </c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288</v>
      </c>
      <c r="G672">
        <v>3</v>
      </c>
      <c r="H672" t="s">
        <v>309</v>
      </c>
      <c r="I672">
        <v>0</v>
      </c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288</v>
      </c>
      <c r="G673">
        <v>4</v>
      </c>
      <c r="H673" t="s">
        <v>309</v>
      </c>
      <c r="I673">
        <v>0</v>
      </c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286</v>
      </c>
      <c r="G674">
        <v>3</v>
      </c>
      <c r="H674" t="s">
        <v>310</v>
      </c>
      <c r="I674">
        <v>0</v>
      </c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288</v>
      </c>
      <c r="G675">
        <v>5</v>
      </c>
      <c r="H675" t="s">
        <v>309</v>
      </c>
      <c r="I675">
        <v>0</v>
      </c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311</v>
      </c>
      <c r="I676">
        <v>0</v>
      </c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288</v>
      </c>
      <c r="G677">
        <v>5</v>
      </c>
      <c r="H677" t="s">
        <v>309</v>
      </c>
      <c r="I677">
        <v>0</v>
      </c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286</v>
      </c>
      <c r="G678">
        <v>1</v>
      </c>
      <c r="H678" t="s">
        <v>310</v>
      </c>
      <c r="I678">
        <v>0</v>
      </c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79" spans="1:12">
      <c r="A679" t="s">
        <v>191</v>
      </c>
      <c r="B679" t="s">
        <v>9</v>
      </c>
      <c r="C679">
        <v>8</v>
      </c>
      <c r="D679">
        <v>3681</v>
      </c>
      <c r="E679">
        <v>1</v>
      </c>
      <c r="F679" t="s">
        <v>296</v>
      </c>
      <c r="G679" t="s">
        <v>27</v>
      </c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Drop]]+IF(DropAnalityka[[#This Row],[Drop]]="Scroll", 2000*DropAnalityka[[#This Row],[Quality/Quantity]],0)</f>
        <v>1824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Drop]]+IF(DropAnalityka[[#This Row],[Drop]]="Scroll", 2000*DropAnalityka[[#This Row],[Quality/Quantity]],0)</f>
        <v>1824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Drop]]+IF(DropAnalityka[[#This Row],[Drop]]="Scroll", 2000*DropAnalityka[[#This Row],[Quality/Quantity]],0)</f>
        <v>1824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Drop]]+IF(DropAnalityka[[#This Row],[Drop]]="Scroll", 2000*DropAnalityka[[#This Row],[Quality/Quantity]],0)</f>
        <v>1824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Drop]]+IF(DropAnalityka[[#This Row],[Drop]]="Scroll", 2000*DropAnalityka[[#This Row],[Quality/Quantity]],0)</f>
        <v>1824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Drop]]+IF(DropAnalityka[[#This Row],[Drop]]="Scroll", 2000*DropAnalityka[[#This Row],[Quality/Quantity]],0)</f>
        <v>2128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Drop]]+IF(DropAnalityka[[#This Row],[Drop]]="Scroll", 2000*DropAnalityka[[#This Row],[Quality/Quantity]],0)</f>
        <v>1824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Drop]]+IF(DropAnalityka[[#This Row],[Drop]]="Scroll", 2000*DropAnalityka[[#This Row],[Quality/Quantity]],0)</f>
        <v>1824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Drop]]+IF(DropAnalityka[[#This Row],[Drop]]="Scroll", 2000*DropAnalityka[[#This Row],[Quality/Quantity]],0)</f>
        <v>2937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I689">
        <v>0</v>
      </c>
      <c r="J689">
        <f>DropAnalityka[[#This Row],[Sell Drop]]+IF(DropAnalityka[[#This Row],[Drop]]="Scroll", 2000*DropAnalityka[[#This Row],[Quality/Quantity]],0)</f>
        <v>8000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288</v>
      </c>
      <c r="G690">
        <v>1</v>
      </c>
      <c r="H690" t="s">
        <v>310</v>
      </c>
      <c r="I690">
        <v>0</v>
      </c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288</v>
      </c>
      <c r="G691">
        <v>1</v>
      </c>
      <c r="H691" t="s">
        <v>311</v>
      </c>
      <c r="I691">
        <v>0</v>
      </c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288</v>
      </c>
      <c r="G692">
        <v>1</v>
      </c>
      <c r="H692" t="s">
        <v>310</v>
      </c>
      <c r="I692">
        <v>0</v>
      </c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286</v>
      </c>
      <c r="G693">
        <v>1</v>
      </c>
      <c r="H693" t="s">
        <v>310</v>
      </c>
      <c r="I693">
        <v>0</v>
      </c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288</v>
      </c>
      <c r="G694">
        <v>4</v>
      </c>
      <c r="H694" t="s">
        <v>309</v>
      </c>
      <c r="I694">
        <v>0</v>
      </c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311</v>
      </c>
      <c r="I695">
        <v>0</v>
      </c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288</v>
      </c>
      <c r="G696">
        <v>1</v>
      </c>
      <c r="H696" t="s">
        <v>310</v>
      </c>
      <c r="I696">
        <v>0</v>
      </c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288</v>
      </c>
      <c r="G697">
        <v>5</v>
      </c>
      <c r="H697" t="s">
        <v>309</v>
      </c>
      <c r="I697">
        <v>0</v>
      </c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288</v>
      </c>
      <c r="G698">
        <v>1</v>
      </c>
      <c r="H698" t="s">
        <v>311</v>
      </c>
      <c r="I698">
        <v>0</v>
      </c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288</v>
      </c>
      <c r="G699">
        <v>3</v>
      </c>
      <c r="H699" t="s">
        <v>309</v>
      </c>
      <c r="I699">
        <v>0</v>
      </c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I700">
        <v>0</v>
      </c>
      <c r="J700">
        <f>DropAnalityka[[#This Row],[Sell Drop]]+IF(DropAnalityka[[#This Row],[Drop]]="Scroll", 2000*DropAnalityka[[#This Row],[Quality/Quantity]],0)</f>
        <v>8000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288</v>
      </c>
      <c r="G701">
        <v>5</v>
      </c>
      <c r="H701" t="s">
        <v>309</v>
      </c>
      <c r="I701">
        <v>0</v>
      </c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288</v>
      </c>
      <c r="G702">
        <v>1</v>
      </c>
      <c r="H702" t="s">
        <v>310</v>
      </c>
      <c r="I702">
        <v>0</v>
      </c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288</v>
      </c>
      <c r="G703">
        <v>1</v>
      </c>
      <c r="H703" t="s">
        <v>311</v>
      </c>
      <c r="I703">
        <v>0</v>
      </c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288</v>
      </c>
      <c r="G704">
        <v>1</v>
      </c>
      <c r="H704" t="s">
        <v>310</v>
      </c>
      <c r="I704">
        <v>0</v>
      </c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I705">
        <v>0</v>
      </c>
      <c r="J705">
        <f>DropAnalityka[[#This Row],[Sell Drop]]+IF(DropAnalityka[[#This Row],[Drop]]="Scroll", 2000*DropAnalityka[[#This Row],[Quality/Quantity]],0)</f>
        <v>8000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288</v>
      </c>
      <c r="G706">
        <v>3</v>
      </c>
      <c r="H706" t="s">
        <v>309</v>
      </c>
      <c r="I706">
        <v>0</v>
      </c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288</v>
      </c>
      <c r="G707">
        <v>4</v>
      </c>
      <c r="H707" t="s">
        <v>309</v>
      </c>
      <c r="I707">
        <v>0</v>
      </c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8" spans="1:12">
      <c r="A708" t="s">
        <v>192</v>
      </c>
      <c r="B708" t="s">
        <v>9</v>
      </c>
      <c r="C708">
        <v>7</v>
      </c>
      <c r="D708">
        <v>2217</v>
      </c>
      <c r="E708">
        <v>0</v>
      </c>
      <c r="F708" t="s">
        <v>287</v>
      </c>
      <c r="G708">
        <v>2</v>
      </c>
      <c r="H708" t="s">
        <v>310</v>
      </c>
      <c r="I708">
        <v>0</v>
      </c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09" spans="1:12">
      <c r="A709" t="s">
        <v>192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I709">
        <v>0</v>
      </c>
      <c r="J709">
        <f>DropAnalityka[[#This Row],[Sell Drop]]+IF(DropAnalityka[[#This Row],[Drop]]="Scroll", 2000*DropAnalityka[[#This Row],[Quality/Quantity]],0)</f>
        <v>10000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0" spans="1:12">
      <c r="A710" t="s">
        <v>192</v>
      </c>
      <c r="B710" t="s">
        <v>9</v>
      </c>
      <c r="C710">
        <v>8</v>
      </c>
      <c r="D710">
        <v>2286</v>
      </c>
      <c r="E710">
        <v>0</v>
      </c>
      <c r="F710" t="s">
        <v>287</v>
      </c>
      <c r="G710">
        <v>2</v>
      </c>
      <c r="H710" t="s">
        <v>310</v>
      </c>
      <c r="I710">
        <v>0</v>
      </c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1" spans="1:12">
      <c r="A711" t="s">
        <v>192</v>
      </c>
      <c r="B711" t="s">
        <v>9</v>
      </c>
      <c r="C711">
        <v>8</v>
      </c>
      <c r="D711">
        <v>2828</v>
      </c>
      <c r="E711">
        <v>0</v>
      </c>
      <c r="F711" t="s">
        <v>287</v>
      </c>
      <c r="G711">
        <v>1</v>
      </c>
      <c r="H711" t="s">
        <v>310</v>
      </c>
      <c r="I711">
        <v>0</v>
      </c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2" spans="1:12">
      <c r="A712" t="s">
        <v>192</v>
      </c>
      <c r="B712" t="s">
        <v>9</v>
      </c>
      <c r="C712">
        <v>9</v>
      </c>
      <c r="D712">
        <v>2917</v>
      </c>
      <c r="E712">
        <v>2</v>
      </c>
      <c r="F712" t="s">
        <v>287</v>
      </c>
      <c r="G712">
        <v>3</v>
      </c>
      <c r="H712" t="s">
        <v>310</v>
      </c>
      <c r="I712">
        <v>0</v>
      </c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3" spans="1:12">
      <c r="A713" t="s">
        <v>192</v>
      </c>
      <c r="B713" t="s">
        <v>9</v>
      </c>
      <c r="C713">
        <v>10</v>
      </c>
      <c r="D713">
        <v>2771</v>
      </c>
      <c r="E713">
        <v>0</v>
      </c>
      <c r="F713" t="s">
        <v>287</v>
      </c>
      <c r="G713">
        <v>1</v>
      </c>
      <c r="H713" t="s">
        <v>310</v>
      </c>
      <c r="I713">
        <v>0</v>
      </c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4" spans="1:12">
      <c r="A714" t="s">
        <v>192</v>
      </c>
      <c r="B714" t="s">
        <v>9</v>
      </c>
      <c r="C714">
        <v>10</v>
      </c>
      <c r="D714">
        <v>3158</v>
      </c>
      <c r="E714">
        <v>1</v>
      </c>
      <c r="F714" t="s">
        <v>287</v>
      </c>
      <c r="G714">
        <v>3</v>
      </c>
      <c r="H714" t="s">
        <v>311</v>
      </c>
      <c r="I714">
        <v>0</v>
      </c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5" spans="1:12">
      <c r="A715" t="s">
        <v>192</v>
      </c>
      <c r="B715" t="s">
        <v>9</v>
      </c>
      <c r="C715">
        <v>10</v>
      </c>
      <c r="D715">
        <v>3080</v>
      </c>
      <c r="E715">
        <v>0</v>
      </c>
      <c r="F715" t="s">
        <v>287</v>
      </c>
      <c r="G715">
        <v>5</v>
      </c>
      <c r="H715" t="s">
        <v>309</v>
      </c>
      <c r="I715">
        <v>0</v>
      </c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6" spans="1:12">
      <c r="A716" t="s">
        <v>192</v>
      </c>
      <c r="B716" t="s">
        <v>9</v>
      </c>
      <c r="C716">
        <v>10</v>
      </c>
      <c r="D716">
        <v>3091</v>
      </c>
      <c r="E716">
        <v>2</v>
      </c>
      <c r="F716" t="s">
        <v>287</v>
      </c>
      <c r="G716">
        <v>5</v>
      </c>
      <c r="H716" t="s">
        <v>309</v>
      </c>
      <c r="I716">
        <v>0</v>
      </c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288</v>
      </c>
      <c r="G717">
        <v>2</v>
      </c>
      <c r="H717" t="s">
        <v>311</v>
      </c>
      <c r="I717">
        <v>0</v>
      </c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288</v>
      </c>
      <c r="G718">
        <v>1</v>
      </c>
      <c r="H718" t="s">
        <v>310</v>
      </c>
      <c r="I718">
        <v>0</v>
      </c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288</v>
      </c>
      <c r="G719">
        <v>5</v>
      </c>
      <c r="H719" t="s">
        <v>309</v>
      </c>
      <c r="I719">
        <v>0</v>
      </c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288</v>
      </c>
      <c r="G720">
        <v>5</v>
      </c>
      <c r="H720" t="s">
        <v>309</v>
      </c>
      <c r="I720">
        <v>0</v>
      </c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288</v>
      </c>
      <c r="G721">
        <v>1</v>
      </c>
      <c r="H721" t="s">
        <v>310</v>
      </c>
      <c r="I721">
        <v>0</v>
      </c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288</v>
      </c>
      <c r="G722">
        <v>5</v>
      </c>
      <c r="H722" t="s">
        <v>309</v>
      </c>
      <c r="I722">
        <v>0</v>
      </c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288</v>
      </c>
      <c r="G723">
        <v>2</v>
      </c>
      <c r="H723" t="s">
        <v>310</v>
      </c>
      <c r="I723">
        <v>0</v>
      </c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288</v>
      </c>
      <c r="G724">
        <v>3</v>
      </c>
      <c r="H724" t="s">
        <v>309</v>
      </c>
      <c r="I724">
        <v>0</v>
      </c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 t="s">
        <v>12</v>
      </c>
      <c r="I725">
        <v>0</v>
      </c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26" spans="1:13">
      <c r="A726" t="s">
        <v>191</v>
      </c>
      <c r="B726" t="s">
        <v>9</v>
      </c>
      <c r="C726">
        <v>8</v>
      </c>
      <c r="D726">
        <v>3502</v>
      </c>
      <c r="E726">
        <v>1</v>
      </c>
      <c r="F726" t="s">
        <v>296</v>
      </c>
      <c r="G726" t="s">
        <v>28</v>
      </c>
      <c r="I726">
        <v>0</v>
      </c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27" t="s">
        <v>226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288</v>
      </c>
      <c r="G728">
        <v>1</v>
      </c>
      <c r="H728" t="s">
        <v>311</v>
      </c>
      <c r="I728">
        <v>0</v>
      </c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 t="s">
        <v>12</v>
      </c>
      <c r="I729">
        <v>0</v>
      </c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288</v>
      </c>
      <c r="G730">
        <v>3</v>
      </c>
      <c r="H730" t="s">
        <v>310</v>
      </c>
      <c r="I730">
        <v>0</v>
      </c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285</v>
      </c>
      <c r="G731">
        <v>2</v>
      </c>
      <c r="H731" t="s">
        <v>310</v>
      </c>
      <c r="I731">
        <v>0</v>
      </c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285</v>
      </c>
      <c r="G732">
        <v>4</v>
      </c>
      <c r="H732" t="s">
        <v>309</v>
      </c>
      <c r="I732">
        <v>0</v>
      </c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288</v>
      </c>
      <c r="G733">
        <v>1</v>
      </c>
      <c r="H733" t="s">
        <v>311</v>
      </c>
      <c r="I733">
        <v>0</v>
      </c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 t="s">
        <v>26</v>
      </c>
      <c r="I734">
        <v>0</v>
      </c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Drop]]+IF(DropAnalityka[[#This Row],[Drop]]="Scroll", 2000*DropAnalityka[[#This Row],[Quality/Quantity]],0)</f>
        <v>1824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Drop]]+IF(DropAnalityka[[#This Row],[Drop]]="Scroll", 2000*DropAnalityka[[#This Row],[Quality/Quantity]],0)</f>
        <v>1824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Drop]]+IF(DropAnalityka[[#This Row],[Drop]]="Scroll", 2000*DropAnalityka[[#This Row],[Quality/Quantity]],0)</f>
        <v>1824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I738">
        <v>0</v>
      </c>
      <c r="J738">
        <f>DropAnalityka[[#This Row],[Sell Drop]]+IF(DropAnalityka[[#This Row],[Drop]]="Scroll", 2000*DropAnalityka[[#This Row],[Quality/Quantity]],0)</f>
        <v>4000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Drop]]+IF(DropAnalityka[[#This Row],[Drop]]="Scroll", 2000*DropAnalityka[[#This Row],[Quality/Quantity]],0)</f>
        <v>2937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Drop]]+IF(DropAnalityka[[#This Row],[Drop]]="Scroll", 2000*DropAnalityka[[#This Row],[Quality/Quantity]],0)</f>
        <v>2937</v>
      </c>
      <c r="K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Drop]]+IF(DropAnalityka[[#This Row],[Drop]]="Scroll", 2000*DropAnalityka[[#This Row],[Quality/Quantity]],0)</f>
        <v>1824</v>
      </c>
      <c r="K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Drop]]+IF(DropAnalityka[[#This Row],[Drop]]="Scroll", 2000*DropAnalityka[[#This Row],[Quality/Quantity]],0)</f>
        <v>2937</v>
      </c>
      <c r="K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Drop]]+IF(DropAnalityka[[#This Row],[Drop]]="Scroll", 2000*DropAnalityka[[#This Row],[Quality/Quantity]],0)</f>
        <v>1824</v>
      </c>
      <c r="K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Drop]]+IF(DropAnalityka[[#This Row],[Drop]]="Scroll", 2000*DropAnalityka[[#This Row],[Quality/Quantity]],0)</f>
        <v>1824</v>
      </c>
      <c r="K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 t="s">
        <v>12</v>
      </c>
      <c r="J745">
        <f>DropAnalityka[[#This Row],[Sell Drop]]+IF(DropAnalityka[[#This Row],[Drop]]="Scroll", 2000*DropAnalityka[[#This Row],[Quality/Quantity]],0)</f>
        <v>0</v>
      </c>
      <c r="K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 t="s">
        <v>12</v>
      </c>
      <c r="J746">
        <f>DropAnalityka[[#This Row],[Sell Drop]]+IF(DropAnalityka[[#This Row],[Drop]]="Scroll", 2000*DropAnalityka[[#This Row],[Quality/Quantity]],0)</f>
        <v>0</v>
      </c>
      <c r="K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15120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Drop]]+IF(DropAnalityka[[#This Row],[Drop]]="Scroll", 2000*DropAnalityka[[#This Row],[Quality/Quantity]],0)</f>
        <v>2937</v>
      </c>
      <c r="K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Drop]]+IF(DropAnalityka[[#This Row],[Drop]]="Scroll", 2000*DropAnalityka[[#This Row],[Quality/Quantity]],0)</f>
        <v>2280</v>
      </c>
      <c r="K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Drop]]+IF(DropAnalityka[[#This Row],[Drop]]="Scroll", 2000*DropAnalityka[[#This Row],[Quality/Quantity]],0)</f>
        <v>2937</v>
      </c>
      <c r="K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Drop]]+IF(DropAnalityka[[#This Row],[Drop]]="Scroll", 2000*DropAnalityka[[#This Row],[Quality/Quantity]],0)</f>
        <v>1824</v>
      </c>
      <c r="K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Drop]]+IF(DropAnalityka[[#This Row],[Drop]]="Scroll", 2000*DropAnalityka[[#This Row],[Quality/Quantity]],0)</f>
        <v>1824</v>
      </c>
      <c r="K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Drop]]+IF(DropAnalityka[[#This Row],[Drop]]="Scroll", 2000*DropAnalityka[[#This Row],[Quality/Quantity]],0)</f>
        <v>2937</v>
      </c>
      <c r="K752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2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Drop]]+IF(DropAnalityka[[#This Row],[Drop]]="Scroll", 2000*DropAnalityka[[#This Row],[Quality/Quantity]],0)</f>
        <v>1824</v>
      </c>
      <c r="K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Drop]]+IF(DropAnalityka[[#This Row],[Drop]]="Scroll", 2000*DropAnalityka[[#This Row],[Quality/Quantity]],0)</f>
        <v>2937</v>
      </c>
      <c r="K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5" spans="1:13">
      <c r="A755" t="s">
        <v>191</v>
      </c>
      <c r="B755" t="s">
        <v>9</v>
      </c>
      <c r="C755">
        <v>8</v>
      </c>
      <c r="D755">
        <v>3665</v>
      </c>
      <c r="E755">
        <v>1</v>
      </c>
      <c r="F755" t="s">
        <v>296</v>
      </c>
      <c r="G755" t="s">
        <v>27</v>
      </c>
      <c r="I755">
        <v>3307</v>
      </c>
      <c r="J755">
        <f>DropAnalityka[[#This Row],[Sell Drop]]+IF(DropAnalityka[[#This Row],[Drop]]="Scroll", 2000*DropAnalityka[[#This Row],[Quality/Quantity]],0)</f>
        <v>3307</v>
      </c>
      <c r="K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288</v>
      </c>
      <c r="G756">
        <v>1</v>
      </c>
      <c r="H756" t="s">
        <v>310</v>
      </c>
      <c r="I756">
        <v>0</v>
      </c>
      <c r="J756">
        <f>DropAnalityka[[#This Row],[Sell Drop]]+IF(DropAnalityka[[#This Row],[Drop]]="Scroll", 2000*DropAnalityka[[#This Row],[Quality/Quantity]],0)</f>
        <v>0</v>
      </c>
      <c r="K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288</v>
      </c>
      <c r="G757">
        <v>2</v>
      </c>
      <c r="H757" t="s">
        <v>310</v>
      </c>
      <c r="I757">
        <v>0</v>
      </c>
      <c r="J757">
        <f>DropAnalityka[[#This Row],[Sell Drop]]+IF(DropAnalityka[[#This Row],[Drop]]="Scroll", 2000*DropAnalityka[[#This Row],[Quality/Quantity]],0)</f>
        <v>0</v>
      </c>
      <c r="K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288</v>
      </c>
      <c r="G758">
        <v>4</v>
      </c>
      <c r="H758" t="s">
        <v>309</v>
      </c>
      <c r="I758">
        <v>0</v>
      </c>
      <c r="J758">
        <f>DropAnalityka[[#This Row],[Sell Drop]]+IF(DropAnalityka[[#This Row],[Drop]]="Scroll", 2000*DropAnalityka[[#This Row],[Quality/Quantity]],0)</f>
        <v>0</v>
      </c>
      <c r="K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288</v>
      </c>
      <c r="G759">
        <v>1</v>
      </c>
      <c r="H759" t="s">
        <v>311</v>
      </c>
      <c r="I759">
        <v>0</v>
      </c>
      <c r="J759">
        <f>DropAnalityka[[#This Row],[Sell Drop]]+IF(DropAnalityka[[#This Row],[Drop]]="Scroll", 2000*DropAnalityka[[#This Row],[Quality/Quantity]],0)</f>
        <v>0</v>
      </c>
      <c r="K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I760">
        <v>0</v>
      </c>
      <c r="J760">
        <f>DropAnalityka[[#This Row],[Sell Drop]]+IF(DropAnalityka[[#This Row],[Drop]]="Scroll", 2000*DropAnalityka[[#This Row],[Quality/Quantity]],0)</f>
        <v>8000</v>
      </c>
      <c r="K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1" spans="1:13">
      <c r="A761" t="s">
        <v>300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I761">
        <v>0</v>
      </c>
      <c r="J761">
        <f>DropAnalityka[[#This Row],[Sell Drop]]+IF(DropAnalityka[[#This Row],[Drop]]="Scroll", 2000*DropAnalityka[[#This Row],[Quality/Quantity]],0)</f>
        <v>8000</v>
      </c>
      <c r="K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2" spans="1:13">
      <c r="A762" t="s">
        <v>300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309</v>
      </c>
      <c r="I762">
        <v>0</v>
      </c>
      <c r="J762">
        <f>DropAnalityka[[#This Row],[Sell Drop]]+IF(DropAnalityka[[#This Row],[Drop]]="Scroll", 2000*DropAnalityka[[#This Row],[Quality/Quantity]],0)</f>
        <v>0</v>
      </c>
      <c r="K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3" spans="1:13">
      <c r="A763" t="s">
        <v>300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310</v>
      </c>
      <c r="I763">
        <v>0</v>
      </c>
      <c r="J763">
        <f>DropAnalityka[[#This Row],[Sell Drop]]+IF(DropAnalityka[[#This Row],[Drop]]="Scroll", 2000*DropAnalityka[[#This Row],[Quality/Quantity]],0)</f>
        <v>0</v>
      </c>
      <c r="K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4" spans="1:13">
      <c r="A764" t="s">
        <v>300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Drop]]+IF(DropAnalityka[[#This Row],[Drop]]="Scroll", 2000*DropAnalityka[[#This Row],[Quality/Quantity]],0)</f>
        <v>0</v>
      </c>
      <c r="K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5" spans="1:13">
      <c r="A765" t="s">
        <v>300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 t="s">
        <v>12</v>
      </c>
      <c r="I765">
        <v>0</v>
      </c>
      <c r="J765">
        <f>DropAnalityka[[#This Row],[Sell Drop]]+IF(DropAnalityka[[#This Row],[Drop]]="Scroll", 2000*DropAnalityka[[#This Row],[Quality/Quantity]],0)</f>
        <v>0</v>
      </c>
      <c r="K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66" spans="1:13">
      <c r="A766" t="s">
        <v>300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310</v>
      </c>
      <c r="I766">
        <v>0</v>
      </c>
      <c r="J766">
        <f>DropAnalityka[[#This Row],[Sell Drop]]+IF(DropAnalityka[[#This Row],[Drop]]="Scroll", 2000*DropAnalityka[[#This Row],[Quality/Quantity]],0)</f>
        <v>0</v>
      </c>
      <c r="K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7" spans="1:13">
      <c r="A767" t="s">
        <v>300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Drop]]+IF(DropAnalityka[[#This Row],[Drop]]="Scroll", 2000*DropAnalityka[[#This Row],[Quality/Quantity]],0)</f>
        <v>0</v>
      </c>
      <c r="K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67" t="s">
        <v>226</v>
      </c>
    </row>
    <row r="768" spans="1:13">
      <c r="A768" t="s">
        <v>300</v>
      </c>
      <c r="B768" t="s">
        <v>9</v>
      </c>
      <c r="C768">
        <v>9</v>
      </c>
      <c r="D768">
        <v>2875</v>
      </c>
      <c r="E768">
        <v>0</v>
      </c>
      <c r="F768" t="s">
        <v>229</v>
      </c>
      <c r="G768" t="s">
        <v>17</v>
      </c>
      <c r="I768">
        <v>0</v>
      </c>
      <c r="J768">
        <f>DropAnalityka[[#This Row],[Sell Drop]]+IF(DropAnalityka[[#This Row],[Drop]]="Scroll", 2000*DropAnalityka[[#This Row],[Quality/Quantity]],0)</f>
        <v>0</v>
      </c>
      <c r="K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69" spans="1:12">
      <c r="A769" t="s">
        <v>300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311</v>
      </c>
      <c r="I769">
        <v>0</v>
      </c>
      <c r="J769">
        <f>DropAnalityka[[#This Row],[Sell Drop]]+IF(DropAnalityka[[#This Row],[Drop]]="Scroll", 2000*DropAnalityka[[#This Row],[Quality/Quantity]],0)</f>
        <v>0</v>
      </c>
      <c r="K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0" spans="1:12">
      <c r="A770" t="s">
        <v>300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310</v>
      </c>
      <c r="I770">
        <v>0</v>
      </c>
      <c r="J770">
        <f>DropAnalityka[[#This Row],[Sell Drop]]+IF(DropAnalityka[[#This Row],[Drop]]="Scroll", 2000*DropAnalityka[[#This Row],[Quality/Quantity]],0)</f>
        <v>0</v>
      </c>
      <c r="K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1" spans="1:12">
      <c r="A771" t="s">
        <v>300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310</v>
      </c>
      <c r="I771">
        <v>0</v>
      </c>
      <c r="J771">
        <f>DropAnalityka[[#This Row],[Sell Drop]]+IF(DropAnalityka[[#This Row],[Drop]]="Scroll", 2000*DropAnalityka[[#This Row],[Quality/Quantity]],0)</f>
        <v>0</v>
      </c>
      <c r="K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2" spans="1:12">
      <c r="A772" t="s">
        <v>300</v>
      </c>
      <c r="B772" t="s">
        <v>9</v>
      </c>
      <c r="C772">
        <v>9</v>
      </c>
      <c r="D772">
        <v>2758</v>
      </c>
      <c r="E772">
        <v>0</v>
      </c>
      <c r="F772" t="s">
        <v>302</v>
      </c>
      <c r="G772">
        <v>3</v>
      </c>
      <c r="I772">
        <v>0</v>
      </c>
      <c r="J772">
        <f>DropAnalityka[[#This Row],[Sell Drop]]+IF(DropAnalityka[[#This Row],[Drop]]="Scroll", 2000*DropAnalityka[[#This Row],[Quality/Quantity]],0)</f>
        <v>0</v>
      </c>
      <c r="K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3" spans="1:12">
      <c r="A773" t="s">
        <v>300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310</v>
      </c>
      <c r="I773">
        <v>0</v>
      </c>
      <c r="J773">
        <f>DropAnalityka[[#This Row],[Sell Drop]]+IF(DropAnalityka[[#This Row],[Drop]]="Scroll", 2000*DropAnalityka[[#This Row],[Quality/Quantity]],0)</f>
        <v>0</v>
      </c>
      <c r="K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4" spans="1:12">
      <c r="A774" t="s">
        <v>300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310</v>
      </c>
      <c r="I774">
        <v>0</v>
      </c>
      <c r="J774">
        <f>DropAnalityka[[#This Row],[Sell Drop]]+IF(DropAnalityka[[#This Row],[Drop]]="Scroll", 2000*DropAnalityka[[#This Row],[Quality/Quantity]],0)</f>
        <v>0</v>
      </c>
      <c r="K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5" spans="1:12">
      <c r="A775" t="s">
        <v>300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311</v>
      </c>
      <c r="I775">
        <v>0</v>
      </c>
      <c r="J775">
        <f>DropAnalityka[[#This Row],[Sell Drop]]+IF(DropAnalityka[[#This Row],[Drop]]="Scroll", 2000*DropAnalityka[[#This Row],[Quality/Quantity]],0)</f>
        <v>0</v>
      </c>
      <c r="K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6" spans="1:12">
      <c r="A776" t="s">
        <v>300</v>
      </c>
      <c r="B776" t="s">
        <v>9</v>
      </c>
      <c r="C776">
        <v>9</v>
      </c>
      <c r="D776">
        <v>2516</v>
      </c>
      <c r="E776">
        <v>1</v>
      </c>
      <c r="F776" t="s">
        <v>302</v>
      </c>
      <c r="G776">
        <v>1</v>
      </c>
      <c r="I776">
        <v>0</v>
      </c>
      <c r="J776">
        <f>DropAnalityka[[#This Row],[Sell Drop]]+IF(DropAnalityka[[#This Row],[Drop]]="Scroll", 2000*DropAnalityka[[#This Row],[Quality/Quantity]],0)</f>
        <v>0</v>
      </c>
      <c r="K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7" spans="1:12">
      <c r="A777" t="s">
        <v>300</v>
      </c>
      <c r="B777" t="s">
        <v>9</v>
      </c>
      <c r="C777">
        <v>9</v>
      </c>
      <c r="D777">
        <v>2850</v>
      </c>
      <c r="E777">
        <v>2</v>
      </c>
      <c r="F777" t="s">
        <v>301</v>
      </c>
      <c r="G777">
        <v>3</v>
      </c>
      <c r="H777" t="s">
        <v>309</v>
      </c>
      <c r="I777">
        <v>0</v>
      </c>
      <c r="J777">
        <f>DropAnalityka[[#This Row],[Sell Drop]]+IF(DropAnalityka[[#This Row],[Drop]]="Scroll", 2000*DropAnalityka[[#This Row],[Quality/Quantity]],0)</f>
        <v>0</v>
      </c>
      <c r="K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288</v>
      </c>
      <c r="G778">
        <v>3</v>
      </c>
      <c r="H778" t="s">
        <v>310</v>
      </c>
      <c r="I778">
        <v>0</v>
      </c>
      <c r="J778">
        <f>DropAnalityka[[#This Row],[Sell Drop]]+IF(DropAnalityka[[#This Row],[Drop]]="Scroll", 2000*DropAnalityka[[#This Row],[Quality/Quantity]],0)</f>
        <v>0</v>
      </c>
      <c r="K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79" spans="1:12">
      <c r="A779" t="s">
        <v>191</v>
      </c>
      <c r="B779" t="s">
        <v>9</v>
      </c>
      <c r="C779">
        <v>8</v>
      </c>
      <c r="D779">
        <v>3425</v>
      </c>
      <c r="E779">
        <v>0</v>
      </c>
      <c r="F779" t="s">
        <v>303</v>
      </c>
      <c r="G779" t="s">
        <v>27</v>
      </c>
      <c r="I779">
        <v>3445</v>
      </c>
      <c r="J779">
        <f>DropAnalityka[[#This Row],[Sell Drop]]+IF(DropAnalityka[[#This Row],[Drop]]="Scroll", 2000*DropAnalityka[[#This Row],[Quality/Quantity]],0)</f>
        <v>3445</v>
      </c>
      <c r="K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0" spans="1:12">
      <c r="A780" t="s">
        <v>300</v>
      </c>
      <c r="B780" t="s">
        <v>9</v>
      </c>
      <c r="C780">
        <v>9</v>
      </c>
      <c r="D780">
        <v>2517</v>
      </c>
      <c r="E780">
        <v>0</v>
      </c>
      <c r="F780" t="s">
        <v>302</v>
      </c>
      <c r="G780">
        <v>2</v>
      </c>
      <c r="I780">
        <v>0</v>
      </c>
      <c r="J780">
        <f>DropAnalityka[[#This Row],[Sell Drop]]+IF(DropAnalityka[[#This Row],[Drop]]="Scroll", 2000*DropAnalityka[[#This Row],[Quality/Quantity]],0)</f>
        <v>0</v>
      </c>
      <c r="K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1" spans="1:12">
      <c r="A781" t="s">
        <v>300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311</v>
      </c>
      <c r="I781">
        <v>0</v>
      </c>
      <c r="J781">
        <f>DropAnalityka[[#This Row],[Sell Drop]]+IF(DropAnalityka[[#This Row],[Drop]]="Scroll", 2000*DropAnalityka[[#This Row],[Quality/Quantity]],0)</f>
        <v>0</v>
      </c>
      <c r="K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2" spans="1:12">
      <c r="A782" t="s">
        <v>300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 t="s">
        <v>12</v>
      </c>
      <c r="I782">
        <v>0</v>
      </c>
      <c r="J782">
        <f>DropAnalityka[[#This Row],[Sell Drop]]+IF(DropAnalityka[[#This Row],[Drop]]="Scroll", 2000*DropAnalityka[[#This Row],[Quality/Quantity]],0)</f>
        <v>0</v>
      </c>
      <c r="K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783" spans="1:12">
      <c r="A783" t="s">
        <v>300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310</v>
      </c>
      <c r="I783">
        <v>0</v>
      </c>
      <c r="J783">
        <f>DropAnalityka[[#This Row],[Sell Drop]]+IF(DropAnalityka[[#This Row],[Drop]]="Scroll", 2000*DropAnalityka[[#This Row],[Quality/Quantity]],0)</f>
        <v>0</v>
      </c>
      <c r="K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4" spans="1:12">
      <c r="A784" t="s">
        <v>300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310</v>
      </c>
      <c r="I784">
        <v>0</v>
      </c>
      <c r="J784">
        <f>DropAnalityka[[#This Row],[Sell Drop]]+IF(DropAnalityka[[#This Row],[Drop]]="Scroll", 2000*DropAnalityka[[#This Row],[Quality/Quantity]],0)</f>
        <v>0</v>
      </c>
      <c r="K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5" spans="1:13">
      <c r="A785" t="s">
        <v>300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Drop]]+IF(DropAnalityka[[#This Row],[Drop]]="Scroll", 2000*DropAnalityka[[#This Row],[Quality/Quantity]],0)</f>
        <v>0</v>
      </c>
      <c r="K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785" t="s">
        <v>226</v>
      </c>
    </row>
    <row r="786" spans="1:13">
      <c r="A786" t="s">
        <v>300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310</v>
      </c>
      <c r="I786">
        <v>0</v>
      </c>
      <c r="J786">
        <f>DropAnalityka[[#This Row],[Sell Drop]]+IF(DropAnalityka[[#This Row],[Drop]]="Scroll", 2000*DropAnalityka[[#This Row],[Quality/Quantity]],0)</f>
        <v>0</v>
      </c>
      <c r="K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7" spans="1:13">
      <c r="A787" t="s">
        <v>300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310</v>
      </c>
      <c r="I787">
        <v>0</v>
      </c>
      <c r="J787">
        <f>DropAnalityka[[#This Row],[Sell Drop]]+IF(DropAnalityka[[#This Row],[Drop]]="Scroll", 2000*DropAnalityka[[#This Row],[Quality/Quantity]],0)</f>
        <v>0</v>
      </c>
      <c r="K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8" spans="1:13">
      <c r="A788" t="s">
        <v>300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309</v>
      </c>
      <c r="I788">
        <v>0</v>
      </c>
      <c r="J788">
        <f>DropAnalityka[[#This Row],[Sell Drop]]+IF(DropAnalityka[[#This Row],[Drop]]="Scroll", 2000*DropAnalityka[[#This Row],[Quality/Quantity]],0)</f>
        <v>0</v>
      </c>
      <c r="K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89" spans="1:13">
      <c r="A789" t="s">
        <v>300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309</v>
      </c>
      <c r="I789">
        <v>0</v>
      </c>
      <c r="J789">
        <f>DropAnalityka[[#This Row],[Sell Drop]]+IF(DropAnalityka[[#This Row],[Drop]]="Scroll", 2000*DropAnalityka[[#This Row],[Quality/Quantity]],0)</f>
        <v>0</v>
      </c>
      <c r="K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0" spans="1:13">
      <c r="A790" t="s">
        <v>300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309</v>
      </c>
      <c r="I790">
        <v>0</v>
      </c>
      <c r="J790">
        <f>DropAnalityka[[#This Row],[Sell Drop]]+IF(DropAnalityka[[#This Row],[Drop]]="Scroll", 2000*DropAnalityka[[#This Row],[Quality/Quantity]],0)</f>
        <v>0</v>
      </c>
      <c r="K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Drop]]+IF(DropAnalityka[[#This Row],[Drop]]="Scroll", 2000*DropAnalityka[[#This Row],[Quality/Quantity]],0)</f>
        <v>1824</v>
      </c>
      <c r="K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Drop]]+IF(DropAnalityka[[#This Row],[Drop]]="Scroll", 2000*DropAnalityka[[#This Row],[Quality/Quantity]],0)</f>
        <v>2937</v>
      </c>
      <c r="K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I793">
        <v>0</v>
      </c>
      <c r="J793">
        <f>DropAnalityka[[#This Row],[Sell Drop]]+IF(DropAnalityka[[#This Row],[Drop]]="Scroll", 2000*DropAnalityka[[#This Row],[Quality/Quantity]],0)</f>
        <v>4000</v>
      </c>
      <c r="K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Drop]]+IF(DropAnalityka[[#This Row],[Drop]]="Scroll", 2000*DropAnalityka[[#This Row],[Quality/Quantity]],0)</f>
        <v>2128</v>
      </c>
      <c r="K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Drop]]+IF(DropAnalityka[[#This Row],[Drop]]="Scroll", 2000*DropAnalityka[[#This Row],[Quality/Quantity]],0)</f>
        <v>1824</v>
      </c>
      <c r="K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Drop]]+IF(DropAnalityka[[#This Row],[Drop]]="Scroll", 2000*DropAnalityka[[#This Row],[Quality/Quantity]],0)</f>
        <v>1824</v>
      </c>
      <c r="K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Drop]]+IF(DropAnalityka[[#This Row],[Drop]]="Scroll", 2000*DropAnalityka[[#This Row],[Quality/Quantity]],0)</f>
        <v>0</v>
      </c>
      <c r="K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302</v>
      </c>
      <c r="G798">
        <v>1</v>
      </c>
      <c r="I798">
        <v>0</v>
      </c>
      <c r="J798">
        <f>DropAnalityka[[#This Row],[Sell Drop]]+IF(DropAnalityka[[#This Row],[Drop]]="Scroll", 2000*DropAnalityka[[#This Row],[Quality/Quantity]],0)</f>
        <v>0</v>
      </c>
      <c r="K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I799">
        <v>0</v>
      </c>
      <c r="J799">
        <f>DropAnalityka[[#This Row],[Sell Drop]]+IF(DropAnalityka[[#This Row],[Drop]]="Scroll", 2000*DropAnalityka[[#This Row],[Quality/Quantity]],0)</f>
        <v>4000</v>
      </c>
      <c r="K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Drop]]+IF(DropAnalityka[[#This Row],[Drop]]="Scroll", 2000*DropAnalityka[[#This Row],[Quality/Quantity]],0)</f>
        <v>1824</v>
      </c>
      <c r="K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J801">
        <f>DropAnalityka[[#This Row],[Sell Drop]]+IF(DropAnalityka[[#This Row],[Drop]]="Scroll", 2000*DropAnalityka[[#This Row],[Quality/Quantity]],0)</f>
        <v>4000</v>
      </c>
      <c r="K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Drop]]+IF(DropAnalityka[[#This Row],[Drop]]="Scroll", 2000*DropAnalityka[[#This Row],[Quality/Quantity]],0)</f>
        <v>3427</v>
      </c>
      <c r="K802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2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Drop]]+IF(DropAnalityka[[#This Row],[Drop]]="Scroll", 2000*DropAnalityka[[#This Row],[Quality/Quantity]],0)</f>
        <v>2128</v>
      </c>
      <c r="K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Drop]]+IF(DropAnalityka[[#This Row],[Drop]]="Scroll", 2000*DropAnalityka[[#This Row],[Quality/Quantity]],0)</f>
        <v>2937</v>
      </c>
      <c r="K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Drop]]+IF(DropAnalityka[[#This Row],[Drop]]="Scroll", 2000*DropAnalityka[[#This Row],[Quality/Quantity]],0)</f>
        <v>2128</v>
      </c>
      <c r="K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Drop]]+IF(DropAnalityka[[#This Row],[Drop]]="Scroll", 2000*DropAnalityka[[#This Row],[Quality/Quantity]],0)</f>
        <v>2937</v>
      </c>
      <c r="K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Drop]]+IF(DropAnalityka[[#This Row],[Drop]]="Scroll", 2000*DropAnalityka[[#This Row],[Quality/Quantity]],0)</f>
        <v>2937</v>
      </c>
      <c r="K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Drop]]+IF(DropAnalityka[[#This Row],[Drop]]="Scroll", 2000*DropAnalityka[[#This Row],[Quality/Quantity]],0)</f>
        <v>2937</v>
      </c>
      <c r="K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I809">
        <v>0</v>
      </c>
      <c r="J809">
        <f>DropAnalityka[[#This Row],[Sell Drop]]+IF(DropAnalityka[[#This Row],[Drop]]="Scroll", 2000*DropAnalityka[[#This Row],[Quality/Quantity]],0)</f>
        <v>4000</v>
      </c>
      <c r="K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Drop]]+IF(DropAnalityka[[#This Row],[Drop]]="Scroll", 2000*DropAnalityka[[#This Row],[Quality/Quantity]],0)</f>
        <v>1824</v>
      </c>
      <c r="K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I811">
        <v>0</v>
      </c>
      <c r="J811">
        <f>DropAnalityka[[#This Row],[Sell Drop]]+IF(DropAnalityka[[#This Row],[Drop]]="Scroll", 2000*DropAnalityka[[#This Row],[Quality/Quantity]],0)</f>
        <v>4000</v>
      </c>
      <c r="K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2" spans="1:13">
      <c r="A812" t="s">
        <v>300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Drop]]+IF(DropAnalityka[[#This Row],[Drop]]="Scroll", 2000*DropAnalityka[[#This Row],[Quality/Quantity]],0)</f>
        <v>0</v>
      </c>
      <c r="K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3" spans="1:13">
      <c r="A813" t="s">
        <v>191</v>
      </c>
      <c r="B813" t="s">
        <v>9</v>
      </c>
      <c r="C813">
        <v>8</v>
      </c>
      <c r="D813">
        <v>3118</v>
      </c>
      <c r="E813">
        <v>0</v>
      </c>
      <c r="F813" t="s">
        <v>296</v>
      </c>
      <c r="G813" t="s">
        <v>28</v>
      </c>
      <c r="J813">
        <f>DropAnalityka[[#This Row],[Sell Drop]]+IF(DropAnalityka[[#This Row],[Drop]]="Scroll", 2000*DropAnalityka[[#This Row],[Quality/Quantity]],0)</f>
        <v>0</v>
      </c>
      <c r="K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4" spans="1:13">
      <c r="A814" t="s">
        <v>191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J814">
        <f>DropAnalityka[[#This Row],[Sell Drop]]+IF(DropAnalityka[[#This Row],[Drop]]="Scroll", 2000*DropAnalityka[[#This Row],[Quality/Quantity]],0)</f>
        <v>10000</v>
      </c>
      <c r="K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5" spans="1:13">
      <c r="A815" t="s">
        <v>191</v>
      </c>
      <c r="B815" t="s">
        <v>9</v>
      </c>
      <c r="C815">
        <v>8</v>
      </c>
      <c r="D815">
        <v>3825</v>
      </c>
      <c r="E815">
        <v>1</v>
      </c>
      <c r="F815" t="s">
        <v>302</v>
      </c>
      <c r="G815">
        <v>1</v>
      </c>
      <c r="J815">
        <f>DropAnalityka[[#This Row],[Sell Drop]]+IF(DropAnalityka[[#This Row],[Drop]]="Scroll", 2000*DropAnalityka[[#This Row],[Quality/Quantity]],0)</f>
        <v>0</v>
      </c>
      <c r="K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6" spans="1:13">
      <c r="A816" t="s">
        <v>191</v>
      </c>
      <c r="B816" t="s">
        <v>9</v>
      </c>
      <c r="C816">
        <v>8</v>
      </c>
      <c r="D816">
        <v>3553</v>
      </c>
      <c r="E816">
        <v>0</v>
      </c>
      <c r="F816" t="s">
        <v>296</v>
      </c>
      <c r="G816" t="s">
        <v>28</v>
      </c>
      <c r="J816">
        <f>DropAnalityka[[#This Row],[Sell Drop]]+IF(DropAnalityka[[#This Row],[Drop]]="Scroll", 2000*DropAnalityka[[#This Row],[Quality/Quantity]],0)</f>
        <v>0</v>
      </c>
      <c r="K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7" spans="1:12">
      <c r="A817" t="s">
        <v>191</v>
      </c>
      <c r="B817" t="s">
        <v>9</v>
      </c>
      <c r="C817">
        <v>8</v>
      </c>
      <c r="D817">
        <v>3574</v>
      </c>
      <c r="E817">
        <v>1</v>
      </c>
      <c r="F817" t="s">
        <v>304</v>
      </c>
      <c r="G817" t="s">
        <v>27</v>
      </c>
      <c r="I817">
        <v>4134</v>
      </c>
      <c r="J817">
        <f>DropAnalityka[[#This Row],[Sell Drop]]+IF(DropAnalityka[[#This Row],[Drop]]="Scroll", 2000*DropAnalityka[[#This Row],[Quality/Quantity]],0)</f>
        <v>4134</v>
      </c>
      <c r="K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8" spans="1:12">
      <c r="A818" t="s">
        <v>191</v>
      </c>
      <c r="B818" t="s">
        <v>9</v>
      </c>
      <c r="C818">
        <v>8</v>
      </c>
      <c r="D818">
        <v>3456</v>
      </c>
      <c r="E818">
        <v>3</v>
      </c>
      <c r="F818" t="s">
        <v>296</v>
      </c>
      <c r="G818" t="s">
        <v>27</v>
      </c>
      <c r="I818">
        <v>2411</v>
      </c>
      <c r="J818">
        <f>DropAnalityka[[#This Row],[Sell Drop]]+IF(DropAnalityka[[#This Row],[Drop]]="Scroll", 2000*DropAnalityka[[#This Row],[Quality/Quantity]],0)</f>
        <v>2411</v>
      </c>
      <c r="K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19" spans="1:12">
      <c r="A819" t="s">
        <v>191</v>
      </c>
      <c r="B819" t="s">
        <v>9</v>
      </c>
      <c r="C819">
        <v>8</v>
      </c>
      <c r="D819">
        <v>3185</v>
      </c>
      <c r="E819">
        <v>0</v>
      </c>
      <c r="F819" t="s">
        <v>296</v>
      </c>
      <c r="G819" t="s">
        <v>28</v>
      </c>
      <c r="I819">
        <v>6502</v>
      </c>
      <c r="J819">
        <f>DropAnalityka[[#This Row],[Sell Drop]]+IF(DropAnalityka[[#This Row],[Drop]]="Scroll", 2000*DropAnalityka[[#This Row],[Quality/Quantity]],0)</f>
        <v>6502</v>
      </c>
      <c r="K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0" spans="1:12">
      <c r="A820" t="s">
        <v>191</v>
      </c>
      <c r="B820" t="s">
        <v>9</v>
      </c>
      <c r="C820">
        <v>8</v>
      </c>
      <c r="D820">
        <v>3742</v>
      </c>
      <c r="E820">
        <v>4</v>
      </c>
      <c r="F820" t="s">
        <v>296</v>
      </c>
      <c r="G820" t="s">
        <v>27</v>
      </c>
      <c r="I820">
        <v>4593</v>
      </c>
      <c r="J820">
        <f>DropAnalityka[[#This Row],[Sell Drop]]+IF(DropAnalityka[[#This Row],[Drop]]="Scroll", 2000*DropAnalityka[[#This Row],[Quality/Quantity]],0)</f>
        <v>4593</v>
      </c>
      <c r="K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1" spans="1:12">
      <c r="A821" t="s">
        <v>230</v>
      </c>
      <c r="B821" t="s">
        <v>9</v>
      </c>
      <c r="C821">
        <v>9</v>
      </c>
      <c r="D821">
        <v>2924</v>
      </c>
      <c r="E821">
        <v>1</v>
      </c>
      <c r="F821" t="s">
        <v>285</v>
      </c>
      <c r="G821">
        <v>1</v>
      </c>
      <c r="H821" t="s">
        <v>310</v>
      </c>
      <c r="I821">
        <v>0</v>
      </c>
      <c r="J821">
        <f>DropAnalityka[[#This Row],[Sell Drop]]+IF(DropAnalityka[[#This Row],[Drop]]="Scroll", 2000*DropAnalityka[[#This Row],[Quality/Quantity]],0)</f>
        <v>0</v>
      </c>
      <c r="K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2" spans="1:12">
      <c r="A822" t="s">
        <v>230</v>
      </c>
      <c r="B822" t="s">
        <v>9</v>
      </c>
      <c r="C822">
        <v>9</v>
      </c>
      <c r="D822">
        <v>3192</v>
      </c>
      <c r="E822">
        <v>2</v>
      </c>
      <c r="F822" t="s">
        <v>285</v>
      </c>
      <c r="G822">
        <v>2</v>
      </c>
      <c r="H822" t="s">
        <v>310</v>
      </c>
      <c r="I822">
        <v>0</v>
      </c>
      <c r="J822">
        <f>DropAnalityka[[#This Row],[Sell Drop]]+IF(DropAnalityka[[#This Row],[Drop]]="Scroll", 2000*DropAnalityka[[#This Row],[Quality/Quantity]],0)</f>
        <v>0</v>
      </c>
      <c r="K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3" spans="1:12">
      <c r="A823" t="s">
        <v>230</v>
      </c>
      <c r="B823" t="s">
        <v>9</v>
      </c>
      <c r="C823">
        <v>9</v>
      </c>
      <c r="D823">
        <v>2967</v>
      </c>
      <c r="E823">
        <v>1</v>
      </c>
      <c r="F823" t="s">
        <v>285</v>
      </c>
      <c r="G823">
        <v>2</v>
      </c>
      <c r="H823" t="s">
        <v>310</v>
      </c>
      <c r="I823">
        <v>0</v>
      </c>
      <c r="J823">
        <f>DropAnalityka[[#This Row],[Sell Drop]]+IF(DropAnalityka[[#This Row],[Drop]]="Scroll", 2000*DropAnalityka[[#This Row],[Quality/Quantity]],0)</f>
        <v>0</v>
      </c>
      <c r="K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4" spans="1:12">
      <c r="A824" t="s">
        <v>230</v>
      </c>
      <c r="B824" t="s">
        <v>9</v>
      </c>
      <c r="C824">
        <v>9</v>
      </c>
      <c r="D824">
        <v>2926</v>
      </c>
      <c r="E824">
        <v>0</v>
      </c>
      <c r="F824" t="s">
        <v>285</v>
      </c>
      <c r="G824">
        <v>3</v>
      </c>
      <c r="H824" t="s">
        <v>309</v>
      </c>
      <c r="I824">
        <v>0</v>
      </c>
      <c r="J824">
        <f>DropAnalityka[[#This Row],[Sell Drop]]+IF(DropAnalityka[[#This Row],[Drop]]="Scroll", 2000*DropAnalityka[[#This Row],[Quality/Quantity]],0)</f>
        <v>0</v>
      </c>
      <c r="K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5" spans="1:12">
      <c r="A825" t="s">
        <v>230</v>
      </c>
      <c r="B825" t="s">
        <v>9</v>
      </c>
      <c r="C825">
        <v>9</v>
      </c>
      <c r="D825">
        <v>2801</v>
      </c>
      <c r="E825">
        <v>1</v>
      </c>
      <c r="F825" t="s">
        <v>285</v>
      </c>
      <c r="G825">
        <v>3</v>
      </c>
      <c r="H825" t="s">
        <v>309</v>
      </c>
      <c r="I825">
        <v>0</v>
      </c>
      <c r="J825">
        <f>DropAnalityka[[#This Row],[Sell Drop]]+IF(DropAnalityka[[#This Row],[Drop]]="Scroll", 2000*DropAnalityka[[#This Row],[Quality/Quantity]],0)</f>
        <v>0</v>
      </c>
      <c r="K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6" spans="1:12">
      <c r="A826" t="s">
        <v>230</v>
      </c>
      <c r="B826" t="s">
        <v>9</v>
      </c>
      <c r="C826">
        <v>9</v>
      </c>
      <c r="D826">
        <v>2800</v>
      </c>
      <c r="E826">
        <v>0</v>
      </c>
      <c r="F826" t="s">
        <v>251</v>
      </c>
      <c r="G826" t="s">
        <v>305</v>
      </c>
      <c r="I826">
        <v>0</v>
      </c>
      <c r="J826">
        <f>DropAnalityka[[#This Row],[Sell Drop]]+IF(DropAnalityka[[#This Row],[Drop]]="Scroll", 2000*DropAnalityka[[#This Row],[Quality/Quantity]],0)</f>
        <v>0</v>
      </c>
      <c r="K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7" spans="1:12">
      <c r="A827" t="s">
        <v>230</v>
      </c>
      <c r="B827" t="s">
        <v>9</v>
      </c>
      <c r="C827">
        <v>9</v>
      </c>
      <c r="D827">
        <v>2913</v>
      </c>
      <c r="E827">
        <v>0</v>
      </c>
      <c r="F827" t="s">
        <v>285</v>
      </c>
      <c r="G827">
        <v>1</v>
      </c>
      <c r="H827" t="s">
        <v>311</v>
      </c>
      <c r="I827">
        <v>0</v>
      </c>
      <c r="J827">
        <f>DropAnalityka[[#This Row],[Sell Drop]]+IF(DropAnalityka[[#This Row],[Drop]]="Scroll", 2000*DropAnalityka[[#This Row],[Quality/Quantity]],0)</f>
        <v>0</v>
      </c>
      <c r="K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8" spans="1:12">
      <c r="A828" t="s">
        <v>230</v>
      </c>
      <c r="B828" t="s">
        <v>9</v>
      </c>
      <c r="C828">
        <v>9</v>
      </c>
      <c r="D828">
        <v>2812</v>
      </c>
      <c r="E828">
        <v>1</v>
      </c>
      <c r="F828" t="s">
        <v>285</v>
      </c>
      <c r="G828">
        <v>1</v>
      </c>
      <c r="H828" t="s">
        <v>310</v>
      </c>
      <c r="I828">
        <v>0</v>
      </c>
      <c r="J828">
        <f>DropAnalityka[[#This Row],[Sell Drop]]+IF(DropAnalityka[[#This Row],[Drop]]="Scroll", 2000*DropAnalityka[[#This Row],[Quality/Quantity]],0)</f>
        <v>0</v>
      </c>
      <c r="K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29" spans="1:12">
      <c r="A829" t="s">
        <v>230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 t="s">
        <v>12</v>
      </c>
      <c r="I829">
        <v>0</v>
      </c>
      <c r="J829">
        <f>DropAnalityka[[#This Row],[Sell Drop]]+IF(DropAnalityka[[#This Row],[Drop]]="Scroll", 2000*DropAnalityka[[#This Row],[Quality/Quantity]],0)</f>
        <v>0</v>
      </c>
      <c r="K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11500</v>
      </c>
      <c r="L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66062</v>
      </c>
    </row>
    <row r="830" spans="1:12">
      <c r="A830" t="s">
        <v>230</v>
      </c>
      <c r="B830" t="s">
        <v>9</v>
      </c>
      <c r="C830">
        <v>9</v>
      </c>
      <c r="D830">
        <v>2754</v>
      </c>
      <c r="E830">
        <v>1</v>
      </c>
      <c r="F830" t="s">
        <v>306</v>
      </c>
      <c r="G830">
        <v>1</v>
      </c>
      <c r="I830">
        <v>0</v>
      </c>
      <c r="J830">
        <f>DropAnalityka[[#This Row],[Sell Drop]]+IF(DropAnalityka[[#This Row],[Drop]]="Scroll", 2000*DropAnalityka[[#This Row],[Quality/Quantity]],0)</f>
        <v>0</v>
      </c>
      <c r="K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1" spans="1:12">
      <c r="A831" t="s">
        <v>230</v>
      </c>
      <c r="B831" t="s">
        <v>9</v>
      </c>
      <c r="C831">
        <v>9</v>
      </c>
      <c r="D831">
        <v>2824</v>
      </c>
      <c r="E831">
        <v>1</v>
      </c>
      <c r="F831" t="s">
        <v>251</v>
      </c>
      <c r="G831" t="s">
        <v>307</v>
      </c>
      <c r="I831">
        <v>0</v>
      </c>
      <c r="J831">
        <f>DropAnalityka[[#This Row],[Sell Drop]]+IF(DropAnalityka[[#This Row],[Drop]]="Scroll", 2000*DropAnalityka[[#This Row],[Quality/Quantity]],0)</f>
        <v>0</v>
      </c>
      <c r="K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2" spans="1:12">
      <c r="A832" t="s">
        <v>230</v>
      </c>
      <c r="B832" t="s">
        <v>9</v>
      </c>
      <c r="C832">
        <v>9</v>
      </c>
      <c r="D832">
        <v>2980</v>
      </c>
      <c r="E832">
        <v>0</v>
      </c>
      <c r="F832" t="s">
        <v>285</v>
      </c>
      <c r="G832">
        <v>1</v>
      </c>
      <c r="H832" t="s">
        <v>310</v>
      </c>
      <c r="I832">
        <v>0</v>
      </c>
      <c r="J832">
        <f>DropAnalityka[[#This Row],[Sell Drop]]+IF(DropAnalityka[[#This Row],[Drop]]="Scroll", 2000*DropAnalityka[[#This Row],[Quality/Quantity]],0)</f>
        <v>0</v>
      </c>
      <c r="K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3" spans="1:12">
      <c r="A833" t="s">
        <v>230</v>
      </c>
      <c r="B833" t="s">
        <v>9</v>
      </c>
      <c r="C833">
        <v>9</v>
      </c>
      <c r="D833">
        <v>2957</v>
      </c>
      <c r="E833">
        <v>0</v>
      </c>
      <c r="F833" t="s">
        <v>229</v>
      </c>
      <c r="G833" t="s">
        <v>17</v>
      </c>
      <c r="I833">
        <v>0</v>
      </c>
      <c r="J833">
        <f>DropAnalityka[[#This Row],[Sell Drop]]+IF(DropAnalityka[[#This Row],[Drop]]="Scroll", 2000*DropAnalityka[[#This Row],[Quality/Quantity]],0)</f>
        <v>0</v>
      </c>
      <c r="K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4" spans="1:12">
      <c r="A834" t="s">
        <v>230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I834">
        <v>0</v>
      </c>
      <c r="J834">
        <f>DropAnalityka[[#This Row],[Sell Drop]]+IF(DropAnalityka[[#This Row],[Drop]]="Scroll", 2000*DropAnalityka[[#This Row],[Quality/Quantity]],0)</f>
        <v>8000</v>
      </c>
      <c r="K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5" spans="1:12">
      <c r="A835" t="s">
        <v>230</v>
      </c>
      <c r="B835" t="s">
        <v>9</v>
      </c>
      <c r="C835">
        <v>9</v>
      </c>
      <c r="D835">
        <v>2671</v>
      </c>
      <c r="E835">
        <v>0</v>
      </c>
      <c r="F835" t="s">
        <v>285</v>
      </c>
      <c r="G835">
        <v>5</v>
      </c>
      <c r="H835" t="s">
        <v>309</v>
      </c>
      <c r="I835">
        <v>0</v>
      </c>
      <c r="J835">
        <f>DropAnalityka[[#This Row],[Sell Drop]]+IF(DropAnalityka[[#This Row],[Drop]]="Scroll", 2000*DropAnalityka[[#This Row],[Quality/Quantity]],0)</f>
        <v>0</v>
      </c>
      <c r="K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6" spans="1:12">
      <c r="A836" t="s">
        <v>230</v>
      </c>
      <c r="B836" t="s">
        <v>9</v>
      </c>
      <c r="C836">
        <v>9</v>
      </c>
      <c r="D836">
        <v>2947</v>
      </c>
      <c r="E836">
        <v>1</v>
      </c>
      <c r="F836" t="s">
        <v>285</v>
      </c>
      <c r="G836">
        <v>1</v>
      </c>
      <c r="H836" t="s">
        <v>311</v>
      </c>
      <c r="I836">
        <v>0</v>
      </c>
      <c r="J836">
        <f>DropAnalityka[[#This Row],[Sell Drop]]+IF(DropAnalityka[[#This Row],[Drop]]="Scroll", 2000*DropAnalityka[[#This Row],[Quality/Quantity]],0)</f>
        <v>0</v>
      </c>
      <c r="K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7" spans="1:12">
      <c r="A837" t="s">
        <v>230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I837">
        <v>0</v>
      </c>
      <c r="J837">
        <f>DropAnalityka[[#This Row],[Sell Drop]]+IF(DropAnalityka[[#This Row],[Drop]]="Scroll", 2000*DropAnalityka[[#This Row],[Quality/Quantity]],0)</f>
        <v>8000</v>
      </c>
      <c r="K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8" spans="1:12">
      <c r="A838" t="s">
        <v>230</v>
      </c>
      <c r="B838" t="s">
        <v>9</v>
      </c>
      <c r="C838">
        <v>9</v>
      </c>
      <c r="D838">
        <v>2184</v>
      </c>
      <c r="E838">
        <v>0</v>
      </c>
      <c r="F838" t="s">
        <v>285</v>
      </c>
      <c r="G838">
        <v>4</v>
      </c>
      <c r="H838" t="s">
        <v>309</v>
      </c>
      <c r="I838">
        <v>0</v>
      </c>
      <c r="J838">
        <f>DropAnalityka[[#This Row],[Sell Drop]]+IF(DropAnalityka[[#This Row],[Drop]]="Scroll", 2000*DropAnalityka[[#This Row],[Quality/Quantity]],0)</f>
        <v>0</v>
      </c>
      <c r="K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39" spans="1:12">
      <c r="A839" t="s">
        <v>230</v>
      </c>
      <c r="B839" t="s">
        <v>9</v>
      </c>
      <c r="C839">
        <v>9</v>
      </c>
      <c r="D839">
        <v>2654</v>
      </c>
      <c r="E839">
        <v>3</v>
      </c>
      <c r="F839" t="s">
        <v>285</v>
      </c>
      <c r="G839">
        <v>1</v>
      </c>
      <c r="H839" t="s">
        <v>310</v>
      </c>
      <c r="I839">
        <v>0</v>
      </c>
      <c r="J839">
        <f>DropAnalityka[[#This Row],[Sell Drop]]+IF(DropAnalityka[[#This Row],[Drop]]="Scroll", 2000*DropAnalityka[[#This Row],[Quality/Quantity]],0)</f>
        <v>0</v>
      </c>
      <c r="K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0" spans="1:12">
      <c r="A840" t="s">
        <v>230</v>
      </c>
      <c r="B840" t="s">
        <v>9</v>
      </c>
      <c r="C840">
        <v>9</v>
      </c>
      <c r="D840">
        <v>2592</v>
      </c>
      <c r="E840">
        <v>1</v>
      </c>
      <c r="F840" t="s">
        <v>285</v>
      </c>
      <c r="G840">
        <v>1</v>
      </c>
      <c r="H840" t="s">
        <v>310</v>
      </c>
      <c r="I840">
        <v>0</v>
      </c>
      <c r="J840">
        <f>DropAnalityka[[#This Row],[Sell Drop]]+IF(DropAnalityka[[#This Row],[Drop]]="Scroll", 2000*DropAnalityka[[#This Row],[Quality/Quantity]],0)</f>
        <v>0</v>
      </c>
      <c r="K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1" spans="1:12">
      <c r="A841" t="s">
        <v>230</v>
      </c>
      <c r="B841" t="s">
        <v>9</v>
      </c>
      <c r="C841">
        <v>9</v>
      </c>
      <c r="D841">
        <v>2625</v>
      </c>
      <c r="E841">
        <v>0</v>
      </c>
      <c r="F841" t="s">
        <v>285</v>
      </c>
      <c r="G841">
        <v>1</v>
      </c>
      <c r="H841" t="s">
        <v>311</v>
      </c>
      <c r="I841">
        <v>0</v>
      </c>
      <c r="J841">
        <f>DropAnalityka[[#This Row],[Sell Drop]]+IF(DropAnalityka[[#This Row],[Drop]]="Scroll", 2000*DropAnalityka[[#This Row],[Quality/Quantity]],0)</f>
        <v>0</v>
      </c>
      <c r="K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2" spans="1:12">
      <c r="A842" t="s">
        <v>230</v>
      </c>
      <c r="B842" t="s">
        <v>9</v>
      </c>
      <c r="C842">
        <v>9</v>
      </c>
      <c r="D842">
        <v>3029</v>
      </c>
      <c r="E842">
        <v>0</v>
      </c>
      <c r="F842" t="s">
        <v>285</v>
      </c>
      <c r="G842">
        <v>1</v>
      </c>
      <c r="H842" t="s">
        <v>310</v>
      </c>
      <c r="I842">
        <v>0</v>
      </c>
      <c r="J842">
        <f>DropAnalityka[[#This Row],[Sell Drop]]+IF(DropAnalityka[[#This Row],[Drop]]="Scroll", 2000*DropAnalityka[[#This Row],[Quality/Quantity]],0)</f>
        <v>0</v>
      </c>
      <c r="K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3" spans="1:12">
      <c r="A843" t="s">
        <v>230</v>
      </c>
      <c r="B843" t="s">
        <v>9</v>
      </c>
      <c r="C843">
        <v>9</v>
      </c>
      <c r="D843">
        <v>2865</v>
      </c>
      <c r="E843">
        <v>1</v>
      </c>
      <c r="F843" t="s">
        <v>285</v>
      </c>
      <c r="G843">
        <v>1</v>
      </c>
      <c r="H843" t="s">
        <v>310</v>
      </c>
      <c r="I843">
        <v>0</v>
      </c>
      <c r="J843">
        <f>DropAnalityka[[#This Row],[Sell Drop]]+IF(DropAnalityka[[#This Row],[Drop]]="Scroll", 2000*DropAnalityka[[#This Row],[Quality/Quantity]],0)</f>
        <v>0</v>
      </c>
      <c r="K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4" spans="1:12">
      <c r="A844" t="s">
        <v>230</v>
      </c>
      <c r="B844" t="s">
        <v>9</v>
      </c>
      <c r="C844">
        <v>9</v>
      </c>
      <c r="D844">
        <v>3075</v>
      </c>
      <c r="E844">
        <v>3</v>
      </c>
      <c r="F844" t="s">
        <v>285</v>
      </c>
      <c r="G844">
        <v>5</v>
      </c>
      <c r="H844" t="s">
        <v>309</v>
      </c>
      <c r="I844">
        <v>0</v>
      </c>
      <c r="J844">
        <f>DropAnalityka[[#This Row],[Sell Drop]]+IF(DropAnalityka[[#This Row],[Drop]]="Scroll", 2000*DropAnalityka[[#This Row],[Quality/Quantity]],0)</f>
        <v>0</v>
      </c>
      <c r="K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5" spans="1:12">
      <c r="A845" t="s">
        <v>230</v>
      </c>
      <c r="B845" t="s">
        <v>9</v>
      </c>
      <c r="C845">
        <v>9</v>
      </c>
      <c r="D845">
        <v>3767</v>
      </c>
      <c r="E845">
        <v>2</v>
      </c>
      <c r="F845" t="s">
        <v>285</v>
      </c>
      <c r="G845">
        <v>4</v>
      </c>
      <c r="H845" t="s">
        <v>309</v>
      </c>
      <c r="I845">
        <v>0</v>
      </c>
      <c r="J845">
        <f>DropAnalityka[[#This Row],[Sell Drop]]+IF(DropAnalityka[[#This Row],[Drop]]="Scroll", 2000*DropAnalityka[[#This Row],[Quality/Quantity]],0)</f>
        <v>0</v>
      </c>
      <c r="K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6" spans="1:12">
      <c r="A846" t="s">
        <v>230</v>
      </c>
      <c r="B846" t="s">
        <v>9</v>
      </c>
      <c r="C846">
        <v>9</v>
      </c>
      <c r="D846">
        <v>3007</v>
      </c>
      <c r="E846">
        <v>2</v>
      </c>
      <c r="F846" t="s">
        <v>285</v>
      </c>
      <c r="G846">
        <v>3</v>
      </c>
      <c r="H846" t="s">
        <v>310</v>
      </c>
      <c r="I846">
        <v>0</v>
      </c>
      <c r="J846">
        <f>DropAnalityka[[#This Row],[Sell Drop]]+IF(DropAnalityka[[#This Row],[Drop]]="Scroll", 2000*DropAnalityka[[#This Row],[Quality/Quantity]],0)</f>
        <v>0</v>
      </c>
      <c r="K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7" spans="1:12">
      <c r="A847" t="s">
        <v>230</v>
      </c>
      <c r="B847" t="s">
        <v>9</v>
      </c>
      <c r="C847">
        <v>9</v>
      </c>
      <c r="D847">
        <v>2942</v>
      </c>
      <c r="E847">
        <v>0</v>
      </c>
      <c r="F847" t="s">
        <v>285</v>
      </c>
      <c r="G847">
        <v>1</v>
      </c>
      <c r="H847" t="s">
        <v>310</v>
      </c>
      <c r="I847">
        <v>0</v>
      </c>
      <c r="J847">
        <f>DropAnalityka[[#This Row],[Sell Drop]]+IF(DropAnalityka[[#This Row],[Drop]]="Scroll", 2000*DropAnalityka[[#This Row],[Quality/Quantity]],0)</f>
        <v>0</v>
      </c>
      <c r="K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8" spans="1:12">
      <c r="A848" t="s">
        <v>230</v>
      </c>
      <c r="B848" t="s">
        <v>9</v>
      </c>
      <c r="C848">
        <v>9</v>
      </c>
      <c r="D848">
        <v>2701</v>
      </c>
      <c r="E848">
        <v>0</v>
      </c>
      <c r="F848" t="s">
        <v>285</v>
      </c>
      <c r="G848">
        <v>5</v>
      </c>
      <c r="H848" t="s">
        <v>309</v>
      </c>
      <c r="I848">
        <v>0</v>
      </c>
      <c r="J848">
        <f>DropAnalityka[[#This Row],[Sell Drop]]+IF(DropAnalityka[[#This Row],[Drop]]="Scroll", 2000*DropAnalityka[[#This Row],[Quality/Quantity]],0)</f>
        <v>0</v>
      </c>
      <c r="K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49" spans="1:12">
      <c r="A849" t="s">
        <v>230</v>
      </c>
      <c r="B849" t="s">
        <v>9</v>
      </c>
      <c r="C849">
        <v>9</v>
      </c>
      <c r="D849">
        <v>3320</v>
      </c>
      <c r="E849">
        <v>0</v>
      </c>
      <c r="F849" t="s">
        <v>285</v>
      </c>
      <c r="G849">
        <v>3</v>
      </c>
      <c r="H849" t="s">
        <v>311</v>
      </c>
      <c r="I849">
        <v>0</v>
      </c>
      <c r="J849">
        <f>DropAnalityka[[#This Row],[Sell Drop]]+IF(DropAnalityka[[#This Row],[Drop]]="Scroll", 2000*DropAnalityka[[#This Row],[Quality/Quantity]],0)</f>
        <v>0</v>
      </c>
      <c r="K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0" spans="1:12">
      <c r="A850" t="s">
        <v>230</v>
      </c>
      <c r="B850" t="s">
        <v>9</v>
      </c>
      <c r="C850">
        <v>9</v>
      </c>
      <c r="D850">
        <v>2890</v>
      </c>
      <c r="E850">
        <v>2</v>
      </c>
      <c r="F850" t="s">
        <v>285</v>
      </c>
      <c r="G850">
        <v>3</v>
      </c>
      <c r="H850" t="s">
        <v>309</v>
      </c>
      <c r="I850">
        <v>0</v>
      </c>
      <c r="J850">
        <f>DropAnalityka[[#This Row],[Sell Drop]]+IF(DropAnalityka[[#This Row],[Drop]]="Scroll", 2000*DropAnalityka[[#This Row],[Quality/Quantity]],0)</f>
        <v>0</v>
      </c>
      <c r="K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1" spans="1:12">
      <c r="A851" t="s">
        <v>230</v>
      </c>
      <c r="B851" t="s">
        <v>9</v>
      </c>
      <c r="C851">
        <v>9</v>
      </c>
      <c r="D851">
        <v>3274</v>
      </c>
      <c r="E851">
        <v>1</v>
      </c>
      <c r="F851" t="s">
        <v>285</v>
      </c>
      <c r="G851">
        <v>2</v>
      </c>
      <c r="H851" t="s">
        <v>311</v>
      </c>
      <c r="I851">
        <v>0</v>
      </c>
      <c r="J851">
        <f>DropAnalityka[[#This Row],[Sell Drop]]+IF(DropAnalityka[[#This Row],[Drop]]="Scroll", 2000*DropAnalityka[[#This Row],[Quality/Quantity]],0)</f>
        <v>0</v>
      </c>
      <c r="K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2" spans="1:12">
      <c r="A852" t="s">
        <v>230</v>
      </c>
      <c r="B852" t="s">
        <v>9</v>
      </c>
      <c r="C852">
        <v>9</v>
      </c>
      <c r="D852">
        <v>2847</v>
      </c>
      <c r="E852">
        <v>1</v>
      </c>
      <c r="F852" t="s">
        <v>285</v>
      </c>
      <c r="G852">
        <v>1</v>
      </c>
      <c r="H852" t="s">
        <v>311</v>
      </c>
      <c r="I852">
        <v>0</v>
      </c>
      <c r="J852">
        <f>DropAnalityka[[#This Row],[Sell Drop]]+IF(DropAnalityka[[#This Row],[Drop]]="Scroll", 2000*DropAnalityka[[#This Row],[Quality/Quantity]],0)</f>
        <v>0</v>
      </c>
      <c r="K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3" spans="1:12">
      <c r="A853" t="s">
        <v>230</v>
      </c>
      <c r="B853" t="s">
        <v>9</v>
      </c>
      <c r="C853">
        <v>9</v>
      </c>
      <c r="D853">
        <v>2602</v>
      </c>
      <c r="E853">
        <v>0</v>
      </c>
      <c r="F853" t="s">
        <v>285</v>
      </c>
      <c r="G853">
        <v>4</v>
      </c>
      <c r="H853" t="s">
        <v>309</v>
      </c>
      <c r="I853">
        <v>0</v>
      </c>
      <c r="J853">
        <f>DropAnalityka[[#This Row],[Sell Drop]]+IF(DropAnalityka[[#This Row],[Drop]]="Scroll", 2000*DropAnalityka[[#This Row],[Quality/Quantity]],0)</f>
        <v>0</v>
      </c>
      <c r="K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4" spans="1:12">
      <c r="A854" t="s">
        <v>230</v>
      </c>
      <c r="B854" t="s">
        <v>9</v>
      </c>
      <c r="C854">
        <v>9</v>
      </c>
      <c r="D854">
        <v>2901</v>
      </c>
      <c r="E854">
        <v>1</v>
      </c>
      <c r="F854" t="s">
        <v>251</v>
      </c>
      <c r="G854" t="s">
        <v>324</v>
      </c>
      <c r="I854">
        <v>0</v>
      </c>
      <c r="J854">
        <f>DropAnalityka[[#This Row],[Sell Drop]]+IF(DropAnalityka[[#This Row],[Drop]]="Scroll", 2000*DropAnalityka[[#This Row],[Quality/Quantity]],0)</f>
        <v>0</v>
      </c>
      <c r="K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5" spans="1:12">
      <c r="A855" t="s">
        <v>230</v>
      </c>
      <c r="B855" t="s">
        <v>9</v>
      </c>
      <c r="C855">
        <v>9</v>
      </c>
      <c r="D855">
        <v>2768</v>
      </c>
      <c r="E855">
        <v>0</v>
      </c>
      <c r="F855" t="s">
        <v>285</v>
      </c>
      <c r="G855">
        <v>5</v>
      </c>
      <c r="H855" t="s">
        <v>309</v>
      </c>
      <c r="I855">
        <v>0</v>
      </c>
      <c r="J855">
        <f>DropAnalityka[[#This Row],[Sell Drop]]+IF(DropAnalityka[[#This Row],[Drop]]="Scroll", 2000*DropAnalityka[[#This Row],[Quality/Quantity]],0)</f>
        <v>0</v>
      </c>
      <c r="K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6" spans="1:12">
      <c r="A856" t="s">
        <v>230</v>
      </c>
      <c r="B856" t="s">
        <v>9</v>
      </c>
      <c r="C856">
        <v>9</v>
      </c>
      <c r="D856">
        <v>2401</v>
      </c>
      <c r="E856">
        <v>1</v>
      </c>
      <c r="F856" t="s">
        <v>285</v>
      </c>
      <c r="G856">
        <v>1</v>
      </c>
      <c r="H856" t="s">
        <v>310</v>
      </c>
      <c r="I856">
        <v>0</v>
      </c>
      <c r="J856">
        <f>DropAnalityka[[#This Row],[Sell Drop]]+IF(DropAnalityka[[#This Row],[Drop]]="Scroll", 2000*DropAnalityka[[#This Row],[Quality/Quantity]],0)</f>
        <v>0</v>
      </c>
      <c r="K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7" spans="1:12">
      <c r="A857" t="s">
        <v>230</v>
      </c>
      <c r="B857" t="s">
        <v>9</v>
      </c>
      <c r="C857">
        <v>9</v>
      </c>
      <c r="D857">
        <v>2915</v>
      </c>
      <c r="E857">
        <v>0</v>
      </c>
      <c r="F857" t="s">
        <v>227</v>
      </c>
      <c r="G857">
        <v>3</v>
      </c>
      <c r="I857">
        <v>0</v>
      </c>
      <c r="J857">
        <f>DropAnalityka[[#This Row],[Sell Drop]]+IF(DropAnalityka[[#This Row],[Drop]]="Scroll", 2000*DropAnalityka[[#This Row],[Quality/Quantity]],0)</f>
        <v>0</v>
      </c>
      <c r="K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2587.5</v>
      </c>
      <c r="L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4954.6499999999996</v>
      </c>
    </row>
    <row r="858" spans="1:12">
      <c r="A858" t="s">
        <v>230</v>
      </c>
      <c r="B858" t="s">
        <v>9</v>
      </c>
      <c r="C858">
        <v>9</v>
      </c>
      <c r="D858">
        <v>2978</v>
      </c>
      <c r="E858">
        <v>0</v>
      </c>
      <c r="F858" t="s">
        <v>285</v>
      </c>
      <c r="G858">
        <v>4</v>
      </c>
      <c r="H858" t="s">
        <v>309</v>
      </c>
      <c r="I858">
        <v>0</v>
      </c>
      <c r="J858">
        <f>DropAnalityka[[#This Row],[Sell Drop]]+IF(DropAnalityka[[#This Row],[Drop]]="Scroll", 2000*DropAnalityka[[#This Row],[Quality/Quantity]],0)</f>
        <v>0</v>
      </c>
      <c r="K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59" spans="1:12">
      <c r="A859" t="s">
        <v>230</v>
      </c>
      <c r="B859" t="s">
        <v>9</v>
      </c>
      <c r="C859">
        <v>9</v>
      </c>
      <c r="D859">
        <v>2956</v>
      </c>
      <c r="E859">
        <v>0</v>
      </c>
      <c r="F859" t="s">
        <v>285</v>
      </c>
      <c r="G859">
        <v>5</v>
      </c>
      <c r="H859" t="s">
        <v>309</v>
      </c>
      <c r="I859">
        <v>0</v>
      </c>
      <c r="J859">
        <f>DropAnalityka[[#This Row],[Sell Drop]]+IF(DropAnalityka[[#This Row],[Drop]]="Scroll", 2000*DropAnalityka[[#This Row],[Quality/Quantity]],0)</f>
        <v>0</v>
      </c>
      <c r="K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0" spans="1:12">
      <c r="A860" t="s">
        <v>230</v>
      </c>
      <c r="B860" t="s">
        <v>9</v>
      </c>
      <c r="C860">
        <v>9</v>
      </c>
      <c r="D860">
        <v>2657</v>
      </c>
      <c r="E860">
        <v>1</v>
      </c>
      <c r="F860" t="s">
        <v>285</v>
      </c>
      <c r="G860">
        <v>5</v>
      </c>
      <c r="H860" t="s">
        <v>309</v>
      </c>
      <c r="I860">
        <v>0</v>
      </c>
      <c r="J860">
        <f>DropAnalityka[[#This Row],[Sell Drop]]+IF(DropAnalityka[[#This Row],[Drop]]="Scroll", 2000*DropAnalityka[[#This Row],[Quality/Quantity]],0)</f>
        <v>0</v>
      </c>
      <c r="K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1" spans="1:12">
      <c r="A861" t="s">
        <v>230</v>
      </c>
      <c r="B861" t="s">
        <v>9</v>
      </c>
      <c r="C861">
        <v>9</v>
      </c>
      <c r="D861">
        <v>2789</v>
      </c>
      <c r="E861">
        <v>0</v>
      </c>
      <c r="F861" t="s">
        <v>229</v>
      </c>
      <c r="G861" t="s">
        <v>17</v>
      </c>
      <c r="I861">
        <v>0</v>
      </c>
      <c r="J861">
        <f>DropAnalityka[[#This Row],[Sell Drop]]+IF(DropAnalityka[[#This Row],[Drop]]="Scroll", 2000*DropAnalityka[[#This Row],[Quality/Quantity]],0)</f>
        <v>0</v>
      </c>
      <c r="K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2" spans="1:12">
      <c r="A862" t="s">
        <v>230</v>
      </c>
      <c r="B862" t="s">
        <v>9</v>
      </c>
      <c r="C862">
        <v>9</v>
      </c>
      <c r="D862">
        <v>2793</v>
      </c>
      <c r="E862">
        <v>1</v>
      </c>
      <c r="F862" t="s">
        <v>285</v>
      </c>
      <c r="G862">
        <v>5</v>
      </c>
      <c r="H862" t="s">
        <v>309</v>
      </c>
      <c r="I862">
        <v>0</v>
      </c>
      <c r="J862">
        <f>DropAnalityka[[#This Row],[Sell Drop]]+IF(DropAnalityka[[#This Row],[Drop]]="Scroll", 2000*DropAnalityka[[#This Row],[Quality/Quantity]],0)</f>
        <v>0</v>
      </c>
      <c r="K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3" spans="1:12">
      <c r="A863" t="s">
        <v>230</v>
      </c>
      <c r="B863" t="s">
        <v>9</v>
      </c>
      <c r="C863">
        <v>9</v>
      </c>
      <c r="D863">
        <v>2869</v>
      </c>
      <c r="E863">
        <v>2</v>
      </c>
      <c r="F863" t="s">
        <v>285</v>
      </c>
      <c r="G863">
        <v>4</v>
      </c>
      <c r="H863" t="s">
        <v>309</v>
      </c>
      <c r="I863">
        <v>0</v>
      </c>
      <c r="J863">
        <f>DropAnalityka[[#This Row],[Sell Drop]]+IF(DropAnalityka[[#This Row],[Drop]]="Scroll", 2000*DropAnalityka[[#This Row],[Quality/Quantity]],0)</f>
        <v>0</v>
      </c>
      <c r="K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4" spans="1:12">
      <c r="A864" t="s">
        <v>230</v>
      </c>
      <c r="B864" t="s">
        <v>9</v>
      </c>
      <c r="C864">
        <v>9</v>
      </c>
      <c r="D864">
        <v>2638</v>
      </c>
      <c r="E864">
        <v>1</v>
      </c>
      <c r="F864" t="s">
        <v>229</v>
      </c>
      <c r="G864" t="s">
        <v>17</v>
      </c>
      <c r="I864">
        <v>0</v>
      </c>
      <c r="J864">
        <f>DropAnalityka[[#This Row],[Sell Drop]]+IF(DropAnalityka[[#This Row],[Drop]]="Scroll", 2000*DropAnalityka[[#This Row],[Quality/Quantity]],0)</f>
        <v>0</v>
      </c>
      <c r="K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5" spans="1:12">
      <c r="A865" t="s">
        <v>230</v>
      </c>
      <c r="B865" t="s">
        <v>9</v>
      </c>
      <c r="C865">
        <v>9</v>
      </c>
      <c r="D865">
        <v>2929</v>
      </c>
      <c r="E865">
        <v>1</v>
      </c>
      <c r="F865" t="s">
        <v>285</v>
      </c>
      <c r="G865">
        <v>1</v>
      </c>
      <c r="H865" t="s">
        <v>310</v>
      </c>
      <c r="I865">
        <v>0</v>
      </c>
      <c r="J865">
        <f>DropAnalityka[[#This Row],[Sell Drop]]+IF(DropAnalityka[[#This Row],[Drop]]="Scroll", 2000*DropAnalityka[[#This Row],[Quality/Quantity]],0)</f>
        <v>0</v>
      </c>
      <c r="K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6" spans="1:12">
      <c r="A866" t="s">
        <v>230</v>
      </c>
      <c r="B866" t="s">
        <v>9</v>
      </c>
      <c r="C866">
        <v>9</v>
      </c>
      <c r="D866">
        <v>2423</v>
      </c>
      <c r="E866">
        <v>1</v>
      </c>
      <c r="F866" t="s">
        <v>285</v>
      </c>
      <c r="G866">
        <v>3</v>
      </c>
      <c r="H866" t="s">
        <v>309</v>
      </c>
      <c r="I866">
        <v>0</v>
      </c>
      <c r="J866">
        <f>DropAnalityka[[#This Row],[Sell Drop]]+IF(DropAnalityka[[#This Row],[Drop]]="Scroll", 2000*DropAnalityka[[#This Row],[Quality/Quantity]],0)</f>
        <v>0</v>
      </c>
      <c r="K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7" spans="1:12">
      <c r="A867" t="s">
        <v>230</v>
      </c>
      <c r="B867" t="s">
        <v>9</v>
      </c>
      <c r="C867">
        <v>9</v>
      </c>
      <c r="D867">
        <v>2881</v>
      </c>
      <c r="E867">
        <v>0</v>
      </c>
      <c r="F867" t="s">
        <v>285</v>
      </c>
      <c r="G867">
        <v>5</v>
      </c>
      <c r="H867" t="s">
        <v>309</v>
      </c>
      <c r="I867">
        <v>0</v>
      </c>
      <c r="J867">
        <f>DropAnalityka[[#This Row],[Sell Drop]]+IF(DropAnalityka[[#This Row],[Drop]]="Scroll", 2000*DropAnalityka[[#This Row],[Quality/Quantity]],0)</f>
        <v>0</v>
      </c>
      <c r="K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8" spans="1:12">
      <c r="A868" t="s">
        <v>230</v>
      </c>
      <c r="B868" t="s">
        <v>9</v>
      </c>
      <c r="C868">
        <v>9</v>
      </c>
      <c r="D868">
        <v>3128</v>
      </c>
      <c r="E868">
        <v>1</v>
      </c>
      <c r="F868" t="s">
        <v>285</v>
      </c>
      <c r="G868">
        <v>4</v>
      </c>
      <c r="H868" t="s">
        <v>309</v>
      </c>
      <c r="I868">
        <v>0</v>
      </c>
      <c r="J868">
        <f>DropAnalityka[[#This Row],[Sell Drop]]+IF(DropAnalityka[[#This Row],[Drop]]="Scroll", 2000*DropAnalityka[[#This Row],[Quality/Quantity]],0)</f>
        <v>0</v>
      </c>
      <c r="K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69" spans="1:12">
      <c r="A869" t="s">
        <v>230</v>
      </c>
      <c r="B869" t="s">
        <v>9</v>
      </c>
      <c r="C869">
        <v>9</v>
      </c>
      <c r="D869">
        <v>3042</v>
      </c>
      <c r="E869">
        <v>0</v>
      </c>
      <c r="F869" t="s">
        <v>285</v>
      </c>
      <c r="G869">
        <v>3</v>
      </c>
      <c r="H869" t="s">
        <v>311</v>
      </c>
      <c r="I869">
        <v>0</v>
      </c>
      <c r="J869">
        <f>DropAnalityka[[#This Row],[Sell Drop]]+IF(DropAnalityka[[#This Row],[Drop]]="Scroll", 2000*DropAnalityka[[#This Row],[Quality/Quantity]],0)</f>
        <v>0</v>
      </c>
      <c r="K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0" spans="1:12">
      <c r="A870" t="s">
        <v>230</v>
      </c>
      <c r="B870" t="s">
        <v>9</v>
      </c>
      <c r="C870">
        <v>9</v>
      </c>
      <c r="D870">
        <v>2846</v>
      </c>
      <c r="E870">
        <v>1</v>
      </c>
      <c r="F870" t="s">
        <v>285</v>
      </c>
      <c r="G870">
        <v>1</v>
      </c>
      <c r="H870" t="s">
        <v>311</v>
      </c>
      <c r="I870">
        <v>0</v>
      </c>
      <c r="J870">
        <f>DropAnalityka[[#This Row],[Sell Drop]]+IF(DropAnalityka[[#This Row],[Drop]]="Scroll", 2000*DropAnalityka[[#This Row],[Quality/Quantity]],0)</f>
        <v>0</v>
      </c>
      <c r="K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1" spans="1:12">
      <c r="A871" t="s">
        <v>230</v>
      </c>
      <c r="B871" t="s">
        <v>9</v>
      </c>
      <c r="C871">
        <v>9</v>
      </c>
      <c r="D871">
        <v>3112</v>
      </c>
      <c r="E871">
        <v>1</v>
      </c>
      <c r="F871" t="s">
        <v>285</v>
      </c>
      <c r="G871">
        <v>1</v>
      </c>
      <c r="H871" t="s">
        <v>311</v>
      </c>
      <c r="I871">
        <v>0</v>
      </c>
      <c r="J871">
        <f>DropAnalityka[[#This Row],[Sell Drop]]+IF(DropAnalityka[[#This Row],[Drop]]="Scroll", 2000*DropAnalityka[[#This Row],[Quality/Quantity]],0)</f>
        <v>0</v>
      </c>
      <c r="K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2" spans="1:12">
      <c r="A872" t="s">
        <v>230</v>
      </c>
      <c r="B872" t="s">
        <v>9</v>
      </c>
      <c r="C872">
        <v>9</v>
      </c>
      <c r="D872">
        <v>2928</v>
      </c>
      <c r="E872">
        <v>1</v>
      </c>
      <c r="F872" t="s">
        <v>285</v>
      </c>
      <c r="G872">
        <v>4</v>
      </c>
      <c r="H872" t="s">
        <v>309</v>
      </c>
      <c r="I872">
        <v>0</v>
      </c>
      <c r="J872">
        <f>DropAnalityka[[#This Row],[Sell Drop]]+IF(DropAnalityka[[#This Row],[Drop]]="Scroll", 2000*DropAnalityka[[#This Row],[Quality/Quantity]],0)</f>
        <v>0</v>
      </c>
      <c r="K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3" spans="1:12">
      <c r="A873" t="s">
        <v>230</v>
      </c>
      <c r="B873" t="s">
        <v>9</v>
      </c>
      <c r="C873">
        <v>9</v>
      </c>
      <c r="D873">
        <v>2702</v>
      </c>
      <c r="E873">
        <v>1</v>
      </c>
      <c r="F873" t="s">
        <v>285</v>
      </c>
      <c r="G873">
        <v>2</v>
      </c>
      <c r="H873" t="s">
        <v>310</v>
      </c>
      <c r="I873">
        <v>0</v>
      </c>
      <c r="J873">
        <f>DropAnalityka[[#This Row],[Sell Drop]]+IF(DropAnalityka[[#This Row],[Drop]]="Scroll", 2000*DropAnalityka[[#This Row],[Quality/Quantity]],0)</f>
        <v>0</v>
      </c>
      <c r="K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74" spans="1:12">
      <c r="A874" t="s">
        <v>251</v>
      </c>
      <c r="B874" t="s">
        <v>9</v>
      </c>
      <c r="C874" t="s">
        <v>26</v>
      </c>
      <c r="D874">
        <v>6071</v>
      </c>
      <c r="E874">
        <v>0</v>
      </c>
      <c r="F874" t="s">
        <v>227</v>
      </c>
      <c r="G874">
        <v>4</v>
      </c>
      <c r="I874">
        <v>0</v>
      </c>
      <c r="J874">
        <f>DropAnalityka[[#This Row],[Sell Drop]]+IF(DropAnalityka[[#This Row],[Drop]]="Scroll", 2000*DropAnalityka[[#This Row],[Quality/Quantity]],0)</f>
        <v>0</v>
      </c>
      <c r="K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5" spans="1:12">
      <c r="A875" t="s">
        <v>251</v>
      </c>
      <c r="B875" t="s">
        <v>9</v>
      </c>
      <c r="C875" t="s">
        <v>26</v>
      </c>
      <c r="D875">
        <v>5719</v>
      </c>
      <c r="E875">
        <v>0</v>
      </c>
      <c r="F875" t="s">
        <v>227</v>
      </c>
      <c r="G875">
        <v>4</v>
      </c>
      <c r="I875">
        <v>0</v>
      </c>
      <c r="J875">
        <f>DropAnalityka[[#This Row],[Sell Drop]]+IF(DropAnalityka[[#This Row],[Drop]]="Scroll", 2000*DropAnalityka[[#This Row],[Quality/Quantity]],0)</f>
        <v>0</v>
      </c>
      <c r="K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6" spans="1:12">
      <c r="A876" t="s">
        <v>251</v>
      </c>
      <c r="B876" t="s">
        <v>9</v>
      </c>
      <c r="C876" t="s">
        <v>26</v>
      </c>
      <c r="D876">
        <v>5444</v>
      </c>
      <c r="E876">
        <v>0</v>
      </c>
      <c r="F876" t="s">
        <v>227</v>
      </c>
      <c r="G876">
        <v>4</v>
      </c>
      <c r="I876">
        <v>0</v>
      </c>
      <c r="J876">
        <f>DropAnalityka[[#This Row],[Sell Drop]]+IF(DropAnalityka[[#This Row],[Drop]]="Scroll", 2000*DropAnalityka[[#This Row],[Quality/Quantity]],0)</f>
        <v>0</v>
      </c>
      <c r="K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7" spans="1:12">
      <c r="A877" t="s">
        <v>251</v>
      </c>
      <c r="B877" t="s">
        <v>9</v>
      </c>
      <c r="C877" t="s">
        <v>26</v>
      </c>
      <c r="D877">
        <v>5741</v>
      </c>
      <c r="E877">
        <v>0</v>
      </c>
      <c r="F877" t="s">
        <v>227</v>
      </c>
      <c r="G877">
        <v>4</v>
      </c>
      <c r="I877">
        <v>0</v>
      </c>
      <c r="J877">
        <f>DropAnalityka[[#This Row],[Sell Drop]]+IF(DropAnalityka[[#This Row],[Drop]]="Scroll", 2000*DropAnalityka[[#This Row],[Quality/Quantity]],0)</f>
        <v>0</v>
      </c>
      <c r="K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8" spans="1:12">
      <c r="A878" t="s">
        <v>251</v>
      </c>
      <c r="B878" t="s">
        <v>9</v>
      </c>
      <c r="C878" t="s">
        <v>26</v>
      </c>
      <c r="D878">
        <v>6031</v>
      </c>
      <c r="E878">
        <v>0</v>
      </c>
      <c r="F878" t="s">
        <v>227</v>
      </c>
      <c r="G878">
        <v>4</v>
      </c>
      <c r="I878">
        <v>0</v>
      </c>
      <c r="J878">
        <f>DropAnalityka[[#This Row],[Sell Drop]]+IF(DropAnalityka[[#This Row],[Drop]]="Scroll", 2000*DropAnalityka[[#This Row],[Quality/Quantity]],0)</f>
        <v>0</v>
      </c>
      <c r="K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79" spans="1:12">
      <c r="A879" t="s">
        <v>251</v>
      </c>
      <c r="B879" t="s">
        <v>9</v>
      </c>
      <c r="C879" t="s">
        <v>26</v>
      </c>
      <c r="D879">
        <v>5574</v>
      </c>
      <c r="E879">
        <v>0</v>
      </c>
      <c r="F879" t="s">
        <v>227</v>
      </c>
      <c r="G879">
        <v>4</v>
      </c>
      <c r="I879">
        <v>0</v>
      </c>
      <c r="J879">
        <f>DropAnalityka[[#This Row],[Sell Drop]]+IF(DropAnalityka[[#This Row],[Drop]]="Scroll", 2000*DropAnalityka[[#This Row],[Quality/Quantity]],0)</f>
        <v>0</v>
      </c>
      <c r="K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0" spans="1:12">
      <c r="A880" t="s">
        <v>251</v>
      </c>
      <c r="B880" t="s">
        <v>9</v>
      </c>
      <c r="C880" t="s">
        <v>26</v>
      </c>
      <c r="D880">
        <v>6065</v>
      </c>
      <c r="E880">
        <v>0</v>
      </c>
      <c r="F880" t="s">
        <v>227</v>
      </c>
      <c r="G880">
        <v>4</v>
      </c>
      <c r="I880">
        <v>0</v>
      </c>
      <c r="J880">
        <f>DropAnalityka[[#This Row],[Sell Drop]]+IF(DropAnalityka[[#This Row],[Drop]]="Scroll", 2000*DropAnalityka[[#This Row],[Quality/Quantity]],0)</f>
        <v>0</v>
      </c>
      <c r="K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1" spans="1:12">
      <c r="A881" t="s">
        <v>251</v>
      </c>
      <c r="B881" t="s">
        <v>9</v>
      </c>
      <c r="C881" t="s">
        <v>26</v>
      </c>
      <c r="D881">
        <v>5631</v>
      </c>
      <c r="E881">
        <v>0</v>
      </c>
      <c r="F881" t="s">
        <v>227</v>
      </c>
      <c r="G881">
        <v>4</v>
      </c>
      <c r="I881">
        <v>0</v>
      </c>
      <c r="J881">
        <f>DropAnalityka[[#This Row],[Sell Drop]]+IF(DropAnalityka[[#This Row],[Drop]]="Scroll", 2000*DropAnalityka[[#This Row],[Quality/Quantity]],0)</f>
        <v>0</v>
      </c>
      <c r="K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3450</v>
      </c>
      <c r="L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6606.2000000000007</v>
      </c>
    </row>
    <row r="882" spans="1:12">
      <c r="A882" t="s">
        <v>230</v>
      </c>
      <c r="B882" t="s">
        <v>9</v>
      </c>
      <c r="C882">
        <v>9</v>
      </c>
      <c r="D882">
        <v>2671</v>
      </c>
      <c r="E882">
        <v>0</v>
      </c>
      <c r="F882" t="s">
        <v>285</v>
      </c>
      <c r="G882">
        <v>1</v>
      </c>
      <c r="H882" t="s">
        <v>310</v>
      </c>
      <c r="I882">
        <v>0</v>
      </c>
      <c r="J882">
        <f>DropAnalityka[[#This Row],[Sell Drop]]+IF(DropAnalityka[[#This Row],[Drop]]="Scroll", 2000*DropAnalityka[[#This Row],[Quality/Quantity]],0)</f>
        <v>0</v>
      </c>
      <c r="K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3" spans="1:12">
      <c r="A883" t="s">
        <v>230</v>
      </c>
      <c r="B883" t="s">
        <v>9</v>
      </c>
      <c r="C883">
        <v>9</v>
      </c>
      <c r="D883">
        <v>2940</v>
      </c>
      <c r="E883">
        <v>0</v>
      </c>
      <c r="F883" t="s">
        <v>285</v>
      </c>
      <c r="G883">
        <v>1</v>
      </c>
      <c r="H883" t="s">
        <v>311</v>
      </c>
      <c r="I883">
        <v>0</v>
      </c>
      <c r="J883">
        <f>DropAnalityka[[#This Row],[Sell Drop]]+IF(DropAnalityka[[#This Row],[Drop]]="Scroll", 2000*DropAnalityka[[#This Row],[Quality/Quantity]],0)</f>
        <v>0</v>
      </c>
      <c r="K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4" spans="1:12">
      <c r="A884" t="s">
        <v>230</v>
      </c>
      <c r="B884" t="s">
        <v>9</v>
      </c>
      <c r="C884">
        <v>9</v>
      </c>
      <c r="D884">
        <v>2643</v>
      </c>
      <c r="E884">
        <v>2</v>
      </c>
      <c r="F884" t="s">
        <v>285</v>
      </c>
      <c r="G884">
        <v>1</v>
      </c>
      <c r="H884" t="s">
        <v>311</v>
      </c>
      <c r="I884">
        <v>0</v>
      </c>
      <c r="J884">
        <f>DropAnalityka[[#This Row],[Sell Drop]]+IF(DropAnalityka[[#This Row],[Drop]]="Scroll", 2000*DropAnalityka[[#This Row],[Quality/Quantity]],0)</f>
        <v>0</v>
      </c>
      <c r="K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5" spans="1:12">
      <c r="A885" t="s">
        <v>230</v>
      </c>
      <c r="B885" t="s">
        <v>9</v>
      </c>
      <c r="C885">
        <v>9</v>
      </c>
      <c r="D885">
        <v>2968</v>
      </c>
      <c r="E885">
        <v>0</v>
      </c>
      <c r="F885" t="s">
        <v>285</v>
      </c>
      <c r="G885">
        <v>3</v>
      </c>
      <c r="H885" t="s">
        <v>310</v>
      </c>
      <c r="I885">
        <v>0</v>
      </c>
      <c r="J885">
        <f>DropAnalityka[[#This Row],[Sell Drop]]+IF(DropAnalityka[[#This Row],[Drop]]="Scroll", 2000*DropAnalityka[[#This Row],[Quality/Quantity]],0)</f>
        <v>0</v>
      </c>
      <c r="K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6" spans="1:12">
      <c r="A886" t="s">
        <v>230</v>
      </c>
      <c r="B886" t="s">
        <v>9</v>
      </c>
      <c r="C886">
        <v>9</v>
      </c>
      <c r="D886">
        <v>2502</v>
      </c>
      <c r="E886">
        <v>2</v>
      </c>
      <c r="F886" t="s">
        <v>285</v>
      </c>
      <c r="G886">
        <v>2</v>
      </c>
      <c r="H886" t="s">
        <v>310</v>
      </c>
      <c r="I886">
        <v>0</v>
      </c>
      <c r="J886">
        <f>DropAnalityka[[#This Row],[Sell Drop]]+IF(DropAnalityka[[#This Row],[Drop]]="Scroll", 2000*DropAnalityka[[#This Row],[Quality/Quantity]],0)</f>
        <v>0</v>
      </c>
      <c r="K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7" spans="1:12">
      <c r="A887" t="s">
        <v>230</v>
      </c>
      <c r="B887" t="s">
        <v>9</v>
      </c>
      <c r="C887">
        <v>9</v>
      </c>
      <c r="D887">
        <v>2719</v>
      </c>
      <c r="E887">
        <v>3</v>
      </c>
      <c r="F887" t="s">
        <v>251</v>
      </c>
      <c r="G887" t="s">
        <v>325</v>
      </c>
      <c r="I887">
        <v>0</v>
      </c>
      <c r="J887">
        <f>DropAnalityka[[#This Row],[Sell Drop]]+IF(DropAnalityka[[#This Row],[Drop]]="Scroll", 2000*DropAnalityka[[#This Row],[Quality/Quantity]],0)</f>
        <v>0</v>
      </c>
      <c r="K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8" spans="1:12">
      <c r="A888" t="s">
        <v>230</v>
      </c>
      <c r="B888" t="s">
        <v>9</v>
      </c>
      <c r="C888">
        <v>9</v>
      </c>
      <c r="D888">
        <v>2733</v>
      </c>
      <c r="E888">
        <v>1</v>
      </c>
      <c r="F888" t="s">
        <v>285</v>
      </c>
      <c r="G888">
        <v>1</v>
      </c>
      <c r="H888" t="s">
        <v>310</v>
      </c>
      <c r="I888">
        <v>0</v>
      </c>
      <c r="J888">
        <f>DropAnalityka[[#This Row],[Sell Drop]]+IF(DropAnalityka[[#This Row],[Drop]]="Scroll", 2000*DropAnalityka[[#This Row],[Quality/Quantity]],0)</f>
        <v>0</v>
      </c>
      <c r="K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89" spans="1:12">
      <c r="A889" t="s">
        <v>230</v>
      </c>
      <c r="B889" t="s">
        <v>9</v>
      </c>
      <c r="C889">
        <v>9</v>
      </c>
      <c r="D889">
        <v>2917</v>
      </c>
      <c r="E889">
        <v>1</v>
      </c>
      <c r="F889" t="s">
        <v>285</v>
      </c>
      <c r="G889">
        <v>1</v>
      </c>
      <c r="H889" t="s">
        <v>310</v>
      </c>
      <c r="I889">
        <v>0</v>
      </c>
      <c r="J889">
        <f>DropAnalityka[[#This Row],[Sell Drop]]+IF(DropAnalityka[[#This Row],[Drop]]="Scroll", 2000*DropAnalityka[[#This Row],[Quality/Quantity]],0)</f>
        <v>0</v>
      </c>
      <c r="K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0" spans="1:12">
      <c r="A890" t="s">
        <v>230</v>
      </c>
      <c r="B890" t="s">
        <v>9</v>
      </c>
      <c r="C890">
        <v>9</v>
      </c>
      <c r="D890">
        <v>2662</v>
      </c>
      <c r="E890">
        <v>0</v>
      </c>
      <c r="F890" t="s">
        <v>285</v>
      </c>
      <c r="G890">
        <v>3</v>
      </c>
      <c r="H890" t="s">
        <v>311</v>
      </c>
      <c r="I890">
        <v>0</v>
      </c>
      <c r="J890">
        <f>DropAnalityka[[#This Row],[Sell Drop]]+IF(DropAnalityka[[#This Row],[Drop]]="Scroll", 2000*DropAnalityka[[#This Row],[Quality/Quantity]],0)</f>
        <v>0</v>
      </c>
      <c r="K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1" spans="1:12">
      <c r="A891" t="s">
        <v>230</v>
      </c>
      <c r="B891" t="s">
        <v>9</v>
      </c>
      <c r="C891">
        <v>9</v>
      </c>
      <c r="D891">
        <v>2980</v>
      </c>
      <c r="E891">
        <v>1</v>
      </c>
      <c r="F891" t="s">
        <v>285</v>
      </c>
      <c r="G891">
        <v>2</v>
      </c>
      <c r="H891" t="s">
        <v>310</v>
      </c>
      <c r="I891">
        <v>0</v>
      </c>
      <c r="J891">
        <f>DropAnalityka[[#This Row],[Sell Drop]]+IF(DropAnalityka[[#This Row],[Drop]]="Scroll", 2000*DropAnalityka[[#This Row],[Quality/Quantity]],0)</f>
        <v>0</v>
      </c>
      <c r="K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2" spans="1:12">
      <c r="A892" t="s">
        <v>230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 t="s">
        <v>26</v>
      </c>
      <c r="I892">
        <v>0</v>
      </c>
      <c r="J892">
        <f>DropAnalityka[[#This Row],[Sell Drop]]+IF(DropAnalityka[[#This Row],[Drop]]="Scroll", 2000*DropAnalityka[[#This Row],[Quality/Quantity]],0)</f>
        <v>0</v>
      </c>
      <c r="K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3" spans="1:12">
      <c r="A893" t="s">
        <v>230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I893">
        <v>0</v>
      </c>
      <c r="J893">
        <f>DropAnalityka[[#This Row],[Sell Drop]]+IF(DropAnalityka[[#This Row],[Drop]]="Scroll", 2000*DropAnalityka[[#This Row],[Quality/Quantity]],0)</f>
        <v>10000</v>
      </c>
      <c r="K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4" spans="1:12">
      <c r="A894" t="s">
        <v>230</v>
      </c>
      <c r="B894" t="s">
        <v>9</v>
      </c>
      <c r="C894">
        <v>9</v>
      </c>
      <c r="D894">
        <v>2705</v>
      </c>
      <c r="E894">
        <v>1</v>
      </c>
      <c r="F894" t="s">
        <v>285</v>
      </c>
      <c r="G894">
        <v>1</v>
      </c>
      <c r="H894" t="s">
        <v>311</v>
      </c>
      <c r="J894">
        <f>DropAnalityka[[#This Row],[Sell Drop]]+IF(DropAnalityka[[#This Row],[Drop]]="Scroll", 2000*DropAnalityka[[#This Row],[Quality/Quantity]],0)</f>
        <v>0</v>
      </c>
      <c r="K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5" spans="1:12">
      <c r="J895">
        <f>DropAnalityka[[#This Row],[Sell Drop]]+IF(DropAnalityka[[#This Row],[Drop]]="Scroll", 2000*DropAnalityka[[#This Row],[Quality/Quantity]],0)</f>
        <v>0</v>
      </c>
      <c r="K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6" spans="1:12">
      <c r="J896">
        <f>DropAnalityka[[#This Row],[Sell Drop]]+IF(DropAnalityka[[#This Row],[Drop]]="Scroll", 2000*DropAnalityka[[#This Row],[Quality/Quantity]],0)</f>
        <v>0</v>
      </c>
      <c r="K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7" spans="10:12">
      <c r="J897">
        <f>DropAnalityka[[#This Row],[Sell Drop]]+IF(DropAnalityka[[#This Row],[Drop]]="Scroll", 2000*DropAnalityka[[#This Row],[Quality/Quantity]],0)</f>
        <v>0</v>
      </c>
      <c r="K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8" spans="10:12">
      <c r="J898">
        <f>DropAnalityka[[#This Row],[Sell Drop]]+IF(DropAnalityka[[#This Row],[Drop]]="Scroll", 2000*DropAnalityka[[#This Row],[Quality/Quantity]],0)</f>
        <v>0</v>
      </c>
      <c r="K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899" spans="10:12">
      <c r="J899">
        <f>DropAnalityka[[#This Row],[Sell Drop]]+IF(DropAnalityka[[#This Row],[Drop]]="Scroll", 2000*DropAnalityka[[#This Row],[Quality/Quantity]],0)</f>
        <v>0</v>
      </c>
      <c r="K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0" spans="10:12">
      <c r="J900">
        <f>DropAnalityka[[#This Row],[Sell Drop]]+IF(DropAnalityka[[#This Row],[Drop]]="Scroll", 2000*DropAnalityka[[#This Row],[Quality/Quantity]],0)</f>
        <v>0</v>
      </c>
      <c r="K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1" spans="10:12">
      <c r="J901">
        <f>DropAnalityka[[#This Row],[Sell Drop]]+IF(DropAnalityka[[#This Row],[Drop]]="Scroll", 2000*DropAnalityka[[#This Row],[Quality/Quantity]],0)</f>
        <v>0</v>
      </c>
      <c r="K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2" spans="10:12">
      <c r="J902">
        <f>DropAnalityka[[#This Row],[Sell Drop]]+IF(DropAnalityka[[#This Row],[Drop]]="Scroll", 2000*DropAnalityka[[#This Row],[Quality/Quantity]],0)</f>
        <v>0</v>
      </c>
      <c r="K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3" spans="10:12">
      <c r="J903">
        <f>DropAnalityka[[#This Row],[Sell Drop]]+IF(DropAnalityka[[#This Row],[Drop]]="Scroll", 2000*DropAnalityka[[#This Row],[Quality/Quantity]],0)</f>
        <v>0</v>
      </c>
      <c r="K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4" spans="10:12">
      <c r="J904">
        <f>DropAnalityka[[#This Row],[Sell Drop]]+IF(DropAnalityka[[#This Row],[Drop]]="Scroll", 2000*DropAnalityka[[#This Row],[Quality/Quantity]],0)</f>
        <v>0</v>
      </c>
      <c r="K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5" spans="10:12">
      <c r="J905">
        <f>DropAnalityka[[#This Row],[Sell Drop]]+IF(DropAnalityka[[#This Row],[Drop]]="Scroll", 2000*DropAnalityka[[#This Row],[Quality/Quantity]],0)</f>
        <v>0</v>
      </c>
      <c r="K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6" spans="10:12">
      <c r="J906">
        <f>DropAnalityka[[#This Row],[Sell Drop]]+IF(DropAnalityka[[#This Row],[Drop]]="Scroll", 2000*DropAnalityka[[#This Row],[Quality/Quantity]],0)</f>
        <v>0</v>
      </c>
      <c r="K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7" spans="10:12">
      <c r="J907">
        <f>DropAnalityka[[#This Row],[Sell Drop]]+IF(DropAnalityka[[#This Row],[Drop]]="Scroll", 2000*DropAnalityka[[#This Row],[Quality/Quantity]],0)</f>
        <v>0</v>
      </c>
      <c r="K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8" spans="10:12">
      <c r="J908">
        <f>DropAnalityka[[#This Row],[Sell Drop]]+IF(DropAnalityka[[#This Row],[Drop]]="Scroll", 2000*DropAnalityka[[#This Row],[Quality/Quantity]],0)</f>
        <v>0</v>
      </c>
      <c r="K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09" spans="10:12">
      <c r="J909">
        <f>DropAnalityka[[#This Row],[Sell Drop]]+IF(DropAnalityka[[#This Row],[Drop]]="Scroll", 2000*DropAnalityka[[#This Row],[Quality/Quantity]],0)</f>
        <v>0</v>
      </c>
      <c r="K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0" spans="10:12">
      <c r="J910">
        <f>DropAnalityka[[#This Row],[Sell Drop]]+IF(DropAnalityka[[#This Row],[Drop]]="Scroll", 2000*DropAnalityka[[#This Row],[Quality/Quantity]],0)</f>
        <v>0</v>
      </c>
      <c r="K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1" spans="10:12">
      <c r="J911">
        <f>DropAnalityka[[#This Row],[Sell Drop]]+IF(DropAnalityka[[#This Row],[Drop]]="Scroll", 2000*DropAnalityka[[#This Row],[Quality/Quantity]],0)</f>
        <v>0</v>
      </c>
      <c r="K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2" spans="10:12">
      <c r="J912">
        <f>DropAnalityka[[#This Row],[Sell Drop]]+IF(DropAnalityka[[#This Row],[Drop]]="Scroll", 2000*DropAnalityka[[#This Row],[Quality/Quantity]],0)</f>
        <v>0</v>
      </c>
      <c r="K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3" spans="10:12">
      <c r="J913">
        <f>DropAnalityka[[#This Row],[Sell Drop]]+IF(DropAnalityka[[#This Row],[Drop]]="Scroll", 2000*DropAnalityka[[#This Row],[Quality/Quantity]],0)</f>
        <v>0</v>
      </c>
      <c r="K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4" spans="10:12">
      <c r="J914">
        <f>DropAnalityka[[#This Row],[Sell Drop]]+IF(DropAnalityka[[#This Row],[Drop]]="Scroll", 2000*DropAnalityka[[#This Row],[Quality/Quantity]],0)</f>
        <v>0</v>
      </c>
      <c r="K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5" spans="10:12">
      <c r="J915">
        <f>DropAnalityka[[#This Row],[Sell Drop]]+IF(DropAnalityka[[#This Row],[Drop]]="Scroll", 2000*DropAnalityka[[#This Row],[Quality/Quantity]],0)</f>
        <v>0</v>
      </c>
      <c r="K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6" spans="10:12">
      <c r="J916">
        <f>DropAnalityka[[#This Row],[Sell Drop]]+IF(DropAnalityka[[#This Row],[Drop]]="Scroll", 2000*DropAnalityka[[#This Row],[Quality/Quantity]],0)</f>
        <v>0</v>
      </c>
      <c r="K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7" spans="10:12">
      <c r="J917">
        <f>DropAnalityka[[#This Row],[Sell Drop]]+IF(DropAnalityka[[#This Row],[Drop]]="Scroll", 2000*DropAnalityka[[#This Row],[Quality/Quantity]],0)</f>
        <v>0</v>
      </c>
      <c r="K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8" spans="10:12">
      <c r="J918">
        <f>DropAnalityka[[#This Row],[Sell Drop]]+IF(DropAnalityka[[#This Row],[Drop]]="Scroll", 2000*DropAnalityka[[#This Row],[Quality/Quantity]],0)</f>
        <v>0</v>
      </c>
      <c r="K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19" spans="10:12">
      <c r="J919">
        <f>DropAnalityka[[#This Row],[Sell Drop]]+IF(DropAnalityka[[#This Row],[Drop]]="Scroll", 2000*DropAnalityka[[#This Row],[Quality/Quantity]],0)</f>
        <v>0</v>
      </c>
      <c r="K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0" spans="10:12">
      <c r="J920">
        <f>DropAnalityka[[#This Row],[Sell Drop]]+IF(DropAnalityka[[#This Row],[Drop]]="Scroll", 2000*DropAnalityka[[#This Row],[Quality/Quantity]],0)</f>
        <v>0</v>
      </c>
      <c r="K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1" spans="10:12">
      <c r="J921">
        <f>DropAnalityka[[#This Row],[Sell Drop]]+IF(DropAnalityka[[#This Row],[Drop]]="Scroll", 2000*DropAnalityka[[#This Row],[Quality/Quantity]],0)</f>
        <v>0</v>
      </c>
      <c r="K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2" spans="10:12">
      <c r="J922">
        <f>DropAnalityka[[#This Row],[Sell Drop]]+IF(DropAnalityka[[#This Row],[Drop]]="Scroll", 2000*DropAnalityka[[#This Row],[Quality/Quantity]],0)</f>
        <v>0</v>
      </c>
      <c r="K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3" spans="10:12">
      <c r="J923">
        <f>DropAnalityka[[#This Row],[Sell Drop]]+IF(DropAnalityka[[#This Row],[Drop]]="Scroll", 2000*DropAnalityka[[#This Row],[Quality/Quantity]],0)</f>
        <v>0</v>
      </c>
      <c r="K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4" spans="10:12">
      <c r="J924">
        <f>DropAnalityka[[#This Row],[Sell Drop]]+IF(DropAnalityka[[#This Row],[Drop]]="Scroll", 2000*DropAnalityka[[#This Row],[Quality/Quantity]],0)</f>
        <v>0</v>
      </c>
      <c r="K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5" spans="10:12">
      <c r="J925">
        <f>DropAnalityka[[#This Row],[Sell Drop]]+IF(DropAnalityka[[#This Row],[Drop]]="Scroll", 2000*DropAnalityka[[#This Row],[Quality/Quantity]],0)</f>
        <v>0</v>
      </c>
      <c r="K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6" spans="10:12">
      <c r="J926">
        <f>DropAnalityka[[#This Row],[Sell Drop]]+IF(DropAnalityka[[#This Row],[Drop]]="Scroll", 2000*DropAnalityka[[#This Row],[Quality/Quantity]],0)</f>
        <v>0</v>
      </c>
      <c r="K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7" spans="10:12">
      <c r="J927">
        <f>DropAnalityka[[#This Row],[Sell Drop]]+IF(DropAnalityka[[#This Row],[Drop]]="Scroll", 2000*DropAnalityka[[#This Row],[Quality/Quantity]],0)</f>
        <v>0</v>
      </c>
      <c r="K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8" spans="10:12">
      <c r="J928">
        <f>DropAnalityka[[#This Row],[Sell Drop]]+IF(DropAnalityka[[#This Row],[Drop]]="Scroll", 2000*DropAnalityka[[#This Row],[Quality/Quantity]],0)</f>
        <v>0</v>
      </c>
      <c r="K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29" spans="10:12">
      <c r="J929">
        <f>DropAnalityka[[#This Row],[Sell Drop]]+IF(DropAnalityka[[#This Row],[Drop]]="Scroll", 2000*DropAnalityka[[#This Row],[Quality/Quantity]],0)</f>
        <v>0</v>
      </c>
      <c r="K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0" spans="10:12">
      <c r="J930">
        <f>DropAnalityka[[#This Row],[Sell Drop]]+IF(DropAnalityka[[#This Row],[Drop]]="Scroll", 2000*DropAnalityka[[#This Row],[Quality/Quantity]],0)</f>
        <v>0</v>
      </c>
      <c r="K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1" spans="10:12">
      <c r="J931">
        <f>DropAnalityka[[#This Row],[Sell Drop]]+IF(DropAnalityka[[#This Row],[Drop]]="Scroll", 2000*DropAnalityka[[#This Row],[Quality/Quantity]],0)</f>
        <v>0</v>
      </c>
      <c r="K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2" spans="10:12">
      <c r="J932">
        <f>DropAnalityka[[#This Row],[Sell Drop]]+IF(DropAnalityka[[#This Row],[Drop]]="Scroll", 2000*DropAnalityka[[#This Row],[Quality/Quantity]],0)</f>
        <v>0</v>
      </c>
      <c r="K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3" spans="10:12">
      <c r="J933">
        <f>DropAnalityka[[#This Row],[Sell Drop]]+IF(DropAnalityka[[#This Row],[Drop]]="Scroll", 2000*DropAnalityka[[#This Row],[Quality/Quantity]],0)</f>
        <v>0</v>
      </c>
      <c r="K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4" spans="10:12">
      <c r="J934">
        <f>DropAnalityka[[#This Row],[Sell Drop]]+IF(DropAnalityka[[#This Row],[Drop]]="Scroll", 2000*DropAnalityka[[#This Row],[Quality/Quantity]],0)</f>
        <v>0</v>
      </c>
      <c r="K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5" spans="10:12">
      <c r="J935">
        <f>DropAnalityka[[#This Row],[Sell Drop]]+IF(DropAnalityka[[#This Row],[Drop]]="Scroll", 2000*DropAnalityka[[#This Row],[Quality/Quantity]],0)</f>
        <v>0</v>
      </c>
      <c r="K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6" spans="10:12">
      <c r="J936">
        <f>DropAnalityka[[#This Row],[Sell Drop]]+IF(DropAnalityka[[#This Row],[Drop]]="Scroll", 2000*DropAnalityka[[#This Row],[Quality/Quantity]],0)</f>
        <v>0</v>
      </c>
      <c r="K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7" spans="10:12">
      <c r="J937">
        <f>DropAnalityka[[#This Row],[Sell Drop]]+IF(DropAnalityka[[#This Row],[Drop]]="Scroll", 2000*DropAnalityka[[#This Row],[Quality/Quantity]],0)</f>
        <v>0</v>
      </c>
      <c r="K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8" spans="10:12">
      <c r="J938">
        <f>DropAnalityka[[#This Row],[Sell Drop]]+IF(DropAnalityka[[#This Row],[Drop]]="Scroll", 2000*DropAnalityka[[#This Row],[Quality/Quantity]],0)</f>
        <v>0</v>
      </c>
      <c r="K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39" spans="10:12">
      <c r="J939">
        <f>DropAnalityka[[#This Row],[Sell Drop]]+IF(DropAnalityka[[#This Row],[Drop]]="Scroll", 2000*DropAnalityka[[#This Row],[Quality/Quantity]],0)</f>
        <v>0</v>
      </c>
      <c r="K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0" spans="10:12">
      <c r="J940">
        <f>DropAnalityka[[#This Row],[Sell Drop]]+IF(DropAnalityka[[#This Row],[Drop]]="Scroll", 2000*DropAnalityka[[#This Row],[Quality/Quantity]],0)</f>
        <v>0</v>
      </c>
      <c r="K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1" spans="10:12">
      <c r="J941">
        <f>DropAnalityka[[#This Row],[Sell Drop]]+IF(DropAnalityka[[#This Row],[Drop]]="Scroll", 2000*DropAnalityka[[#This Row],[Quality/Quantity]],0)</f>
        <v>0</v>
      </c>
      <c r="K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2" spans="10:12">
      <c r="J942">
        <f>DropAnalityka[[#This Row],[Sell Drop]]+IF(DropAnalityka[[#This Row],[Drop]]="Scroll", 2000*DropAnalityka[[#This Row],[Quality/Quantity]],0)</f>
        <v>0</v>
      </c>
      <c r="K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3" spans="10:12">
      <c r="J943">
        <f>DropAnalityka[[#This Row],[Sell Drop]]+IF(DropAnalityka[[#This Row],[Drop]]="Scroll", 2000*DropAnalityka[[#This Row],[Quality/Quantity]],0)</f>
        <v>0</v>
      </c>
      <c r="K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4" spans="10:12">
      <c r="J944">
        <f>DropAnalityka[[#This Row],[Sell Drop]]+IF(DropAnalityka[[#This Row],[Drop]]="Scroll", 2000*DropAnalityka[[#This Row],[Quality/Quantity]],0)</f>
        <v>0</v>
      </c>
      <c r="K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5" spans="10:12">
      <c r="J945">
        <f>DropAnalityka[[#This Row],[Sell Drop]]+IF(DropAnalityka[[#This Row],[Drop]]="Scroll", 2000*DropAnalityka[[#This Row],[Quality/Quantity]],0)</f>
        <v>0</v>
      </c>
      <c r="K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6" spans="10:12">
      <c r="J946">
        <f>DropAnalityka[[#This Row],[Sell Drop]]+IF(DropAnalityka[[#This Row],[Drop]]="Scroll", 2000*DropAnalityka[[#This Row],[Quality/Quantity]],0)</f>
        <v>0</v>
      </c>
      <c r="K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7" spans="10:12">
      <c r="J947">
        <f>DropAnalityka[[#This Row],[Sell Drop]]+IF(DropAnalityka[[#This Row],[Drop]]="Scroll", 2000*DropAnalityka[[#This Row],[Quality/Quantity]],0)</f>
        <v>0</v>
      </c>
      <c r="K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8" spans="10:12">
      <c r="J948">
        <f>DropAnalityka[[#This Row],[Sell Drop]]+IF(DropAnalityka[[#This Row],[Drop]]="Scroll", 2000*DropAnalityka[[#This Row],[Quality/Quantity]],0)</f>
        <v>0</v>
      </c>
      <c r="K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49" spans="10:12">
      <c r="J949">
        <f>DropAnalityka[[#This Row],[Sell Drop]]+IF(DropAnalityka[[#This Row],[Drop]]="Scroll", 2000*DropAnalityka[[#This Row],[Quality/Quantity]],0)</f>
        <v>0</v>
      </c>
      <c r="K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0" spans="10:12">
      <c r="J950">
        <f>DropAnalityka[[#This Row],[Sell Drop]]+IF(DropAnalityka[[#This Row],[Drop]]="Scroll", 2000*DropAnalityka[[#This Row],[Quality/Quantity]],0)</f>
        <v>0</v>
      </c>
      <c r="K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1" spans="10:12">
      <c r="J951">
        <f>DropAnalityka[[#This Row],[Sell Drop]]+IF(DropAnalityka[[#This Row],[Drop]]="Scroll", 2000*DropAnalityka[[#This Row],[Quality/Quantity]],0)</f>
        <v>0</v>
      </c>
      <c r="K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2" spans="10:12">
      <c r="J952">
        <f>DropAnalityka[[#This Row],[Sell Drop]]+IF(DropAnalityka[[#This Row],[Drop]]="Scroll", 2000*DropAnalityka[[#This Row],[Quality/Quantity]],0)</f>
        <v>0</v>
      </c>
      <c r="K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3" spans="10:12">
      <c r="J953">
        <f>DropAnalityka[[#This Row],[Sell Drop]]+IF(DropAnalityka[[#This Row],[Drop]]="Scroll", 2000*DropAnalityka[[#This Row],[Quality/Quantity]],0)</f>
        <v>0</v>
      </c>
      <c r="K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4" spans="10:12">
      <c r="J954">
        <f>DropAnalityka[[#This Row],[Sell Drop]]+IF(DropAnalityka[[#This Row],[Drop]]="Scroll", 2000*DropAnalityka[[#This Row],[Quality/Quantity]],0)</f>
        <v>0</v>
      </c>
      <c r="K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5" spans="10:12">
      <c r="J955">
        <f>DropAnalityka[[#This Row],[Sell Drop]]+IF(DropAnalityka[[#This Row],[Drop]]="Scroll", 2000*DropAnalityka[[#This Row],[Quality/Quantity]],0)</f>
        <v>0</v>
      </c>
      <c r="K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6" spans="10:12">
      <c r="J956">
        <f>DropAnalityka[[#This Row],[Sell Drop]]+IF(DropAnalityka[[#This Row],[Drop]]="Scroll", 2000*DropAnalityka[[#This Row],[Quality/Quantity]],0)</f>
        <v>0</v>
      </c>
      <c r="K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7" spans="10:12">
      <c r="J957">
        <f>DropAnalityka[[#This Row],[Sell Drop]]+IF(DropAnalityka[[#This Row],[Drop]]="Scroll", 2000*DropAnalityka[[#This Row],[Quality/Quantity]],0)</f>
        <v>0</v>
      </c>
      <c r="K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8" spans="10:12">
      <c r="J958">
        <f>DropAnalityka[[#This Row],[Sell Drop]]+IF(DropAnalityka[[#This Row],[Drop]]="Scroll", 2000*DropAnalityka[[#This Row],[Quality/Quantity]],0)</f>
        <v>0</v>
      </c>
      <c r="K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59" spans="10:12">
      <c r="J959">
        <f>DropAnalityka[[#This Row],[Sell Drop]]+IF(DropAnalityka[[#This Row],[Drop]]="Scroll", 2000*DropAnalityka[[#This Row],[Quality/Quantity]],0)</f>
        <v>0</v>
      </c>
      <c r="K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0" spans="10:12">
      <c r="J960">
        <f>DropAnalityka[[#This Row],[Sell Drop]]+IF(DropAnalityka[[#This Row],[Drop]]="Scroll", 2000*DropAnalityka[[#This Row],[Quality/Quantity]],0)</f>
        <v>0</v>
      </c>
      <c r="K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1" spans="10:12">
      <c r="J961">
        <f>DropAnalityka[[#This Row],[Sell Drop]]+IF(DropAnalityka[[#This Row],[Drop]]="Scroll", 2000*DropAnalityka[[#This Row],[Quality/Quantity]],0)</f>
        <v>0</v>
      </c>
      <c r="K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2" spans="10:12">
      <c r="J962">
        <f>DropAnalityka[[#This Row],[Sell Drop]]+IF(DropAnalityka[[#This Row],[Drop]]="Scroll", 2000*DropAnalityka[[#This Row],[Quality/Quantity]],0)</f>
        <v>0</v>
      </c>
      <c r="K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3" spans="10:12">
      <c r="J963">
        <f>DropAnalityka[[#This Row],[Sell Drop]]+IF(DropAnalityka[[#This Row],[Drop]]="Scroll", 2000*DropAnalityka[[#This Row],[Quality/Quantity]],0)</f>
        <v>0</v>
      </c>
      <c r="K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4" spans="10:12">
      <c r="J964">
        <f>DropAnalityka[[#This Row],[Sell Drop]]+IF(DropAnalityka[[#This Row],[Drop]]="Scroll", 2000*DropAnalityka[[#This Row],[Quality/Quantity]],0)</f>
        <v>0</v>
      </c>
      <c r="K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5" spans="10:12">
      <c r="J965">
        <f>DropAnalityka[[#This Row],[Sell Drop]]+IF(DropAnalityka[[#This Row],[Drop]]="Scroll", 2000*DropAnalityka[[#This Row],[Quality/Quantity]],0)</f>
        <v>0</v>
      </c>
      <c r="K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6" spans="10:12">
      <c r="J966">
        <f>DropAnalityka[[#This Row],[Sell Drop]]+IF(DropAnalityka[[#This Row],[Drop]]="Scroll", 2000*DropAnalityka[[#This Row],[Quality/Quantity]],0)</f>
        <v>0</v>
      </c>
      <c r="K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7" spans="10:12">
      <c r="J967">
        <f>DropAnalityka[[#This Row],[Sell Drop]]+IF(DropAnalityka[[#This Row],[Drop]]="Scroll", 2000*DropAnalityka[[#This Row],[Quality/Quantity]],0)</f>
        <v>0</v>
      </c>
      <c r="K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8" spans="10:12">
      <c r="J968">
        <f>DropAnalityka[[#This Row],[Sell Drop]]+IF(DropAnalityka[[#This Row],[Drop]]="Scroll", 2000*DropAnalityka[[#This Row],[Quality/Quantity]],0)</f>
        <v>0</v>
      </c>
      <c r="K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69" spans="10:12">
      <c r="J969">
        <f>DropAnalityka[[#This Row],[Sell Drop]]+IF(DropAnalityka[[#This Row],[Drop]]="Scroll", 2000*DropAnalityka[[#This Row],[Quality/Quantity]],0)</f>
        <v>0</v>
      </c>
      <c r="K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0" spans="10:12">
      <c r="J970">
        <f>DropAnalityka[[#This Row],[Sell Drop]]+IF(DropAnalityka[[#This Row],[Drop]]="Scroll", 2000*DropAnalityka[[#This Row],[Quality/Quantity]],0)</f>
        <v>0</v>
      </c>
      <c r="K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1" spans="10:12">
      <c r="J971">
        <f>DropAnalityka[[#This Row],[Sell Drop]]+IF(DropAnalityka[[#This Row],[Drop]]="Scroll", 2000*DropAnalityka[[#This Row],[Quality/Quantity]],0)</f>
        <v>0</v>
      </c>
      <c r="K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2" spans="10:12">
      <c r="J972">
        <f>DropAnalityka[[#This Row],[Sell Drop]]+IF(DropAnalityka[[#This Row],[Drop]]="Scroll", 2000*DropAnalityka[[#This Row],[Quality/Quantity]],0)</f>
        <v>0</v>
      </c>
      <c r="K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3" spans="10:12">
      <c r="J973">
        <f>DropAnalityka[[#This Row],[Sell Drop]]+IF(DropAnalityka[[#This Row],[Drop]]="Scroll", 2000*DropAnalityka[[#This Row],[Quality/Quantity]],0)</f>
        <v>0</v>
      </c>
      <c r="K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4" spans="10:12">
      <c r="J974">
        <f>DropAnalityka[[#This Row],[Sell Drop]]+IF(DropAnalityka[[#This Row],[Drop]]="Scroll", 2000*DropAnalityka[[#This Row],[Quality/Quantity]],0)</f>
        <v>0</v>
      </c>
      <c r="K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5" spans="10:12">
      <c r="J975">
        <f>DropAnalityka[[#This Row],[Sell Drop]]+IF(DropAnalityka[[#This Row],[Drop]]="Scroll", 2000*DropAnalityka[[#This Row],[Quality/Quantity]],0)</f>
        <v>0</v>
      </c>
      <c r="K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6" spans="10:12">
      <c r="J976">
        <f>DropAnalityka[[#This Row],[Sell Drop]]+IF(DropAnalityka[[#This Row],[Drop]]="Scroll", 2000*DropAnalityka[[#This Row],[Quality/Quantity]],0)</f>
        <v>0</v>
      </c>
      <c r="K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7" spans="10:12">
      <c r="J977">
        <f>DropAnalityka[[#This Row],[Sell Drop]]+IF(DropAnalityka[[#This Row],[Drop]]="Scroll", 2000*DropAnalityka[[#This Row],[Quality/Quantity]],0)</f>
        <v>0</v>
      </c>
      <c r="K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8" spans="10:12">
      <c r="J978">
        <f>DropAnalityka[[#This Row],[Sell Drop]]+IF(DropAnalityka[[#This Row],[Drop]]="Scroll", 2000*DropAnalityka[[#This Row],[Quality/Quantity]],0)</f>
        <v>0</v>
      </c>
      <c r="K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79" spans="10:12">
      <c r="J979">
        <f>DropAnalityka[[#This Row],[Sell Drop]]+IF(DropAnalityka[[#This Row],[Drop]]="Scroll", 2000*DropAnalityka[[#This Row],[Quality/Quantity]],0)</f>
        <v>0</v>
      </c>
      <c r="K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0" spans="10:12">
      <c r="J980">
        <f>DropAnalityka[[#This Row],[Sell Drop]]+IF(DropAnalityka[[#This Row],[Drop]]="Scroll", 2000*DropAnalityka[[#This Row],[Quality/Quantity]],0)</f>
        <v>0</v>
      </c>
      <c r="K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1" spans="10:12">
      <c r="J981">
        <f>DropAnalityka[[#This Row],[Sell Drop]]+IF(DropAnalityka[[#This Row],[Drop]]="Scroll", 2000*DropAnalityka[[#This Row],[Quality/Quantity]],0)</f>
        <v>0</v>
      </c>
      <c r="K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2" spans="10:12">
      <c r="J982">
        <f>DropAnalityka[[#This Row],[Sell Drop]]+IF(DropAnalityka[[#This Row],[Drop]]="Scroll", 2000*DropAnalityka[[#This Row],[Quality/Quantity]],0)</f>
        <v>0</v>
      </c>
      <c r="K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3" spans="10:12">
      <c r="J983">
        <f>DropAnalityka[[#This Row],[Sell Drop]]+IF(DropAnalityka[[#This Row],[Drop]]="Scroll", 2000*DropAnalityka[[#This Row],[Quality/Quantity]],0)</f>
        <v>0</v>
      </c>
      <c r="K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4" spans="10:12">
      <c r="J984">
        <f>DropAnalityka[[#This Row],[Sell Drop]]+IF(DropAnalityka[[#This Row],[Drop]]="Scroll", 2000*DropAnalityka[[#This Row],[Quality/Quantity]],0)</f>
        <v>0</v>
      </c>
      <c r="K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5" spans="10:12">
      <c r="J985">
        <f>DropAnalityka[[#This Row],[Sell Drop]]+IF(DropAnalityka[[#This Row],[Drop]]="Scroll", 2000*DropAnalityka[[#This Row],[Quality/Quantity]],0)</f>
        <v>0</v>
      </c>
      <c r="K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6" spans="10:12">
      <c r="J986">
        <f>DropAnalityka[[#This Row],[Sell Drop]]+IF(DropAnalityka[[#This Row],[Drop]]="Scroll", 2000*DropAnalityka[[#This Row],[Quality/Quantity]],0)</f>
        <v>0</v>
      </c>
      <c r="K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7" spans="10:12">
      <c r="J987">
        <f>DropAnalityka[[#This Row],[Sell Drop]]+IF(DropAnalityka[[#This Row],[Drop]]="Scroll", 2000*DropAnalityka[[#This Row],[Quality/Quantity]],0)</f>
        <v>0</v>
      </c>
      <c r="K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8" spans="10:12">
      <c r="J988">
        <f>DropAnalityka[[#This Row],[Sell Drop]]+IF(DropAnalityka[[#This Row],[Drop]]="Scroll", 2000*DropAnalityka[[#This Row],[Quality/Quantity]],0)</f>
        <v>0</v>
      </c>
      <c r="K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89" spans="10:12">
      <c r="J989">
        <f>DropAnalityka[[#This Row],[Sell Drop]]+IF(DropAnalityka[[#This Row],[Drop]]="Scroll", 2000*DropAnalityka[[#This Row],[Quality/Quantity]],0)</f>
        <v>0</v>
      </c>
      <c r="K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0" spans="10:12">
      <c r="J990">
        <f>DropAnalityka[[#This Row],[Sell Drop]]+IF(DropAnalityka[[#This Row],[Drop]]="Scroll", 2000*DropAnalityka[[#This Row],[Quality/Quantity]],0)</f>
        <v>0</v>
      </c>
      <c r="K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1" spans="10:12">
      <c r="J991">
        <f>DropAnalityka[[#This Row],[Sell Drop]]+IF(DropAnalityka[[#This Row],[Drop]]="Scroll", 2000*DropAnalityka[[#This Row],[Quality/Quantity]],0)</f>
        <v>0</v>
      </c>
      <c r="K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2" spans="10:12">
      <c r="J992">
        <f>DropAnalityka[[#This Row],[Sell Drop]]+IF(DropAnalityka[[#This Row],[Drop]]="Scroll", 2000*DropAnalityka[[#This Row],[Quality/Quantity]],0)</f>
        <v>0</v>
      </c>
      <c r="K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3" spans="10:12">
      <c r="J993">
        <f>DropAnalityka[[#This Row],[Sell Drop]]+IF(DropAnalityka[[#This Row],[Drop]]="Scroll", 2000*DropAnalityka[[#This Row],[Quality/Quantity]],0)</f>
        <v>0</v>
      </c>
      <c r="K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4" spans="10:12">
      <c r="J994">
        <f>DropAnalityka[[#This Row],[Sell Drop]]+IF(DropAnalityka[[#This Row],[Drop]]="Scroll", 2000*DropAnalityka[[#This Row],[Quality/Quantity]],0)</f>
        <v>0</v>
      </c>
      <c r="K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5" spans="10:12">
      <c r="J995">
        <f>DropAnalityka[[#This Row],[Sell Drop]]+IF(DropAnalityka[[#This Row],[Drop]]="Scroll", 2000*DropAnalityka[[#This Row],[Quality/Quantity]],0)</f>
        <v>0</v>
      </c>
      <c r="K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6" spans="10:12">
      <c r="J996">
        <f>DropAnalityka[[#This Row],[Sell Drop]]+IF(DropAnalityka[[#This Row],[Drop]]="Scroll", 2000*DropAnalityka[[#This Row],[Quality/Quantity]],0)</f>
        <v>0</v>
      </c>
      <c r="K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7" spans="10:12">
      <c r="J997">
        <f>DropAnalityka[[#This Row],[Sell Drop]]+IF(DropAnalityka[[#This Row],[Drop]]="Scroll", 2000*DropAnalityka[[#This Row],[Quality/Quantity]],0)</f>
        <v>0</v>
      </c>
      <c r="K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8" spans="10:12">
      <c r="J998">
        <f>DropAnalityka[[#This Row],[Sell Drop]]+IF(DropAnalityka[[#This Row],[Drop]]="Scroll", 2000*DropAnalityka[[#This Row],[Quality/Quantity]],0)</f>
        <v>0</v>
      </c>
      <c r="K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999" spans="10:12">
      <c r="J999">
        <f>DropAnalityka[[#This Row],[Sell Drop]]+IF(DropAnalityka[[#This Row],[Drop]]="Scroll", 2000*DropAnalityka[[#This Row],[Quality/Quantity]],0)</f>
        <v>0</v>
      </c>
      <c r="K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0" spans="10:12">
      <c r="J1000">
        <f>DropAnalityka[[#This Row],[Sell Drop]]+IF(DropAnalityka[[#This Row],[Drop]]="Scroll", 2000*DropAnalityka[[#This Row],[Quality/Quantity]],0)</f>
        <v>0</v>
      </c>
      <c r="K10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1" spans="10:12">
      <c r="J1001">
        <f>DropAnalityka[[#This Row],[Sell Drop]]+IF(DropAnalityka[[#This Row],[Drop]]="Scroll", 2000*DropAnalityka[[#This Row],[Quality/Quantity]],0)</f>
        <v>0</v>
      </c>
      <c r="K10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2" spans="10:12">
      <c r="J1002">
        <f>DropAnalityka[[#This Row],[Sell Drop]]+IF(DropAnalityka[[#This Row],[Drop]]="Scroll", 2000*DropAnalityka[[#This Row],[Quality/Quantity]],0)</f>
        <v>0</v>
      </c>
      <c r="K10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3" spans="10:12">
      <c r="J1003">
        <f>DropAnalityka[[#This Row],[Sell Drop]]+IF(DropAnalityka[[#This Row],[Drop]]="Scroll", 2000*DropAnalityka[[#This Row],[Quality/Quantity]],0)</f>
        <v>0</v>
      </c>
      <c r="K10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4" spans="10:12">
      <c r="J1004">
        <f>DropAnalityka[[#This Row],[Sell Drop]]+IF(DropAnalityka[[#This Row],[Drop]]="Scroll", 2000*DropAnalityka[[#This Row],[Quality/Quantity]],0)</f>
        <v>0</v>
      </c>
      <c r="K10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5" spans="10:12">
      <c r="J1005">
        <f>DropAnalityka[[#This Row],[Sell Drop]]+IF(DropAnalityka[[#This Row],[Drop]]="Scroll", 2000*DropAnalityka[[#This Row],[Quality/Quantity]],0)</f>
        <v>0</v>
      </c>
      <c r="K10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6" spans="10:12">
      <c r="J1006">
        <f>DropAnalityka[[#This Row],[Sell Drop]]+IF(DropAnalityka[[#This Row],[Drop]]="Scroll", 2000*DropAnalityka[[#This Row],[Quality/Quantity]],0)</f>
        <v>0</v>
      </c>
      <c r="K10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7" spans="10:12">
      <c r="J1007">
        <f>DropAnalityka[[#This Row],[Sell Drop]]+IF(DropAnalityka[[#This Row],[Drop]]="Scroll", 2000*DropAnalityka[[#This Row],[Quality/Quantity]],0)</f>
        <v>0</v>
      </c>
      <c r="K10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8" spans="10:12">
      <c r="J1008">
        <f>DropAnalityka[[#This Row],[Sell Drop]]+IF(DropAnalityka[[#This Row],[Drop]]="Scroll", 2000*DropAnalityka[[#This Row],[Quality/Quantity]],0)</f>
        <v>0</v>
      </c>
      <c r="K10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09" spans="10:12">
      <c r="J1009">
        <f>DropAnalityka[[#This Row],[Sell Drop]]+IF(DropAnalityka[[#This Row],[Drop]]="Scroll", 2000*DropAnalityka[[#This Row],[Quality/Quantity]],0)</f>
        <v>0</v>
      </c>
      <c r="K10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0" spans="10:12">
      <c r="J1010">
        <f>DropAnalityka[[#This Row],[Sell Drop]]+IF(DropAnalityka[[#This Row],[Drop]]="Scroll", 2000*DropAnalityka[[#This Row],[Quality/Quantity]],0)</f>
        <v>0</v>
      </c>
      <c r="K10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1" spans="10:12">
      <c r="J1011">
        <f>DropAnalityka[[#This Row],[Sell Drop]]+IF(DropAnalityka[[#This Row],[Drop]]="Scroll", 2000*DropAnalityka[[#This Row],[Quality/Quantity]],0)</f>
        <v>0</v>
      </c>
      <c r="K10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2" spans="10:12">
      <c r="J1012">
        <f>DropAnalityka[[#This Row],[Sell Drop]]+IF(DropAnalityka[[#This Row],[Drop]]="Scroll", 2000*DropAnalityka[[#This Row],[Quality/Quantity]],0)</f>
        <v>0</v>
      </c>
      <c r="K10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3" spans="10:12">
      <c r="J1013">
        <f>DropAnalityka[[#This Row],[Sell Drop]]+IF(DropAnalityka[[#This Row],[Drop]]="Scroll", 2000*DropAnalityka[[#This Row],[Quality/Quantity]],0)</f>
        <v>0</v>
      </c>
      <c r="K10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4" spans="10:12">
      <c r="J1014">
        <f>DropAnalityka[[#This Row],[Sell Drop]]+IF(DropAnalityka[[#This Row],[Drop]]="Scroll", 2000*DropAnalityka[[#This Row],[Quality/Quantity]],0)</f>
        <v>0</v>
      </c>
      <c r="K10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5" spans="10:12">
      <c r="J1015">
        <f>DropAnalityka[[#This Row],[Sell Drop]]+IF(DropAnalityka[[#This Row],[Drop]]="Scroll", 2000*DropAnalityka[[#This Row],[Quality/Quantity]],0)</f>
        <v>0</v>
      </c>
      <c r="K10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6" spans="10:12">
      <c r="J1016">
        <f>DropAnalityka[[#This Row],[Sell Drop]]+IF(DropAnalityka[[#This Row],[Drop]]="Scroll", 2000*DropAnalityka[[#This Row],[Quality/Quantity]],0)</f>
        <v>0</v>
      </c>
      <c r="K10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7" spans="10:12">
      <c r="J1017">
        <f>DropAnalityka[[#This Row],[Sell Drop]]+IF(DropAnalityka[[#This Row],[Drop]]="Scroll", 2000*DropAnalityka[[#This Row],[Quality/Quantity]],0)</f>
        <v>0</v>
      </c>
      <c r="K10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8" spans="10:12">
      <c r="J1018">
        <f>DropAnalityka[[#This Row],[Sell Drop]]+IF(DropAnalityka[[#This Row],[Drop]]="Scroll", 2000*DropAnalityka[[#This Row],[Quality/Quantity]],0)</f>
        <v>0</v>
      </c>
      <c r="K10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19" spans="10:12">
      <c r="J1019">
        <f>DropAnalityka[[#This Row],[Sell Drop]]+IF(DropAnalityka[[#This Row],[Drop]]="Scroll", 2000*DropAnalityka[[#This Row],[Quality/Quantity]],0)</f>
        <v>0</v>
      </c>
      <c r="K10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0" spans="10:12">
      <c r="J1020">
        <f>DropAnalityka[[#This Row],[Sell Drop]]+IF(DropAnalityka[[#This Row],[Drop]]="Scroll", 2000*DropAnalityka[[#This Row],[Quality/Quantity]],0)</f>
        <v>0</v>
      </c>
      <c r="K10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1" spans="10:12">
      <c r="J1021">
        <f>DropAnalityka[[#This Row],[Sell Drop]]+IF(DropAnalityka[[#This Row],[Drop]]="Scroll", 2000*DropAnalityka[[#This Row],[Quality/Quantity]],0)</f>
        <v>0</v>
      </c>
      <c r="K10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2" spans="10:12">
      <c r="J1022">
        <f>DropAnalityka[[#This Row],[Sell Drop]]+IF(DropAnalityka[[#This Row],[Drop]]="Scroll", 2000*DropAnalityka[[#This Row],[Quality/Quantity]],0)</f>
        <v>0</v>
      </c>
      <c r="K10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3" spans="10:12">
      <c r="J1023">
        <f>DropAnalityka[[#This Row],[Sell Drop]]+IF(DropAnalityka[[#This Row],[Drop]]="Scroll", 2000*DropAnalityka[[#This Row],[Quality/Quantity]],0)</f>
        <v>0</v>
      </c>
      <c r="K10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4" spans="10:12">
      <c r="J1024">
        <f>DropAnalityka[[#This Row],[Sell Drop]]+IF(DropAnalityka[[#This Row],[Drop]]="Scroll", 2000*DropAnalityka[[#This Row],[Quality/Quantity]],0)</f>
        <v>0</v>
      </c>
      <c r="K10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5" spans="10:12">
      <c r="J1025">
        <f>DropAnalityka[[#This Row],[Sell Drop]]+IF(DropAnalityka[[#This Row],[Drop]]="Scroll", 2000*DropAnalityka[[#This Row],[Quality/Quantity]],0)</f>
        <v>0</v>
      </c>
      <c r="K10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6" spans="10:12">
      <c r="J1026">
        <f>DropAnalityka[[#This Row],[Sell Drop]]+IF(DropAnalityka[[#This Row],[Drop]]="Scroll", 2000*DropAnalityka[[#This Row],[Quality/Quantity]],0)</f>
        <v>0</v>
      </c>
      <c r="K10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7" spans="10:12">
      <c r="J1027">
        <f>DropAnalityka[[#This Row],[Sell Drop]]+IF(DropAnalityka[[#This Row],[Drop]]="Scroll", 2000*DropAnalityka[[#This Row],[Quality/Quantity]],0)</f>
        <v>0</v>
      </c>
      <c r="K10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8" spans="10:12">
      <c r="J1028">
        <f>DropAnalityka[[#This Row],[Sell Drop]]+IF(DropAnalityka[[#This Row],[Drop]]="Scroll", 2000*DropAnalityka[[#This Row],[Quality/Quantity]],0)</f>
        <v>0</v>
      </c>
      <c r="K10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29" spans="10:12">
      <c r="J1029">
        <f>DropAnalityka[[#This Row],[Sell Drop]]+IF(DropAnalityka[[#This Row],[Drop]]="Scroll", 2000*DropAnalityka[[#This Row],[Quality/Quantity]],0)</f>
        <v>0</v>
      </c>
      <c r="K10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0" spans="10:12">
      <c r="J1030">
        <f>DropAnalityka[[#This Row],[Sell Drop]]+IF(DropAnalityka[[#This Row],[Drop]]="Scroll", 2000*DropAnalityka[[#This Row],[Quality/Quantity]],0)</f>
        <v>0</v>
      </c>
      <c r="K10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1" spans="10:12">
      <c r="J1031">
        <f>DropAnalityka[[#This Row],[Sell Drop]]+IF(DropAnalityka[[#This Row],[Drop]]="Scroll", 2000*DropAnalityka[[#This Row],[Quality/Quantity]],0)</f>
        <v>0</v>
      </c>
      <c r="K10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2" spans="10:12">
      <c r="J1032">
        <f>DropAnalityka[[#This Row],[Sell Drop]]+IF(DropAnalityka[[#This Row],[Drop]]="Scroll", 2000*DropAnalityka[[#This Row],[Quality/Quantity]],0)</f>
        <v>0</v>
      </c>
      <c r="K10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3" spans="10:12">
      <c r="J1033">
        <f>DropAnalityka[[#This Row],[Sell Drop]]+IF(DropAnalityka[[#This Row],[Drop]]="Scroll", 2000*DropAnalityka[[#This Row],[Quality/Quantity]],0)</f>
        <v>0</v>
      </c>
      <c r="K10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4" spans="10:12">
      <c r="J1034">
        <f>DropAnalityka[[#This Row],[Sell Drop]]+IF(DropAnalityka[[#This Row],[Drop]]="Scroll", 2000*DropAnalityka[[#This Row],[Quality/Quantity]],0)</f>
        <v>0</v>
      </c>
      <c r="K10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5" spans="10:12">
      <c r="J1035">
        <f>DropAnalityka[[#This Row],[Sell Drop]]+IF(DropAnalityka[[#This Row],[Drop]]="Scroll", 2000*DropAnalityka[[#This Row],[Quality/Quantity]],0)</f>
        <v>0</v>
      </c>
      <c r="K10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6" spans="10:12">
      <c r="J1036">
        <f>DropAnalityka[[#This Row],[Sell Drop]]+IF(DropAnalityka[[#This Row],[Drop]]="Scroll", 2000*DropAnalityka[[#This Row],[Quality/Quantity]],0)</f>
        <v>0</v>
      </c>
      <c r="K10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7" spans="10:12">
      <c r="J1037">
        <f>DropAnalityka[[#This Row],[Sell Drop]]+IF(DropAnalityka[[#This Row],[Drop]]="Scroll", 2000*DropAnalityka[[#This Row],[Quality/Quantity]],0)</f>
        <v>0</v>
      </c>
      <c r="K10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8" spans="10:12">
      <c r="J1038">
        <f>DropAnalityka[[#This Row],[Sell Drop]]+IF(DropAnalityka[[#This Row],[Drop]]="Scroll", 2000*DropAnalityka[[#This Row],[Quality/Quantity]],0)</f>
        <v>0</v>
      </c>
      <c r="K10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39" spans="10:12">
      <c r="J1039">
        <f>DropAnalityka[[#This Row],[Sell Drop]]+IF(DropAnalityka[[#This Row],[Drop]]="Scroll", 2000*DropAnalityka[[#This Row],[Quality/Quantity]],0)</f>
        <v>0</v>
      </c>
      <c r="K10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0" spans="10:12">
      <c r="J1040">
        <f>DropAnalityka[[#This Row],[Sell Drop]]+IF(DropAnalityka[[#This Row],[Drop]]="Scroll", 2000*DropAnalityka[[#This Row],[Quality/Quantity]],0)</f>
        <v>0</v>
      </c>
      <c r="K10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1" spans="10:12">
      <c r="J1041">
        <f>DropAnalityka[[#This Row],[Sell Drop]]+IF(DropAnalityka[[#This Row],[Drop]]="Scroll", 2000*DropAnalityka[[#This Row],[Quality/Quantity]],0)</f>
        <v>0</v>
      </c>
      <c r="K10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2" spans="10:12">
      <c r="J1042">
        <f>DropAnalityka[[#This Row],[Sell Drop]]+IF(DropAnalityka[[#This Row],[Drop]]="Scroll", 2000*DropAnalityka[[#This Row],[Quality/Quantity]],0)</f>
        <v>0</v>
      </c>
      <c r="K10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3" spans="10:12">
      <c r="J1043">
        <f>DropAnalityka[[#This Row],[Sell Drop]]+IF(DropAnalityka[[#This Row],[Drop]]="Scroll", 2000*DropAnalityka[[#This Row],[Quality/Quantity]],0)</f>
        <v>0</v>
      </c>
      <c r="K10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4" spans="10:12">
      <c r="J1044">
        <f>DropAnalityka[[#This Row],[Sell Drop]]+IF(DropAnalityka[[#This Row],[Drop]]="Scroll", 2000*DropAnalityka[[#This Row],[Quality/Quantity]],0)</f>
        <v>0</v>
      </c>
      <c r="K10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5" spans="10:12">
      <c r="J1045">
        <f>DropAnalityka[[#This Row],[Sell Drop]]+IF(DropAnalityka[[#This Row],[Drop]]="Scroll", 2000*DropAnalityka[[#This Row],[Quality/Quantity]],0)</f>
        <v>0</v>
      </c>
      <c r="K10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6" spans="10:12">
      <c r="J1046">
        <f>DropAnalityka[[#This Row],[Sell Drop]]+IF(DropAnalityka[[#This Row],[Drop]]="Scroll", 2000*DropAnalityka[[#This Row],[Quality/Quantity]],0)</f>
        <v>0</v>
      </c>
      <c r="K10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7" spans="10:12">
      <c r="J1047">
        <f>DropAnalityka[[#This Row],[Sell Drop]]+IF(DropAnalityka[[#This Row],[Drop]]="Scroll", 2000*DropAnalityka[[#This Row],[Quality/Quantity]],0)</f>
        <v>0</v>
      </c>
      <c r="K10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8" spans="10:12">
      <c r="J1048">
        <f>DropAnalityka[[#This Row],[Sell Drop]]+IF(DropAnalityka[[#This Row],[Drop]]="Scroll", 2000*DropAnalityka[[#This Row],[Quality/Quantity]],0)</f>
        <v>0</v>
      </c>
      <c r="K10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49" spans="10:12">
      <c r="J1049">
        <f>DropAnalityka[[#This Row],[Sell Drop]]+IF(DropAnalityka[[#This Row],[Drop]]="Scroll", 2000*DropAnalityka[[#This Row],[Quality/Quantity]],0)</f>
        <v>0</v>
      </c>
      <c r="K10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0" spans="10:12">
      <c r="J1050">
        <f>DropAnalityka[[#This Row],[Sell Drop]]+IF(DropAnalityka[[#This Row],[Drop]]="Scroll", 2000*DropAnalityka[[#This Row],[Quality/Quantity]],0)</f>
        <v>0</v>
      </c>
      <c r="K10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1" spans="10:12">
      <c r="J1051">
        <f>DropAnalityka[[#This Row],[Sell Drop]]+IF(DropAnalityka[[#This Row],[Drop]]="Scroll", 2000*DropAnalityka[[#This Row],[Quality/Quantity]],0)</f>
        <v>0</v>
      </c>
      <c r="K10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2" spans="10:12">
      <c r="J1052">
        <f>DropAnalityka[[#This Row],[Sell Drop]]+IF(DropAnalityka[[#This Row],[Drop]]="Scroll", 2000*DropAnalityka[[#This Row],[Quality/Quantity]],0)</f>
        <v>0</v>
      </c>
      <c r="K10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3" spans="10:12">
      <c r="J1053">
        <f>DropAnalityka[[#This Row],[Sell Drop]]+IF(DropAnalityka[[#This Row],[Drop]]="Scroll", 2000*DropAnalityka[[#This Row],[Quality/Quantity]],0)</f>
        <v>0</v>
      </c>
      <c r="K10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4" spans="10:12">
      <c r="J1054">
        <f>DropAnalityka[[#This Row],[Sell Drop]]+IF(DropAnalityka[[#This Row],[Drop]]="Scroll", 2000*DropAnalityka[[#This Row],[Quality/Quantity]],0)</f>
        <v>0</v>
      </c>
      <c r="K10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5" spans="10:12">
      <c r="J1055">
        <f>DropAnalityka[[#This Row],[Sell Drop]]+IF(DropAnalityka[[#This Row],[Drop]]="Scroll", 2000*DropAnalityka[[#This Row],[Quality/Quantity]],0)</f>
        <v>0</v>
      </c>
      <c r="K10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6" spans="10:12">
      <c r="J1056">
        <f>DropAnalityka[[#This Row],[Sell Drop]]+IF(DropAnalityka[[#This Row],[Drop]]="Scroll", 2000*DropAnalityka[[#This Row],[Quality/Quantity]],0)</f>
        <v>0</v>
      </c>
      <c r="K10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7" spans="10:12">
      <c r="J1057">
        <f>DropAnalityka[[#This Row],[Sell Drop]]+IF(DropAnalityka[[#This Row],[Drop]]="Scroll", 2000*DropAnalityka[[#This Row],[Quality/Quantity]],0)</f>
        <v>0</v>
      </c>
      <c r="K10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8" spans="10:12">
      <c r="J1058">
        <f>DropAnalityka[[#This Row],[Sell Drop]]+IF(DropAnalityka[[#This Row],[Drop]]="Scroll", 2000*DropAnalityka[[#This Row],[Quality/Quantity]],0)</f>
        <v>0</v>
      </c>
      <c r="K10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59" spans="10:12">
      <c r="J1059">
        <f>DropAnalityka[[#This Row],[Sell Drop]]+IF(DropAnalityka[[#This Row],[Drop]]="Scroll", 2000*DropAnalityka[[#This Row],[Quality/Quantity]],0)</f>
        <v>0</v>
      </c>
      <c r="K10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0" spans="10:12">
      <c r="J1060">
        <f>DropAnalityka[[#This Row],[Sell Drop]]+IF(DropAnalityka[[#This Row],[Drop]]="Scroll", 2000*DropAnalityka[[#This Row],[Quality/Quantity]],0)</f>
        <v>0</v>
      </c>
      <c r="K10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1" spans="10:12">
      <c r="J1061">
        <f>DropAnalityka[[#This Row],[Sell Drop]]+IF(DropAnalityka[[#This Row],[Drop]]="Scroll", 2000*DropAnalityka[[#This Row],[Quality/Quantity]],0)</f>
        <v>0</v>
      </c>
      <c r="K10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2" spans="10:12">
      <c r="J1062">
        <f>DropAnalityka[[#This Row],[Sell Drop]]+IF(DropAnalityka[[#This Row],[Drop]]="Scroll", 2000*DropAnalityka[[#This Row],[Quality/Quantity]],0)</f>
        <v>0</v>
      </c>
      <c r="K10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3" spans="10:12">
      <c r="J1063">
        <f>DropAnalityka[[#This Row],[Sell Drop]]+IF(DropAnalityka[[#This Row],[Drop]]="Scroll", 2000*DropAnalityka[[#This Row],[Quality/Quantity]],0)</f>
        <v>0</v>
      </c>
      <c r="K10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4" spans="10:12">
      <c r="J1064">
        <f>DropAnalityka[[#This Row],[Sell Drop]]+IF(DropAnalityka[[#This Row],[Drop]]="Scroll", 2000*DropAnalityka[[#This Row],[Quality/Quantity]],0)</f>
        <v>0</v>
      </c>
      <c r="K10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5" spans="10:12">
      <c r="J1065">
        <f>DropAnalityka[[#This Row],[Sell Drop]]+IF(DropAnalityka[[#This Row],[Drop]]="Scroll", 2000*DropAnalityka[[#This Row],[Quality/Quantity]],0)</f>
        <v>0</v>
      </c>
      <c r="K10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6" spans="10:12">
      <c r="J1066">
        <f>DropAnalityka[[#This Row],[Sell Drop]]+IF(DropAnalityka[[#This Row],[Drop]]="Scroll", 2000*DropAnalityka[[#This Row],[Quality/Quantity]],0)</f>
        <v>0</v>
      </c>
      <c r="K10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7" spans="10:12">
      <c r="J1067">
        <f>DropAnalityka[[#This Row],[Sell Drop]]+IF(DropAnalityka[[#This Row],[Drop]]="Scroll", 2000*DropAnalityka[[#This Row],[Quality/Quantity]],0)</f>
        <v>0</v>
      </c>
      <c r="K10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8" spans="10:12">
      <c r="J1068">
        <f>DropAnalityka[[#This Row],[Sell Drop]]+IF(DropAnalityka[[#This Row],[Drop]]="Scroll", 2000*DropAnalityka[[#This Row],[Quality/Quantity]],0)</f>
        <v>0</v>
      </c>
      <c r="K10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69" spans="10:12">
      <c r="J1069">
        <f>DropAnalityka[[#This Row],[Sell Drop]]+IF(DropAnalityka[[#This Row],[Drop]]="Scroll", 2000*DropAnalityka[[#This Row],[Quality/Quantity]],0)</f>
        <v>0</v>
      </c>
      <c r="K10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0" spans="10:12">
      <c r="J1070">
        <f>DropAnalityka[[#This Row],[Sell Drop]]+IF(DropAnalityka[[#This Row],[Drop]]="Scroll", 2000*DropAnalityka[[#This Row],[Quality/Quantity]],0)</f>
        <v>0</v>
      </c>
      <c r="K10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1" spans="10:12">
      <c r="J1071">
        <f>DropAnalityka[[#This Row],[Sell Drop]]+IF(DropAnalityka[[#This Row],[Drop]]="Scroll", 2000*DropAnalityka[[#This Row],[Quality/Quantity]],0)</f>
        <v>0</v>
      </c>
      <c r="K10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2" spans="10:12">
      <c r="J1072">
        <f>DropAnalityka[[#This Row],[Sell Drop]]+IF(DropAnalityka[[#This Row],[Drop]]="Scroll", 2000*DropAnalityka[[#This Row],[Quality/Quantity]],0)</f>
        <v>0</v>
      </c>
      <c r="K10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3" spans="10:12">
      <c r="J1073">
        <f>DropAnalityka[[#This Row],[Sell Drop]]+IF(DropAnalityka[[#This Row],[Drop]]="Scroll", 2000*DropAnalityka[[#This Row],[Quality/Quantity]],0)</f>
        <v>0</v>
      </c>
      <c r="K10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4" spans="10:12">
      <c r="J1074">
        <f>DropAnalityka[[#This Row],[Sell Drop]]+IF(DropAnalityka[[#This Row],[Drop]]="Scroll", 2000*DropAnalityka[[#This Row],[Quality/Quantity]],0)</f>
        <v>0</v>
      </c>
      <c r="K10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5" spans="10:12">
      <c r="J1075">
        <f>DropAnalityka[[#This Row],[Sell Drop]]+IF(DropAnalityka[[#This Row],[Drop]]="Scroll", 2000*DropAnalityka[[#This Row],[Quality/Quantity]],0)</f>
        <v>0</v>
      </c>
      <c r="K10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6" spans="10:12">
      <c r="J1076">
        <f>DropAnalityka[[#This Row],[Sell Drop]]+IF(DropAnalityka[[#This Row],[Drop]]="Scroll", 2000*DropAnalityka[[#This Row],[Quality/Quantity]],0)</f>
        <v>0</v>
      </c>
      <c r="K10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7" spans="10:12">
      <c r="J1077">
        <f>DropAnalityka[[#This Row],[Sell Drop]]+IF(DropAnalityka[[#This Row],[Drop]]="Scroll", 2000*DropAnalityka[[#This Row],[Quality/Quantity]],0)</f>
        <v>0</v>
      </c>
      <c r="K10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8" spans="10:12">
      <c r="J1078">
        <f>DropAnalityka[[#This Row],[Sell Drop]]+IF(DropAnalityka[[#This Row],[Drop]]="Scroll", 2000*DropAnalityka[[#This Row],[Quality/Quantity]],0)</f>
        <v>0</v>
      </c>
      <c r="K10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79" spans="10:12">
      <c r="J1079">
        <f>DropAnalityka[[#This Row],[Sell Drop]]+IF(DropAnalityka[[#This Row],[Drop]]="Scroll", 2000*DropAnalityka[[#This Row],[Quality/Quantity]],0)</f>
        <v>0</v>
      </c>
      <c r="K10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0" spans="10:12">
      <c r="J1080">
        <f>DropAnalityka[[#This Row],[Sell Drop]]+IF(DropAnalityka[[#This Row],[Drop]]="Scroll", 2000*DropAnalityka[[#This Row],[Quality/Quantity]],0)</f>
        <v>0</v>
      </c>
      <c r="K10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1" spans="10:12">
      <c r="J1081">
        <f>DropAnalityka[[#This Row],[Sell Drop]]+IF(DropAnalityka[[#This Row],[Drop]]="Scroll", 2000*DropAnalityka[[#This Row],[Quality/Quantity]],0)</f>
        <v>0</v>
      </c>
      <c r="K10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2" spans="10:12">
      <c r="J1082">
        <f>DropAnalityka[[#This Row],[Sell Drop]]+IF(DropAnalityka[[#This Row],[Drop]]="Scroll", 2000*DropAnalityka[[#This Row],[Quality/Quantity]],0)</f>
        <v>0</v>
      </c>
      <c r="K10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3" spans="10:12">
      <c r="J1083">
        <f>DropAnalityka[[#This Row],[Sell Drop]]+IF(DropAnalityka[[#This Row],[Drop]]="Scroll", 2000*DropAnalityka[[#This Row],[Quality/Quantity]],0)</f>
        <v>0</v>
      </c>
      <c r="K10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4" spans="10:12">
      <c r="J1084">
        <f>DropAnalityka[[#This Row],[Sell Drop]]+IF(DropAnalityka[[#This Row],[Drop]]="Scroll", 2000*DropAnalityka[[#This Row],[Quality/Quantity]],0)</f>
        <v>0</v>
      </c>
      <c r="K10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5" spans="10:12">
      <c r="J1085">
        <f>DropAnalityka[[#This Row],[Sell Drop]]+IF(DropAnalityka[[#This Row],[Drop]]="Scroll", 2000*DropAnalityka[[#This Row],[Quality/Quantity]],0)</f>
        <v>0</v>
      </c>
      <c r="K10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6" spans="10:12">
      <c r="J1086">
        <f>DropAnalityka[[#This Row],[Sell Drop]]+IF(DropAnalityka[[#This Row],[Drop]]="Scroll", 2000*DropAnalityka[[#This Row],[Quality/Quantity]],0)</f>
        <v>0</v>
      </c>
      <c r="K10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7" spans="10:12">
      <c r="J1087">
        <f>DropAnalityka[[#This Row],[Sell Drop]]+IF(DropAnalityka[[#This Row],[Drop]]="Scroll", 2000*DropAnalityka[[#This Row],[Quality/Quantity]],0)</f>
        <v>0</v>
      </c>
      <c r="K10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8" spans="10:12">
      <c r="J1088">
        <f>DropAnalityka[[#This Row],[Sell Drop]]+IF(DropAnalityka[[#This Row],[Drop]]="Scroll", 2000*DropAnalityka[[#This Row],[Quality/Quantity]],0)</f>
        <v>0</v>
      </c>
      <c r="K10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89" spans="10:12">
      <c r="J1089">
        <f>DropAnalityka[[#This Row],[Sell Drop]]+IF(DropAnalityka[[#This Row],[Drop]]="Scroll", 2000*DropAnalityka[[#This Row],[Quality/Quantity]],0)</f>
        <v>0</v>
      </c>
      <c r="K10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0" spans="10:12">
      <c r="J1090">
        <f>DropAnalityka[[#This Row],[Sell Drop]]+IF(DropAnalityka[[#This Row],[Drop]]="Scroll", 2000*DropAnalityka[[#This Row],[Quality/Quantity]],0)</f>
        <v>0</v>
      </c>
      <c r="K10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1" spans="10:12">
      <c r="J1091">
        <f>DropAnalityka[[#This Row],[Sell Drop]]+IF(DropAnalityka[[#This Row],[Drop]]="Scroll", 2000*DropAnalityka[[#This Row],[Quality/Quantity]],0)</f>
        <v>0</v>
      </c>
      <c r="K10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2" spans="10:12">
      <c r="J1092">
        <f>DropAnalityka[[#This Row],[Sell Drop]]+IF(DropAnalityka[[#This Row],[Drop]]="Scroll", 2000*DropAnalityka[[#This Row],[Quality/Quantity]],0)</f>
        <v>0</v>
      </c>
      <c r="K10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3" spans="10:12">
      <c r="J1093">
        <f>DropAnalityka[[#This Row],[Sell Drop]]+IF(DropAnalityka[[#This Row],[Drop]]="Scroll", 2000*DropAnalityka[[#This Row],[Quality/Quantity]],0)</f>
        <v>0</v>
      </c>
      <c r="K10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4" spans="10:12">
      <c r="J1094">
        <f>DropAnalityka[[#This Row],[Sell Drop]]+IF(DropAnalityka[[#This Row],[Drop]]="Scroll", 2000*DropAnalityka[[#This Row],[Quality/Quantity]],0)</f>
        <v>0</v>
      </c>
      <c r="K10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5" spans="10:12">
      <c r="J1095">
        <f>DropAnalityka[[#This Row],[Sell Drop]]+IF(DropAnalityka[[#This Row],[Drop]]="Scroll", 2000*DropAnalityka[[#This Row],[Quality/Quantity]],0)</f>
        <v>0</v>
      </c>
      <c r="K10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6" spans="10:12">
      <c r="J1096">
        <f>DropAnalityka[[#This Row],[Sell Drop]]+IF(DropAnalityka[[#This Row],[Drop]]="Scroll", 2000*DropAnalityka[[#This Row],[Quality/Quantity]],0)</f>
        <v>0</v>
      </c>
      <c r="K10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7" spans="10:12">
      <c r="J1097">
        <f>DropAnalityka[[#This Row],[Sell Drop]]+IF(DropAnalityka[[#This Row],[Drop]]="Scroll", 2000*DropAnalityka[[#This Row],[Quality/Quantity]],0)</f>
        <v>0</v>
      </c>
      <c r="K10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8" spans="10:12">
      <c r="J1098">
        <f>DropAnalityka[[#This Row],[Sell Drop]]+IF(DropAnalityka[[#This Row],[Drop]]="Scroll", 2000*DropAnalityka[[#This Row],[Quality/Quantity]],0)</f>
        <v>0</v>
      </c>
      <c r="K10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099" spans="10:12">
      <c r="J1099">
        <f>DropAnalityka[[#This Row],[Sell Drop]]+IF(DropAnalityka[[#This Row],[Drop]]="Scroll", 2000*DropAnalityka[[#This Row],[Quality/Quantity]],0)</f>
        <v>0</v>
      </c>
      <c r="K10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0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0" spans="10:12">
      <c r="J1100">
        <f>DropAnalityka[[#This Row],[Sell Drop]]+IF(DropAnalityka[[#This Row],[Drop]]="Scroll", 2000*DropAnalityka[[#This Row],[Quality/Quantity]],0)</f>
        <v>0</v>
      </c>
      <c r="K1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1" spans="10:12">
      <c r="J1101">
        <f>DropAnalityka[[#This Row],[Sell Drop]]+IF(DropAnalityka[[#This Row],[Drop]]="Scroll", 2000*DropAnalityka[[#This Row],[Quality/Quantity]],0)</f>
        <v>0</v>
      </c>
      <c r="K1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2" spans="10:12">
      <c r="J1102">
        <f>DropAnalityka[[#This Row],[Sell Drop]]+IF(DropAnalityka[[#This Row],[Drop]]="Scroll", 2000*DropAnalityka[[#This Row],[Quality/Quantity]],0)</f>
        <v>0</v>
      </c>
      <c r="K1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3" spans="10:12">
      <c r="J1103">
        <f>DropAnalityka[[#This Row],[Sell Drop]]+IF(DropAnalityka[[#This Row],[Drop]]="Scroll", 2000*DropAnalityka[[#This Row],[Quality/Quantity]],0)</f>
        <v>0</v>
      </c>
      <c r="K1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4" spans="10:12">
      <c r="J1104">
        <f>DropAnalityka[[#This Row],[Sell Drop]]+IF(DropAnalityka[[#This Row],[Drop]]="Scroll", 2000*DropAnalityka[[#This Row],[Quality/Quantity]],0)</f>
        <v>0</v>
      </c>
      <c r="K1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5" spans="10:12">
      <c r="J1105">
        <f>DropAnalityka[[#This Row],[Sell Drop]]+IF(DropAnalityka[[#This Row],[Drop]]="Scroll", 2000*DropAnalityka[[#This Row],[Quality/Quantity]],0)</f>
        <v>0</v>
      </c>
      <c r="K1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6" spans="10:12">
      <c r="J1106">
        <f>DropAnalityka[[#This Row],[Sell Drop]]+IF(DropAnalityka[[#This Row],[Drop]]="Scroll", 2000*DropAnalityka[[#This Row],[Quality/Quantity]],0)</f>
        <v>0</v>
      </c>
      <c r="K1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7" spans="10:12">
      <c r="J1107">
        <f>DropAnalityka[[#This Row],[Sell Drop]]+IF(DropAnalityka[[#This Row],[Drop]]="Scroll", 2000*DropAnalityka[[#This Row],[Quality/Quantity]],0)</f>
        <v>0</v>
      </c>
      <c r="K1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8" spans="10:12">
      <c r="J1108">
        <f>DropAnalityka[[#This Row],[Sell Drop]]+IF(DropAnalityka[[#This Row],[Drop]]="Scroll", 2000*DropAnalityka[[#This Row],[Quality/Quantity]],0)</f>
        <v>0</v>
      </c>
      <c r="K1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09" spans="10:12">
      <c r="J1109">
        <f>DropAnalityka[[#This Row],[Sell Drop]]+IF(DropAnalityka[[#This Row],[Drop]]="Scroll", 2000*DropAnalityka[[#This Row],[Quality/Quantity]],0)</f>
        <v>0</v>
      </c>
      <c r="K1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0" spans="10:12">
      <c r="J1110">
        <f>DropAnalityka[[#This Row],[Sell Drop]]+IF(DropAnalityka[[#This Row],[Drop]]="Scroll", 2000*DropAnalityka[[#This Row],[Quality/Quantity]],0)</f>
        <v>0</v>
      </c>
      <c r="K1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1" spans="10:12">
      <c r="J1111">
        <f>DropAnalityka[[#This Row],[Sell Drop]]+IF(DropAnalityka[[#This Row],[Drop]]="Scroll", 2000*DropAnalityka[[#This Row],[Quality/Quantity]],0)</f>
        <v>0</v>
      </c>
      <c r="K1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2" spans="10:12">
      <c r="J1112">
        <f>DropAnalityka[[#This Row],[Sell Drop]]+IF(DropAnalityka[[#This Row],[Drop]]="Scroll", 2000*DropAnalityka[[#This Row],[Quality/Quantity]],0)</f>
        <v>0</v>
      </c>
      <c r="K1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3" spans="10:12">
      <c r="J1113">
        <f>DropAnalityka[[#This Row],[Sell Drop]]+IF(DropAnalityka[[#This Row],[Drop]]="Scroll", 2000*DropAnalityka[[#This Row],[Quality/Quantity]],0)</f>
        <v>0</v>
      </c>
      <c r="K1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4" spans="10:12">
      <c r="J1114">
        <f>DropAnalityka[[#This Row],[Sell Drop]]+IF(DropAnalityka[[#This Row],[Drop]]="Scroll", 2000*DropAnalityka[[#This Row],[Quality/Quantity]],0)</f>
        <v>0</v>
      </c>
      <c r="K1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5" spans="10:12">
      <c r="J1115">
        <f>DropAnalityka[[#This Row],[Sell Drop]]+IF(DropAnalityka[[#This Row],[Drop]]="Scroll", 2000*DropAnalityka[[#This Row],[Quality/Quantity]],0)</f>
        <v>0</v>
      </c>
      <c r="K1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6" spans="10:12">
      <c r="J1116">
        <f>DropAnalityka[[#This Row],[Sell Drop]]+IF(DropAnalityka[[#This Row],[Drop]]="Scroll", 2000*DropAnalityka[[#This Row],[Quality/Quantity]],0)</f>
        <v>0</v>
      </c>
      <c r="K1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7" spans="10:12">
      <c r="J1117">
        <f>DropAnalityka[[#This Row],[Sell Drop]]+IF(DropAnalityka[[#This Row],[Drop]]="Scroll", 2000*DropAnalityka[[#This Row],[Quality/Quantity]],0)</f>
        <v>0</v>
      </c>
      <c r="K1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8" spans="10:12">
      <c r="J1118">
        <f>DropAnalityka[[#This Row],[Sell Drop]]+IF(DropAnalityka[[#This Row],[Drop]]="Scroll", 2000*DropAnalityka[[#This Row],[Quality/Quantity]],0)</f>
        <v>0</v>
      </c>
      <c r="K1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19" spans="10:12">
      <c r="J1119">
        <f>DropAnalityka[[#This Row],[Sell Drop]]+IF(DropAnalityka[[#This Row],[Drop]]="Scroll", 2000*DropAnalityka[[#This Row],[Quality/Quantity]],0)</f>
        <v>0</v>
      </c>
      <c r="K1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0" spans="10:12">
      <c r="J1120">
        <f>DropAnalityka[[#This Row],[Sell Drop]]+IF(DropAnalityka[[#This Row],[Drop]]="Scroll", 2000*DropAnalityka[[#This Row],[Quality/Quantity]],0)</f>
        <v>0</v>
      </c>
      <c r="K1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1" spans="10:12">
      <c r="J1121">
        <f>DropAnalityka[[#This Row],[Sell Drop]]+IF(DropAnalityka[[#This Row],[Drop]]="Scroll", 2000*DropAnalityka[[#This Row],[Quality/Quantity]],0)</f>
        <v>0</v>
      </c>
      <c r="K1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2" spans="10:12">
      <c r="J1122">
        <f>DropAnalityka[[#This Row],[Sell Drop]]+IF(DropAnalityka[[#This Row],[Drop]]="Scroll", 2000*DropAnalityka[[#This Row],[Quality/Quantity]],0)</f>
        <v>0</v>
      </c>
      <c r="K1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3" spans="10:12">
      <c r="J1123">
        <f>DropAnalityka[[#This Row],[Sell Drop]]+IF(DropAnalityka[[#This Row],[Drop]]="Scroll", 2000*DropAnalityka[[#This Row],[Quality/Quantity]],0)</f>
        <v>0</v>
      </c>
      <c r="K1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4" spans="10:12">
      <c r="J1124">
        <f>DropAnalityka[[#This Row],[Sell Drop]]+IF(DropAnalityka[[#This Row],[Drop]]="Scroll", 2000*DropAnalityka[[#This Row],[Quality/Quantity]],0)</f>
        <v>0</v>
      </c>
      <c r="K1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5" spans="10:12">
      <c r="J1125">
        <f>DropAnalityka[[#This Row],[Sell Drop]]+IF(DropAnalityka[[#This Row],[Drop]]="Scroll", 2000*DropAnalityka[[#This Row],[Quality/Quantity]],0)</f>
        <v>0</v>
      </c>
      <c r="K1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6" spans="10:12">
      <c r="J1126">
        <f>DropAnalityka[[#This Row],[Sell Drop]]+IF(DropAnalityka[[#This Row],[Drop]]="Scroll", 2000*DropAnalityka[[#This Row],[Quality/Quantity]],0)</f>
        <v>0</v>
      </c>
      <c r="K1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7" spans="10:12">
      <c r="J1127">
        <f>DropAnalityka[[#This Row],[Sell Drop]]+IF(DropAnalityka[[#This Row],[Drop]]="Scroll", 2000*DropAnalityka[[#This Row],[Quality/Quantity]],0)</f>
        <v>0</v>
      </c>
      <c r="K1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8" spans="10:12">
      <c r="J1128">
        <f>DropAnalityka[[#This Row],[Sell Drop]]+IF(DropAnalityka[[#This Row],[Drop]]="Scroll", 2000*DropAnalityka[[#This Row],[Quality/Quantity]],0)</f>
        <v>0</v>
      </c>
      <c r="K1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29" spans="10:12">
      <c r="J1129">
        <f>DropAnalityka[[#This Row],[Sell Drop]]+IF(DropAnalityka[[#This Row],[Drop]]="Scroll", 2000*DropAnalityka[[#This Row],[Quality/Quantity]],0)</f>
        <v>0</v>
      </c>
      <c r="K1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0" spans="10:12">
      <c r="J1130">
        <f>DropAnalityka[[#This Row],[Sell Drop]]+IF(DropAnalityka[[#This Row],[Drop]]="Scroll", 2000*DropAnalityka[[#This Row],[Quality/Quantity]],0)</f>
        <v>0</v>
      </c>
      <c r="K1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1" spans="10:12">
      <c r="J1131">
        <f>DropAnalityka[[#This Row],[Sell Drop]]+IF(DropAnalityka[[#This Row],[Drop]]="Scroll", 2000*DropAnalityka[[#This Row],[Quality/Quantity]],0)</f>
        <v>0</v>
      </c>
      <c r="K1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2" spans="10:12">
      <c r="J1132">
        <f>DropAnalityka[[#This Row],[Sell Drop]]+IF(DropAnalityka[[#This Row],[Drop]]="Scroll", 2000*DropAnalityka[[#This Row],[Quality/Quantity]],0)</f>
        <v>0</v>
      </c>
      <c r="K1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3" spans="10:12">
      <c r="J1133">
        <f>DropAnalityka[[#This Row],[Sell Drop]]+IF(DropAnalityka[[#This Row],[Drop]]="Scroll", 2000*DropAnalityka[[#This Row],[Quality/Quantity]],0)</f>
        <v>0</v>
      </c>
      <c r="K1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4" spans="10:12">
      <c r="J1134">
        <f>DropAnalityka[[#This Row],[Sell Drop]]+IF(DropAnalityka[[#This Row],[Drop]]="Scroll", 2000*DropAnalityka[[#This Row],[Quality/Quantity]],0)</f>
        <v>0</v>
      </c>
      <c r="K1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5" spans="10:12">
      <c r="J1135">
        <f>DropAnalityka[[#This Row],[Sell Drop]]+IF(DropAnalityka[[#This Row],[Drop]]="Scroll", 2000*DropAnalityka[[#This Row],[Quality/Quantity]],0)</f>
        <v>0</v>
      </c>
      <c r="K1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6" spans="10:12">
      <c r="J1136">
        <f>DropAnalityka[[#This Row],[Sell Drop]]+IF(DropAnalityka[[#This Row],[Drop]]="Scroll", 2000*DropAnalityka[[#This Row],[Quality/Quantity]],0)</f>
        <v>0</v>
      </c>
      <c r="K1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7" spans="10:12">
      <c r="J1137">
        <f>DropAnalityka[[#This Row],[Sell Drop]]+IF(DropAnalityka[[#This Row],[Drop]]="Scroll", 2000*DropAnalityka[[#This Row],[Quality/Quantity]],0)</f>
        <v>0</v>
      </c>
      <c r="K1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8" spans="10:12">
      <c r="J1138">
        <f>DropAnalityka[[#This Row],[Sell Drop]]+IF(DropAnalityka[[#This Row],[Drop]]="Scroll", 2000*DropAnalityka[[#This Row],[Quality/Quantity]],0)</f>
        <v>0</v>
      </c>
      <c r="K1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39" spans="10:12">
      <c r="J1139">
        <f>DropAnalityka[[#This Row],[Sell Drop]]+IF(DropAnalityka[[#This Row],[Drop]]="Scroll", 2000*DropAnalityka[[#This Row],[Quality/Quantity]],0)</f>
        <v>0</v>
      </c>
      <c r="K1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0" spans="10:12">
      <c r="J1140">
        <f>DropAnalityka[[#This Row],[Sell Drop]]+IF(DropAnalityka[[#This Row],[Drop]]="Scroll", 2000*DropAnalityka[[#This Row],[Quality/Quantity]],0)</f>
        <v>0</v>
      </c>
      <c r="K1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1" spans="10:12">
      <c r="J1141">
        <f>DropAnalityka[[#This Row],[Sell Drop]]+IF(DropAnalityka[[#This Row],[Drop]]="Scroll", 2000*DropAnalityka[[#This Row],[Quality/Quantity]],0)</f>
        <v>0</v>
      </c>
      <c r="K1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2" spans="10:12">
      <c r="J1142">
        <f>DropAnalityka[[#This Row],[Sell Drop]]+IF(DropAnalityka[[#This Row],[Drop]]="Scroll", 2000*DropAnalityka[[#This Row],[Quality/Quantity]],0)</f>
        <v>0</v>
      </c>
      <c r="K1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3" spans="10:12">
      <c r="J1143">
        <f>DropAnalityka[[#This Row],[Sell Drop]]+IF(DropAnalityka[[#This Row],[Drop]]="Scroll", 2000*DropAnalityka[[#This Row],[Quality/Quantity]],0)</f>
        <v>0</v>
      </c>
      <c r="K1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4" spans="10:12">
      <c r="J1144">
        <f>DropAnalityka[[#This Row],[Sell Drop]]+IF(DropAnalityka[[#This Row],[Drop]]="Scroll", 2000*DropAnalityka[[#This Row],[Quality/Quantity]],0)</f>
        <v>0</v>
      </c>
      <c r="K1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5" spans="10:12">
      <c r="J1145">
        <f>DropAnalityka[[#This Row],[Sell Drop]]+IF(DropAnalityka[[#This Row],[Drop]]="Scroll", 2000*DropAnalityka[[#This Row],[Quality/Quantity]],0)</f>
        <v>0</v>
      </c>
      <c r="K1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6" spans="10:12">
      <c r="J1146">
        <f>DropAnalityka[[#This Row],[Sell Drop]]+IF(DropAnalityka[[#This Row],[Drop]]="Scroll", 2000*DropAnalityka[[#This Row],[Quality/Quantity]],0)</f>
        <v>0</v>
      </c>
      <c r="K1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7" spans="10:12">
      <c r="J1147">
        <f>DropAnalityka[[#This Row],[Sell Drop]]+IF(DropAnalityka[[#This Row],[Drop]]="Scroll", 2000*DropAnalityka[[#This Row],[Quality/Quantity]],0)</f>
        <v>0</v>
      </c>
      <c r="K1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8" spans="10:12">
      <c r="J1148">
        <f>DropAnalityka[[#This Row],[Sell Drop]]+IF(DropAnalityka[[#This Row],[Drop]]="Scroll", 2000*DropAnalityka[[#This Row],[Quality/Quantity]],0)</f>
        <v>0</v>
      </c>
      <c r="K1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49" spans="10:12">
      <c r="J1149">
        <f>DropAnalityka[[#This Row],[Sell Drop]]+IF(DropAnalityka[[#This Row],[Drop]]="Scroll", 2000*DropAnalityka[[#This Row],[Quality/Quantity]],0)</f>
        <v>0</v>
      </c>
      <c r="K1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0" spans="10:12">
      <c r="J1150">
        <f>DropAnalityka[[#This Row],[Sell Drop]]+IF(DropAnalityka[[#This Row],[Drop]]="Scroll", 2000*DropAnalityka[[#This Row],[Quality/Quantity]],0)</f>
        <v>0</v>
      </c>
      <c r="K1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1" spans="10:12">
      <c r="J1151">
        <f>DropAnalityka[[#This Row],[Sell Drop]]+IF(DropAnalityka[[#This Row],[Drop]]="Scroll", 2000*DropAnalityka[[#This Row],[Quality/Quantity]],0)</f>
        <v>0</v>
      </c>
      <c r="K1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2" spans="10:12">
      <c r="J1152">
        <f>DropAnalityka[[#This Row],[Sell Drop]]+IF(DropAnalityka[[#This Row],[Drop]]="Scroll", 2000*DropAnalityka[[#This Row],[Quality/Quantity]],0)</f>
        <v>0</v>
      </c>
      <c r="K1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3" spans="10:12">
      <c r="J1153">
        <f>DropAnalityka[[#This Row],[Sell Drop]]+IF(DropAnalityka[[#This Row],[Drop]]="Scroll", 2000*DropAnalityka[[#This Row],[Quality/Quantity]],0)</f>
        <v>0</v>
      </c>
      <c r="K1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4" spans="10:12">
      <c r="J1154">
        <f>DropAnalityka[[#This Row],[Sell Drop]]+IF(DropAnalityka[[#This Row],[Drop]]="Scroll", 2000*DropAnalityka[[#This Row],[Quality/Quantity]],0)</f>
        <v>0</v>
      </c>
      <c r="K1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5" spans="10:12">
      <c r="J1155">
        <f>DropAnalityka[[#This Row],[Sell Drop]]+IF(DropAnalityka[[#This Row],[Drop]]="Scroll", 2000*DropAnalityka[[#This Row],[Quality/Quantity]],0)</f>
        <v>0</v>
      </c>
      <c r="K1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6" spans="10:12">
      <c r="J1156">
        <f>DropAnalityka[[#This Row],[Sell Drop]]+IF(DropAnalityka[[#This Row],[Drop]]="Scroll", 2000*DropAnalityka[[#This Row],[Quality/Quantity]],0)</f>
        <v>0</v>
      </c>
      <c r="K1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7" spans="10:12">
      <c r="J1157">
        <f>DropAnalityka[[#This Row],[Sell Drop]]+IF(DropAnalityka[[#This Row],[Drop]]="Scroll", 2000*DropAnalityka[[#This Row],[Quality/Quantity]],0)</f>
        <v>0</v>
      </c>
      <c r="K1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8" spans="10:12">
      <c r="J1158">
        <f>DropAnalityka[[#This Row],[Sell Drop]]+IF(DropAnalityka[[#This Row],[Drop]]="Scroll", 2000*DropAnalityka[[#This Row],[Quality/Quantity]],0)</f>
        <v>0</v>
      </c>
      <c r="K1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59" spans="10:12">
      <c r="J1159">
        <f>DropAnalityka[[#This Row],[Sell Drop]]+IF(DropAnalityka[[#This Row],[Drop]]="Scroll", 2000*DropAnalityka[[#This Row],[Quality/Quantity]],0)</f>
        <v>0</v>
      </c>
      <c r="K1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0" spans="10:12">
      <c r="J1160">
        <f>DropAnalityka[[#This Row],[Sell Drop]]+IF(DropAnalityka[[#This Row],[Drop]]="Scroll", 2000*DropAnalityka[[#This Row],[Quality/Quantity]],0)</f>
        <v>0</v>
      </c>
      <c r="K1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1" spans="10:12">
      <c r="J1161">
        <f>DropAnalityka[[#This Row],[Sell Drop]]+IF(DropAnalityka[[#This Row],[Drop]]="Scroll", 2000*DropAnalityka[[#This Row],[Quality/Quantity]],0)</f>
        <v>0</v>
      </c>
      <c r="K1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2" spans="10:12">
      <c r="J1162">
        <f>DropAnalityka[[#This Row],[Sell Drop]]+IF(DropAnalityka[[#This Row],[Drop]]="Scroll", 2000*DropAnalityka[[#This Row],[Quality/Quantity]],0)</f>
        <v>0</v>
      </c>
      <c r="K1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3" spans="10:12">
      <c r="J1163">
        <f>DropAnalityka[[#This Row],[Sell Drop]]+IF(DropAnalityka[[#This Row],[Drop]]="Scroll", 2000*DropAnalityka[[#This Row],[Quality/Quantity]],0)</f>
        <v>0</v>
      </c>
      <c r="K1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4" spans="10:12">
      <c r="J1164">
        <f>DropAnalityka[[#This Row],[Sell Drop]]+IF(DropAnalityka[[#This Row],[Drop]]="Scroll", 2000*DropAnalityka[[#This Row],[Quality/Quantity]],0)</f>
        <v>0</v>
      </c>
      <c r="K1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5" spans="10:12">
      <c r="J1165">
        <f>DropAnalityka[[#This Row],[Sell Drop]]+IF(DropAnalityka[[#This Row],[Drop]]="Scroll", 2000*DropAnalityka[[#This Row],[Quality/Quantity]],0)</f>
        <v>0</v>
      </c>
      <c r="K1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6" spans="10:12">
      <c r="J1166">
        <f>DropAnalityka[[#This Row],[Sell Drop]]+IF(DropAnalityka[[#This Row],[Drop]]="Scroll", 2000*DropAnalityka[[#This Row],[Quality/Quantity]],0)</f>
        <v>0</v>
      </c>
      <c r="K1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7" spans="10:12">
      <c r="J1167">
        <f>DropAnalityka[[#This Row],[Sell Drop]]+IF(DropAnalityka[[#This Row],[Drop]]="Scroll", 2000*DropAnalityka[[#This Row],[Quality/Quantity]],0)</f>
        <v>0</v>
      </c>
      <c r="K1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8" spans="10:12">
      <c r="J1168">
        <f>DropAnalityka[[#This Row],[Sell Drop]]+IF(DropAnalityka[[#This Row],[Drop]]="Scroll", 2000*DropAnalityka[[#This Row],[Quality/Quantity]],0)</f>
        <v>0</v>
      </c>
      <c r="K1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69" spans="10:12">
      <c r="J1169">
        <f>DropAnalityka[[#This Row],[Sell Drop]]+IF(DropAnalityka[[#This Row],[Drop]]="Scroll", 2000*DropAnalityka[[#This Row],[Quality/Quantity]],0)</f>
        <v>0</v>
      </c>
      <c r="K1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0" spans="10:12">
      <c r="J1170">
        <f>DropAnalityka[[#This Row],[Sell Drop]]+IF(DropAnalityka[[#This Row],[Drop]]="Scroll", 2000*DropAnalityka[[#This Row],[Quality/Quantity]],0)</f>
        <v>0</v>
      </c>
      <c r="K1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1" spans="10:12">
      <c r="J1171">
        <f>DropAnalityka[[#This Row],[Sell Drop]]+IF(DropAnalityka[[#This Row],[Drop]]="Scroll", 2000*DropAnalityka[[#This Row],[Quality/Quantity]],0)</f>
        <v>0</v>
      </c>
      <c r="K1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2" spans="10:12">
      <c r="J1172">
        <f>DropAnalityka[[#This Row],[Sell Drop]]+IF(DropAnalityka[[#This Row],[Drop]]="Scroll", 2000*DropAnalityka[[#This Row],[Quality/Quantity]],0)</f>
        <v>0</v>
      </c>
      <c r="K1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3" spans="10:12">
      <c r="J1173">
        <f>DropAnalityka[[#This Row],[Sell Drop]]+IF(DropAnalityka[[#This Row],[Drop]]="Scroll", 2000*DropAnalityka[[#This Row],[Quality/Quantity]],0)</f>
        <v>0</v>
      </c>
      <c r="K1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4" spans="10:12">
      <c r="J1174">
        <f>DropAnalityka[[#This Row],[Sell Drop]]+IF(DropAnalityka[[#This Row],[Drop]]="Scroll", 2000*DropAnalityka[[#This Row],[Quality/Quantity]],0)</f>
        <v>0</v>
      </c>
      <c r="K1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5" spans="10:12">
      <c r="J1175">
        <f>DropAnalityka[[#This Row],[Sell Drop]]+IF(DropAnalityka[[#This Row],[Drop]]="Scroll", 2000*DropAnalityka[[#This Row],[Quality/Quantity]],0)</f>
        <v>0</v>
      </c>
      <c r="K1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6" spans="10:12">
      <c r="J1176">
        <f>DropAnalityka[[#This Row],[Sell Drop]]+IF(DropAnalityka[[#This Row],[Drop]]="Scroll", 2000*DropAnalityka[[#This Row],[Quality/Quantity]],0)</f>
        <v>0</v>
      </c>
      <c r="K1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7" spans="10:12">
      <c r="J1177">
        <f>DropAnalityka[[#This Row],[Sell Drop]]+IF(DropAnalityka[[#This Row],[Drop]]="Scroll", 2000*DropAnalityka[[#This Row],[Quality/Quantity]],0)</f>
        <v>0</v>
      </c>
      <c r="K1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8" spans="10:12">
      <c r="J1178">
        <f>DropAnalityka[[#This Row],[Sell Drop]]+IF(DropAnalityka[[#This Row],[Drop]]="Scroll", 2000*DropAnalityka[[#This Row],[Quality/Quantity]],0)</f>
        <v>0</v>
      </c>
      <c r="K1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79" spans="10:12">
      <c r="J1179">
        <f>DropAnalityka[[#This Row],[Sell Drop]]+IF(DropAnalityka[[#This Row],[Drop]]="Scroll", 2000*DropAnalityka[[#This Row],[Quality/Quantity]],0)</f>
        <v>0</v>
      </c>
      <c r="K1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0" spans="10:12">
      <c r="J1180">
        <f>DropAnalityka[[#This Row],[Sell Drop]]+IF(DropAnalityka[[#This Row],[Drop]]="Scroll", 2000*DropAnalityka[[#This Row],[Quality/Quantity]],0)</f>
        <v>0</v>
      </c>
      <c r="K1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1" spans="10:12">
      <c r="J1181">
        <f>DropAnalityka[[#This Row],[Sell Drop]]+IF(DropAnalityka[[#This Row],[Drop]]="Scroll", 2000*DropAnalityka[[#This Row],[Quality/Quantity]],0)</f>
        <v>0</v>
      </c>
      <c r="K1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2" spans="10:12">
      <c r="J1182">
        <f>DropAnalityka[[#This Row],[Sell Drop]]+IF(DropAnalityka[[#This Row],[Drop]]="Scroll", 2000*DropAnalityka[[#This Row],[Quality/Quantity]],0)</f>
        <v>0</v>
      </c>
      <c r="K1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3" spans="10:12">
      <c r="J1183">
        <f>DropAnalityka[[#This Row],[Sell Drop]]+IF(DropAnalityka[[#This Row],[Drop]]="Scroll", 2000*DropAnalityka[[#This Row],[Quality/Quantity]],0)</f>
        <v>0</v>
      </c>
      <c r="K1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4" spans="10:12">
      <c r="J1184">
        <f>DropAnalityka[[#This Row],[Sell Drop]]+IF(DropAnalityka[[#This Row],[Drop]]="Scroll", 2000*DropAnalityka[[#This Row],[Quality/Quantity]],0)</f>
        <v>0</v>
      </c>
      <c r="K1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5" spans="10:12">
      <c r="J1185">
        <f>DropAnalityka[[#This Row],[Sell Drop]]+IF(DropAnalityka[[#This Row],[Drop]]="Scroll", 2000*DropAnalityka[[#This Row],[Quality/Quantity]],0)</f>
        <v>0</v>
      </c>
      <c r="K1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6" spans="10:12">
      <c r="J1186">
        <f>DropAnalityka[[#This Row],[Sell Drop]]+IF(DropAnalityka[[#This Row],[Drop]]="Scroll", 2000*DropAnalityka[[#This Row],[Quality/Quantity]],0)</f>
        <v>0</v>
      </c>
      <c r="K1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7" spans="10:12">
      <c r="J1187">
        <f>DropAnalityka[[#This Row],[Sell Drop]]+IF(DropAnalityka[[#This Row],[Drop]]="Scroll", 2000*DropAnalityka[[#This Row],[Quality/Quantity]],0)</f>
        <v>0</v>
      </c>
      <c r="K1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8" spans="10:12">
      <c r="J1188">
        <f>DropAnalityka[[#This Row],[Sell Drop]]+IF(DropAnalityka[[#This Row],[Drop]]="Scroll", 2000*DropAnalityka[[#This Row],[Quality/Quantity]],0)</f>
        <v>0</v>
      </c>
      <c r="K1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89" spans="10:12">
      <c r="J1189">
        <f>DropAnalityka[[#This Row],[Sell Drop]]+IF(DropAnalityka[[#This Row],[Drop]]="Scroll", 2000*DropAnalityka[[#This Row],[Quality/Quantity]],0)</f>
        <v>0</v>
      </c>
      <c r="K1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0" spans="10:12">
      <c r="J1190">
        <f>DropAnalityka[[#This Row],[Sell Drop]]+IF(DropAnalityka[[#This Row],[Drop]]="Scroll", 2000*DropAnalityka[[#This Row],[Quality/Quantity]],0)</f>
        <v>0</v>
      </c>
      <c r="K1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1" spans="10:12">
      <c r="J1191">
        <f>DropAnalityka[[#This Row],[Sell Drop]]+IF(DropAnalityka[[#This Row],[Drop]]="Scroll", 2000*DropAnalityka[[#This Row],[Quality/Quantity]],0)</f>
        <v>0</v>
      </c>
      <c r="K1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2" spans="10:12">
      <c r="J1192">
        <f>DropAnalityka[[#This Row],[Sell Drop]]+IF(DropAnalityka[[#This Row],[Drop]]="Scroll", 2000*DropAnalityka[[#This Row],[Quality/Quantity]],0)</f>
        <v>0</v>
      </c>
      <c r="K1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3" spans="10:12">
      <c r="J1193">
        <f>DropAnalityka[[#This Row],[Sell Drop]]+IF(DropAnalityka[[#This Row],[Drop]]="Scroll", 2000*DropAnalityka[[#This Row],[Quality/Quantity]],0)</f>
        <v>0</v>
      </c>
      <c r="K1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4" spans="10:12">
      <c r="J1194">
        <f>DropAnalityka[[#This Row],[Sell Drop]]+IF(DropAnalityka[[#This Row],[Drop]]="Scroll", 2000*DropAnalityka[[#This Row],[Quality/Quantity]],0)</f>
        <v>0</v>
      </c>
      <c r="K1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5" spans="10:12">
      <c r="J1195">
        <f>DropAnalityka[[#This Row],[Sell Drop]]+IF(DropAnalityka[[#This Row],[Drop]]="Scroll", 2000*DropAnalityka[[#This Row],[Quality/Quantity]],0)</f>
        <v>0</v>
      </c>
      <c r="K1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6" spans="10:12">
      <c r="J1196">
        <f>DropAnalityka[[#This Row],[Sell Drop]]+IF(DropAnalityka[[#This Row],[Drop]]="Scroll", 2000*DropAnalityka[[#This Row],[Quality/Quantity]],0)</f>
        <v>0</v>
      </c>
      <c r="K1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7" spans="10:12">
      <c r="J1197">
        <f>DropAnalityka[[#This Row],[Sell Drop]]+IF(DropAnalityka[[#This Row],[Drop]]="Scroll", 2000*DropAnalityka[[#This Row],[Quality/Quantity]],0)</f>
        <v>0</v>
      </c>
      <c r="K1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8" spans="10:12">
      <c r="J1198">
        <f>DropAnalityka[[#This Row],[Sell Drop]]+IF(DropAnalityka[[#This Row],[Drop]]="Scroll", 2000*DropAnalityka[[#This Row],[Quality/Quantity]],0)</f>
        <v>0</v>
      </c>
      <c r="K1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199" spans="10:12">
      <c r="J1199">
        <f>DropAnalityka[[#This Row],[Sell Drop]]+IF(DropAnalityka[[#This Row],[Drop]]="Scroll", 2000*DropAnalityka[[#This Row],[Quality/Quantity]],0)</f>
        <v>0</v>
      </c>
      <c r="K1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0" spans="10:12">
      <c r="J1200">
        <f>DropAnalityka[[#This Row],[Sell Drop]]+IF(DropAnalityka[[#This Row],[Drop]]="Scroll", 2000*DropAnalityka[[#This Row],[Quality/Quantity]],0)</f>
        <v>0</v>
      </c>
      <c r="K1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1" spans="10:12">
      <c r="J1201">
        <f>DropAnalityka[[#This Row],[Sell Drop]]+IF(DropAnalityka[[#This Row],[Drop]]="Scroll", 2000*DropAnalityka[[#This Row],[Quality/Quantity]],0)</f>
        <v>0</v>
      </c>
      <c r="K1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2" spans="10:12">
      <c r="J1202">
        <f>DropAnalityka[[#This Row],[Sell Drop]]+IF(DropAnalityka[[#This Row],[Drop]]="Scroll", 2000*DropAnalityka[[#This Row],[Quality/Quantity]],0)</f>
        <v>0</v>
      </c>
      <c r="K1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3" spans="10:12">
      <c r="J1203">
        <f>DropAnalityka[[#This Row],[Sell Drop]]+IF(DropAnalityka[[#This Row],[Drop]]="Scroll", 2000*DropAnalityka[[#This Row],[Quality/Quantity]],0)</f>
        <v>0</v>
      </c>
      <c r="K1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4" spans="10:12">
      <c r="J1204">
        <f>DropAnalityka[[#This Row],[Sell Drop]]+IF(DropAnalityka[[#This Row],[Drop]]="Scroll", 2000*DropAnalityka[[#This Row],[Quality/Quantity]],0)</f>
        <v>0</v>
      </c>
      <c r="K1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5" spans="10:12">
      <c r="J1205">
        <f>DropAnalityka[[#This Row],[Sell Drop]]+IF(DropAnalityka[[#This Row],[Drop]]="Scroll", 2000*DropAnalityka[[#This Row],[Quality/Quantity]],0)</f>
        <v>0</v>
      </c>
      <c r="K1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6" spans="10:12">
      <c r="J1206">
        <f>DropAnalityka[[#This Row],[Sell Drop]]+IF(DropAnalityka[[#This Row],[Drop]]="Scroll", 2000*DropAnalityka[[#This Row],[Quality/Quantity]],0)</f>
        <v>0</v>
      </c>
      <c r="K1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7" spans="10:12">
      <c r="J1207">
        <f>DropAnalityka[[#This Row],[Sell Drop]]+IF(DropAnalityka[[#This Row],[Drop]]="Scroll", 2000*DropAnalityka[[#This Row],[Quality/Quantity]],0)</f>
        <v>0</v>
      </c>
      <c r="K1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8" spans="10:12">
      <c r="J1208">
        <f>DropAnalityka[[#This Row],[Sell Drop]]+IF(DropAnalityka[[#This Row],[Drop]]="Scroll", 2000*DropAnalityka[[#This Row],[Quality/Quantity]],0)</f>
        <v>0</v>
      </c>
      <c r="K1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09" spans="10:12">
      <c r="J1209">
        <f>DropAnalityka[[#This Row],[Sell Drop]]+IF(DropAnalityka[[#This Row],[Drop]]="Scroll", 2000*DropAnalityka[[#This Row],[Quality/Quantity]],0)</f>
        <v>0</v>
      </c>
      <c r="K1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0" spans="10:12">
      <c r="J1210">
        <f>DropAnalityka[[#This Row],[Sell Drop]]+IF(DropAnalityka[[#This Row],[Drop]]="Scroll", 2000*DropAnalityka[[#This Row],[Quality/Quantity]],0)</f>
        <v>0</v>
      </c>
      <c r="K1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1" spans="10:12">
      <c r="J1211">
        <f>DropAnalityka[[#This Row],[Sell Drop]]+IF(DropAnalityka[[#This Row],[Drop]]="Scroll", 2000*DropAnalityka[[#This Row],[Quality/Quantity]],0)</f>
        <v>0</v>
      </c>
      <c r="K1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2" spans="10:12">
      <c r="J1212">
        <f>DropAnalityka[[#This Row],[Sell Drop]]+IF(DropAnalityka[[#This Row],[Drop]]="Scroll", 2000*DropAnalityka[[#This Row],[Quality/Quantity]],0)</f>
        <v>0</v>
      </c>
      <c r="K1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3" spans="10:12">
      <c r="J1213">
        <f>DropAnalityka[[#This Row],[Sell Drop]]+IF(DropAnalityka[[#This Row],[Drop]]="Scroll", 2000*DropAnalityka[[#This Row],[Quality/Quantity]],0)</f>
        <v>0</v>
      </c>
      <c r="K1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4" spans="10:12">
      <c r="J1214">
        <f>DropAnalityka[[#This Row],[Sell Drop]]+IF(DropAnalityka[[#This Row],[Drop]]="Scroll", 2000*DropAnalityka[[#This Row],[Quality/Quantity]],0)</f>
        <v>0</v>
      </c>
      <c r="K1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5" spans="10:12">
      <c r="J1215">
        <f>DropAnalityka[[#This Row],[Sell Drop]]+IF(DropAnalityka[[#This Row],[Drop]]="Scroll", 2000*DropAnalityka[[#This Row],[Quality/Quantity]],0)</f>
        <v>0</v>
      </c>
      <c r="K1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6" spans="10:12">
      <c r="J1216">
        <f>DropAnalityka[[#This Row],[Sell Drop]]+IF(DropAnalityka[[#This Row],[Drop]]="Scroll", 2000*DropAnalityka[[#This Row],[Quality/Quantity]],0)</f>
        <v>0</v>
      </c>
      <c r="K1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7" spans="10:12">
      <c r="J1217">
        <f>DropAnalityka[[#This Row],[Sell Drop]]+IF(DropAnalityka[[#This Row],[Drop]]="Scroll", 2000*DropAnalityka[[#This Row],[Quality/Quantity]],0)</f>
        <v>0</v>
      </c>
      <c r="K1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8" spans="10:12">
      <c r="J1218">
        <f>DropAnalityka[[#This Row],[Sell Drop]]+IF(DropAnalityka[[#This Row],[Drop]]="Scroll", 2000*DropAnalityka[[#This Row],[Quality/Quantity]],0)</f>
        <v>0</v>
      </c>
      <c r="K1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19" spans="10:12">
      <c r="J1219">
        <f>DropAnalityka[[#This Row],[Sell Drop]]+IF(DropAnalityka[[#This Row],[Drop]]="Scroll", 2000*DropAnalityka[[#This Row],[Quality/Quantity]],0)</f>
        <v>0</v>
      </c>
      <c r="K1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0" spans="10:12">
      <c r="J1220">
        <f>DropAnalityka[[#This Row],[Sell Drop]]+IF(DropAnalityka[[#This Row],[Drop]]="Scroll", 2000*DropAnalityka[[#This Row],[Quality/Quantity]],0)</f>
        <v>0</v>
      </c>
      <c r="K1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1" spans="10:12">
      <c r="J1221">
        <f>DropAnalityka[[#This Row],[Sell Drop]]+IF(DropAnalityka[[#This Row],[Drop]]="Scroll", 2000*DropAnalityka[[#This Row],[Quality/Quantity]],0)</f>
        <v>0</v>
      </c>
      <c r="K1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2" spans="10:12">
      <c r="J1222">
        <f>DropAnalityka[[#This Row],[Sell Drop]]+IF(DropAnalityka[[#This Row],[Drop]]="Scroll", 2000*DropAnalityka[[#This Row],[Quality/Quantity]],0)</f>
        <v>0</v>
      </c>
      <c r="K1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3" spans="10:12">
      <c r="J1223">
        <f>DropAnalityka[[#This Row],[Sell Drop]]+IF(DropAnalityka[[#This Row],[Drop]]="Scroll", 2000*DropAnalityka[[#This Row],[Quality/Quantity]],0)</f>
        <v>0</v>
      </c>
      <c r="K1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4" spans="10:12">
      <c r="J1224">
        <f>DropAnalityka[[#This Row],[Sell Drop]]+IF(DropAnalityka[[#This Row],[Drop]]="Scroll", 2000*DropAnalityka[[#This Row],[Quality/Quantity]],0)</f>
        <v>0</v>
      </c>
      <c r="K1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5" spans="10:12">
      <c r="J1225">
        <f>DropAnalityka[[#This Row],[Sell Drop]]+IF(DropAnalityka[[#This Row],[Drop]]="Scroll", 2000*DropAnalityka[[#This Row],[Quality/Quantity]],0)</f>
        <v>0</v>
      </c>
      <c r="K1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6" spans="10:12">
      <c r="J1226">
        <f>DropAnalityka[[#This Row],[Sell Drop]]+IF(DropAnalityka[[#This Row],[Drop]]="Scroll", 2000*DropAnalityka[[#This Row],[Quality/Quantity]],0)</f>
        <v>0</v>
      </c>
      <c r="K1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7" spans="10:12">
      <c r="J1227">
        <f>DropAnalityka[[#This Row],[Sell Drop]]+IF(DropAnalityka[[#This Row],[Drop]]="Scroll", 2000*DropAnalityka[[#This Row],[Quality/Quantity]],0)</f>
        <v>0</v>
      </c>
      <c r="K1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8" spans="10:12">
      <c r="J1228">
        <f>DropAnalityka[[#This Row],[Sell Drop]]+IF(DropAnalityka[[#This Row],[Drop]]="Scroll", 2000*DropAnalityka[[#This Row],[Quality/Quantity]],0)</f>
        <v>0</v>
      </c>
      <c r="K1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29" spans="10:12">
      <c r="J1229">
        <f>DropAnalityka[[#This Row],[Sell Drop]]+IF(DropAnalityka[[#This Row],[Drop]]="Scroll", 2000*DropAnalityka[[#This Row],[Quality/Quantity]],0)</f>
        <v>0</v>
      </c>
      <c r="K1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0" spans="10:12">
      <c r="J1230">
        <f>DropAnalityka[[#This Row],[Sell Drop]]+IF(DropAnalityka[[#This Row],[Drop]]="Scroll", 2000*DropAnalityka[[#This Row],[Quality/Quantity]],0)</f>
        <v>0</v>
      </c>
      <c r="K1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1" spans="10:12">
      <c r="J1231">
        <f>DropAnalityka[[#This Row],[Sell Drop]]+IF(DropAnalityka[[#This Row],[Drop]]="Scroll", 2000*DropAnalityka[[#This Row],[Quality/Quantity]],0)</f>
        <v>0</v>
      </c>
      <c r="K1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2" spans="10:12">
      <c r="J1232">
        <f>DropAnalityka[[#This Row],[Sell Drop]]+IF(DropAnalityka[[#This Row],[Drop]]="Scroll", 2000*DropAnalityka[[#This Row],[Quality/Quantity]],0)</f>
        <v>0</v>
      </c>
      <c r="K1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3" spans="10:12">
      <c r="J1233">
        <f>DropAnalityka[[#This Row],[Sell Drop]]+IF(DropAnalityka[[#This Row],[Drop]]="Scroll", 2000*DropAnalityka[[#This Row],[Quality/Quantity]],0)</f>
        <v>0</v>
      </c>
      <c r="K1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4" spans="10:12">
      <c r="J1234">
        <f>DropAnalityka[[#This Row],[Sell Drop]]+IF(DropAnalityka[[#This Row],[Drop]]="Scroll", 2000*DropAnalityka[[#This Row],[Quality/Quantity]],0)</f>
        <v>0</v>
      </c>
      <c r="K1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5" spans="10:12">
      <c r="J1235">
        <f>DropAnalityka[[#This Row],[Sell Drop]]+IF(DropAnalityka[[#This Row],[Drop]]="Scroll", 2000*DropAnalityka[[#This Row],[Quality/Quantity]],0)</f>
        <v>0</v>
      </c>
      <c r="K1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6" spans="10:12">
      <c r="J1236">
        <f>DropAnalityka[[#This Row],[Sell Drop]]+IF(DropAnalityka[[#This Row],[Drop]]="Scroll", 2000*DropAnalityka[[#This Row],[Quality/Quantity]],0)</f>
        <v>0</v>
      </c>
      <c r="K1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7" spans="10:12">
      <c r="J1237">
        <f>DropAnalityka[[#This Row],[Sell Drop]]+IF(DropAnalityka[[#This Row],[Drop]]="Scroll", 2000*DropAnalityka[[#This Row],[Quality/Quantity]],0)</f>
        <v>0</v>
      </c>
      <c r="K1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8" spans="10:12">
      <c r="J1238">
        <f>DropAnalityka[[#This Row],[Sell Drop]]+IF(DropAnalityka[[#This Row],[Drop]]="Scroll", 2000*DropAnalityka[[#This Row],[Quality/Quantity]],0)</f>
        <v>0</v>
      </c>
      <c r="K1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39" spans="10:12">
      <c r="J1239">
        <f>DropAnalityka[[#This Row],[Sell Drop]]+IF(DropAnalityka[[#This Row],[Drop]]="Scroll", 2000*DropAnalityka[[#This Row],[Quality/Quantity]],0)</f>
        <v>0</v>
      </c>
      <c r="K1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0" spans="10:12">
      <c r="J1240">
        <f>DropAnalityka[[#This Row],[Sell Drop]]+IF(DropAnalityka[[#This Row],[Drop]]="Scroll", 2000*DropAnalityka[[#This Row],[Quality/Quantity]],0)</f>
        <v>0</v>
      </c>
      <c r="K1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1" spans="10:12">
      <c r="J1241">
        <f>DropAnalityka[[#This Row],[Sell Drop]]+IF(DropAnalityka[[#This Row],[Drop]]="Scroll", 2000*DropAnalityka[[#This Row],[Quality/Quantity]],0)</f>
        <v>0</v>
      </c>
      <c r="K1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2" spans="10:12">
      <c r="J1242">
        <f>DropAnalityka[[#This Row],[Sell Drop]]+IF(DropAnalityka[[#This Row],[Drop]]="Scroll", 2000*DropAnalityka[[#This Row],[Quality/Quantity]],0)</f>
        <v>0</v>
      </c>
      <c r="K1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3" spans="10:12">
      <c r="J1243">
        <f>DropAnalityka[[#This Row],[Sell Drop]]+IF(DropAnalityka[[#This Row],[Drop]]="Scroll", 2000*DropAnalityka[[#This Row],[Quality/Quantity]],0)</f>
        <v>0</v>
      </c>
      <c r="K1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4" spans="10:12">
      <c r="J1244">
        <f>DropAnalityka[[#This Row],[Sell Drop]]+IF(DropAnalityka[[#This Row],[Drop]]="Scroll", 2000*DropAnalityka[[#This Row],[Quality/Quantity]],0)</f>
        <v>0</v>
      </c>
      <c r="K1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5" spans="10:12">
      <c r="J1245">
        <f>DropAnalityka[[#This Row],[Sell Drop]]+IF(DropAnalityka[[#This Row],[Drop]]="Scroll", 2000*DropAnalityka[[#This Row],[Quality/Quantity]],0)</f>
        <v>0</v>
      </c>
      <c r="K1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6" spans="10:12">
      <c r="J1246">
        <f>DropAnalityka[[#This Row],[Sell Drop]]+IF(DropAnalityka[[#This Row],[Drop]]="Scroll", 2000*DropAnalityka[[#This Row],[Quality/Quantity]],0)</f>
        <v>0</v>
      </c>
      <c r="K1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7" spans="10:12">
      <c r="J1247">
        <f>DropAnalityka[[#This Row],[Sell Drop]]+IF(DropAnalityka[[#This Row],[Drop]]="Scroll", 2000*DropAnalityka[[#This Row],[Quality/Quantity]],0)</f>
        <v>0</v>
      </c>
      <c r="K1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8" spans="10:12">
      <c r="J1248">
        <f>DropAnalityka[[#This Row],[Sell Drop]]+IF(DropAnalityka[[#This Row],[Drop]]="Scroll", 2000*DropAnalityka[[#This Row],[Quality/Quantity]],0)</f>
        <v>0</v>
      </c>
      <c r="K1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49" spans="10:12">
      <c r="J1249">
        <f>DropAnalityka[[#This Row],[Sell Drop]]+IF(DropAnalityka[[#This Row],[Drop]]="Scroll", 2000*DropAnalityka[[#This Row],[Quality/Quantity]],0)</f>
        <v>0</v>
      </c>
      <c r="K1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0" spans="10:12">
      <c r="J1250">
        <f>DropAnalityka[[#This Row],[Sell Drop]]+IF(DropAnalityka[[#This Row],[Drop]]="Scroll", 2000*DropAnalityka[[#This Row],[Quality/Quantity]],0)</f>
        <v>0</v>
      </c>
      <c r="K1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1" spans="10:12">
      <c r="J1251">
        <f>DropAnalityka[[#This Row],[Sell Drop]]+IF(DropAnalityka[[#This Row],[Drop]]="Scroll", 2000*DropAnalityka[[#This Row],[Quality/Quantity]],0)</f>
        <v>0</v>
      </c>
      <c r="K1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2" spans="10:12">
      <c r="J1252">
        <f>DropAnalityka[[#This Row],[Sell Drop]]+IF(DropAnalityka[[#This Row],[Drop]]="Scroll", 2000*DropAnalityka[[#This Row],[Quality/Quantity]],0)</f>
        <v>0</v>
      </c>
      <c r="K1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3" spans="10:12">
      <c r="J1253">
        <f>DropAnalityka[[#This Row],[Sell Drop]]+IF(DropAnalityka[[#This Row],[Drop]]="Scroll", 2000*DropAnalityka[[#This Row],[Quality/Quantity]],0)</f>
        <v>0</v>
      </c>
      <c r="K1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4" spans="10:12">
      <c r="J1254">
        <f>DropAnalityka[[#This Row],[Sell Drop]]+IF(DropAnalityka[[#This Row],[Drop]]="Scroll", 2000*DropAnalityka[[#This Row],[Quality/Quantity]],0)</f>
        <v>0</v>
      </c>
      <c r="K1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5" spans="10:12">
      <c r="J1255">
        <f>DropAnalityka[[#This Row],[Sell Drop]]+IF(DropAnalityka[[#This Row],[Drop]]="Scroll", 2000*DropAnalityka[[#This Row],[Quality/Quantity]],0)</f>
        <v>0</v>
      </c>
      <c r="K1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6" spans="10:12">
      <c r="J1256">
        <f>DropAnalityka[[#This Row],[Sell Drop]]+IF(DropAnalityka[[#This Row],[Drop]]="Scroll", 2000*DropAnalityka[[#This Row],[Quality/Quantity]],0)</f>
        <v>0</v>
      </c>
      <c r="K1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7" spans="10:12">
      <c r="J1257">
        <f>DropAnalityka[[#This Row],[Sell Drop]]+IF(DropAnalityka[[#This Row],[Drop]]="Scroll", 2000*DropAnalityka[[#This Row],[Quality/Quantity]],0)</f>
        <v>0</v>
      </c>
      <c r="K1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8" spans="10:12">
      <c r="J1258">
        <f>DropAnalityka[[#This Row],[Sell Drop]]+IF(DropAnalityka[[#This Row],[Drop]]="Scroll", 2000*DropAnalityka[[#This Row],[Quality/Quantity]],0)</f>
        <v>0</v>
      </c>
      <c r="K1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59" spans="10:12">
      <c r="J1259">
        <f>DropAnalityka[[#This Row],[Sell Drop]]+IF(DropAnalityka[[#This Row],[Drop]]="Scroll", 2000*DropAnalityka[[#This Row],[Quality/Quantity]],0)</f>
        <v>0</v>
      </c>
      <c r="K1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0" spans="10:12">
      <c r="J1260">
        <f>DropAnalityka[[#This Row],[Sell Drop]]+IF(DropAnalityka[[#This Row],[Drop]]="Scroll", 2000*DropAnalityka[[#This Row],[Quality/Quantity]],0)</f>
        <v>0</v>
      </c>
      <c r="K1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1" spans="10:12">
      <c r="J1261">
        <f>DropAnalityka[[#This Row],[Sell Drop]]+IF(DropAnalityka[[#This Row],[Drop]]="Scroll", 2000*DropAnalityka[[#This Row],[Quality/Quantity]],0)</f>
        <v>0</v>
      </c>
      <c r="K1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2" spans="10:12">
      <c r="J1262">
        <f>DropAnalityka[[#This Row],[Sell Drop]]+IF(DropAnalityka[[#This Row],[Drop]]="Scroll", 2000*DropAnalityka[[#This Row],[Quality/Quantity]],0)</f>
        <v>0</v>
      </c>
      <c r="K1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3" spans="10:12">
      <c r="J1263">
        <f>DropAnalityka[[#This Row],[Sell Drop]]+IF(DropAnalityka[[#This Row],[Drop]]="Scroll", 2000*DropAnalityka[[#This Row],[Quality/Quantity]],0)</f>
        <v>0</v>
      </c>
      <c r="K1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4" spans="10:12">
      <c r="J1264">
        <f>DropAnalityka[[#This Row],[Sell Drop]]+IF(DropAnalityka[[#This Row],[Drop]]="Scroll", 2000*DropAnalityka[[#This Row],[Quality/Quantity]],0)</f>
        <v>0</v>
      </c>
      <c r="K1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5" spans="10:12">
      <c r="J1265">
        <f>DropAnalityka[[#This Row],[Sell Drop]]+IF(DropAnalityka[[#This Row],[Drop]]="Scroll", 2000*DropAnalityka[[#This Row],[Quality/Quantity]],0)</f>
        <v>0</v>
      </c>
      <c r="K1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6" spans="10:12">
      <c r="J1266">
        <f>DropAnalityka[[#This Row],[Sell Drop]]+IF(DropAnalityka[[#This Row],[Drop]]="Scroll", 2000*DropAnalityka[[#This Row],[Quality/Quantity]],0)</f>
        <v>0</v>
      </c>
      <c r="K1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7" spans="10:12">
      <c r="J1267">
        <f>DropAnalityka[[#This Row],[Sell Drop]]+IF(DropAnalityka[[#This Row],[Drop]]="Scroll", 2000*DropAnalityka[[#This Row],[Quality/Quantity]],0)</f>
        <v>0</v>
      </c>
      <c r="K1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8" spans="10:12">
      <c r="J1268">
        <f>DropAnalityka[[#This Row],[Sell Drop]]+IF(DropAnalityka[[#This Row],[Drop]]="Scroll", 2000*DropAnalityka[[#This Row],[Quality/Quantity]],0)</f>
        <v>0</v>
      </c>
      <c r="K1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69" spans="10:12">
      <c r="J1269">
        <f>DropAnalityka[[#This Row],[Sell Drop]]+IF(DropAnalityka[[#This Row],[Drop]]="Scroll", 2000*DropAnalityka[[#This Row],[Quality/Quantity]],0)</f>
        <v>0</v>
      </c>
      <c r="K1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0" spans="10:12">
      <c r="J1270">
        <f>DropAnalityka[[#This Row],[Sell Drop]]+IF(DropAnalityka[[#This Row],[Drop]]="Scroll", 2000*DropAnalityka[[#This Row],[Quality/Quantity]],0)</f>
        <v>0</v>
      </c>
      <c r="K1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1" spans="10:12">
      <c r="J1271">
        <f>DropAnalityka[[#This Row],[Sell Drop]]+IF(DropAnalityka[[#This Row],[Drop]]="Scroll", 2000*DropAnalityka[[#This Row],[Quality/Quantity]],0)</f>
        <v>0</v>
      </c>
      <c r="K1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2" spans="10:12">
      <c r="J1272">
        <f>DropAnalityka[[#This Row],[Sell Drop]]+IF(DropAnalityka[[#This Row],[Drop]]="Scroll", 2000*DropAnalityka[[#This Row],[Quality/Quantity]],0)</f>
        <v>0</v>
      </c>
      <c r="K1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3" spans="10:12">
      <c r="J1273">
        <f>DropAnalityka[[#This Row],[Sell Drop]]+IF(DropAnalityka[[#This Row],[Drop]]="Scroll", 2000*DropAnalityka[[#This Row],[Quality/Quantity]],0)</f>
        <v>0</v>
      </c>
      <c r="K1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4" spans="10:12">
      <c r="J1274">
        <f>DropAnalityka[[#This Row],[Sell Drop]]+IF(DropAnalityka[[#This Row],[Drop]]="Scroll", 2000*DropAnalityka[[#This Row],[Quality/Quantity]],0)</f>
        <v>0</v>
      </c>
      <c r="K1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5" spans="10:12">
      <c r="J1275">
        <f>DropAnalityka[[#This Row],[Sell Drop]]+IF(DropAnalityka[[#This Row],[Drop]]="Scroll", 2000*DropAnalityka[[#This Row],[Quality/Quantity]],0)</f>
        <v>0</v>
      </c>
      <c r="K1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6" spans="10:12">
      <c r="J1276">
        <f>DropAnalityka[[#This Row],[Sell Drop]]+IF(DropAnalityka[[#This Row],[Drop]]="Scroll", 2000*DropAnalityka[[#This Row],[Quality/Quantity]],0)</f>
        <v>0</v>
      </c>
      <c r="K1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7" spans="10:12">
      <c r="J1277">
        <f>DropAnalityka[[#This Row],[Sell Drop]]+IF(DropAnalityka[[#This Row],[Drop]]="Scroll", 2000*DropAnalityka[[#This Row],[Quality/Quantity]],0)</f>
        <v>0</v>
      </c>
      <c r="K1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8" spans="10:12">
      <c r="J1278">
        <f>DropAnalityka[[#This Row],[Sell Drop]]+IF(DropAnalityka[[#This Row],[Drop]]="Scroll", 2000*DropAnalityka[[#This Row],[Quality/Quantity]],0)</f>
        <v>0</v>
      </c>
      <c r="K1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79" spans="10:12">
      <c r="J1279">
        <f>DropAnalityka[[#This Row],[Sell Drop]]+IF(DropAnalityka[[#This Row],[Drop]]="Scroll", 2000*DropAnalityka[[#This Row],[Quality/Quantity]],0)</f>
        <v>0</v>
      </c>
      <c r="K1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0" spans="10:12">
      <c r="J1280">
        <f>DropAnalityka[[#This Row],[Sell Drop]]+IF(DropAnalityka[[#This Row],[Drop]]="Scroll", 2000*DropAnalityka[[#This Row],[Quality/Quantity]],0)</f>
        <v>0</v>
      </c>
      <c r="K1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1" spans="10:12">
      <c r="J1281">
        <f>DropAnalityka[[#This Row],[Sell Drop]]+IF(DropAnalityka[[#This Row],[Drop]]="Scroll", 2000*DropAnalityka[[#This Row],[Quality/Quantity]],0)</f>
        <v>0</v>
      </c>
      <c r="K1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2" spans="10:12">
      <c r="J1282">
        <f>DropAnalityka[[#This Row],[Sell Drop]]+IF(DropAnalityka[[#This Row],[Drop]]="Scroll", 2000*DropAnalityka[[#This Row],[Quality/Quantity]],0)</f>
        <v>0</v>
      </c>
      <c r="K1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3" spans="10:12">
      <c r="J1283">
        <f>DropAnalityka[[#This Row],[Sell Drop]]+IF(DropAnalityka[[#This Row],[Drop]]="Scroll", 2000*DropAnalityka[[#This Row],[Quality/Quantity]],0)</f>
        <v>0</v>
      </c>
      <c r="K1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4" spans="10:12">
      <c r="J1284">
        <f>DropAnalityka[[#This Row],[Sell Drop]]+IF(DropAnalityka[[#This Row],[Drop]]="Scroll", 2000*DropAnalityka[[#This Row],[Quality/Quantity]],0)</f>
        <v>0</v>
      </c>
      <c r="K1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5" spans="10:12">
      <c r="J1285">
        <f>DropAnalityka[[#This Row],[Sell Drop]]+IF(DropAnalityka[[#This Row],[Drop]]="Scroll", 2000*DropAnalityka[[#This Row],[Quality/Quantity]],0)</f>
        <v>0</v>
      </c>
      <c r="K1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6" spans="10:12">
      <c r="J1286">
        <f>DropAnalityka[[#This Row],[Sell Drop]]+IF(DropAnalityka[[#This Row],[Drop]]="Scroll", 2000*DropAnalityka[[#This Row],[Quality/Quantity]],0)</f>
        <v>0</v>
      </c>
      <c r="K1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7" spans="10:12">
      <c r="J1287">
        <f>DropAnalityka[[#This Row],[Sell Drop]]+IF(DropAnalityka[[#This Row],[Drop]]="Scroll", 2000*DropAnalityka[[#This Row],[Quality/Quantity]],0)</f>
        <v>0</v>
      </c>
      <c r="K1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8" spans="10:12">
      <c r="J1288">
        <f>DropAnalityka[[#This Row],[Sell Drop]]+IF(DropAnalityka[[#This Row],[Drop]]="Scroll", 2000*DropAnalityka[[#This Row],[Quality/Quantity]],0)</f>
        <v>0</v>
      </c>
      <c r="K1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89" spans="10:12">
      <c r="J1289">
        <f>DropAnalityka[[#This Row],[Sell Drop]]+IF(DropAnalityka[[#This Row],[Drop]]="Scroll", 2000*DropAnalityka[[#This Row],[Quality/Quantity]],0)</f>
        <v>0</v>
      </c>
      <c r="K1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0" spans="10:12">
      <c r="J1290">
        <f>DropAnalityka[[#This Row],[Sell Drop]]+IF(DropAnalityka[[#This Row],[Drop]]="Scroll", 2000*DropAnalityka[[#This Row],[Quality/Quantity]],0)</f>
        <v>0</v>
      </c>
      <c r="K1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1" spans="10:12">
      <c r="J1291">
        <f>DropAnalityka[[#This Row],[Sell Drop]]+IF(DropAnalityka[[#This Row],[Drop]]="Scroll", 2000*DropAnalityka[[#This Row],[Quality/Quantity]],0)</f>
        <v>0</v>
      </c>
      <c r="K1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2" spans="10:12">
      <c r="J1292">
        <f>DropAnalityka[[#This Row],[Sell Drop]]+IF(DropAnalityka[[#This Row],[Drop]]="Scroll", 2000*DropAnalityka[[#This Row],[Quality/Quantity]],0)</f>
        <v>0</v>
      </c>
      <c r="K1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3" spans="10:12">
      <c r="J1293">
        <f>DropAnalityka[[#This Row],[Sell Drop]]+IF(DropAnalityka[[#This Row],[Drop]]="Scroll", 2000*DropAnalityka[[#This Row],[Quality/Quantity]],0)</f>
        <v>0</v>
      </c>
      <c r="K1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4" spans="10:12">
      <c r="J1294">
        <f>DropAnalityka[[#This Row],[Sell Drop]]+IF(DropAnalityka[[#This Row],[Drop]]="Scroll", 2000*DropAnalityka[[#This Row],[Quality/Quantity]],0)</f>
        <v>0</v>
      </c>
      <c r="K1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5" spans="10:12">
      <c r="J1295">
        <f>DropAnalityka[[#This Row],[Sell Drop]]+IF(DropAnalityka[[#This Row],[Drop]]="Scroll", 2000*DropAnalityka[[#This Row],[Quality/Quantity]],0)</f>
        <v>0</v>
      </c>
      <c r="K1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6" spans="10:12">
      <c r="J1296">
        <f>DropAnalityka[[#This Row],[Sell Drop]]+IF(DropAnalityka[[#This Row],[Drop]]="Scroll", 2000*DropAnalityka[[#This Row],[Quality/Quantity]],0)</f>
        <v>0</v>
      </c>
      <c r="K1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7" spans="10:12">
      <c r="J1297">
        <f>DropAnalityka[[#This Row],[Sell Drop]]+IF(DropAnalityka[[#This Row],[Drop]]="Scroll", 2000*DropAnalityka[[#This Row],[Quality/Quantity]],0)</f>
        <v>0</v>
      </c>
      <c r="K1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8" spans="10:12">
      <c r="J1298">
        <f>DropAnalityka[[#This Row],[Sell Drop]]+IF(DropAnalityka[[#This Row],[Drop]]="Scroll", 2000*DropAnalityka[[#This Row],[Quality/Quantity]],0)</f>
        <v>0</v>
      </c>
      <c r="K1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299" spans="10:12">
      <c r="J1299">
        <f>DropAnalityka[[#This Row],[Sell Drop]]+IF(DropAnalityka[[#This Row],[Drop]]="Scroll", 2000*DropAnalityka[[#This Row],[Quality/Quantity]],0)</f>
        <v>0</v>
      </c>
      <c r="K1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0" spans="10:12">
      <c r="J1300">
        <f>DropAnalityka[[#This Row],[Sell Drop]]+IF(DropAnalityka[[#This Row],[Drop]]="Scroll", 2000*DropAnalityka[[#This Row],[Quality/Quantity]],0)</f>
        <v>0</v>
      </c>
      <c r="K1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1" spans="10:12">
      <c r="J1301">
        <f>DropAnalityka[[#This Row],[Sell Drop]]+IF(DropAnalityka[[#This Row],[Drop]]="Scroll", 2000*DropAnalityka[[#This Row],[Quality/Quantity]],0)</f>
        <v>0</v>
      </c>
      <c r="K1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2" spans="10:12">
      <c r="J1302">
        <f>DropAnalityka[[#This Row],[Sell Drop]]+IF(DropAnalityka[[#This Row],[Drop]]="Scroll", 2000*DropAnalityka[[#This Row],[Quality/Quantity]],0)</f>
        <v>0</v>
      </c>
      <c r="K1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3" spans="10:12">
      <c r="J1303">
        <f>DropAnalityka[[#This Row],[Sell Drop]]+IF(DropAnalityka[[#This Row],[Drop]]="Scroll", 2000*DropAnalityka[[#This Row],[Quality/Quantity]],0)</f>
        <v>0</v>
      </c>
      <c r="K1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4" spans="10:12">
      <c r="J1304">
        <f>DropAnalityka[[#This Row],[Sell Drop]]+IF(DropAnalityka[[#This Row],[Drop]]="Scroll", 2000*DropAnalityka[[#This Row],[Quality/Quantity]],0)</f>
        <v>0</v>
      </c>
      <c r="K1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5" spans="10:12">
      <c r="J1305">
        <f>DropAnalityka[[#This Row],[Sell Drop]]+IF(DropAnalityka[[#This Row],[Drop]]="Scroll", 2000*DropAnalityka[[#This Row],[Quality/Quantity]],0)</f>
        <v>0</v>
      </c>
      <c r="K1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6" spans="10:12">
      <c r="J1306">
        <f>DropAnalityka[[#This Row],[Sell Drop]]+IF(DropAnalityka[[#This Row],[Drop]]="Scroll", 2000*DropAnalityka[[#This Row],[Quality/Quantity]],0)</f>
        <v>0</v>
      </c>
      <c r="K1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7" spans="10:12">
      <c r="J1307">
        <f>DropAnalityka[[#This Row],[Sell Drop]]+IF(DropAnalityka[[#This Row],[Drop]]="Scroll", 2000*DropAnalityka[[#This Row],[Quality/Quantity]],0)</f>
        <v>0</v>
      </c>
      <c r="K1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8" spans="10:12">
      <c r="J1308">
        <f>DropAnalityka[[#This Row],[Sell Drop]]+IF(DropAnalityka[[#This Row],[Drop]]="Scroll", 2000*DropAnalityka[[#This Row],[Quality/Quantity]],0)</f>
        <v>0</v>
      </c>
      <c r="K1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09" spans="10:12">
      <c r="J1309">
        <f>DropAnalityka[[#This Row],[Sell Drop]]+IF(DropAnalityka[[#This Row],[Drop]]="Scroll", 2000*DropAnalityka[[#This Row],[Quality/Quantity]],0)</f>
        <v>0</v>
      </c>
      <c r="K1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0" spans="10:12">
      <c r="J1310">
        <f>DropAnalityka[[#This Row],[Sell Drop]]+IF(DropAnalityka[[#This Row],[Drop]]="Scroll", 2000*DropAnalityka[[#This Row],[Quality/Quantity]],0)</f>
        <v>0</v>
      </c>
      <c r="K1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1" spans="10:12">
      <c r="J1311">
        <f>DropAnalityka[[#This Row],[Sell Drop]]+IF(DropAnalityka[[#This Row],[Drop]]="Scroll", 2000*DropAnalityka[[#This Row],[Quality/Quantity]],0)</f>
        <v>0</v>
      </c>
      <c r="K1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2" spans="10:12">
      <c r="J1312">
        <f>DropAnalityka[[#This Row],[Sell Drop]]+IF(DropAnalityka[[#This Row],[Drop]]="Scroll", 2000*DropAnalityka[[#This Row],[Quality/Quantity]],0)</f>
        <v>0</v>
      </c>
      <c r="K1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3" spans="10:12">
      <c r="J1313">
        <f>DropAnalityka[[#This Row],[Sell Drop]]+IF(DropAnalityka[[#This Row],[Drop]]="Scroll", 2000*DropAnalityka[[#This Row],[Quality/Quantity]],0)</f>
        <v>0</v>
      </c>
      <c r="K1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4" spans="10:12">
      <c r="J1314">
        <f>DropAnalityka[[#This Row],[Sell Drop]]+IF(DropAnalityka[[#This Row],[Drop]]="Scroll", 2000*DropAnalityka[[#This Row],[Quality/Quantity]],0)</f>
        <v>0</v>
      </c>
      <c r="K1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5" spans="10:12">
      <c r="J1315">
        <f>DropAnalityka[[#This Row],[Sell Drop]]+IF(DropAnalityka[[#This Row],[Drop]]="Scroll", 2000*DropAnalityka[[#This Row],[Quality/Quantity]],0)</f>
        <v>0</v>
      </c>
      <c r="K1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6" spans="10:12">
      <c r="J1316">
        <f>DropAnalityka[[#This Row],[Sell Drop]]+IF(DropAnalityka[[#This Row],[Drop]]="Scroll", 2000*DropAnalityka[[#This Row],[Quality/Quantity]],0)</f>
        <v>0</v>
      </c>
      <c r="K1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7" spans="10:12">
      <c r="J1317">
        <f>DropAnalityka[[#This Row],[Sell Drop]]+IF(DropAnalityka[[#This Row],[Drop]]="Scroll", 2000*DropAnalityka[[#This Row],[Quality/Quantity]],0)</f>
        <v>0</v>
      </c>
      <c r="K1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8" spans="10:12">
      <c r="J1318">
        <f>DropAnalityka[[#This Row],[Sell Drop]]+IF(DropAnalityka[[#This Row],[Drop]]="Scroll", 2000*DropAnalityka[[#This Row],[Quality/Quantity]],0)</f>
        <v>0</v>
      </c>
      <c r="K1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19" spans="10:12">
      <c r="J1319">
        <f>DropAnalityka[[#This Row],[Sell Drop]]+IF(DropAnalityka[[#This Row],[Drop]]="Scroll", 2000*DropAnalityka[[#This Row],[Quality/Quantity]],0)</f>
        <v>0</v>
      </c>
      <c r="K1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0" spans="10:12">
      <c r="J1320">
        <f>DropAnalityka[[#This Row],[Sell Drop]]+IF(DropAnalityka[[#This Row],[Drop]]="Scroll", 2000*DropAnalityka[[#This Row],[Quality/Quantity]],0)</f>
        <v>0</v>
      </c>
      <c r="K1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1" spans="10:12">
      <c r="J1321">
        <f>DropAnalityka[[#This Row],[Sell Drop]]+IF(DropAnalityka[[#This Row],[Drop]]="Scroll", 2000*DropAnalityka[[#This Row],[Quality/Quantity]],0)</f>
        <v>0</v>
      </c>
      <c r="K1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2" spans="10:12">
      <c r="J1322">
        <f>DropAnalityka[[#This Row],[Sell Drop]]+IF(DropAnalityka[[#This Row],[Drop]]="Scroll", 2000*DropAnalityka[[#This Row],[Quality/Quantity]],0)</f>
        <v>0</v>
      </c>
      <c r="K1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3" spans="10:12">
      <c r="J1323">
        <f>DropAnalityka[[#This Row],[Sell Drop]]+IF(DropAnalityka[[#This Row],[Drop]]="Scroll", 2000*DropAnalityka[[#This Row],[Quality/Quantity]],0)</f>
        <v>0</v>
      </c>
      <c r="K1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4" spans="10:12">
      <c r="J1324">
        <f>DropAnalityka[[#This Row],[Sell Drop]]+IF(DropAnalityka[[#This Row],[Drop]]="Scroll", 2000*DropAnalityka[[#This Row],[Quality/Quantity]],0)</f>
        <v>0</v>
      </c>
      <c r="K1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5" spans="10:12">
      <c r="J1325">
        <f>DropAnalityka[[#This Row],[Sell Drop]]+IF(DropAnalityka[[#This Row],[Drop]]="Scroll", 2000*DropAnalityka[[#This Row],[Quality/Quantity]],0)</f>
        <v>0</v>
      </c>
      <c r="K1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6" spans="10:12">
      <c r="J1326">
        <f>DropAnalityka[[#This Row],[Sell Drop]]+IF(DropAnalityka[[#This Row],[Drop]]="Scroll", 2000*DropAnalityka[[#This Row],[Quality/Quantity]],0)</f>
        <v>0</v>
      </c>
      <c r="K1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7" spans="10:12">
      <c r="J1327">
        <f>DropAnalityka[[#This Row],[Sell Drop]]+IF(DropAnalityka[[#This Row],[Drop]]="Scroll", 2000*DropAnalityka[[#This Row],[Quality/Quantity]],0)</f>
        <v>0</v>
      </c>
      <c r="K1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8" spans="10:12">
      <c r="J1328">
        <f>DropAnalityka[[#This Row],[Sell Drop]]+IF(DropAnalityka[[#This Row],[Drop]]="Scroll", 2000*DropAnalityka[[#This Row],[Quality/Quantity]],0)</f>
        <v>0</v>
      </c>
      <c r="K1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29" spans="10:12">
      <c r="J1329">
        <f>DropAnalityka[[#This Row],[Sell Drop]]+IF(DropAnalityka[[#This Row],[Drop]]="Scroll", 2000*DropAnalityka[[#This Row],[Quality/Quantity]],0)</f>
        <v>0</v>
      </c>
      <c r="K1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0" spans="10:12">
      <c r="J1330">
        <f>DropAnalityka[[#This Row],[Sell Drop]]+IF(DropAnalityka[[#This Row],[Drop]]="Scroll", 2000*DropAnalityka[[#This Row],[Quality/Quantity]],0)</f>
        <v>0</v>
      </c>
      <c r="K1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1" spans="10:12">
      <c r="J1331">
        <f>DropAnalityka[[#This Row],[Sell Drop]]+IF(DropAnalityka[[#This Row],[Drop]]="Scroll", 2000*DropAnalityka[[#This Row],[Quality/Quantity]],0)</f>
        <v>0</v>
      </c>
      <c r="K1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2" spans="10:12">
      <c r="J1332">
        <f>DropAnalityka[[#This Row],[Sell Drop]]+IF(DropAnalityka[[#This Row],[Drop]]="Scroll", 2000*DropAnalityka[[#This Row],[Quality/Quantity]],0)</f>
        <v>0</v>
      </c>
      <c r="K1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3" spans="10:12">
      <c r="J1333">
        <f>DropAnalityka[[#This Row],[Sell Drop]]+IF(DropAnalityka[[#This Row],[Drop]]="Scroll", 2000*DropAnalityka[[#This Row],[Quality/Quantity]],0)</f>
        <v>0</v>
      </c>
      <c r="K1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4" spans="10:12">
      <c r="J1334">
        <f>DropAnalityka[[#This Row],[Sell Drop]]+IF(DropAnalityka[[#This Row],[Drop]]="Scroll", 2000*DropAnalityka[[#This Row],[Quality/Quantity]],0)</f>
        <v>0</v>
      </c>
      <c r="K1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5" spans="10:12">
      <c r="J1335">
        <f>DropAnalityka[[#This Row],[Sell Drop]]+IF(DropAnalityka[[#This Row],[Drop]]="Scroll", 2000*DropAnalityka[[#This Row],[Quality/Quantity]],0)</f>
        <v>0</v>
      </c>
      <c r="K1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6" spans="10:12">
      <c r="J1336">
        <f>DropAnalityka[[#This Row],[Sell Drop]]+IF(DropAnalityka[[#This Row],[Drop]]="Scroll", 2000*DropAnalityka[[#This Row],[Quality/Quantity]],0)</f>
        <v>0</v>
      </c>
      <c r="K1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7" spans="10:12">
      <c r="J1337">
        <f>DropAnalityka[[#This Row],[Sell Drop]]+IF(DropAnalityka[[#This Row],[Drop]]="Scroll", 2000*DropAnalityka[[#This Row],[Quality/Quantity]],0)</f>
        <v>0</v>
      </c>
      <c r="K1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8" spans="10:12">
      <c r="J1338">
        <f>DropAnalityka[[#This Row],[Sell Drop]]+IF(DropAnalityka[[#This Row],[Drop]]="Scroll", 2000*DropAnalityka[[#This Row],[Quality/Quantity]],0)</f>
        <v>0</v>
      </c>
      <c r="K1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39" spans="10:12">
      <c r="J1339">
        <f>DropAnalityka[[#This Row],[Sell Drop]]+IF(DropAnalityka[[#This Row],[Drop]]="Scroll", 2000*DropAnalityka[[#This Row],[Quality/Quantity]],0)</f>
        <v>0</v>
      </c>
      <c r="K1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0" spans="10:12">
      <c r="J1340">
        <f>DropAnalityka[[#This Row],[Sell Drop]]+IF(DropAnalityka[[#This Row],[Drop]]="Scroll", 2000*DropAnalityka[[#This Row],[Quality/Quantity]],0)</f>
        <v>0</v>
      </c>
      <c r="K1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1" spans="10:12">
      <c r="J1341">
        <f>DropAnalityka[[#This Row],[Sell Drop]]+IF(DropAnalityka[[#This Row],[Drop]]="Scroll", 2000*DropAnalityka[[#This Row],[Quality/Quantity]],0)</f>
        <v>0</v>
      </c>
      <c r="K1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2" spans="10:12">
      <c r="J1342">
        <f>DropAnalityka[[#This Row],[Sell Drop]]+IF(DropAnalityka[[#This Row],[Drop]]="Scroll", 2000*DropAnalityka[[#This Row],[Quality/Quantity]],0)</f>
        <v>0</v>
      </c>
      <c r="K1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3" spans="10:12">
      <c r="J1343">
        <f>DropAnalityka[[#This Row],[Sell Drop]]+IF(DropAnalityka[[#This Row],[Drop]]="Scroll", 2000*DropAnalityka[[#This Row],[Quality/Quantity]],0)</f>
        <v>0</v>
      </c>
      <c r="K1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4" spans="10:12">
      <c r="J1344">
        <f>DropAnalityka[[#This Row],[Sell Drop]]+IF(DropAnalityka[[#This Row],[Drop]]="Scroll", 2000*DropAnalityka[[#This Row],[Quality/Quantity]],0)</f>
        <v>0</v>
      </c>
      <c r="K1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5" spans="10:12">
      <c r="J1345">
        <f>DropAnalityka[[#This Row],[Sell Drop]]+IF(DropAnalityka[[#This Row],[Drop]]="Scroll", 2000*DropAnalityka[[#This Row],[Quality/Quantity]],0)</f>
        <v>0</v>
      </c>
      <c r="K1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6" spans="10:12">
      <c r="J1346">
        <f>DropAnalityka[[#This Row],[Sell Drop]]+IF(DropAnalityka[[#This Row],[Drop]]="Scroll", 2000*DropAnalityka[[#This Row],[Quality/Quantity]],0)</f>
        <v>0</v>
      </c>
      <c r="K1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7" spans="10:12">
      <c r="J1347">
        <f>DropAnalityka[[#This Row],[Sell Drop]]+IF(DropAnalityka[[#This Row],[Drop]]="Scroll", 2000*DropAnalityka[[#This Row],[Quality/Quantity]],0)</f>
        <v>0</v>
      </c>
      <c r="K1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8" spans="10:12">
      <c r="J1348">
        <f>DropAnalityka[[#This Row],[Sell Drop]]+IF(DropAnalityka[[#This Row],[Drop]]="Scroll", 2000*DropAnalityka[[#This Row],[Quality/Quantity]],0)</f>
        <v>0</v>
      </c>
      <c r="K1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49" spans="10:12">
      <c r="J1349">
        <f>DropAnalityka[[#This Row],[Sell Drop]]+IF(DropAnalityka[[#This Row],[Drop]]="Scroll", 2000*DropAnalityka[[#This Row],[Quality/Quantity]],0)</f>
        <v>0</v>
      </c>
      <c r="K1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0" spans="10:12">
      <c r="J1350">
        <f>DropAnalityka[[#This Row],[Sell Drop]]+IF(DropAnalityka[[#This Row],[Drop]]="Scroll", 2000*DropAnalityka[[#This Row],[Quality/Quantity]],0)</f>
        <v>0</v>
      </c>
      <c r="K1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1" spans="10:12">
      <c r="J1351">
        <f>DropAnalityka[[#This Row],[Sell Drop]]+IF(DropAnalityka[[#This Row],[Drop]]="Scroll", 2000*DropAnalityka[[#This Row],[Quality/Quantity]],0)</f>
        <v>0</v>
      </c>
      <c r="K1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2" spans="10:12">
      <c r="J1352">
        <f>DropAnalityka[[#This Row],[Sell Drop]]+IF(DropAnalityka[[#This Row],[Drop]]="Scroll", 2000*DropAnalityka[[#This Row],[Quality/Quantity]],0)</f>
        <v>0</v>
      </c>
      <c r="K1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3" spans="10:12">
      <c r="J1353">
        <f>DropAnalityka[[#This Row],[Sell Drop]]+IF(DropAnalityka[[#This Row],[Drop]]="Scroll", 2000*DropAnalityka[[#This Row],[Quality/Quantity]],0)</f>
        <v>0</v>
      </c>
      <c r="K1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4" spans="10:12">
      <c r="J1354">
        <f>DropAnalityka[[#This Row],[Sell Drop]]+IF(DropAnalityka[[#This Row],[Drop]]="Scroll", 2000*DropAnalityka[[#This Row],[Quality/Quantity]],0)</f>
        <v>0</v>
      </c>
      <c r="K1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5" spans="10:12">
      <c r="J1355">
        <f>DropAnalityka[[#This Row],[Sell Drop]]+IF(DropAnalityka[[#This Row],[Drop]]="Scroll", 2000*DropAnalityka[[#This Row],[Quality/Quantity]],0)</f>
        <v>0</v>
      </c>
      <c r="K1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6" spans="10:12">
      <c r="J1356">
        <f>DropAnalityka[[#This Row],[Sell Drop]]+IF(DropAnalityka[[#This Row],[Drop]]="Scroll", 2000*DropAnalityka[[#This Row],[Quality/Quantity]],0)</f>
        <v>0</v>
      </c>
      <c r="K1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7" spans="10:12">
      <c r="J1357">
        <f>DropAnalityka[[#This Row],[Sell Drop]]+IF(DropAnalityka[[#This Row],[Drop]]="Scroll", 2000*DropAnalityka[[#This Row],[Quality/Quantity]],0)</f>
        <v>0</v>
      </c>
      <c r="K1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8" spans="10:12">
      <c r="J1358">
        <f>DropAnalityka[[#This Row],[Sell Drop]]+IF(DropAnalityka[[#This Row],[Drop]]="Scroll", 2000*DropAnalityka[[#This Row],[Quality/Quantity]],0)</f>
        <v>0</v>
      </c>
      <c r="K1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59" spans="10:12">
      <c r="J1359">
        <f>DropAnalityka[[#This Row],[Sell Drop]]+IF(DropAnalityka[[#This Row],[Drop]]="Scroll", 2000*DropAnalityka[[#This Row],[Quality/Quantity]],0)</f>
        <v>0</v>
      </c>
      <c r="K1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0" spans="10:12">
      <c r="J1360">
        <f>DropAnalityka[[#This Row],[Sell Drop]]+IF(DropAnalityka[[#This Row],[Drop]]="Scroll", 2000*DropAnalityka[[#This Row],[Quality/Quantity]],0)</f>
        <v>0</v>
      </c>
      <c r="K1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1" spans="10:12">
      <c r="J1361">
        <f>DropAnalityka[[#This Row],[Sell Drop]]+IF(DropAnalityka[[#This Row],[Drop]]="Scroll", 2000*DropAnalityka[[#This Row],[Quality/Quantity]],0)</f>
        <v>0</v>
      </c>
      <c r="K1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2" spans="10:12">
      <c r="J1362">
        <f>DropAnalityka[[#This Row],[Sell Drop]]+IF(DropAnalityka[[#This Row],[Drop]]="Scroll", 2000*DropAnalityka[[#This Row],[Quality/Quantity]],0)</f>
        <v>0</v>
      </c>
      <c r="K1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3" spans="10:12">
      <c r="J1363">
        <f>DropAnalityka[[#This Row],[Sell Drop]]+IF(DropAnalityka[[#This Row],[Drop]]="Scroll", 2000*DropAnalityka[[#This Row],[Quality/Quantity]],0)</f>
        <v>0</v>
      </c>
      <c r="K1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4" spans="10:12">
      <c r="J1364">
        <f>DropAnalityka[[#This Row],[Sell Drop]]+IF(DropAnalityka[[#This Row],[Drop]]="Scroll", 2000*DropAnalityka[[#This Row],[Quality/Quantity]],0)</f>
        <v>0</v>
      </c>
      <c r="K1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5" spans="10:12">
      <c r="J1365">
        <f>DropAnalityka[[#This Row],[Sell Drop]]+IF(DropAnalityka[[#This Row],[Drop]]="Scroll", 2000*DropAnalityka[[#This Row],[Quality/Quantity]],0)</f>
        <v>0</v>
      </c>
      <c r="K1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6" spans="10:12">
      <c r="J1366">
        <f>DropAnalityka[[#This Row],[Sell Drop]]+IF(DropAnalityka[[#This Row],[Drop]]="Scroll", 2000*DropAnalityka[[#This Row],[Quality/Quantity]],0)</f>
        <v>0</v>
      </c>
      <c r="K1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7" spans="10:12">
      <c r="J1367">
        <f>DropAnalityka[[#This Row],[Sell Drop]]+IF(DropAnalityka[[#This Row],[Drop]]="Scroll", 2000*DropAnalityka[[#This Row],[Quality/Quantity]],0)</f>
        <v>0</v>
      </c>
      <c r="K1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8" spans="10:12">
      <c r="J1368">
        <f>DropAnalityka[[#This Row],[Sell Drop]]+IF(DropAnalityka[[#This Row],[Drop]]="Scroll", 2000*DropAnalityka[[#This Row],[Quality/Quantity]],0)</f>
        <v>0</v>
      </c>
      <c r="K1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69" spans="10:12">
      <c r="J1369">
        <f>DropAnalityka[[#This Row],[Sell Drop]]+IF(DropAnalityka[[#This Row],[Drop]]="Scroll", 2000*DropAnalityka[[#This Row],[Quality/Quantity]],0)</f>
        <v>0</v>
      </c>
      <c r="K1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0" spans="10:12">
      <c r="J1370">
        <f>DropAnalityka[[#This Row],[Sell Drop]]+IF(DropAnalityka[[#This Row],[Drop]]="Scroll", 2000*DropAnalityka[[#This Row],[Quality/Quantity]],0)</f>
        <v>0</v>
      </c>
      <c r="K1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1" spans="10:12">
      <c r="J1371">
        <f>DropAnalityka[[#This Row],[Sell Drop]]+IF(DropAnalityka[[#This Row],[Drop]]="Scroll", 2000*DropAnalityka[[#This Row],[Quality/Quantity]],0)</f>
        <v>0</v>
      </c>
      <c r="K1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2" spans="10:12">
      <c r="J1372">
        <f>DropAnalityka[[#This Row],[Sell Drop]]+IF(DropAnalityka[[#This Row],[Drop]]="Scroll", 2000*DropAnalityka[[#This Row],[Quality/Quantity]],0)</f>
        <v>0</v>
      </c>
      <c r="K1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3" spans="10:12">
      <c r="J1373">
        <f>DropAnalityka[[#This Row],[Sell Drop]]+IF(DropAnalityka[[#This Row],[Drop]]="Scroll", 2000*DropAnalityka[[#This Row],[Quality/Quantity]],0)</f>
        <v>0</v>
      </c>
      <c r="K1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4" spans="10:12">
      <c r="J1374">
        <f>DropAnalityka[[#This Row],[Sell Drop]]+IF(DropAnalityka[[#This Row],[Drop]]="Scroll", 2000*DropAnalityka[[#This Row],[Quality/Quantity]],0)</f>
        <v>0</v>
      </c>
      <c r="K1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5" spans="10:12">
      <c r="J1375">
        <f>DropAnalityka[[#This Row],[Sell Drop]]+IF(DropAnalityka[[#This Row],[Drop]]="Scroll", 2000*DropAnalityka[[#This Row],[Quality/Quantity]],0)</f>
        <v>0</v>
      </c>
      <c r="K1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6" spans="10:12">
      <c r="J1376">
        <f>DropAnalityka[[#This Row],[Sell Drop]]+IF(DropAnalityka[[#This Row],[Drop]]="Scroll", 2000*DropAnalityka[[#This Row],[Quality/Quantity]],0)</f>
        <v>0</v>
      </c>
      <c r="K1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7" spans="10:12">
      <c r="J1377">
        <f>DropAnalityka[[#This Row],[Sell Drop]]+IF(DropAnalityka[[#This Row],[Drop]]="Scroll", 2000*DropAnalityka[[#This Row],[Quality/Quantity]],0)</f>
        <v>0</v>
      </c>
      <c r="K1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8" spans="10:12">
      <c r="J1378">
        <f>DropAnalityka[[#This Row],[Sell Drop]]+IF(DropAnalityka[[#This Row],[Drop]]="Scroll", 2000*DropAnalityka[[#This Row],[Quality/Quantity]],0)</f>
        <v>0</v>
      </c>
      <c r="K1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79" spans="10:12">
      <c r="J1379">
        <f>DropAnalityka[[#This Row],[Sell Drop]]+IF(DropAnalityka[[#This Row],[Drop]]="Scroll", 2000*DropAnalityka[[#This Row],[Quality/Quantity]],0)</f>
        <v>0</v>
      </c>
      <c r="K1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0" spans="10:12">
      <c r="J1380">
        <f>DropAnalityka[[#This Row],[Sell Drop]]+IF(DropAnalityka[[#This Row],[Drop]]="Scroll", 2000*DropAnalityka[[#This Row],[Quality/Quantity]],0)</f>
        <v>0</v>
      </c>
      <c r="K1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1" spans="10:12">
      <c r="J1381">
        <f>DropAnalityka[[#This Row],[Sell Drop]]+IF(DropAnalityka[[#This Row],[Drop]]="Scroll", 2000*DropAnalityka[[#This Row],[Quality/Quantity]],0)</f>
        <v>0</v>
      </c>
      <c r="K1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2" spans="10:12">
      <c r="J1382">
        <f>DropAnalityka[[#This Row],[Sell Drop]]+IF(DropAnalityka[[#This Row],[Drop]]="Scroll", 2000*DropAnalityka[[#This Row],[Quality/Quantity]],0)</f>
        <v>0</v>
      </c>
      <c r="K1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3" spans="10:12">
      <c r="J1383">
        <f>DropAnalityka[[#This Row],[Sell Drop]]+IF(DropAnalityka[[#This Row],[Drop]]="Scroll", 2000*DropAnalityka[[#This Row],[Quality/Quantity]],0)</f>
        <v>0</v>
      </c>
      <c r="K1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4" spans="10:12">
      <c r="J1384">
        <f>DropAnalityka[[#This Row],[Sell Drop]]+IF(DropAnalityka[[#This Row],[Drop]]="Scroll", 2000*DropAnalityka[[#This Row],[Quality/Quantity]],0)</f>
        <v>0</v>
      </c>
      <c r="K1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5" spans="10:12">
      <c r="J1385">
        <f>DropAnalityka[[#This Row],[Sell Drop]]+IF(DropAnalityka[[#This Row],[Drop]]="Scroll", 2000*DropAnalityka[[#This Row],[Quality/Quantity]],0)</f>
        <v>0</v>
      </c>
      <c r="K1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6" spans="10:12">
      <c r="J1386">
        <f>DropAnalityka[[#This Row],[Sell Drop]]+IF(DropAnalityka[[#This Row],[Drop]]="Scroll", 2000*DropAnalityka[[#This Row],[Quality/Quantity]],0)</f>
        <v>0</v>
      </c>
      <c r="K1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7" spans="10:12">
      <c r="J1387">
        <f>DropAnalityka[[#This Row],[Sell Drop]]+IF(DropAnalityka[[#This Row],[Drop]]="Scroll", 2000*DropAnalityka[[#This Row],[Quality/Quantity]],0)</f>
        <v>0</v>
      </c>
      <c r="K1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8" spans="10:12">
      <c r="J1388">
        <f>DropAnalityka[[#This Row],[Sell Drop]]+IF(DropAnalityka[[#This Row],[Drop]]="Scroll", 2000*DropAnalityka[[#This Row],[Quality/Quantity]],0)</f>
        <v>0</v>
      </c>
      <c r="K1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89" spans="10:12">
      <c r="J1389">
        <f>DropAnalityka[[#This Row],[Sell Drop]]+IF(DropAnalityka[[#This Row],[Drop]]="Scroll", 2000*DropAnalityka[[#This Row],[Quality/Quantity]],0)</f>
        <v>0</v>
      </c>
      <c r="K1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0" spans="10:12">
      <c r="J1390">
        <f>DropAnalityka[[#This Row],[Sell Drop]]+IF(DropAnalityka[[#This Row],[Drop]]="Scroll", 2000*DropAnalityka[[#This Row],[Quality/Quantity]],0)</f>
        <v>0</v>
      </c>
      <c r="K1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1" spans="10:12">
      <c r="J1391">
        <f>DropAnalityka[[#This Row],[Sell Drop]]+IF(DropAnalityka[[#This Row],[Drop]]="Scroll", 2000*DropAnalityka[[#This Row],[Quality/Quantity]],0)</f>
        <v>0</v>
      </c>
      <c r="K1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2" spans="10:12">
      <c r="J1392">
        <f>DropAnalityka[[#This Row],[Sell Drop]]+IF(DropAnalityka[[#This Row],[Drop]]="Scroll", 2000*DropAnalityka[[#This Row],[Quality/Quantity]],0)</f>
        <v>0</v>
      </c>
      <c r="K1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3" spans="10:12">
      <c r="J1393">
        <f>DropAnalityka[[#This Row],[Sell Drop]]+IF(DropAnalityka[[#This Row],[Drop]]="Scroll", 2000*DropAnalityka[[#This Row],[Quality/Quantity]],0)</f>
        <v>0</v>
      </c>
      <c r="K1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4" spans="10:12">
      <c r="J1394">
        <f>DropAnalityka[[#This Row],[Sell Drop]]+IF(DropAnalityka[[#This Row],[Drop]]="Scroll", 2000*DropAnalityka[[#This Row],[Quality/Quantity]],0)</f>
        <v>0</v>
      </c>
      <c r="K1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5" spans="10:12">
      <c r="J1395">
        <f>DropAnalityka[[#This Row],[Sell Drop]]+IF(DropAnalityka[[#This Row],[Drop]]="Scroll", 2000*DropAnalityka[[#This Row],[Quality/Quantity]],0)</f>
        <v>0</v>
      </c>
      <c r="K1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6" spans="10:12">
      <c r="J1396">
        <f>DropAnalityka[[#This Row],[Sell Drop]]+IF(DropAnalityka[[#This Row],[Drop]]="Scroll", 2000*DropAnalityka[[#This Row],[Quality/Quantity]],0)</f>
        <v>0</v>
      </c>
      <c r="K1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7" spans="10:12">
      <c r="J1397">
        <f>DropAnalityka[[#This Row],[Sell Drop]]+IF(DropAnalityka[[#This Row],[Drop]]="Scroll", 2000*DropAnalityka[[#This Row],[Quality/Quantity]],0)</f>
        <v>0</v>
      </c>
      <c r="K1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8" spans="10:12">
      <c r="J1398">
        <f>DropAnalityka[[#This Row],[Sell Drop]]+IF(DropAnalityka[[#This Row],[Drop]]="Scroll", 2000*DropAnalityka[[#This Row],[Quality/Quantity]],0)</f>
        <v>0</v>
      </c>
      <c r="K1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399" spans="10:12">
      <c r="J1399">
        <f>DropAnalityka[[#This Row],[Sell Drop]]+IF(DropAnalityka[[#This Row],[Drop]]="Scroll", 2000*DropAnalityka[[#This Row],[Quality/Quantity]],0)</f>
        <v>0</v>
      </c>
      <c r="K1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0" spans="10:12">
      <c r="J1400">
        <f>DropAnalityka[[#This Row],[Sell Drop]]+IF(DropAnalityka[[#This Row],[Drop]]="Scroll", 2000*DropAnalityka[[#This Row],[Quality/Quantity]],0)</f>
        <v>0</v>
      </c>
      <c r="K1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1" spans="10:12">
      <c r="J1401">
        <f>DropAnalityka[[#This Row],[Sell Drop]]+IF(DropAnalityka[[#This Row],[Drop]]="Scroll", 2000*DropAnalityka[[#This Row],[Quality/Quantity]],0)</f>
        <v>0</v>
      </c>
      <c r="K1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2" spans="10:12">
      <c r="J1402">
        <f>DropAnalityka[[#This Row],[Sell Drop]]+IF(DropAnalityka[[#This Row],[Drop]]="Scroll", 2000*DropAnalityka[[#This Row],[Quality/Quantity]],0)</f>
        <v>0</v>
      </c>
      <c r="K1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3" spans="10:12">
      <c r="J1403">
        <f>DropAnalityka[[#This Row],[Sell Drop]]+IF(DropAnalityka[[#This Row],[Drop]]="Scroll", 2000*DropAnalityka[[#This Row],[Quality/Quantity]],0)</f>
        <v>0</v>
      </c>
      <c r="K1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4" spans="10:12">
      <c r="J1404">
        <f>DropAnalityka[[#This Row],[Sell Drop]]+IF(DropAnalityka[[#This Row],[Drop]]="Scroll", 2000*DropAnalityka[[#This Row],[Quality/Quantity]],0)</f>
        <v>0</v>
      </c>
      <c r="K1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5" spans="10:12">
      <c r="J1405">
        <f>DropAnalityka[[#This Row],[Sell Drop]]+IF(DropAnalityka[[#This Row],[Drop]]="Scroll", 2000*DropAnalityka[[#This Row],[Quality/Quantity]],0)</f>
        <v>0</v>
      </c>
      <c r="K1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6" spans="10:12">
      <c r="J1406">
        <f>DropAnalityka[[#This Row],[Sell Drop]]+IF(DropAnalityka[[#This Row],[Drop]]="Scroll", 2000*DropAnalityka[[#This Row],[Quality/Quantity]],0)</f>
        <v>0</v>
      </c>
      <c r="K1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7" spans="10:12">
      <c r="J1407">
        <f>DropAnalityka[[#This Row],[Sell Drop]]+IF(DropAnalityka[[#This Row],[Drop]]="Scroll", 2000*DropAnalityka[[#This Row],[Quality/Quantity]],0)</f>
        <v>0</v>
      </c>
      <c r="K1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8" spans="10:12">
      <c r="J1408">
        <f>DropAnalityka[[#This Row],[Sell Drop]]+IF(DropAnalityka[[#This Row],[Drop]]="Scroll", 2000*DropAnalityka[[#This Row],[Quality/Quantity]],0)</f>
        <v>0</v>
      </c>
      <c r="K1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09" spans="10:12">
      <c r="J1409">
        <f>DropAnalityka[[#This Row],[Sell Drop]]+IF(DropAnalityka[[#This Row],[Drop]]="Scroll", 2000*DropAnalityka[[#This Row],[Quality/Quantity]],0)</f>
        <v>0</v>
      </c>
      <c r="K1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0" spans="10:12">
      <c r="J1410">
        <f>DropAnalityka[[#This Row],[Sell Drop]]+IF(DropAnalityka[[#This Row],[Drop]]="Scroll", 2000*DropAnalityka[[#This Row],[Quality/Quantity]],0)</f>
        <v>0</v>
      </c>
      <c r="K1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1" spans="10:12">
      <c r="J1411">
        <f>DropAnalityka[[#This Row],[Sell Drop]]+IF(DropAnalityka[[#This Row],[Drop]]="Scroll", 2000*DropAnalityka[[#This Row],[Quality/Quantity]],0)</f>
        <v>0</v>
      </c>
      <c r="K1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2" spans="10:12">
      <c r="J1412">
        <f>DropAnalityka[[#This Row],[Sell Drop]]+IF(DropAnalityka[[#This Row],[Drop]]="Scroll", 2000*DropAnalityka[[#This Row],[Quality/Quantity]],0)</f>
        <v>0</v>
      </c>
      <c r="K1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3" spans="10:12">
      <c r="J1413">
        <f>DropAnalityka[[#This Row],[Sell Drop]]+IF(DropAnalityka[[#This Row],[Drop]]="Scroll", 2000*DropAnalityka[[#This Row],[Quality/Quantity]],0)</f>
        <v>0</v>
      </c>
      <c r="K1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4" spans="10:12">
      <c r="J1414">
        <f>DropAnalityka[[#This Row],[Sell Drop]]+IF(DropAnalityka[[#This Row],[Drop]]="Scroll", 2000*DropAnalityka[[#This Row],[Quality/Quantity]],0)</f>
        <v>0</v>
      </c>
      <c r="K1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5" spans="10:12">
      <c r="J1415">
        <f>DropAnalityka[[#This Row],[Sell Drop]]+IF(DropAnalityka[[#This Row],[Drop]]="Scroll", 2000*DropAnalityka[[#This Row],[Quality/Quantity]],0)</f>
        <v>0</v>
      </c>
      <c r="K1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6" spans="10:12">
      <c r="J1416">
        <f>DropAnalityka[[#This Row],[Sell Drop]]+IF(DropAnalityka[[#This Row],[Drop]]="Scroll", 2000*DropAnalityka[[#This Row],[Quality/Quantity]],0)</f>
        <v>0</v>
      </c>
      <c r="K1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7" spans="10:12">
      <c r="J1417">
        <f>DropAnalityka[[#This Row],[Sell Drop]]+IF(DropAnalityka[[#This Row],[Drop]]="Scroll", 2000*DropAnalityka[[#This Row],[Quality/Quantity]],0)</f>
        <v>0</v>
      </c>
      <c r="K1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8" spans="10:12">
      <c r="J1418">
        <f>DropAnalityka[[#This Row],[Sell Drop]]+IF(DropAnalityka[[#This Row],[Drop]]="Scroll", 2000*DropAnalityka[[#This Row],[Quality/Quantity]],0)</f>
        <v>0</v>
      </c>
      <c r="K1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19" spans="10:12">
      <c r="J1419">
        <f>DropAnalityka[[#This Row],[Sell Drop]]+IF(DropAnalityka[[#This Row],[Drop]]="Scroll", 2000*DropAnalityka[[#This Row],[Quality/Quantity]],0)</f>
        <v>0</v>
      </c>
      <c r="K1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0" spans="10:12">
      <c r="J1420">
        <f>DropAnalityka[[#This Row],[Sell Drop]]+IF(DropAnalityka[[#This Row],[Drop]]="Scroll", 2000*DropAnalityka[[#This Row],[Quality/Quantity]],0)</f>
        <v>0</v>
      </c>
      <c r="K1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1" spans="10:12">
      <c r="J1421">
        <f>DropAnalityka[[#This Row],[Sell Drop]]+IF(DropAnalityka[[#This Row],[Drop]]="Scroll", 2000*DropAnalityka[[#This Row],[Quality/Quantity]],0)</f>
        <v>0</v>
      </c>
      <c r="K1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2" spans="10:12">
      <c r="J1422">
        <f>DropAnalityka[[#This Row],[Sell Drop]]+IF(DropAnalityka[[#This Row],[Drop]]="Scroll", 2000*DropAnalityka[[#This Row],[Quality/Quantity]],0)</f>
        <v>0</v>
      </c>
      <c r="K1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3" spans="10:12">
      <c r="J1423">
        <f>DropAnalityka[[#This Row],[Sell Drop]]+IF(DropAnalityka[[#This Row],[Drop]]="Scroll", 2000*DropAnalityka[[#This Row],[Quality/Quantity]],0)</f>
        <v>0</v>
      </c>
      <c r="K1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4" spans="10:12">
      <c r="J1424">
        <f>DropAnalityka[[#This Row],[Sell Drop]]+IF(DropAnalityka[[#This Row],[Drop]]="Scroll", 2000*DropAnalityka[[#This Row],[Quality/Quantity]],0)</f>
        <v>0</v>
      </c>
      <c r="K1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5" spans="10:12">
      <c r="J1425">
        <f>DropAnalityka[[#This Row],[Sell Drop]]+IF(DropAnalityka[[#This Row],[Drop]]="Scroll", 2000*DropAnalityka[[#This Row],[Quality/Quantity]],0)</f>
        <v>0</v>
      </c>
      <c r="K1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6" spans="10:12">
      <c r="J1426">
        <f>DropAnalityka[[#This Row],[Sell Drop]]+IF(DropAnalityka[[#This Row],[Drop]]="Scroll", 2000*DropAnalityka[[#This Row],[Quality/Quantity]],0)</f>
        <v>0</v>
      </c>
      <c r="K1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7" spans="10:12">
      <c r="J1427">
        <f>DropAnalityka[[#This Row],[Sell Drop]]+IF(DropAnalityka[[#This Row],[Drop]]="Scroll", 2000*DropAnalityka[[#This Row],[Quality/Quantity]],0)</f>
        <v>0</v>
      </c>
      <c r="K1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8" spans="10:12">
      <c r="J1428">
        <f>DropAnalityka[[#This Row],[Sell Drop]]+IF(DropAnalityka[[#This Row],[Drop]]="Scroll", 2000*DropAnalityka[[#This Row],[Quality/Quantity]],0)</f>
        <v>0</v>
      </c>
      <c r="K1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29" spans="10:12">
      <c r="J1429">
        <f>DropAnalityka[[#This Row],[Sell Drop]]+IF(DropAnalityka[[#This Row],[Drop]]="Scroll", 2000*DropAnalityka[[#This Row],[Quality/Quantity]],0)</f>
        <v>0</v>
      </c>
      <c r="K1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0" spans="10:12">
      <c r="J1430">
        <f>DropAnalityka[[#This Row],[Sell Drop]]+IF(DropAnalityka[[#This Row],[Drop]]="Scroll", 2000*DropAnalityka[[#This Row],[Quality/Quantity]],0)</f>
        <v>0</v>
      </c>
      <c r="K1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1" spans="10:12">
      <c r="J1431">
        <f>DropAnalityka[[#This Row],[Sell Drop]]+IF(DropAnalityka[[#This Row],[Drop]]="Scroll", 2000*DropAnalityka[[#This Row],[Quality/Quantity]],0)</f>
        <v>0</v>
      </c>
      <c r="K1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2" spans="10:12">
      <c r="J1432">
        <f>DropAnalityka[[#This Row],[Sell Drop]]+IF(DropAnalityka[[#This Row],[Drop]]="Scroll", 2000*DropAnalityka[[#This Row],[Quality/Quantity]],0)</f>
        <v>0</v>
      </c>
      <c r="K1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3" spans="10:12">
      <c r="J1433">
        <f>DropAnalityka[[#This Row],[Sell Drop]]+IF(DropAnalityka[[#This Row],[Drop]]="Scroll", 2000*DropAnalityka[[#This Row],[Quality/Quantity]],0)</f>
        <v>0</v>
      </c>
      <c r="K1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4" spans="10:12">
      <c r="J1434">
        <f>DropAnalityka[[#This Row],[Sell Drop]]+IF(DropAnalityka[[#This Row],[Drop]]="Scroll", 2000*DropAnalityka[[#This Row],[Quality/Quantity]],0)</f>
        <v>0</v>
      </c>
      <c r="K1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5" spans="10:12">
      <c r="J1435">
        <f>DropAnalityka[[#This Row],[Sell Drop]]+IF(DropAnalityka[[#This Row],[Drop]]="Scroll", 2000*DropAnalityka[[#This Row],[Quality/Quantity]],0)</f>
        <v>0</v>
      </c>
      <c r="K1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6" spans="10:12">
      <c r="J1436">
        <f>DropAnalityka[[#This Row],[Sell Drop]]+IF(DropAnalityka[[#This Row],[Drop]]="Scroll", 2000*DropAnalityka[[#This Row],[Quality/Quantity]],0)</f>
        <v>0</v>
      </c>
      <c r="K1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7" spans="10:12">
      <c r="J1437">
        <f>DropAnalityka[[#This Row],[Sell Drop]]+IF(DropAnalityka[[#This Row],[Drop]]="Scroll", 2000*DropAnalityka[[#This Row],[Quality/Quantity]],0)</f>
        <v>0</v>
      </c>
      <c r="K1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8" spans="10:12">
      <c r="J1438">
        <f>DropAnalityka[[#This Row],[Sell Drop]]+IF(DropAnalityka[[#This Row],[Drop]]="Scroll", 2000*DropAnalityka[[#This Row],[Quality/Quantity]],0)</f>
        <v>0</v>
      </c>
      <c r="K1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39" spans="10:12">
      <c r="J1439">
        <f>DropAnalityka[[#This Row],[Sell Drop]]+IF(DropAnalityka[[#This Row],[Drop]]="Scroll", 2000*DropAnalityka[[#This Row],[Quality/Quantity]],0)</f>
        <v>0</v>
      </c>
      <c r="K1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0" spans="10:12">
      <c r="J1440">
        <f>DropAnalityka[[#This Row],[Sell Drop]]+IF(DropAnalityka[[#This Row],[Drop]]="Scroll", 2000*DropAnalityka[[#This Row],[Quality/Quantity]],0)</f>
        <v>0</v>
      </c>
      <c r="K1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1" spans="10:12">
      <c r="J1441">
        <f>DropAnalityka[[#This Row],[Sell Drop]]+IF(DropAnalityka[[#This Row],[Drop]]="Scroll", 2000*DropAnalityka[[#This Row],[Quality/Quantity]],0)</f>
        <v>0</v>
      </c>
      <c r="K1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2" spans="10:12">
      <c r="J1442">
        <f>DropAnalityka[[#This Row],[Sell Drop]]+IF(DropAnalityka[[#This Row],[Drop]]="Scroll", 2000*DropAnalityka[[#This Row],[Quality/Quantity]],0)</f>
        <v>0</v>
      </c>
      <c r="K1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3" spans="10:12">
      <c r="J1443">
        <f>DropAnalityka[[#This Row],[Sell Drop]]+IF(DropAnalityka[[#This Row],[Drop]]="Scroll", 2000*DropAnalityka[[#This Row],[Quality/Quantity]],0)</f>
        <v>0</v>
      </c>
      <c r="K1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4" spans="10:12">
      <c r="J1444">
        <f>DropAnalityka[[#This Row],[Sell Drop]]+IF(DropAnalityka[[#This Row],[Drop]]="Scroll", 2000*DropAnalityka[[#This Row],[Quality/Quantity]],0)</f>
        <v>0</v>
      </c>
      <c r="K1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5" spans="10:12">
      <c r="J1445">
        <f>DropAnalityka[[#This Row],[Sell Drop]]+IF(DropAnalityka[[#This Row],[Drop]]="Scroll", 2000*DropAnalityka[[#This Row],[Quality/Quantity]],0)</f>
        <v>0</v>
      </c>
      <c r="K1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6" spans="10:12">
      <c r="J1446">
        <f>DropAnalityka[[#This Row],[Sell Drop]]+IF(DropAnalityka[[#This Row],[Drop]]="Scroll", 2000*DropAnalityka[[#This Row],[Quality/Quantity]],0)</f>
        <v>0</v>
      </c>
      <c r="K1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7" spans="10:12">
      <c r="J1447">
        <f>DropAnalityka[[#This Row],[Sell Drop]]+IF(DropAnalityka[[#This Row],[Drop]]="Scroll", 2000*DropAnalityka[[#This Row],[Quality/Quantity]],0)</f>
        <v>0</v>
      </c>
      <c r="K1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8" spans="10:12">
      <c r="J1448">
        <f>DropAnalityka[[#This Row],[Sell Drop]]+IF(DropAnalityka[[#This Row],[Drop]]="Scroll", 2000*DropAnalityka[[#This Row],[Quality/Quantity]],0)</f>
        <v>0</v>
      </c>
      <c r="K1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49" spans="10:12">
      <c r="J1449">
        <f>DropAnalityka[[#This Row],[Sell Drop]]+IF(DropAnalityka[[#This Row],[Drop]]="Scroll", 2000*DropAnalityka[[#This Row],[Quality/Quantity]],0)</f>
        <v>0</v>
      </c>
      <c r="K1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0" spans="10:12">
      <c r="J1450">
        <f>DropAnalityka[[#This Row],[Sell Drop]]+IF(DropAnalityka[[#This Row],[Drop]]="Scroll", 2000*DropAnalityka[[#This Row],[Quality/Quantity]],0)</f>
        <v>0</v>
      </c>
      <c r="K1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1" spans="10:12">
      <c r="J1451">
        <f>DropAnalityka[[#This Row],[Sell Drop]]+IF(DropAnalityka[[#This Row],[Drop]]="Scroll", 2000*DropAnalityka[[#This Row],[Quality/Quantity]],0)</f>
        <v>0</v>
      </c>
      <c r="K1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2" spans="10:12">
      <c r="J1452">
        <f>DropAnalityka[[#This Row],[Sell Drop]]+IF(DropAnalityka[[#This Row],[Drop]]="Scroll", 2000*DropAnalityka[[#This Row],[Quality/Quantity]],0)</f>
        <v>0</v>
      </c>
      <c r="K1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3" spans="10:12">
      <c r="J1453">
        <f>DropAnalityka[[#This Row],[Sell Drop]]+IF(DropAnalityka[[#This Row],[Drop]]="Scroll", 2000*DropAnalityka[[#This Row],[Quality/Quantity]],0)</f>
        <v>0</v>
      </c>
      <c r="K1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4" spans="10:12">
      <c r="J1454">
        <f>DropAnalityka[[#This Row],[Sell Drop]]+IF(DropAnalityka[[#This Row],[Drop]]="Scroll", 2000*DropAnalityka[[#This Row],[Quality/Quantity]],0)</f>
        <v>0</v>
      </c>
      <c r="K1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5" spans="10:12">
      <c r="J1455">
        <f>DropAnalityka[[#This Row],[Sell Drop]]+IF(DropAnalityka[[#This Row],[Drop]]="Scroll", 2000*DropAnalityka[[#This Row],[Quality/Quantity]],0)</f>
        <v>0</v>
      </c>
      <c r="K1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6" spans="10:12">
      <c r="J1456">
        <f>DropAnalityka[[#This Row],[Sell Drop]]+IF(DropAnalityka[[#This Row],[Drop]]="Scroll", 2000*DropAnalityka[[#This Row],[Quality/Quantity]],0)</f>
        <v>0</v>
      </c>
      <c r="K1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7" spans="10:12">
      <c r="J1457">
        <f>DropAnalityka[[#This Row],[Sell Drop]]+IF(DropAnalityka[[#This Row],[Drop]]="Scroll", 2000*DropAnalityka[[#This Row],[Quality/Quantity]],0)</f>
        <v>0</v>
      </c>
      <c r="K1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8" spans="10:12">
      <c r="J1458">
        <f>DropAnalityka[[#This Row],[Sell Drop]]+IF(DropAnalityka[[#This Row],[Drop]]="Scroll", 2000*DropAnalityka[[#This Row],[Quality/Quantity]],0)</f>
        <v>0</v>
      </c>
      <c r="K1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59" spans="10:12">
      <c r="J1459">
        <f>DropAnalityka[[#This Row],[Sell Drop]]+IF(DropAnalityka[[#This Row],[Drop]]="Scroll", 2000*DropAnalityka[[#This Row],[Quality/Quantity]],0)</f>
        <v>0</v>
      </c>
      <c r="K1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0" spans="10:12">
      <c r="J1460">
        <f>DropAnalityka[[#This Row],[Sell Drop]]+IF(DropAnalityka[[#This Row],[Drop]]="Scroll", 2000*DropAnalityka[[#This Row],[Quality/Quantity]],0)</f>
        <v>0</v>
      </c>
      <c r="K1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1" spans="10:12">
      <c r="J1461">
        <f>DropAnalityka[[#This Row],[Sell Drop]]+IF(DropAnalityka[[#This Row],[Drop]]="Scroll", 2000*DropAnalityka[[#This Row],[Quality/Quantity]],0)</f>
        <v>0</v>
      </c>
      <c r="K1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2" spans="10:12">
      <c r="J1462">
        <f>DropAnalityka[[#This Row],[Sell Drop]]+IF(DropAnalityka[[#This Row],[Drop]]="Scroll", 2000*DropAnalityka[[#This Row],[Quality/Quantity]],0)</f>
        <v>0</v>
      </c>
      <c r="K1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3" spans="10:12">
      <c r="J1463">
        <f>DropAnalityka[[#This Row],[Sell Drop]]+IF(DropAnalityka[[#This Row],[Drop]]="Scroll", 2000*DropAnalityka[[#This Row],[Quality/Quantity]],0)</f>
        <v>0</v>
      </c>
      <c r="K1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4" spans="10:12">
      <c r="J1464">
        <f>DropAnalityka[[#This Row],[Sell Drop]]+IF(DropAnalityka[[#This Row],[Drop]]="Scroll", 2000*DropAnalityka[[#This Row],[Quality/Quantity]],0)</f>
        <v>0</v>
      </c>
      <c r="K1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5" spans="10:12">
      <c r="J1465">
        <f>DropAnalityka[[#This Row],[Sell Drop]]+IF(DropAnalityka[[#This Row],[Drop]]="Scroll", 2000*DropAnalityka[[#This Row],[Quality/Quantity]],0)</f>
        <v>0</v>
      </c>
      <c r="K1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6" spans="10:12">
      <c r="J1466">
        <f>DropAnalityka[[#This Row],[Sell Drop]]+IF(DropAnalityka[[#This Row],[Drop]]="Scroll", 2000*DropAnalityka[[#This Row],[Quality/Quantity]],0)</f>
        <v>0</v>
      </c>
      <c r="K1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7" spans="10:12">
      <c r="J1467">
        <f>DropAnalityka[[#This Row],[Sell Drop]]+IF(DropAnalityka[[#This Row],[Drop]]="Scroll", 2000*DropAnalityka[[#This Row],[Quality/Quantity]],0)</f>
        <v>0</v>
      </c>
      <c r="K1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8" spans="10:12">
      <c r="J1468">
        <f>DropAnalityka[[#This Row],[Sell Drop]]+IF(DropAnalityka[[#This Row],[Drop]]="Scroll", 2000*DropAnalityka[[#This Row],[Quality/Quantity]],0)</f>
        <v>0</v>
      </c>
      <c r="K1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69" spans="10:12">
      <c r="J1469">
        <f>DropAnalityka[[#This Row],[Sell Drop]]+IF(DropAnalityka[[#This Row],[Drop]]="Scroll", 2000*DropAnalityka[[#This Row],[Quality/Quantity]],0)</f>
        <v>0</v>
      </c>
      <c r="K1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0" spans="10:12">
      <c r="J1470">
        <f>DropAnalityka[[#This Row],[Sell Drop]]+IF(DropAnalityka[[#This Row],[Drop]]="Scroll", 2000*DropAnalityka[[#This Row],[Quality/Quantity]],0)</f>
        <v>0</v>
      </c>
      <c r="K1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1" spans="10:12">
      <c r="J1471">
        <f>DropAnalityka[[#This Row],[Sell Drop]]+IF(DropAnalityka[[#This Row],[Drop]]="Scroll", 2000*DropAnalityka[[#This Row],[Quality/Quantity]],0)</f>
        <v>0</v>
      </c>
      <c r="K1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2" spans="10:12">
      <c r="J1472">
        <f>DropAnalityka[[#This Row],[Sell Drop]]+IF(DropAnalityka[[#This Row],[Drop]]="Scroll", 2000*DropAnalityka[[#This Row],[Quality/Quantity]],0)</f>
        <v>0</v>
      </c>
      <c r="K1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3" spans="10:12">
      <c r="J1473">
        <f>DropAnalityka[[#This Row],[Sell Drop]]+IF(DropAnalityka[[#This Row],[Drop]]="Scroll", 2000*DropAnalityka[[#This Row],[Quality/Quantity]],0)</f>
        <v>0</v>
      </c>
      <c r="K1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4" spans="10:12">
      <c r="J1474">
        <f>DropAnalityka[[#This Row],[Sell Drop]]+IF(DropAnalityka[[#This Row],[Drop]]="Scroll", 2000*DropAnalityka[[#This Row],[Quality/Quantity]],0)</f>
        <v>0</v>
      </c>
      <c r="K1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5" spans="10:12">
      <c r="J1475">
        <f>DropAnalityka[[#This Row],[Sell Drop]]+IF(DropAnalityka[[#This Row],[Drop]]="Scroll", 2000*DropAnalityka[[#This Row],[Quality/Quantity]],0)</f>
        <v>0</v>
      </c>
      <c r="K1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6" spans="10:12">
      <c r="J1476">
        <f>DropAnalityka[[#This Row],[Sell Drop]]+IF(DropAnalityka[[#This Row],[Drop]]="Scroll", 2000*DropAnalityka[[#This Row],[Quality/Quantity]],0)</f>
        <v>0</v>
      </c>
      <c r="K1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7" spans="10:12">
      <c r="J1477">
        <f>DropAnalityka[[#This Row],[Sell Drop]]+IF(DropAnalityka[[#This Row],[Drop]]="Scroll", 2000*DropAnalityka[[#This Row],[Quality/Quantity]],0)</f>
        <v>0</v>
      </c>
      <c r="K1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8" spans="10:12">
      <c r="J1478">
        <f>DropAnalityka[[#This Row],[Sell Drop]]+IF(DropAnalityka[[#This Row],[Drop]]="Scroll", 2000*DropAnalityka[[#This Row],[Quality/Quantity]],0)</f>
        <v>0</v>
      </c>
      <c r="K1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79" spans="10:12">
      <c r="J1479">
        <f>DropAnalityka[[#This Row],[Sell Drop]]+IF(DropAnalityka[[#This Row],[Drop]]="Scroll", 2000*DropAnalityka[[#This Row],[Quality/Quantity]],0)</f>
        <v>0</v>
      </c>
      <c r="K1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0" spans="10:12">
      <c r="J1480">
        <f>DropAnalityka[[#This Row],[Sell Drop]]+IF(DropAnalityka[[#This Row],[Drop]]="Scroll", 2000*DropAnalityka[[#This Row],[Quality/Quantity]],0)</f>
        <v>0</v>
      </c>
      <c r="K1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1" spans="10:12">
      <c r="J1481">
        <f>DropAnalityka[[#This Row],[Sell Drop]]+IF(DropAnalityka[[#This Row],[Drop]]="Scroll", 2000*DropAnalityka[[#This Row],[Quality/Quantity]],0)</f>
        <v>0</v>
      </c>
      <c r="K1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2" spans="10:12">
      <c r="J1482">
        <f>DropAnalityka[[#This Row],[Sell Drop]]+IF(DropAnalityka[[#This Row],[Drop]]="Scroll", 2000*DropAnalityka[[#This Row],[Quality/Quantity]],0)</f>
        <v>0</v>
      </c>
      <c r="K1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3" spans="10:12">
      <c r="J1483">
        <f>DropAnalityka[[#This Row],[Sell Drop]]+IF(DropAnalityka[[#This Row],[Drop]]="Scroll", 2000*DropAnalityka[[#This Row],[Quality/Quantity]],0)</f>
        <v>0</v>
      </c>
      <c r="K1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4" spans="10:12">
      <c r="J1484">
        <f>DropAnalityka[[#This Row],[Sell Drop]]+IF(DropAnalityka[[#This Row],[Drop]]="Scroll", 2000*DropAnalityka[[#This Row],[Quality/Quantity]],0)</f>
        <v>0</v>
      </c>
      <c r="K1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5" spans="10:12">
      <c r="J1485">
        <f>DropAnalityka[[#This Row],[Sell Drop]]+IF(DropAnalityka[[#This Row],[Drop]]="Scroll", 2000*DropAnalityka[[#This Row],[Quality/Quantity]],0)</f>
        <v>0</v>
      </c>
      <c r="K1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6" spans="10:12">
      <c r="J1486">
        <f>DropAnalityka[[#This Row],[Sell Drop]]+IF(DropAnalityka[[#This Row],[Drop]]="Scroll", 2000*DropAnalityka[[#This Row],[Quality/Quantity]],0)</f>
        <v>0</v>
      </c>
      <c r="K1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7" spans="10:12">
      <c r="J1487">
        <f>DropAnalityka[[#This Row],[Sell Drop]]+IF(DropAnalityka[[#This Row],[Drop]]="Scroll", 2000*DropAnalityka[[#This Row],[Quality/Quantity]],0)</f>
        <v>0</v>
      </c>
      <c r="K1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8" spans="10:12">
      <c r="J1488">
        <f>DropAnalityka[[#This Row],[Sell Drop]]+IF(DropAnalityka[[#This Row],[Drop]]="Scroll", 2000*DropAnalityka[[#This Row],[Quality/Quantity]],0)</f>
        <v>0</v>
      </c>
      <c r="K1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89" spans="10:12">
      <c r="J1489">
        <f>DropAnalityka[[#This Row],[Sell Drop]]+IF(DropAnalityka[[#This Row],[Drop]]="Scroll", 2000*DropAnalityka[[#This Row],[Quality/Quantity]],0)</f>
        <v>0</v>
      </c>
      <c r="K1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0" spans="10:12">
      <c r="J1490">
        <f>DropAnalityka[[#This Row],[Sell Drop]]+IF(DropAnalityka[[#This Row],[Drop]]="Scroll", 2000*DropAnalityka[[#This Row],[Quality/Quantity]],0)</f>
        <v>0</v>
      </c>
      <c r="K1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1" spans="10:12">
      <c r="J1491">
        <f>DropAnalityka[[#This Row],[Sell Drop]]+IF(DropAnalityka[[#This Row],[Drop]]="Scroll", 2000*DropAnalityka[[#This Row],[Quality/Quantity]],0)</f>
        <v>0</v>
      </c>
      <c r="K1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2" spans="10:12">
      <c r="J1492">
        <f>DropAnalityka[[#This Row],[Sell Drop]]+IF(DropAnalityka[[#This Row],[Drop]]="Scroll", 2000*DropAnalityka[[#This Row],[Quality/Quantity]],0)</f>
        <v>0</v>
      </c>
      <c r="K1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3" spans="10:12">
      <c r="J1493">
        <f>DropAnalityka[[#This Row],[Sell Drop]]+IF(DropAnalityka[[#This Row],[Drop]]="Scroll", 2000*DropAnalityka[[#This Row],[Quality/Quantity]],0)</f>
        <v>0</v>
      </c>
      <c r="K1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4" spans="10:12">
      <c r="J1494">
        <f>DropAnalityka[[#This Row],[Sell Drop]]+IF(DropAnalityka[[#This Row],[Drop]]="Scroll", 2000*DropAnalityka[[#This Row],[Quality/Quantity]],0)</f>
        <v>0</v>
      </c>
      <c r="K1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5" spans="10:12">
      <c r="J1495">
        <f>DropAnalityka[[#This Row],[Sell Drop]]+IF(DropAnalityka[[#This Row],[Drop]]="Scroll", 2000*DropAnalityka[[#This Row],[Quality/Quantity]],0)</f>
        <v>0</v>
      </c>
      <c r="K1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6" spans="10:12">
      <c r="J1496">
        <f>DropAnalityka[[#This Row],[Sell Drop]]+IF(DropAnalityka[[#This Row],[Drop]]="Scroll", 2000*DropAnalityka[[#This Row],[Quality/Quantity]],0)</f>
        <v>0</v>
      </c>
      <c r="K1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7" spans="10:12">
      <c r="J1497">
        <f>DropAnalityka[[#This Row],[Sell Drop]]+IF(DropAnalityka[[#This Row],[Drop]]="Scroll", 2000*DropAnalityka[[#This Row],[Quality/Quantity]],0)</f>
        <v>0</v>
      </c>
      <c r="K1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8" spans="10:12">
      <c r="J1498">
        <f>DropAnalityka[[#This Row],[Sell Drop]]+IF(DropAnalityka[[#This Row],[Drop]]="Scroll", 2000*DropAnalityka[[#This Row],[Quality/Quantity]],0)</f>
        <v>0</v>
      </c>
      <c r="K1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499" spans="10:12">
      <c r="J1499">
        <f>DropAnalityka[[#This Row],[Sell Drop]]+IF(DropAnalityka[[#This Row],[Drop]]="Scroll", 2000*DropAnalityka[[#This Row],[Quality/Quantity]],0)</f>
        <v>0</v>
      </c>
      <c r="K1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0" spans="10:12">
      <c r="J1500">
        <f>DropAnalityka[[#This Row],[Sell Drop]]+IF(DropAnalityka[[#This Row],[Drop]]="Scroll", 2000*DropAnalityka[[#This Row],[Quality/Quantity]],0)</f>
        <v>0</v>
      </c>
      <c r="K1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1" spans="10:12">
      <c r="J1501">
        <f>DropAnalityka[[#This Row],[Sell Drop]]+IF(DropAnalityka[[#This Row],[Drop]]="Scroll", 2000*DropAnalityka[[#This Row],[Quality/Quantity]],0)</f>
        <v>0</v>
      </c>
      <c r="K1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2" spans="10:12">
      <c r="J1502">
        <f>DropAnalityka[[#This Row],[Sell Drop]]+IF(DropAnalityka[[#This Row],[Drop]]="Scroll", 2000*DropAnalityka[[#This Row],[Quality/Quantity]],0)</f>
        <v>0</v>
      </c>
      <c r="K1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3" spans="10:12">
      <c r="J1503">
        <f>DropAnalityka[[#This Row],[Sell Drop]]+IF(DropAnalityka[[#This Row],[Drop]]="Scroll", 2000*DropAnalityka[[#This Row],[Quality/Quantity]],0)</f>
        <v>0</v>
      </c>
      <c r="K1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4" spans="10:12">
      <c r="J1504">
        <f>DropAnalityka[[#This Row],[Sell Drop]]+IF(DropAnalityka[[#This Row],[Drop]]="Scroll", 2000*DropAnalityka[[#This Row],[Quality/Quantity]],0)</f>
        <v>0</v>
      </c>
      <c r="K1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5" spans="10:12">
      <c r="J1505">
        <f>DropAnalityka[[#This Row],[Sell Drop]]+IF(DropAnalityka[[#This Row],[Drop]]="Scroll", 2000*DropAnalityka[[#This Row],[Quality/Quantity]],0)</f>
        <v>0</v>
      </c>
      <c r="K1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6" spans="10:12">
      <c r="J1506">
        <f>DropAnalityka[[#This Row],[Sell Drop]]+IF(DropAnalityka[[#This Row],[Drop]]="Scroll", 2000*DropAnalityka[[#This Row],[Quality/Quantity]],0)</f>
        <v>0</v>
      </c>
      <c r="K1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7" spans="10:12">
      <c r="J1507">
        <f>DropAnalityka[[#This Row],[Sell Drop]]+IF(DropAnalityka[[#This Row],[Drop]]="Scroll", 2000*DropAnalityka[[#This Row],[Quality/Quantity]],0)</f>
        <v>0</v>
      </c>
      <c r="K1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8" spans="10:12">
      <c r="J1508">
        <f>DropAnalityka[[#This Row],[Sell Drop]]+IF(DropAnalityka[[#This Row],[Drop]]="Scroll", 2000*DropAnalityka[[#This Row],[Quality/Quantity]],0)</f>
        <v>0</v>
      </c>
      <c r="K1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09" spans="10:12">
      <c r="J1509">
        <f>DropAnalityka[[#This Row],[Sell Drop]]+IF(DropAnalityka[[#This Row],[Drop]]="Scroll", 2000*DropAnalityka[[#This Row],[Quality/Quantity]],0)</f>
        <v>0</v>
      </c>
      <c r="K1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0" spans="10:12">
      <c r="J1510">
        <f>DropAnalityka[[#This Row],[Sell Drop]]+IF(DropAnalityka[[#This Row],[Drop]]="Scroll", 2000*DropAnalityka[[#This Row],[Quality/Quantity]],0)</f>
        <v>0</v>
      </c>
      <c r="K1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1" spans="10:12">
      <c r="J1511">
        <f>DropAnalityka[[#This Row],[Sell Drop]]+IF(DropAnalityka[[#This Row],[Drop]]="Scroll", 2000*DropAnalityka[[#This Row],[Quality/Quantity]],0)</f>
        <v>0</v>
      </c>
      <c r="K1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2" spans="10:12">
      <c r="J1512">
        <f>DropAnalityka[[#This Row],[Sell Drop]]+IF(DropAnalityka[[#This Row],[Drop]]="Scroll", 2000*DropAnalityka[[#This Row],[Quality/Quantity]],0)</f>
        <v>0</v>
      </c>
      <c r="K1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3" spans="10:12">
      <c r="J1513">
        <f>DropAnalityka[[#This Row],[Sell Drop]]+IF(DropAnalityka[[#This Row],[Drop]]="Scroll", 2000*DropAnalityka[[#This Row],[Quality/Quantity]],0)</f>
        <v>0</v>
      </c>
      <c r="K1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4" spans="10:12">
      <c r="J1514">
        <f>DropAnalityka[[#This Row],[Sell Drop]]+IF(DropAnalityka[[#This Row],[Drop]]="Scroll", 2000*DropAnalityka[[#This Row],[Quality/Quantity]],0)</f>
        <v>0</v>
      </c>
      <c r="K1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5" spans="10:12">
      <c r="J1515">
        <f>DropAnalityka[[#This Row],[Sell Drop]]+IF(DropAnalityka[[#This Row],[Drop]]="Scroll", 2000*DropAnalityka[[#This Row],[Quality/Quantity]],0)</f>
        <v>0</v>
      </c>
      <c r="K1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6" spans="10:12">
      <c r="J1516">
        <f>DropAnalityka[[#This Row],[Sell Drop]]+IF(DropAnalityka[[#This Row],[Drop]]="Scroll", 2000*DropAnalityka[[#This Row],[Quality/Quantity]],0)</f>
        <v>0</v>
      </c>
      <c r="K1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7" spans="10:12">
      <c r="J1517">
        <f>DropAnalityka[[#This Row],[Sell Drop]]+IF(DropAnalityka[[#This Row],[Drop]]="Scroll", 2000*DropAnalityka[[#This Row],[Quality/Quantity]],0)</f>
        <v>0</v>
      </c>
      <c r="K1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8" spans="10:12">
      <c r="J1518">
        <f>DropAnalityka[[#This Row],[Sell Drop]]+IF(DropAnalityka[[#This Row],[Drop]]="Scroll", 2000*DropAnalityka[[#This Row],[Quality/Quantity]],0)</f>
        <v>0</v>
      </c>
      <c r="K1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19" spans="10:12">
      <c r="J1519">
        <f>DropAnalityka[[#This Row],[Sell Drop]]+IF(DropAnalityka[[#This Row],[Drop]]="Scroll", 2000*DropAnalityka[[#This Row],[Quality/Quantity]],0)</f>
        <v>0</v>
      </c>
      <c r="K1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0" spans="10:12">
      <c r="J1520">
        <f>DropAnalityka[[#This Row],[Sell Drop]]+IF(DropAnalityka[[#This Row],[Drop]]="Scroll", 2000*DropAnalityka[[#This Row],[Quality/Quantity]],0)</f>
        <v>0</v>
      </c>
      <c r="K1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1" spans="10:12">
      <c r="J1521">
        <f>DropAnalityka[[#This Row],[Sell Drop]]+IF(DropAnalityka[[#This Row],[Drop]]="Scroll", 2000*DropAnalityka[[#This Row],[Quality/Quantity]],0)</f>
        <v>0</v>
      </c>
      <c r="K1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2" spans="10:12">
      <c r="J1522">
        <f>DropAnalityka[[#This Row],[Sell Drop]]+IF(DropAnalityka[[#This Row],[Drop]]="Scroll", 2000*DropAnalityka[[#This Row],[Quality/Quantity]],0)</f>
        <v>0</v>
      </c>
      <c r="K1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3" spans="10:12">
      <c r="J1523">
        <f>DropAnalityka[[#This Row],[Sell Drop]]+IF(DropAnalityka[[#This Row],[Drop]]="Scroll", 2000*DropAnalityka[[#This Row],[Quality/Quantity]],0)</f>
        <v>0</v>
      </c>
      <c r="K1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4" spans="10:12">
      <c r="J1524">
        <f>DropAnalityka[[#This Row],[Sell Drop]]+IF(DropAnalityka[[#This Row],[Drop]]="Scroll", 2000*DropAnalityka[[#This Row],[Quality/Quantity]],0)</f>
        <v>0</v>
      </c>
      <c r="K1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5" spans="10:12">
      <c r="J1525">
        <f>DropAnalityka[[#This Row],[Sell Drop]]+IF(DropAnalityka[[#This Row],[Drop]]="Scroll", 2000*DropAnalityka[[#This Row],[Quality/Quantity]],0)</f>
        <v>0</v>
      </c>
      <c r="K1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6" spans="10:12">
      <c r="J1526">
        <f>DropAnalityka[[#This Row],[Sell Drop]]+IF(DropAnalityka[[#This Row],[Drop]]="Scroll", 2000*DropAnalityka[[#This Row],[Quality/Quantity]],0)</f>
        <v>0</v>
      </c>
      <c r="K1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7" spans="10:12">
      <c r="J1527">
        <f>DropAnalityka[[#This Row],[Sell Drop]]+IF(DropAnalityka[[#This Row],[Drop]]="Scroll", 2000*DropAnalityka[[#This Row],[Quality/Quantity]],0)</f>
        <v>0</v>
      </c>
      <c r="K1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8" spans="10:12">
      <c r="J1528">
        <f>DropAnalityka[[#This Row],[Sell Drop]]+IF(DropAnalityka[[#This Row],[Drop]]="Scroll", 2000*DropAnalityka[[#This Row],[Quality/Quantity]],0)</f>
        <v>0</v>
      </c>
      <c r="K1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29" spans="10:12">
      <c r="J1529">
        <f>DropAnalityka[[#This Row],[Sell Drop]]+IF(DropAnalityka[[#This Row],[Drop]]="Scroll", 2000*DropAnalityka[[#This Row],[Quality/Quantity]],0)</f>
        <v>0</v>
      </c>
      <c r="K1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0" spans="10:12">
      <c r="J1530">
        <f>DropAnalityka[[#This Row],[Sell Drop]]+IF(DropAnalityka[[#This Row],[Drop]]="Scroll", 2000*DropAnalityka[[#This Row],[Quality/Quantity]],0)</f>
        <v>0</v>
      </c>
      <c r="K1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1" spans="10:12">
      <c r="J1531">
        <f>DropAnalityka[[#This Row],[Sell Drop]]+IF(DropAnalityka[[#This Row],[Drop]]="Scroll", 2000*DropAnalityka[[#This Row],[Quality/Quantity]],0)</f>
        <v>0</v>
      </c>
      <c r="K1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2" spans="10:12">
      <c r="J1532">
        <f>DropAnalityka[[#This Row],[Sell Drop]]+IF(DropAnalityka[[#This Row],[Drop]]="Scroll", 2000*DropAnalityka[[#This Row],[Quality/Quantity]],0)</f>
        <v>0</v>
      </c>
      <c r="K1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3" spans="10:12">
      <c r="J1533">
        <f>DropAnalityka[[#This Row],[Sell Drop]]+IF(DropAnalityka[[#This Row],[Drop]]="Scroll", 2000*DropAnalityka[[#This Row],[Quality/Quantity]],0)</f>
        <v>0</v>
      </c>
      <c r="K1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4" spans="10:12">
      <c r="J1534">
        <f>DropAnalityka[[#This Row],[Sell Drop]]+IF(DropAnalityka[[#This Row],[Drop]]="Scroll", 2000*DropAnalityka[[#This Row],[Quality/Quantity]],0)</f>
        <v>0</v>
      </c>
      <c r="K1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5" spans="10:12">
      <c r="J1535">
        <f>DropAnalityka[[#This Row],[Sell Drop]]+IF(DropAnalityka[[#This Row],[Drop]]="Scroll", 2000*DropAnalityka[[#This Row],[Quality/Quantity]],0)</f>
        <v>0</v>
      </c>
      <c r="K1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6" spans="10:12">
      <c r="J1536">
        <f>DropAnalityka[[#This Row],[Sell Drop]]+IF(DropAnalityka[[#This Row],[Drop]]="Scroll", 2000*DropAnalityka[[#This Row],[Quality/Quantity]],0)</f>
        <v>0</v>
      </c>
      <c r="K1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7" spans="10:12">
      <c r="J1537">
        <f>DropAnalityka[[#This Row],[Sell Drop]]+IF(DropAnalityka[[#This Row],[Drop]]="Scroll", 2000*DropAnalityka[[#This Row],[Quality/Quantity]],0)</f>
        <v>0</v>
      </c>
      <c r="K1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8" spans="10:12">
      <c r="J1538">
        <f>DropAnalityka[[#This Row],[Sell Drop]]+IF(DropAnalityka[[#This Row],[Drop]]="Scroll", 2000*DropAnalityka[[#This Row],[Quality/Quantity]],0)</f>
        <v>0</v>
      </c>
      <c r="K1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39" spans="10:12">
      <c r="J1539">
        <f>DropAnalityka[[#This Row],[Sell Drop]]+IF(DropAnalityka[[#This Row],[Drop]]="Scroll", 2000*DropAnalityka[[#This Row],[Quality/Quantity]],0)</f>
        <v>0</v>
      </c>
      <c r="K1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0" spans="10:12">
      <c r="J1540">
        <f>DropAnalityka[[#This Row],[Sell Drop]]+IF(DropAnalityka[[#This Row],[Drop]]="Scroll", 2000*DropAnalityka[[#This Row],[Quality/Quantity]],0)</f>
        <v>0</v>
      </c>
      <c r="K1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1" spans="10:12">
      <c r="J1541">
        <f>DropAnalityka[[#This Row],[Sell Drop]]+IF(DropAnalityka[[#This Row],[Drop]]="Scroll", 2000*DropAnalityka[[#This Row],[Quality/Quantity]],0)</f>
        <v>0</v>
      </c>
      <c r="K1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2" spans="10:12">
      <c r="J1542">
        <f>DropAnalityka[[#This Row],[Sell Drop]]+IF(DropAnalityka[[#This Row],[Drop]]="Scroll", 2000*DropAnalityka[[#This Row],[Quality/Quantity]],0)</f>
        <v>0</v>
      </c>
      <c r="K1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3" spans="10:12">
      <c r="J1543">
        <f>DropAnalityka[[#This Row],[Sell Drop]]+IF(DropAnalityka[[#This Row],[Drop]]="Scroll", 2000*DropAnalityka[[#This Row],[Quality/Quantity]],0)</f>
        <v>0</v>
      </c>
      <c r="K1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4" spans="10:12">
      <c r="J1544">
        <f>DropAnalityka[[#This Row],[Sell Drop]]+IF(DropAnalityka[[#This Row],[Drop]]="Scroll", 2000*DropAnalityka[[#This Row],[Quality/Quantity]],0)</f>
        <v>0</v>
      </c>
      <c r="K1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5" spans="10:12">
      <c r="J1545">
        <f>DropAnalityka[[#This Row],[Sell Drop]]+IF(DropAnalityka[[#This Row],[Drop]]="Scroll", 2000*DropAnalityka[[#This Row],[Quality/Quantity]],0)</f>
        <v>0</v>
      </c>
      <c r="K1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6" spans="10:12">
      <c r="J1546">
        <f>DropAnalityka[[#This Row],[Sell Drop]]+IF(DropAnalityka[[#This Row],[Drop]]="Scroll", 2000*DropAnalityka[[#This Row],[Quality/Quantity]],0)</f>
        <v>0</v>
      </c>
      <c r="K1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7" spans="10:12">
      <c r="J1547">
        <f>DropAnalityka[[#This Row],[Sell Drop]]+IF(DropAnalityka[[#This Row],[Drop]]="Scroll", 2000*DropAnalityka[[#This Row],[Quality/Quantity]],0)</f>
        <v>0</v>
      </c>
      <c r="K1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8" spans="10:12">
      <c r="J1548">
        <f>DropAnalityka[[#This Row],[Sell Drop]]+IF(DropAnalityka[[#This Row],[Drop]]="Scroll", 2000*DropAnalityka[[#This Row],[Quality/Quantity]],0)</f>
        <v>0</v>
      </c>
      <c r="K1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49" spans="10:12">
      <c r="J1549">
        <f>DropAnalityka[[#This Row],[Sell Drop]]+IF(DropAnalityka[[#This Row],[Drop]]="Scroll", 2000*DropAnalityka[[#This Row],[Quality/Quantity]],0)</f>
        <v>0</v>
      </c>
      <c r="K1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0" spans="10:12">
      <c r="J1550">
        <f>DropAnalityka[[#This Row],[Sell Drop]]+IF(DropAnalityka[[#This Row],[Drop]]="Scroll", 2000*DropAnalityka[[#This Row],[Quality/Quantity]],0)</f>
        <v>0</v>
      </c>
      <c r="K1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1" spans="10:12">
      <c r="J1551">
        <f>DropAnalityka[[#This Row],[Sell Drop]]+IF(DropAnalityka[[#This Row],[Drop]]="Scroll", 2000*DropAnalityka[[#This Row],[Quality/Quantity]],0)</f>
        <v>0</v>
      </c>
      <c r="K1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2" spans="10:12">
      <c r="J1552">
        <f>DropAnalityka[[#This Row],[Sell Drop]]+IF(DropAnalityka[[#This Row],[Drop]]="Scroll", 2000*DropAnalityka[[#This Row],[Quality/Quantity]],0)</f>
        <v>0</v>
      </c>
      <c r="K1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3" spans="10:12">
      <c r="J1553">
        <f>DropAnalityka[[#This Row],[Sell Drop]]+IF(DropAnalityka[[#This Row],[Drop]]="Scroll", 2000*DropAnalityka[[#This Row],[Quality/Quantity]],0)</f>
        <v>0</v>
      </c>
      <c r="K1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4" spans="10:12">
      <c r="J1554">
        <f>DropAnalityka[[#This Row],[Sell Drop]]+IF(DropAnalityka[[#This Row],[Drop]]="Scroll", 2000*DropAnalityka[[#This Row],[Quality/Quantity]],0)</f>
        <v>0</v>
      </c>
      <c r="K1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5" spans="10:12">
      <c r="J1555">
        <f>DropAnalityka[[#This Row],[Sell Drop]]+IF(DropAnalityka[[#This Row],[Drop]]="Scroll", 2000*DropAnalityka[[#This Row],[Quality/Quantity]],0)</f>
        <v>0</v>
      </c>
      <c r="K1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6" spans="10:12">
      <c r="J1556">
        <f>DropAnalityka[[#This Row],[Sell Drop]]+IF(DropAnalityka[[#This Row],[Drop]]="Scroll", 2000*DropAnalityka[[#This Row],[Quality/Quantity]],0)</f>
        <v>0</v>
      </c>
      <c r="K1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7" spans="10:12">
      <c r="J1557">
        <f>DropAnalityka[[#This Row],[Sell Drop]]+IF(DropAnalityka[[#This Row],[Drop]]="Scroll", 2000*DropAnalityka[[#This Row],[Quality/Quantity]],0)</f>
        <v>0</v>
      </c>
      <c r="K1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8" spans="10:12">
      <c r="J1558">
        <f>DropAnalityka[[#This Row],[Sell Drop]]+IF(DropAnalityka[[#This Row],[Drop]]="Scroll", 2000*DropAnalityka[[#This Row],[Quality/Quantity]],0)</f>
        <v>0</v>
      </c>
      <c r="K1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59" spans="10:12">
      <c r="J1559">
        <f>DropAnalityka[[#This Row],[Sell Drop]]+IF(DropAnalityka[[#This Row],[Drop]]="Scroll", 2000*DropAnalityka[[#This Row],[Quality/Quantity]],0)</f>
        <v>0</v>
      </c>
      <c r="K1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0" spans="10:12">
      <c r="J1560">
        <f>DropAnalityka[[#This Row],[Sell Drop]]+IF(DropAnalityka[[#This Row],[Drop]]="Scroll", 2000*DropAnalityka[[#This Row],[Quality/Quantity]],0)</f>
        <v>0</v>
      </c>
      <c r="K1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1" spans="10:12">
      <c r="J1561">
        <f>DropAnalityka[[#This Row],[Sell Drop]]+IF(DropAnalityka[[#This Row],[Drop]]="Scroll", 2000*DropAnalityka[[#This Row],[Quality/Quantity]],0)</f>
        <v>0</v>
      </c>
      <c r="K1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2" spans="10:12">
      <c r="J1562">
        <f>DropAnalityka[[#This Row],[Sell Drop]]+IF(DropAnalityka[[#This Row],[Drop]]="Scroll", 2000*DropAnalityka[[#This Row],[Quality/Quantity]],0)</f>
        <v>0</v>
      </c>
      <c r="K1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3" spans="10:12">
      <c r="J1563">
        <f>DropAnalityka[[#This Row],[Sell Drop]]+IF(DropAnalityka[[#This Row],[Drop]]="Scroll", 2000*DropAnalityka[[#This Row],[Quality/Quantity]],0)</f>
        <v>0</v>
      </c>
      <c r="K1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4" spans="10:12">
      <c r="J1564">
        <f>DropAnalityka[[#This Row],[Sell Drop]]+IF(DropAnalityka[[#This Row],[Drop]]="Scroll", 2000*DropAnalityka[[#This Row],[Quality/Quantity]],0)</f>
        <v>0</v>
      </c>
      <c r="K1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5" spans="10:12">
      <c r="J1565">
        <f>DropAnalityka[[#This Row],[Sell Drop]]+IF(DropAnalityka[[#This Row],[Drop]]="Scroll", 2000*DropAnalityka[[#This Row],[Quality/Quantity]],0)</f>
        <v>0</v>
      </c>
      <c r="K1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6" spans="10:12">
      <c r="J1566">
        <f>DropAnalityka[[#This Row],[Sell Drop]]+IF(DropAnalityka[[#This Row],[Drop]]="Scroll", 2000*DropAnalityka[[#This Row],[Quality/Quantity]],0)</f>
        <v>0</v>
      </c>
      <c r="K1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7" spans="10:12">
      <c r="J1567">
        <f>DropAnalityka[[#This Row],[Sell Drop]]+IF(DropAnalityka[[#This Row],[Drop]]="Scroll", 2000*DropAnalityka[[#This Row],[Quality/Quantity]],0)</f>
        <v>0</v>
      </c>
      <c r="K1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8" spans="10:12">
      <c r="J1568">
        <f>DropAnalityka[[#This Row],[Sell Drop]]+IF(DropAnalityka[[#This Row],[Drop]]="Scroll", 2000*DropAnalityka[[#This Row],[Quality/Quantity]],0)</f>
        <v>0</v>
      </c>
      <c r="K1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69" spans="10:12">
      <c r="J1569">
        <f>DropAnalityka[[#This Row],[Sell Drop]]+IF(DropAnalityka[[#This Row],[Drop]]="Scroll", 2000*DropAnalityka[[#This Row],[Quality/Quantity]],0)</f>
        <v>0</v>
      </c>
      <c r="K1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0" spans="10:12">
      <c r="J1570">
        <f>DropAnalityka[[#This Row],[Sell Drop]]+IF(DropAnalityka[[#This Row],[Drop]]="Scroll", 2000*DropAnalityka[[#This Row],[Quality/Quantity]],0)</f>
        <v>0</v>
      </c>
      <c r="K1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1" spans="10:12">
      <c r="J1571">
        <f>DropAnalityka[[#This Row],[Sell Drop]]+IF(DropAnalityka[[#This Row],[Drop]]="Scroll", 2000*DropAnalityka[[#This Row],[Quality/Quantity]],0)</f>
        <v>0</v>
      </c>
      <c r="K1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2" spans="10:12">
      <c r="J1572">
        <f>DropAnalityka[[#This Row],[Sell Drop]]+IF(DropAnalityka[[#This Row],[Drop]]="Scroll", 2000*DropAnalityka[[#This Row],[Quality/Quantity]],0)</f>
        <v>0</v>
      </c>
      <c r="K1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3" spans="10:12">
      <c r="J1573">
        <f>DropAnalityka[[#This Row],[Sell Drop]]+IF(DropAnalityka[[#This Row],[Drop]]="Scroll", 2000*DropAnalityka[[#This Row],[Quality/Quantity]],0)</f>
        <v>0</v>
      </c>
      <c r="K1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4" spans="10:12">
      <c r="J1574">
        <f>DropAnalityka[[#This Row],[Sell Drop]]+IF(DropAnalityka[[#This Row],[Drop]]="Scroll", 2000*DropAnalityka[[#This Row],[Quality/Quantity]],0)</f>
        <v>0</v>
      </c>
      <c r="K1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5" spans="10:12">
      <c r="J1575">
        <f>DropAnalityka[[#This Row],[Sell Drop]]+IF(DropAnalityka[[#This Row],[Drop]]="Scroll", 2000*DropAnalityka[[#This Row],[Quality/Quantity]],0)</f>
        <v>0</v>
      </c>
      <c r="K1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6" spans="10:12">
      <c r="J1576">
        <f>DropAnalityka[[#This Row],[Sell Drop]]+IF(DropAnalityka[[#This Row],[Drop]]="Scroll", 2000*DropAnalityka[[#This Row],[Quality/Quantity]],0)</f>
        <v>0</v>
      </c>
      <c r="K1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7" spans="10:12">
      <c r="J1577">
        <f>DropAnalityka[[#This Row],[Sell Drop]]+IF(DropAnalityka[[#This Row],[Drop]]="Scroll", 2000*DropAnalityka[[#This Row],[Quality/Quantity]],0)</f>
        <v>0</v>
      </c>
      <c r="K1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8" spans="10:12">
      <c r="J1578">
        <f>DropAnalityka[[#This Row],[Sell Drop]]+IF(DropAnalityka[[#This Row],[Drop]]="Scroll", 2000*DropAnalityka[[#This Row],[Quality/Quantity]],0)</f>
        <v>0</v>
      </c>
      <c r="K1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79" spans="10:12">
      <c r="J1579">
        <f>DropAnalityka[[#This Row],[Sell Drop]]+IF(DropAnalityka[[#This Row],[Drop]]="Scroll", 2000*DropAnalityka[[#This Row],[Quality/Quantity]],0)</f>
        <v>0</v>
      </c>
      <c r="K1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0" spans="10:12">
      <c r="J1580">
        <f>DropAnalityka[[#This Row],[Sell Drop]]+IF(DropAnalityka[[#This Row],[Drop]]="Scroll", 2000*DropAnalityka[[#This Row],[Quality/Quantity]],0)</f>
        <v>0</v>
      </c>
      <c r="K1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1" spans="10:12">
      <c r="J1581">
        <f>DropAnalityka[[#This Row],[Sell Drop]]+IF(DropAnalityka[[#This Row],[Drop]]="Scroll", 2000*DropAnalityka[[#This Row],[Quality/Quantity]],0)</f>
        <v>0</v>
      </c>
      <c r="K1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2" spans="10:12">
      <c r="J1582">
        <f>DropAnalityka[[#This Row],[Sell Drop]]+IF(DropAnalityka[[#This Row],[Drop]]="Scroll", 2000*DropAnalityka[[#This Row],[Quality/Quantity]],0)</f>
        <v>0</v>
      </c>
      <c r="K1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3" spans="10:12">
      <c r="J1583">
        <f>DropAnalityka[[#This Row],[Sell Drop]]+IF(DropAnalityka[[#This Row],[Drop]]="Scroll", 2000*DropAnalityka[[#This Row],[Quality/Quantity]],0)</f>
        <v>0</v>
      </c>
      <c r="K1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4" spans="10:12">
      <c r="J1584">
        <f>DropAnalityka[[#This Row],[Sell Drop]]+IF(DropAnalityka[[#This Row],[Drop]]="Scroll", 2000*DropAnalityka[[#This Row],[Quality/Quantity]],0)</f>
        <v>0</v>
      </c>
      <c r="K1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5" spans="10:12">
      <c r="J1585">
        <f>DropAnalityka[[#This Row],[Sell Drop]]+IF(DropAnalityka[[#This Row],[Drop]]="Scroll", 2000*DropAnalityka[[#This Row],[Quality/Quantity]],0)</f>
        <v>0</v>
      </c>
      <c r="K1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6" spans="10:12">
      <c r="J1586">
        <f>DropAnalityka[[#This Row],[Sell Drop]]+IF(DropAnalityka[[#This Row],[Drop]]="Scroll", 2000*DropAnalityka[[#This Row],[Quality/Quantity]],0)</f>
        <v>0</v>
      </c>
      <c r="K1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7" spans="10:12">
      <c r="J1587">
        <f>DropAnalityka[[#This Row],[Sell Drop]]+IF(DropAnalityka[[#This Row],[Drop]]="Scroll", 2000*DropAnalityka[[#This Row],[Quality/Quantity]],0)</f>
        <v>0</v>
      </c>
      <c r="K1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8" spans="10:12">
      <c r="J1588">
        <f>DropAnalityka[[#This Row],[Sell Drop]]+IF(DropAnalityka[[#This Row],[Drop]]="Scroll", 2000*DropAnalityka[[#This Row],[Quality/Quantity]],0)</f>
        <v>0</v>
      </c>
      <c r="K1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89" spans="10:12">
      <c r="J1589">
        <f>DropAnalityka[[#This Row],[Sell Drop]]+IF(DropAnalityka[[#This Row],[Drop]]="Scroll", 2000*DropAnalityka[[#This Row],[Quality/Quantity]],0)</f>
        <v>0</v>
      </c>
      <c r="K1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0" spans="10:12">
      <c r="J1590">
        <f>DropAnalityka[[#This Row],[Sell Drop]]+IF(DropAnalityka[[#This Row],[Drop]]="Scroll", 2000*DropAnalityka[[#This Row],[Quality/Quantity]],0)</f>
        <v>0</v>
      </c>
      <c r="K1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1" spans="10:12">
      <c r="J1591">
        <f>DropAnalityka[[#This Row],[Sell Drop]]+IF(DropAnalityka[[#This Row],[Drop]]="Scroll", 2000*DropAnalityka[[#This Row],[Quality/Quantity]],0)</f>
        <v>0</v>
      </c>
      <c r="K1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2" spans="10:12">
      <c r="J1592">
        <f>DropAnalityka[[#This Row],[Sell Drop]]+IF(DropAnalityka[[#This Row],[Drop]]="Scroll", 2000*DropAnalityka[[#This Row],[Quality/Quantity]],0)</f>
        <v>0</v>
      </c>
      <c r="K1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3" spans="10:12">
      <c r="J1593">
        <f>DropAnalityka[[#This Row],[Sell Drop]]+IF(DropAnalityka[[#This Row],[Drop]]="Scroll", 2000*DropAnalityka[[#This Row],[Quality/Quantity]],0)</f>
        <v>0</v>
      </c>
      <c r="K1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4" spans="10:12">
      <c r="J1594">
        <f>DropAnalityka[[#This Row],[Sell Drop]]+IF(DropAnalityka[[#This Row],[Drop]]="Scroll", 2000*DropAnalityka[[#This Row],[Quality/Quantity]],0)</f>
        <v>0</v>
      </c>
      <c r="K1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5" spans="10:12">
      <c r="J1595">
        <f>DropAnalityka[[#This Row],[Sell Drop]]+IF(DropAnalityka[[#This Row],[Drop]]="Scroll", 2000*DropAnalityka[[#This Row],[Quality/Quantity]],0)</f>
        <v>0</v>
      </c>
      <c r="K1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6" spans="10:12">
      <c r="J1596">
        <f>DropAnalityka[[#This Row],[Sell Drop]]+IF(DropAnalityka[[#This Row],[Drop]]="Scroll", 2000*DropAnalityka[[#This Row],[Quality/Quantity]],0)</f>
        <v>0</v>
      </c>
      <c r="K1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7" spans="10:12">
      <c r="J1597">
        <f>DropAnalityka[[#This Row],[Sell Drop]]+IF(DropAnalityka[[#This Row],[Drop]]="Scroll", 2000*DropAnalityka[[#This Row],[Quality/Quantity]],0)</f>
        <v>0</v>
      </c>
      <c r="K1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8" spans="10:12">
      <c r="J1598">
        <f>DropAnalityka[[#This Row],[Sell Drop]]+IF(DropAnalityka[[#This Row],[Drop]]="Scroll", 2000*DropAnalityka[[#This Row],[Quality/Quantity]],0)</f>
        <v>0</v>
      </c>
      <c r="K1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599" spans="10:12">
      <c r="J1599">
        <f>DropAnalityka[[#This Row],[Sell Drop]]+IF(DropAnalityka[[#This Row],[Drop]]="Scroll", 2000*DropAnalityka[[#This Row],[Quality/Quantity]],0)</f>
        <v>0</v>
      </c>
      <c r="K1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0" spans="10:12">
      <c r="J1600">
        <f>DropAnalityka[[#This Row],[Sell Drop]]+IF(DropAnalityka[[#This Row],[Drop]]="Scroll", 2000*DropAnalityka[[#This Row],[Quality/Quantity]],0)</f>
        <v>0</v>
      </c>
      <c r="K1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1" spans="10:12">
      <c r="J1601">
        <f>DropAnalityka[[#This Row],[Sell Drop]]+IF(DropAnalityka[[#This Row],[Drop]]="Scroll", 2000*DropAnalityka[[#This Row],[Quality/Quantity]],0)</f>
        <v>0</v>
      </c>
      <c r="K1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2" spans="10:12">
      <c r="J1602">
        <f>DropAnalityka[[#This Row],[Sell Drop]]+IF(DropAnalityka[[#This Row],[Drop]]="Scroll", 2000*DropAnalityka[[#This Row],[Quality/Quantity]],0)</f>
        <v>0</v>
      </c>
      <c r="K1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3" spans="10:12">
      <c r="J1603">
        <f>DropAnalityka[[#This Row],[Sell Drop]]+IF(DropAnalityka[[#This Row],[Drop]]="Scroll", 2000*DropAnalityka[[#This Row],[Quality/Quantity]],0)</f>
        <v>0</v>
      </c>
      <c r="K1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4" spans="10:12">
      <c r="J1604">
        <f>DropAnalityka[[#This Row],[Sell Drop]]+IF(DropAnalityka[[#This Row],[Drop]]="Scroll", 2000*DropAnalityka[[#This Row],[Quality/Quantity]],0)</f>
        <v>0</v>
      </c>
      <c r="K1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5" spans="10:12">
      <c r="J1605">
        <f>DropAnalityka[[#This Row],[Sell Drop]]+IF(DropAnalityka[[#This Row],[Drop]]="Scroll", 2000*DropAnalityka[[#This Row],[Quality/Quantity]],0)</f>
        <v>0</v>
      </c>
      <c r="K1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6" spans="10:12">
      <c r="J1606">
        <f>DropAnalityka[[#This Row],[Sell Drop]]+IF(DropAnalityka[[#This Row],[Drop]]="Scroll", 2000*DropAnalityka[[#This Row],[Quality/Quantity]],0)</f>
        <v>0</v>
      </c>
      <c r="K1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7" spans="10:12">
      <c r="J1607">
        <f>DropAnalityka[[#This Row],[Sell Drop]]+IF(DropAnalityka[[#This Row],[Drop]]="Scroll", 2000*DropAnalityka[[#This Row],[Quality/Quantity]],0)</f>
        <v>0</v>
      </c>
      <c r="K1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8" spans="10:12">
      <c r="J1608">
        <f>DropAnalityka[[#This Row],[Sell Drop]]+IF(DropAnalityka[[#This Row],[Drop]]="Scroll", 2000*DropAnalityka[[#This Row],[Quality/Quantity]],0)</f>
        <v>0</v>
      </c>
      <c r="K1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09" spans="10:12">
      <c r="J1609">
        <f>DropAnalityka[[#This Row],[Sell Drop]]+IF(DropAnalityka[[#This Row],[Drop]]="Scroll", 2000*DropAnalityka[[#This Row],[Quality/Quantity]],0)</f>
        <v>0</v>
      </c>
      <c r="K1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0" spans="10:12">
      <c r="J1610">
        <f>DropAnalityka[[#This Row],[Sell Drop]]+IF(DropAnalityka[[#This Row],[Drop]]="Scroll", 2000*DropAnalityka[[#This Row],[Quality/Quantity]],0)</f>
        <v>0</v>
      </c>
      <c r="K1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1" spans="10:12">
      <c r="J1611">
        <f>DropAnalityka[[#This Row],[Sell Drop]]+IF(DropAnalityka[[#This Row],[Drop]]="Scroll", 2000*DropAnalityka[[#This Row],[Quality/Quantity]],0)</f>
        <v>0</v>
      </c>
      <c r="K1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2" spans="10:12">
      <c r="J1612">
        <f>DropAnalityka[[#This Row],[Sell Drop]]+IF(DropAnalityka[[#This Row],[Drop]]="Scroll", 2000*DropAnalityka[[#This Row],[Quality/Quantity]],0)</f>
        <v>0</v>
      </c>
      <c r="K1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3" spans="10:12">
      <c r="J1613">
        <f>DropAnalityka[[#This Row],[Sell Drop]]+IF(DropAnalityka[[#This Row],[Drop]]="Scroll", 2000*DropAnalityka[[#This Row],[Quality/Quantity]],0)</f>
        <v>0</v>
      </c>
      <c r="K1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4" spans="10:12">
      <c r="J1614">
        <f>DropAnalityka[[#This Row],[Sell Drop]]+IF(DropAnalityka[[#This Row],[Drop]]="Scroll", 2000*DropAnalityka[[#This Row],[Quality/Quantity]],0)</f>
        <v>0</v>
      </c>
      <c r="K1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5" spans="10:12">
      <c r="J1615">
        <f>DropAnalityka[[#This Row],[Sell Drop]]+IF(DropAnalityka[[#This Row],[Drop]]="Scroll", 2000*DropAnalityka[[#This Row],[Quality/Quantity]],0)</f>
        <v>0</v>
      </c>
      <c r="K1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6" spans="10:12">
      <c r="J1616">
        <f>DropAnalityka[[#This Row],[Sell Drop]]+IF(DropAnalityka[[#This Row],[Drop]]="Scroll", 2000*DropAnalityka[[#This Row],[Quality/Quantity]],0)</f>
        <v>0</v>
      </c>
      <c r="K1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7" spans="10:12">
      <c r="J1617">
        <f>DropAnalityka[[#This Row],[Sell Drop]]+IF(DropAnalityka[[#This Row],[Drop]]="Scroll", 2000*DropAnalityka[[#This Row],[Quality/Quantity]],0)</f>
        <v>0</v>
      </c>
      <c r="K1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8" spans="10:12">
      <c r="J1618">
        <f>DropAnalityka[[#This Row],[Sell Drop]]+IF(DropAnalityka[[#This Row],[Drop]]="Scroll", 2000*DropAnalityka[[#This Row],[Quality/Quantity]],0)</f>
        <v>0</v>
      </c>
      <c r="K1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19" spans="10:12">
      <c r="J1619">
        <f>DropAnalityka[[#This Row],[Sell Drop]]+IF(DropAnalityka[[#This Row],[Drop]]="Scroll", 2000*DropAnalityka[[#This Row],[Quality/Quantity]],0)</f>
        <v>0</v>
      </c>
      <c r="K1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0" spans="10:12">
      <c r="J1620">
        <f>DropAnalityka[[#This Row],[Sell Drop]]+IF(DropAnalityka[[#This Row],[Drop]]="Scroll", 2000*DropAnalityka[[#This Row],[Quality/Quantity]],0)</f>
        <v>0</v>
      </c>
      <c r="K1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1" spans="10:12">
      <c r="J1621">
        <f>DropAnalityka[[#This Row],[Sell Drop]]+IF(DropAnalityka[[#This Row],[Drop]]="Scroll", 2000*DropAnalityka[[#This Row],[Quality/Quantity]],0)</f>
        <v>0</v>
      </c>
      <c r="K1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2" spans="10:12">
      <c r="J1622">
        <f>DropAnalityka[[#This Row],[Sell Drop]]+IF(DropAnalityka[[#This Row],[Drop]]="Scroll", 2000*DropAnalityka[[#This Row],[Quality/Quantity]],0)</f>
        <v>0</v>
      </c>
      <c r="K1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3" spans="10:12">
      <c r="J1623">
        <f>DropAnalityka[[#This Row],[Sell Drop]]+IF(DropAnalityka[[#This Row],[Drop]]="Scroll", 2000*DropAnalityka[[#This Row],[Quality/Quantity]],0)</f>
        <v>0</v>
      </c>
      <c r="K1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4" spans="10:12">
      <c r="J1624">
        <f>DropAnalityka[[#This Row],[Sell Drop]]+IF(DropAnalityka[[#This Row],[Drop]]="Scroll", 2000*DropAnalityka[[#This Row],[Quality/Quantity]],0)</f>
        <v>0</v>
      </c>
      <c r="K1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5" spans="10:12">
      <c r="J1625">
        <f>DropAnalityka[[#This Row],[Sell Drop]]+IF(DropAnalityka[[#This Row],[Drop]]="Scroll", 2000*DropAnalityka[[#This Row],[Quality/Quantity]],0)</f>
        <v>0</v>
      </c>
      <c r="K1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6" spans="10:12">
      <c r="J1626">
        <f>DropAnalityka[[#This Row],[Sell Drop]]+IF(DropAnalityka[[#This Row],[Drop]]="Scroll", 2000*DropAnalityka[[#This Row],[Quality/Quantity]],0)</f>
        <v>0</v>
      </c>
      <c r="K1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7" spans="10:12">
      <c r="J1627">
        <f>DropAnalityka[[#This Row],[Sell Drop]]+IF(DropAnalityka[[#This Row],[Drop]]="Scroll", 2000*DropAnalityka[[#This Row],[Quality/Quantity]],0)</f>
        <v>0</v>
      </c>
      <c r="K1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8" spans="10:12">
      <c r="J1628">
        <f>DropAnalityka[[#This Row],[Sell Drop]]+IF(DropAnalityka[[#This Row],[Drop]]="Scroll", 2000*DropAnalityka[[#This Row],[Quality/Quantity]],0)</f>
        <v>0</v>
      </c>
      <c r="K1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29" spans="10:12">
      <c r="J1629">
        <f>DropAnalityka[[#This Row],[Sell Drop]]+IF(DropAnalityka[[#This Row],[Drop]]="Scroll", 2000*DropAnalityka[[#This Row],[Quality/Quantity]],0)</f>
        <v>0</v>
      </c>
      <c r="K1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0" spans="10:12">
      <c r="J1630">
        <f>DropAnalityka[[#This Row],[Sell Drop]]+IF(DropAnalityka[[#This Row],[Drop]]="Scroll", 2000*DropAnalityka[[#This Row],[Quality/Quantity]],0)</f>
        <v>0</v>
      </c>
      <c r="K1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1" spans="10:12">
      <c r="J1631">
        <f>DropAnalityka[[#This Row],[Sell Drop]]+IF(DropAnalityka[[#This Row],[Drop]]="Scroll", 2000*DropAnalityka[[#This Row],[Quality/Quantity]],0)</f>
        <v>0</v>
      </c>
      <c r="K1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2" spans="10:12">
      <c r="J1632">
        <f>DropAnalityka[[#This Row],[Sell Drop]]+IF(DropAnalityka[[#This Row],[Drop]]="Scroll", 2000*DropAnalityka[[#This Row],[Quality/Quantity]],0)</f>
        <v>0</v>
      </c>
      <c r="K1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3" spans="10:12">
      <c r="J1633">
        <f>DropAnalityka[[#This Row],[Sell Drop]]+IF(DropAnalityka[[#This Row],[Drop]]="Scroll", 2000*DropAnalityka[[#This Row],[Quality/Quantity]],0)</f>
        <v>0</v>
      </c>
      <c r="K1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4" spans="10:12">
      <c r="J1634">
        <f>DropAnalityka[[#This Row],[Sell Drop]]+IF(DropAnalityka[[#This Row],[Drop]]="Scroll", 2000*DropAnalityka[[#This Row],[Quality/Quantity]],0)</f>
        <v>0</v>
      </c>
      <c r="K1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5" spans="10:12">
      <c r="J1635">
        <f>DropAnalityka[[#This Row],[Sell Drop]]+IF(DropAnalityka[[#This Row],[Drop]]="Scroll", 2000*DropAnalityka[[#This Row],[Quality/Quantity]],0)</f>
        <v>0</v>
      </c>
      <c r="K1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6" spans="10:12">
      <c r="J1636">
        <f>DropAnalityka[[#This Row],[Sell Drop]]+IF(DropAnalityka[[#This Row],[Drop]]="Scroll", 2000*DropAnalityka[[#This Row],[Quality/Quantity]],0)</f>
        <v>0</v>
      </c>
      <c r="K1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7" spans="10:12">
      <c r="J1637">
        <f>DropAnalityka[[#This Row],[Sell Drop]]+IF(DropAnalityka[[#This Row],[Drop]]="Scroll", 2000*DropAnalityka[[#This Row],[Quality/Quantity]],0)</f>
        <v>0</v>
      </c>
      <c r="K1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8" spans="10:12">
      <c r="J1638">
        <f>DropAnalityka[[#This Row],[Sell Drop]]+IF(DropAnalityka[[#This Row],[Drop]]="Scroll", 2000*DropAnalityka[[#This Row],[Quality/Quantity]],0)</f>
        <v>0</v>
      </c>
      <c r="K1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39" spans="10:12">
      <c r="J1639">
        <f>DropAnalityka[[#This Row],[Sell Drop]]+IF(DropAnalityka[[#This Row],[Drop]]="Scroll", 2000*DropAnalityka[[#This Row],[Quality/Quantity]],0)</f>
        <v>0</v>
      </c>
      <c r="K1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0" spans="10:12">
      <c r="J1640">
        <f>DropAnalityka[[#This Row],[Sell Drop]]+IF(DropAnalityka[[#This Row],[Drop]]="Scroll", 2000*DropAnalityka[[#This Row],[Quality/Quantity]],0)</f>
        <v>0</v>
      </c>
      <c r="K1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1" spans="10:12">
      <c r="J1641">
        <f>DropAnalityka[[#This Row],[Sell Drop]]+IF(DropAnalityka[[#This Row],[Drop]]="Scroll", 2000*DropAnalityka[[#This Row],[Quality/Quantity]],0)</f>
        <v>0</v>
      </c>
      <c r="K1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2" spans="10:12">
      <c r="J1642">
        <f>DropAnalityka[[#This Row],[Sell Drop]]+IF(DropAnalityka[[#This Row],[Drop]]="Scroll", 2000*DropAnalityka[[#This Row],[Quality/Quantity]],0)</f>
        <v>0</v>
      </c>
      <c r="K1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3" spans="10:12">
      <c r="J1643">
        <f>DropAnalityka[[#This Row],[Sell Drop]]+IF(DropAnalityka[[#This Row],[Drop]]="Scroll", 2000*DropAnalityka[[#This Row],[Quality/Quantity]],0)</f>
        <v>0</v>
      </c>
      <c r="K1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4" spans="10:12">
      <c r="J1644">
        <f>DropAnalityka[[#This Row],[Sell Drop]]+IF(DropAnalityka[[#This Row],[Drop]]="Scroll", 2000*DropAnalityka[[#This Row],[Quality/Quantity]],0)</f>
        <v>0</v>
      </c>
      <c r="K1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5" spans="10:12">
      <c r="J1645">
        <f>DropAnalityka[[#This Row],[Sell Drop]]+IF(DropAnalityka[[#This Row],[Drop]]="Scroll", 2000*DropAnalityka[[#This Row],[Quality/Quantity]],0)</f>
        <v>0</v>
      </c>
      <c r="K1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6" spans="10:12">
      <c r="J1646">
        <f>DropAnalityka[[#This Row],[Sell Drop]]+IF(DropAnalityka[[#This Row],[Drop]]="Scroll", 2000*DropAnalityka[[#This Row],[Quality/Quantity]],0)</f>
        <v>0</v>
      </c>
      <c r="K1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7" spans="10:12">
      <c r="J1647">
        <f>DropAnalityka[[#This Row],[Sell Drop]]+IF(DropAnalityka[[#This Row],[Drop]]="Scroll", 2000*DropAnalityka[[#This Row],[Quality/Quantity]],0)</f>
        <v>0</v>
      </c>
      <c r="K1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8" spans="10:12">
      <c r="J1648">
        <f>DropAnalityka[[#This Row],[Sell Drop]]+IF(DropAnalityka[[#This Row],[Drop]]="Scroll", 2000*DropAnalityka[[#This Row],[Quality/Quantity]],0)</f>
        <v>0</v>
      </c>
      <c r="K1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49" spans="10:12">
      <c r="J1649">
        <f>DropAnalityka[[#This Row],[Sell Drop]]+IF(DropAnalityka[[#This Row],[Drop]]="Scroll", 2000*DropAnalityka[[#This Row],[Quality/Quantity]],0)</f>
        <v>0</v>
      </c>
      <c r="K1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0" spans="10:12">
      <c r="J1650">
        <f>DropAnalityka[[#This Row],[Sell Drop]]+IF(DropAnalityka[[#This Row],[Drop]]="Scroll", 2000*DropAnalityka[[#This Row],[Quality/Quantity]],0)</f>
        <v>0</v>
      </c>
      <c r="K1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1" spans="10:12">
      <c r="J1651">
        <f>DropAnalityka[[#This Row],[Sell Drop]]+IF(DropAnalityka[[#This Row],[Drop]]="Scroll", 2000*DropAnalityka[[#This Row],[Quality/Quantity]],0)</f>
        <v>0</v>
      </c>
      <c r="K1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2" spans="10:12">
      <c r="J1652">
        <f>DropAnalityka[[#This Row],[Sell Drop]]+IF(DropAnalityka[[#This Row],[Drop]]="Scroll", 2000*DropAnalityka[[#This Row],[Quality/Quantity]],0)</f>
        <v>0</v>
      </c>
      <c r="K1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3" spans="10:12">
      <c r="J1653">
        <f>DropAnalityka[[#This Row],[Sell Drop]]+IF(DropAnalityka[[#This Row],[Drop]]="Scroll", 2000*DropAnalityka[[#This Row],[Quality/Quantity]],0)</f>
        <v>0</v>
      </c>
      <c r="K1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4" spans="10:12">
      <c r="J1654">
        <f>DropAnalityka[[#This Row],[Sell Drop]]+IF(DropAnalityka[[#This Row],[Drop]]="Scroll", 2000*DropAnalityka[[#This Row],[Quality/Quantity]],0)</f>
        <v>0</v>
      </c>
      <c r="K1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5" spans="10:12">
      <c r="J1655">
        <f>DropAnalityka[[#This Row],[Sell Drop]]+IF(DropAnalityka[[#This Row],[Drop]]="Scroll", 2000*DropAnalityka[[#This Row],[Quality/Quantity]],0)</f>
        <v>0</v>
      </c>
      <c r="K1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6" spans="10:12">
      <c r="J1656">
        <f>DropAnalityka[[#This Row],[Sell Drop]]+IF(DropAnalityka[[#This Row],[Drop]]="Scroll", 2000*DropAnalityka[[#This Row],[Quality/Quantity]],0)</f>
        <v>0</v>
      </c>
      <c r="K1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7" spans="10:12">
      <c r="J1657">
        <f>DropAnalityka[[#This Row],[Sell Drop]]+IF(DropAnalityka[[#This Row],[Drop]]="Scroll", 2000*DropAnalityka[[#This Row],[Quality/Quantity]],0)</f>
        <v>0</v>
      </c>
      <c r="K1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8" spans="10:12">
      <c r="J1658">
        <f>DropAnalityka[[#This Row],[Sell Drop]]+IF(DropAnalityka[[#This Row],[Drop]]="Scroll", 2000*DropAnalityka[[#This Row],[Quality/Quantity]],0)</f>
        <v>0</v>
      </c>
      <c r="K1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59" spans="10:12">
      <c r="J1659">
        <f>DropAnalityka[[#This Row],[Sell Drop]]+IF(DropAnalityka[[#This Row],[Drop]]="Scroll", 2000*DropAnalityka[[#This Row],[Quality/Quantity]],0)</f>
        <v>0</v>
      </c>
      <c r="K1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0" spans="10:12">
      <c r="J1660">
        <f>DropAnalityka[[#This Row],[Sell Drop]]+IF(DropAnalityka[[#This Row],[Drop]]="Scroll", 2000*DropAnalityka[[#This Row],[Quality/Quantity]],0)</f>
        <v>0</v>
      </c>
      <c r="K1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1" spans="10:12">
      <c r="J1661">
        <f>DropAnalityka[[#This Row],[Sell Drop]]+IF(DropAnalityka[[#This Row],[Drop]]="Scroll", 2000*DropAnalityka[[#This Row],[Quality/Quantity]],0)</f>
        <v>0</v>
      </c>
      <c r="K1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2" spans="10:12">
      <c r="J1662">
        <f>DropAnalityka[[#This Row],[Sell Drop]]+IF(DropAnalityka[[#This Row],[Drop]]="Scroll", 2000*DropAnalityka[[#This Row],[Quality/Quantity]],0)</f>
        <v>0</v>
      </c>
      <c r="K1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3" spans="10:12">
      <c r="J1663">
        <f>DropAnalityka[[#This Row],[Sell Drop]]+IF(DropAnalityka[[#This Row],[Drop]]="Scroll", 2000*DropAnalityka[[#This Row],[Quality/Quantity]],0)</f>
        <v>0</v>
      </c>
      <c r="K1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4" spans="10:12">
      <c r="J1664">
        <f>DropAnalityka[[#This Row],[Sell Drop]]+IF(DropAnalityka[[#This Row],[Drop]]="Scroll", 2000*DropAnalityka[[#This Row],[Quality/Quantity]],0)</f>
        <v>0</v>
      </c>
      <c r="K1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5" spans="10:12">
      <c r="J1665">
        <f>DropAnalityka[[#This Row],[Sell Drop]]+IF(DropAnalityka[[#This Row],[Drop]]="Scroll", 2000*DropAnalityka[[#This Row],[Quality/Quantity]],0)</f>
        <v>0</v>
      </c>
      <c r="K1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6" spans="10:12">
      <c r="J1666">
        <f>DropAnalityka[[#This Row],[Sell Drop]]+IF(DropAnalityka[[#This Row],[Drop]]="Scroll", 2000*DropAnalityka[[#This Row],[Quality/Quantity]],0)</f>
        <v>0</v>
      </c>
      <c r="K1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7" spans="10:12">
      <c r="J1667">
        <f>DropAnalityka[[#This Row],[Sell Drop]]+IF(DropAnalityka[[#This Row],[Drop]]="Scroll", 2000*DropAnalityka[[#This Row],[Quality/Quantity]],0)</f>
        <v>0</v>
      </c>
      <c r="K1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8" spans="10:12">
      <c r="J1668">
        <f>DropAnalityka[[#This Row],[Sell Drop]]+IF(DropAnalityka[[#This Row],[Drop]]="Scroll", 2000*DropAnalityka[[#This Row],[Quality/Quantity]],0)</f>
        <v>0</v>
      </c>
      <c r="K1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69" spans="10:12">
      <c r="J1669">
        <f>DropAnalityka[[#This Row],[Sell Drop]]+IF(DropAnalityka[[#This Row],[Drop]]="Scroll", 2000*DropAnalityka[[#This Row],[Quality/Quantity]],0)</f>
        <v>0</v>
      </c>
      <c r="K1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0" spans="10:12">
      <c r="J1670">
        <f>DropAnalityka[[#This Row],[Sell Drop]]+IF(DropAnalityka[[#This Row],[Drop]]="Scroll", 2000*DropAnalityka[[#This Row],[Quality/Quantity]],0)</f>
        <v>0</v>
      </c>
      <c r="K1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1" spans="10:12">
      <c r="J1671">
        <f>DropAnalityka[[#This Row],[Sell Drop]]+IF(DropAnalityka[[#This Row],[Drop]]="Scroll", 2000*DropAnalityka[[#This Row],[Quality/Quantity]],0)</f>
        <v>0</v>
      </c>
      <c r="K1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2" spans="10:12">
      <c r="J1672">
        <f>DropAnalityka[[#This Row],[Sell Drop]]+IF(DropAnalityka[[#This Row],[Drop]]="Scroll", 2000*DropAnalityka[[#This Row],[Quality/Quantity]],0)</f>
        <v>0</v>
      </c>
      <c r="K1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3" spans="10:12">
      <c r="J1673">
        <f>DropAnalityka[[#This Row],[Sell Drop]]+IF(DropAnalityka[[#This Row],[Drop]]="Scroll", 2000*DropAnalityka[[#This Row],[Quality/Quantity]],0)</f>
        <v>0</v>
      </c>
      <c r="K1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4" spans="10:12">
      <c r="J1674">
        <f>DropAnalityka[[#This Row],[Sell Drop]]+IF(DropAnalityka[[#This Row],[Drop]]="Scroll", 2000*DropAnalityka[[#This Row],[Quality/Quantity]],0)</f>
        <v>0</v>
      </c>
      <c r="K1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5" spans="10:12">
      <c r="J1675">
        <f>DropAnalityka[[#This Row],[Sell Drop]]+IF(DropAnalityka[[#This Row],[Drop]]="Scroll", 2000*DropAnalityka[[#This Row],[Quality/Quantity]],0)</f>
        <v>0</v>
      </c>
      <c r="K1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6" spans="10:12">
      <c r="J1676">
        <f>DropAnalityka[[#This Row],[Sell Drop]]+IF(DropAnalityka[[#This Row],[Drop]]="Scroll", 2000*DropAnalityka[[#This Row],[Quality/Quantity]],0)</f>
        <v>0</v>
      </c>
      <c r="K1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7" spans="10:12">
      <c r="J1677">
        <f>DropAnalityka[[#This Row],[Sell Drop]]+IF(DropAnalityka[[#This Row],[Drop]]="Scroll", 2000*DropAnalityka[[#This Row],[Quality/Quantity]],0)</f>
        <v>0</v>
      </c>
      <c r="K1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8" spans="10:12">
      <c r="J1678">
        <f>DropAnalityka[[#This Row],[Sell Drop]]+IF(DropAnalityka[[#This Row],[Drop]]="Scroll", 2000*DropAnalityka[[#This Row],[Quality/Quantity]],0)</f>
        <v>0</v>
      </c>
      <c r="K1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79" spans="10:12">
      <c r="J1679">
        <f>DropAnalityka[[#This Row],[Sell Drop]]+IF(DropAnalityka[[#This Row],[Drop]]="Scroll", 2000*DropAnalityka[[#This Row],[Quality/Quantity]],0)</f>
        <v>0</v>
      </c>
      <c r="K1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0" spans="10:12">
      <c r="J1680">
        <f>DropAnalityka[[#This Row],[Sell Drop]]+IF(DropAnalityka[[#This Row],[Drop]]="Scroll", 2000*DropAnalityka[[#This Row],[Quality/Quantity]],0)</f>
        <v>0</v>
      </c>
      <c r="K1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1" spans="10:12">
      <c r="J1681">
        <f>DropAnalityka[[#This Row],[Sell Drop]]+IF(DropAnalityka[[#This Row],[Drop]]="Scroll", 2000*DropAnalityka[[#This Row],[Quality/Quantity]],0)</f>
        <v>0</v>
      </c>
      <c r="K1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2" spans="10:12">
      <c r="J1682">
        <f>DropAnalityka[[#This Row],[Sell Drop]]+IF(DropAnalityka[[#This Row],[Drop]]="Scroll", 2000*DropAnalityka[[#This Row],[Quality/Quantity]],0)</f>
        <v>0</v>
      </c>
      <c r="K1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3" spans="10:12">
      <c r="J1683">
        <f>DropAnalityka[[#This Row],[Sell Drop]]+IF(DropAnalityka[[#This Row],[Drop]]="Scroll", 2000*DropAnalityka[[#This Row],[Quality/Quantity]],0)</f>
        <v>0</v>
      </c>
      <c r="K1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4" spans="10:12">
      <c r="J1684">
        <f>DropAnalityka[[#This Row],[Sell Drop]]+IF(DropAnalityka[[#This Row],[Drop]]="Scroll", 2000*DropAnalityka[[#This Row],[Quality/Quantity]],0)</f>
        <v>0</v>
      </c>
      <c r="K1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5" spans="10:12">
      <c r="J1685">
        <f>DropAnalityka[[#This Row],[Sell Drop]]+IF(DropAnalityka[[#This Row],[Drop]]="Scroll", 2000*DropAnalityka[[#This Row],[Quality/Quantity]],0)</f>
        <v>0</v>
      </c>
      <c r="K1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6" spans="10:12">
      <c r="J1686">
        <f>DropAnalityka[[#This Row],[Sell Drop]]+IF(DropAnalityka[[#This Row],[Drop]]="Scroll", 2000*DropAnalityka[[#This Row],[Quality/Quantity]],0)</f>
        <v>0</v>
      </c>
      <c r="K1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7" spans="10:12">
      <c r="J1687">
        <f>DropAnalityka[[#This Row],[Sell Drop]]+IF(DropAnalityka[[#This Row],[Drop]]="Scroll", 2000*DropAnalityka[[#This Row],[Quality/Quantity]],0)</f>
        <v>0</v>
      </c>
      <c r="K1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8" spans="10:12">
      <c r="J1688">
        <f>DropAnalityka[[#This Row],[Sell Drop]]+IF(DropAnalityka[[#This Row],[Drop]]="Scroll", 2000*DropAnalityka[[#This Row],[Quality/Quantity]],0)</f>
        <v>0</v>
      </c>
      <c r="K1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89" spans="10:12">
      <c r="J1689">
        <f>DropAnalityka[[#This Row],[Sell Drop]]+IF(DropAnalityka[[#This Row],[Drop]]="Scroll", 2000*DropAnalityka[[#This Row],[Quality/Quantity]],0)</f>
        <v>0</v>
      </c>
      <c r="K1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0" spans="10:12">
      <c r="J1690">
        <f>DropAnalityka[[#This Row],[Sell Drop]]+IF(DropAnalityka[[#This Row],[Drop]]="Scroll", 2000*DropAnalityka[[#This Row],[Quality/Quantity]],0)</f>
        <v>0</v>
      </c>
      <c r="K1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1" spans="10:12">
      <c r="J1691">
        <f>DropAnalityka[[#This Row],[Sell Drop]]+IF(DropAnalityka[[#This Row],[Drop]]="Scroll", 2000*DropAnalityka[[#This Row],[Quality/Quantity]],0)</f>
        <v>0</v>
      </c>
      <c r="K1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2" spans="10:12">
      <c r="J1692">
        <f>DropAnalityka[[#This Row],[Sell Drop]]+IF(DropAnalityka[[#This Row],[Drop]]="Scroll", 2000*DropAnalityka[[#This Row],[Quality/Quantity]],0)</f>
        <v>0</v>
      </c>
      <c r="K1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3" spans="10:12">
      <c r="J1693">
        <f>DropAnalityka[[#This Row],[Sell Drop]]+IF(DropAnalityka[[#This Row],[Drop]]="Scroll", 2000*DropAnalityka[[#This Row],[Quality/Quantity]],0)</f>
        <v>0</v>
      </c>
      <c r="K1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4" spans="10:12">
      <c r="J1694">
        <f>DropAnalityka[[#This Row],[Sell Drop]]+IF(DropAnalityka[[#This Row],[Drop]]="Scroll", 2000*DropAnalityka[[#This Row],[Quality/Quantity]],0)</f>
        <v>0</v>
      </c>
      <c r="K1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5" spans="10:12">
      <c r="J1695">
        <f>DropAnalityka[[#This Row],[Sell Drop]]+IF(DropAnalityka[[#This Row],[Drop]]="Scroll", 2000*DropAnalityka[[#This Row],[Quality/Quantity]],0)</f>
        <v>0</v>
      </c>
      <c r="K1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6" spans="10:12">
      <c r="J1696">
        <f>DropAnalityka[[#This Row],[Sell Drop]]+IF(DropAnalityka[[#This Row],[Drop]]="Scroll", 2000*DropAnalityka[[#This Row],[Quality/Quantity]],0)</f>
        <v>0</v>
      </c>
      <c r="K1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7" spans="10:12">
      <c r="J1697">
        <f>DropAnalityka[[#This Row],[Sell Drop]]+IF(DropAnalityka[[#This Row],[Drop]]="Scroll", 2000*DropAnalityka[[#This Row],[Quality/Quantity]],0)</f>
        <v>0</v>
      </c>
      <c r="K1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8" spans="10:12">
      <c r="J1698">
        <f>DropAnalityka[[#This Row],[Sell Drop]]+IF(DropAnalityka[[#This Row],[Drop]]="Scroll", 2000*DropAnalityka[[#This Row],[Quality/Quantity]],0)</f>
        <v>0</v>
      </c>
      <c r="K1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699" spans="10:12">
      <c r="J1699">
        <f>DropAnalityka[[#This Row],[Sell Drop]]+IF(DropAnalityka[[#This Row],[Drop]]="Scroll", 2000*DropAnalityka[[#This Row],[Quality/Quantity]],0)</f>
        <v>0</v>
      </c>
      <c r="K1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0" spans="10:12">
      <c r="J1700">
        <f>DropAnalityka[[#This Row],[Sell Drop]]+IF(DropAnalityka[[#This Row],[Drop]]="Scroll", 2000*DropAnalityka[[#This Row],[Quality/Quantity]],0)</f>
        <v>0</v>
      </c>
      <c r="K1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1" spans="10:12">
      <c r="J1701">
        <f>DropAnalityka[[#This Row],[Sell Drop]]+IF(DropAnalityka[[#This Row],[Drop]]="Scroll", 2000*DropAnalityka[[#This Row],[Quality/Quantity]],0)</f>
        <v>0</v>
      </c>
      <c r="K1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2" spans="10:12">
      <c r="J1702">
        <f>DropAnalityka[[#This Row],[Sell Drop]]+IF(DropAnalityka[[#This Row],[Drop]]="Scroll", 2000*DropAnalityka[[#This Row],[Quality/Quantity]],0)</f>
        <v>0</v>
      </c>
      <c r="K1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3" spans="10:12">
      <c r="J1703">
        <f>DropAnalityka[[#This Row],[Sell Drop]]+IF(DropAnalityka[[#This Row],[Drop]]="Scroll", 2000*DropAnalityka[[#This Row],[Quality/Quantity]],0)</f>
        <v>0</v>
      </c>
      <c r="K1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4" spans="10:12">
      <c r="J1704">
        <f>DropAnalityka[[#This Row],[Sell Drop]]+IF(DropAnalityka[[#This Row],[Drop]]="Scroll", 2000*DropAnalityka[[#This Row],[Quality/Quantity]],0)</f>
        <v>0</v>
      </c>
      <c r="K1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5" spans="10:12">
      <c r="J1705">
        <f>DropAnalityka[[#This Row],[Sell Drop]]+IF(DropAnalityka[[#This Row],[Drop]]="Scroll", 2000*DropAnalityka[[#This Row],[Quality/Quantity]],0)</f>
        <v>0</v>
      </c>
      <c r="K1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6" spans="10:12">
      <c r="J1706">
        <f>DropAnalityka[[#This Row],[Sell Drop]]+IF(DropAnalityka[[#This Row],[Drop]]="Scroll", 2000*DropAnalityka[[#This Row],[Quality/Quantity]],0)</f>
        <v>0</v>
      </c>
      <c r="K1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7" spans="10:12">
      <c r="J1707">
        <f>DropAnalityka[[#This Row],[Sell Drop]]+IF(DropAnalityka[[#This Row],[Drop]]="Scroll", 2000*DropAnalityka[[#This Row],[Quality/Quantity]],0)</f>
        <v>0</v>
      </c>
      <c r="K1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8" spans="10:12">
      <c r="J1708">
        <f>DropAnalityka[[#This Row],[Sell Drop]]+IF(DropAnalityka[[#This Row],[Drop]]="Scroll", 2000*DropAnalityka[[#This Row],[Quality/Quantity]],0)</f>
        <v>0</v>
      </c>
      <c r="K1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09" spans="10:12">
      <c r="J1709">
        <f>DropAnalityka[[#This Row],[Sell Drop]]+IF(DropAnalityka[[#This Row],[Drop]]="Scroll", 2000*DropAnalityka[[#This Row],[Quality/Quantity]],0)</f>
        <v>0</v>
      </c>
      <c r="K1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0" spans="10:12">
      <c r="J1710">
        <f>DropAnalityka[[#This Row],[Sell Drop]]+IF(DropAnalityka[[#This Row],[Drop]]="Scroll", 2000*DropAnalityka[[#This Row],[Quality/Quantity]],0)</f>
        <v>0</v>
      </c>
      <c r="K1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1" spans="10:12">
      <c r="J1711">
        <f>DropAnalityka[[#This Row],[Sell Drop]]+IF(DropAnalityka[[#This Row],[Drop]]="Scroll", 2000*DropAnalityka[[#This Row],[Quality/Quantity]],0)</f>
        <v>0</v>
      </c>
      <c r="K1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2" spans="10:12">
      <c r="J1712">
        <f>DropAnalityka[[#This Row],[Sell Drop]]+IF(DropAnalityka[[#This Row],[Drop]]="Scroll", 2000*DropAnalityka[[#This Row],[Quality/Quantity]],0)</f>
        <v>0</v>
      </c>
      <c r="K1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3" spans="10:12">
      <c r="J1713">
        <f>DropAnalityka[[#This Row],[Sell Drop]]+IF(DropAnalityka[[#This Row],[Drop]]="Scroll", 2000*DropAnalityka[[#This Row],[Quality/Quantity]],0)</f>
        <v>0</v>
      </c>
      <c r="K1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4" spans="10:12">
      <c r="J1714">
        <f>DropAnalityka[[#This Row],[Sell Drop]]+IF(DropAnalityka[[#This Row],[Drop]]="Scroll", 2000*DropAnalityka[[#This Row],[Quality/Quantity]],0)</f>
        <v>0</v>
      </c>
      <c r="K1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5" spans="10:12">
      <c r="J1715">
        <f>DropAnalityka[[#This Row],[Sell Drop]]+IF(DropAnalityka[[#This Row],[Drop]]="Scroll", 2000*DropAnalityka[[#This Row],[Quality/Quantity]],0)</f>
        <v>0</v>
      </c>
      <c r="K1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6" spans="10:12">
      <c r="J1716">
        <f>DropAnalityka[[#This Row],[Sell Drop]]+IF(DropAnalityka[[#This Row],[Drop]]="Scroll", 2000*DropAnalityka[[#This Row],[Quality/Quantity]],0)</f>
        <v>0</v>
      </c>
      <c r="K1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7" spans="10:12">
      <c r="J1717">
        <f>DropAnalityka[[#This Row],[Sell Drop]]+IF(DropAnalityka[[#This Row],[Drop]]="Scroll", 2000*DropAnalityka[[#This Row],[Quality/Quantity]],0)</f>
        <v>0</v>
      </c>
      <c r="K1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8" spans="10:12">
      <c r="J1718">
        <f>DropAnalityka[[#This Row],[Sell Drop]]+IF(DropAnalityka[[#This Row],[Drop]]="Scroll", 2000*DropAnalityka[[#This Row],[Quality/Quantity]],0)</f>
        <v>0</v>
      </c>
      <c r="K1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19" spans="10:12">
      <c r="J1719">
        <f>DropAnalityka[[#This Row],[Sell Drop]]+IF(DropAnalityka[[#This Row],[Drop]]="Scroll", 2000*DropAnalityka[[#This Row],[Quality/Quantity]],0)</f>
        <v>0</v>
      </c>
      <c r="K1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0" spans="10:12">
      <c r="J1720">
        <f>DropAnalityka[[#This Row],[Sell Drop]]+IF(DropAnalityka[[#This Row],[Drop]]="Scroll", 2000*DropAnalityka[[#This Row],[Quality/Quantity]],0)</f>
        <v>0</v>
      </c>
      <c r="K1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1" spans="10:12">
      <c r="J1721">
        <f>DropAnalityka[[#This Row],[Sell Drop]]+IF(DropAnalityka[[#This Row],[Drop]]="Scroll", 2000*DropAnalityka[[#This Row],[Quality/Quantity]],0)</f>
        <v>0</v>
      </c>
      <c r="K1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2" spans="10:12">
      <c r="J1722">
        <f>DropAnalityka[[#This Row],[Sell Drop]]+IF(DropAnalityka[[#This Row],[Drop]]="Scroll", 2000*DropAnalityka[[#This Row],[Quality/Quantity]],0)</f>
        <v>0</v>
      </c>
      <c r="K1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3" spans="10:12">
      <c r="J1723">
        <f>DropAnalityka[[#This Row],[Sell Drop]]+IF(DropAnalityka[[#This Row],[Drop]]="Scroll", 2000*DropAnalityka[[#This Row],[Quality/Quantity]],0)</f>
        <v>0</v>
      </c>
      <c r="K1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4" spans="10:12">
      <c r="J1724">
        <f>DropAnalityka[[#This Row],[Sell Drop]]+IF(DropAnalityka[[#This Row],[Drop]]="Scroll", 2000*DropAnalityka[[#This Row],[Quality/Quantity]],0)</f>
        <v>0</v>
      </c>
      <c r="K1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5" spans="10:12">
      <c r="J1725">
        <f>DropAnalityka[[#This Row],[Sell Drop]]+IF(DropAnalityka[[#This Row],[Drop]]="Scroll", 2000*DropAnalityka[[#This Row],[Quality/Quantity]],0)</f>
        <v>0</v>
      </c>
      <c r="K1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6" spans="10:12">
      <c r="J1726">
        <f>DropAnalityka[[#This Row],[Sell Drop]]+IF(DropAnalityka[[#This Row],[Drop]]="Scroll", 2000*DropAnalityka[[#This Row],[Quality/Quantity]],0)</f>
        <v>0</v>
      </c>
      <c r="K1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7" spans="10:12">
      <c r="J1727">
        <f>DropAnalityka[[#This Row],[Sell Drop]]+IF(DropAnalityka[[#This Row],[Drop]]="Scroll", 2000*DropAnalityka[[#This Row],[Quality/Quantity]],0)</f>
        <v>0</v>
      </c>
      <c r="K1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8" spans="10:12">
      <c r="J1728">
        <f>DropAnalityka[[#This Row],[Sell Drop]]+IF(DropAnalityka[[#This Row],[Drop]]="Scroll", 2000*DropAnalityka[[#This Row],[Quality/Quantity]],0)</f>
        <v>0</v>
      </c>
      <c r="K1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29" spans="10:12">
      <c r="J1729">
        <f>DropAnalityka[[#This Row],[Sell Drop]]+IF(DropAnalityka[[#This Row],[Drop]]="Scroll", 2000*DropAnalityka[[#This Row],[Quality/Quantity]],0)</f>
        <v>0</v>
      </c>
      <c r="K1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0" spans="10:12">
      <c r="J1730">
        <f>DropAnalityka[[#This Row],[Sell Drop]]+IF(DropAnalityka[[#This Row],[Drop]]="Scroll", 2000*DropAnalityka[[#This Row],[Quality/Quantity]],0)</f>
        <v>0</v>
      </c>
      <c r="K1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1" spans="10:12">
      <c r="J1731">
        <f>DropAnalityka[[#This Row],[Sell Drop]]+IF(DropAnalityka[[#This Row],[Drop]]="Scroll", 2000*DropAnalityka[[#This Row],[Quality/Quantity]],0)</f>
        <v>0</v>
      </c>
      <c r="K1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2" spans="10:12">
      <c r="J1732">
        <f>DropAnalityka[[#This Row],[Sell Drop]]+IF(DropAnalityka[[#This Row],[Drop]]="Scroll", 2000*DropAnalityka[[#This Row],[Quality/Quantity]],0)</f>
        <v>0</v>
      </c>
      <c r="K1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3" spans="10:12">
      <c r="J1733">
        <f>DropAnalityka[[#This Row],[Sell Drop]]+IF(DropAnalityka[[#This Row],[Drop]]="Scroll", 2000*DropAnalityka[[#This Row],[Quality/Quantity]],0)</f>
        <v>0</v>
      </c>
      <c r="K1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4" spans="10:12">
      <c r="J1734">
        <f>DropAnalityka[[#This Row],[Sell Drop]]+IF(DropAnalityka[[#This Row],[Drop]]="Scroll", 2000*DropAnalityka[[#This Row],[Quality/Quantity]],0)</f>
        <v>0</v>
      </c>
      <c r="K1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5" spans="10:12">
      <c r="J1735">
        <f>DropAnalityka[[#This Row],[Sell Drop]]+IF(DropAnalityka[[#This Row],[Drop]]="Scroll", 2000*DropAnalityka[[#This Row],[Quality/Quantity]],0)</f>
        <v>0</v>
      </c>
      <c r="K1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6" spans="10:12">
      <c r="J1736">
        <f>DropAnalityka[[#This Row],[Sell Drop]]+IF(DropAnalityka[[#This Row],[Drop]]="Scroll", 2000*DropAnalityka[[#This Row],[Quality/Quantity]],0)</f>
        <v>0</v>
      </c>
      <c r="K1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7" spans="10:12">
      <c r="J1737">
        <f>DropAnalityka[[#This Row],[Sell Drop]]+IF(DropAnalityka[[#This Row],[Drop]]="Scroll", 2000*DropAnalityka[[#This Row],[Quality/Quantity]],0)</f>
        <v>0</v>
      </c>
      <c r="K1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8" spans="10:12">
      <c r="J1738">
        <f>DropAnalityka[[#This Row],[Sell Drop]]+IF(DropAnalityka[[#This Row],[Drop]]="Scroll", 2000*DropAnalityka[[#This Row],[Quality/Quantity]],0)</f>
        <v>0</v>
      </c>
      <c r="K1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39" spans="10:12">
      <c r="J1739">
        <f>DropAnalityka[[#This Row],[Sell Drop]]+IF(DropAnalityka[[#This Row],[Drop]]="Scroll", 2000*DropAnalityka[[#This Row],[Quality/Quantity]],0)</f>
        <v>0</v>
      </c>
      <c r="K1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0" spans="10:12">
      <c r="J1740">
        <f>DropAnalityka[[#This Row],[Sell Drop]]+IF(DropAnalityka[[#This Row],[Drop]]="Scroll", 2000*DropAnalityka[[#This Row],[Quality/Quantity]],0)</f>
        <v>0</v>
      </c>
      <c r="K1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1" spans="10:12">
      <c r="J1741">
        <f>DropAnalityka[[#This Row],[Sell Drop]]+IF(DropAnalityka[[#This Row],[Drop]]="Scroll", 2000*DropAnalityka[[#This Row],[Quality/Quantity]],0)</f>
        <v>0</v>
      </c>
      <c r="K1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2" spans="10:12">
      <c r="J1742">
        <f>DropAnalityka[[#This Row],[Sell Drop]]+IF(DropAnalityka[[#This Row],[Drop]]="Scroll", 2000*DropAnalityka[[#This Row],[Quality/Quantity]],0)</f>
        <v>0</v>
      </c>
      <c r="K1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3" spans="10:12">
      <c r="J1743">
        <f>DropAnalityka[[#This Row],[Sell Drop]]+IF(DropAnalityka[[#This Row],[Drop]]="Scroll", 2000*DropAnalityka[[#This Row],[Quality/Quantity]],0)</f>
        <v>0</v>
      </c>
      <c r="K1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4" spans="10:12">
      <c r="J1744">
        <f>DropAnalityka[[#This Row],[Sell Drop]]+IF(DropAnalityka[[#This Row],[Drop]]="Scroll", 2000*DropAnalityka[[#This Row],[Quality/Quantity]],0)</f>
        <v>0</v>
      </c>
      <c r="K1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5" spans="10:12">
      <c r="J1745">
        <f>DropAnalityka[[#This Row],[Sell Drop]]+IF(DropAnalityka[[#This Row],[Drop]]="Scroll", 2000*DropAnalityka[[#This Row],[Quality/Quantity]],0)</f>
        <v>0</v>
      </c>
      <c r="K1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6" spans="10:12">
      <c r="J1746">
        <f>DropAnalityka[[#This Row],[Sell Drop]]+IF(DropAnalityka[[#This Row],[Drop]]="Scroll", 2000*DropAnalityka[[#This Row],[Quality/Quantity]],0)</f>
        <v>0</v>
      </c>
      <c r="K1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7" spans="10:12">
      <c r="J1747">
        <f>DropAnalityka[[#This Row],[Sell Drop]]+IF(DropAnalityka[[#This Row],[Drop]]="Scroll", 2000*DropAnalityka[[#This Row],[Quality/Quantity]],0)</f>
        <v>0</v>
      </c>
      <c r="K1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8" spans="10:12">
      <c r="J1748">
        <f>DropAnalityka[[#This Row],[Sell Drop]]+IF(DropAnalityka[[#This Row],[Drop]]="Scroll", 2000*DropAnalityka[[#This Row],[Quality/Quantity]],0)</f>
        <v>0</v>
      </c>
      <c r="K1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49" spans="10:12">
      <c r="J1749">
        <f>DropAnalityka[[#This Row],[Sell Drop]]+IF(DropAnalityka[[#This Row],[Drop]]="Scroll", 2000*DropAnalityka[[#This Row],[Quality/Quantity]],0)</f>
        <v>0</v>
      </c>
      <c r="K1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0" spans="10:12">
      <c r="J1750">
        <f>DropAnalityka[[#This Row],[Sell Drop]]+IF(DropAnalityka[[#This Row],[Drop]]="Scroll", 2000*DropAnalityka[[#This Row],[Quality/Quantity]],0)</f>
        <v>0</v>
      </c>
      <c r="K1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1" spans="10:12">
      <c r="J1751">
        <f>DropAnalityka[[#This Row],[Sell Drop]]+IF(DropAnalityka[[#This Row],[Drop]]="Scroll", 2000*DropAnalityka[[#This Row],[Quality/Quantity]],0)</f>
        <v>0</v>
      </c>
      <c r="K1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2" spans="10:12">
      <c r="J1752">
        <f>DropAnalityka[[#This Row],[Sell Drop]]+IF(DropAnalityka[[#This Row],[Drop]]="Scroll", 2000*DropAnalityka[[#This Row],[Quality/Quantity]],0)</f>
        <v>0</v>
      </c>
      <c r="K17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3" spans="10:12">
      <c r="J1753">
        <f>DropAnalityka[[#This Row],[Sell Drop]]+IF(DropAnalityka[[#This Row],[Drop]]="Scroll", 2000*DropAnalityka[[#This Row],[Quality/Quantity]],0)</f>
        <v>0</v>
      </c>
      <c r="K1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4" spans="10:12">
      <c r="J1754">
        <f>DropAnalityka[[#This Row],[Sell Drop]]+IF(DropAnalityka[[#This Row],[Drop]]="Scroll", 2000*DropAnalityka[[#This Row],[Quality/Quantity]],0)</f>
        <v>0</v>
      </c>
      <c r="K1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5" spans="10:12">
      <c r="J1755">
        <f>DropAnalityka[[#This Row],[Sell Drop]]+IF(DropAnalityka[[#This Row],[Drop]]="Scroll", 2000*DropAnalityka[[#This Row],[Quality/Quantity]],0)</f>
        <v>0</v>
      </c>
      <c r="K1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6" spans="10:12">
      <c r="J1756">
        <f>DropAnalityka[[#This Row],[Sell Drop]]+IF(DropAnalityka[[#This Row],[Drop]]="Scroll", 2000*DropAnalityka[[#This Row],[Quality/Quantity]],0)</f>
        <v>0</v>
      </c>
      <c r="K1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7" spans="10:12">
      <c r="J1757">
        <f>DropAnalityka[[#This Row],[Sell Drop]]+IF(DropAnalityka[[#This Row],[Drop]]="Scroll", 2000*DropAnalityka[[#This Row],[Quality/Quantity]],0)</f>
        <v>0</v>
      </c>
      <c r="K1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8" spans="10:12">
      <c r="J1758">
        <f>DropAnalityka[[#This Row],[Sell Drop]]+IF(DropAnalityka[[#This Row],[Drop]]="Scroll", 2000*DropAnalityka[[#This Row],[Quality/Quantity]],0)</f>
        <v>0</v>
      </c>
      <c r="K1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59" spans="10:12">
      <c r="J1759">
        <f>DropAnalityka[[#This Row],[Sell Drop]]+IF(DropAnalityka[[#This Row],[Drop]]="Scroll", 2000*DropAnalityka[[#This Row],[Quality/Quantity]],0)</f>
        <v>0</v>
      </c>
      <c r="K1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0" spans="10:12">
      <c r="J1760">
        <f>DropAnalityka[[#This Row],[Sell Drop]]+IF(DropAnalityka[[#This Row],[Drop]]="Scroll", 2000*DropAnalityka[[#This Row],[Quality/Quantity]],0)</f>
        <v>0</v>
      </c>
      <c r="K1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1" spans="10:12">
      <c r="J1761">
        <f>DropAnalityka[[#This Row],[Sell Drop]]+IF(DropAnalityka[[#This Row],[Drop]]="Scroll", 2000*DropAnalityka[[#This Row],[Quality/Quantity]],0)</f>
        <v>0</v>
      </c>
      <c r="K1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2" spans="10:12">
      <c r="J1762">
        <f>DropAnalityka[[#This Row],[Sell Drop]]+IF(DropAnalityka[[#This Row],[Drop]]="Scroll", 2000*DropAnalityka[[#This Row],[Quality/Quantity]],0)</f>
        <v>0</v>
      </c>
      <c r="K1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3" spans="10:12">
      <c r="J1763">
        <f>DropAnalityka[[#This Row],[Sell Drop]]+IF(DropAnalityka[[#This Row],[Drop]]="Scroll", 2000*DropAnalityka[[#This Row],[Quality/Quantity]],0)</f>
        <v>0</v>
      </c>
      <c r="K1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4" spans="10:12">
      <c r="J1764">
        <f>DropAnalityka[[#This Row],[Sell Drop]]+IF(DropAnalityka[[#This Row],[Drop]]="Scroll", 2000*DropAnalityka[[#This Row],[Quality/Quantity]],0)</f>
        <v>0</v>
      </c>
      <c r="K1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5" spans="10:12">
      <c r="J1765">
        <f>DropAnalityka[[#This Row],[Sell Drop]]+IF(DropAnalityka[[#This Row],[Drop]]="Scroll", 2000*DropAnalityka[[#This Row],[Quality/Quantity]],0)</f>
        <v>0</v>
      </c>
      <c r="K1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6" spans="10:12">
      <c r="J1766">
        <f>DropAnalityka[[#This Row],[Sell Drop]]+IF(DropAnalityka[[#This Row],[Drop]]="Scroll", 2000*DropAnalityka[[#This Row],[Quality/Quantity]],0)</f>
        <v>0</v>
      </c>
      <c r="K1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7" spans="10:12">
      <c r="J1767">
        <f>DropAnalityka[[#This Row],[Sell Drop]]+IF(DropAnalityka[[#This Row],[Drop]]="Scroll", 2000*DropAnalityka[[#This Row],[Quality/Quantity]],0)</f>
        <v>0</v>
      </c>
      <c r="K1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8" spans="10:12">
      <c r="J1768">
        <f>DropAnalityka[[#This Row],[Sell Drop]]+IF(DropAnalityka[[#This Row],[Drop]]="Scroll", 2000*DropAnalityka[[#This Row],[Quality/Quantity]],0)</f>
        <v>0</v>
      </c>
      <c r="K1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69" spans="10:12">
      <c r="J1769">
        <f>DropAnalityka[[#This Row],[Sell Drop]]+IF(DropAnalityka[[#This Row],[Drop]]="Scroll", 2000*DropAnalityka[[#This Row],[Quality/Quantity]],0)</f>
        <v>0</v>
      </c>
      <c r="K1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0" spans="10:12">
      <c r="J1770">
        <f>DropAnalityka[[#This Row],[Sell Drop]]+IF(DropAnalityka[[#This Row],[Drop]]="Scroll", 2000*DropAnalityka[[#This Row],[Quality/Quantity]],0)</f>
        <v>0</v>
      </c>
      <c r="K1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1" spans="10:12">
      <c r="J1771">
        <f>DropAnalityka[[#This Row],[Sell Drop]]+IF(DropAnalityka[[#This Row],[Drop]]="Scroll", 2000*DropAnalityka[[#This Row],[Quality/Quantity]],0)</f>
        <v>0</v>
      </c>
      <c r="K1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2" spans="10:12">
      <c r="J1772">
        <f>DropAnalityka[[#This Row],[Sell Drop]]+IF(DropAnalityka[[#This Row],[Drop]]="Scroll", 2000*DropAnalityka[[#This Row],[Quality/Quantity]],0)</f>
        <v>0</v>
      </c>
      <c r="K1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3" spans="10:12">
      <c r="J1773">
        <f>DropAnalityka[[#This Row],[Sell Drop]]+IF(DropAnalityka[[#This Row],[Drop]]="Scroll", 2000*DropAnalityka[[#This Row],[Quality/Quantity]],0)</f>
        <v>0</v>
      </c>
      <c r="K1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4" spans="10:12">
      <c r="J1774">
        <f>DropAnalityka[[#This Row],[Sell Drop]]+IF(DropAnalityka[[#This Row],[Drop]]="Scroll", 2000*DropAnalityka[[#This Row],[Quality/Quantity]],0)</f>
        <v>0</v>
      </c>
      <c r="K1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5" spans="10:12">
      <c r="J1775">
        <f>DropAnalityka[[#This Row],[Sell Drop]]+IF(DropAnalityka[[#This Row],[Drop]]="Scroll", 2000*DropAnalityka[[#This Row],[Quality/Quantity]],0)</f>
        <v>0</v>
      </c>
      <c r="K1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6" spans="10:12">
      <c r="J1776">
        <f>DropAnalityka[[#This Row],[Sell Drop]]+IF(DropAnalityka[[#This Row],[Drop]]="Scroll", 2000*DropAnalityka[[#This Row],[Quality/Quantity]],0)</f>
        <v>0</v>
      </c>
      <c r="K1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7" spans="10:12">
      <c r="J1777">
        <f>DropAnalityka[[#This Row],[Sell Drop]]+IF(DropAnalityka[[#This Row],[Drop]]="Scroll", 2000*DropAnalityka[[#This Row],[Quality/Quantity]],0)</f>
        <v>0</v>
      </c>
      <c r="K1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8" spans="10:12">
      <c r="J1778">
        <f>DropAnalityka[[#This Row],[Sell Drop]]+IF(DropAnalityka[[#This Row],[Drop]]="Scroll", 2000*DropAnalityka[[#This Row],[Quality/Quantity]],0)</f>
        <v>0</v>
      </c>
      <c r="K1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79" spans="10:12">
      <c r="J1779">
        <f>DropAnalityka[[#This Row],[Sell Drop]]+IF(DropAnalityka[[#This Row],[Drop]]="Scroll", 2000*DropAnalityka[[#This Row],[Quality/Quantity]],0)</f>
        <v>0</v>
      </c>
      <c r="K1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0" spans="10:12">
      <c r="J1780">
        <f>DropAnalityka[[#This Row],[Sell Drop]]+IF(DropAnalityka[[#This Row],[Drop]]="Scroll", 2000*DropAnalityka[[#This Row],[Quality/Quantity]],0)</f>
        <v>0</v>
      </c>
      <c r="K1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1" spans="10:12">
      <c r="J1781">
        <f>DropAnalityka[[#This Row],[Sell Drop]]+IF(DropAnalityka[[#This Row],[Drop]]="Scroll", 2000*DropAnalityka[[#This Row],[Quality/Quantity]],0)</f>
        <v>0</v>
      </c>
      <c r="K1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2" spans="10:12">
      <c r="J1782">
        <f>DropAnalityka[[#This Row],[Sell Drop]]+IF(DropAnalityka[[#This Row],[Drop]]="Scroll", 2000*DropAnalityka[[#This Row],[Quality/Quantity]],0)</f>
        <v>0</v>
      </c>
      <c r="K1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3" spans="10:12">
      <c r="J1783">
        <f>DropAnalityka[[#This Row],[Sell Drop]]+IF(DropAnalityka[[#This Row],[Drop]]="Scroll", 2000*DropAnalityka[[#This Row],[Quality/Quantity]],0)</f>
        <v>0</v>
      </c>
      <c r="K1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4" spans="10:12">
      <c r="J1784">
        <f>DropAnalityka[[#This Row],[Sell Drop]]+IF(DropAnalityka[[#This Row],[Drop]]="Scroll", 2000*DropAnalityka[[#This Row],[Quality/Quantity]],0)</f>
        <v>0</v>
      </c>
      <c r="K1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5" spans="10:12">
      <c r="J1785">
        <f>DropAnalityka[[#This Row],[Sell Drop]]+IF(DropAnalityka[[#This Row],[Drop]]="Scroll", 2000*DropAnalityka[[#This Row],[Quality/Quantity]],0)</f>
        <v>0</v>
      </c>
      <c r="K1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6" spans="10:12">
      <c r="J1786">
        <f>DropAnalityka[[#This Row],[Sell Drop]]+IF(DropAnalityka[[#This Row],[Drop]]="Scroll", 2000*DropAnalityka[[#This Row],[Quality/Quantity]],0)</f>
        <v>0</v>
      </c>
      <c r="K1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7" spans="10:12">
      <c r="J1787">
        <f>DropAnalityka[[#This Row],[Sell Drop]]+IF(DropAnalityka[[#This Row],[Drop]]="Scroll", 2000*DropAnalityka[[#This Row],[Quality/Quantity]],0)</f>
        <v>0</v>
      </c>
      <c r="K1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8" spans="10:12">
      <c r="J1788">
        <f>DropAnalityka[[#This Row],[Sell Drop]]+IF(DropAnalityka[[#This Row],[Drop]]="Scroll", 2000*DropAnalityka[[#This Row],[Quality/Quantity]],0)</f>
        <v>0</v>
      </c>
      <c r="K1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89" spans="10:12">
      <c r="J1789">
        <f>DropAnalityka[[#This Row],[Sell Drop]]+IF(DropAnalityka[[#This Row],[Drop]]="Scroll", 2000*DropAnalityka[[#This Row],[Quality/Quantity]],0)</f>
        <v>0</v>
      </c>
      <c r="K1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0" spans="10:12">
      <c r="J1790">
        <f>DropAnalityka[[#This Row],[Sell Drop]]+IF(DropAnalityka[[#This Row],[Drop]]="Scroll", 2000*DropAnalityka[[#This Row],[Quality/Quantity]],0)</f>
        <v>0</v>
      </c>
      <c r="K1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1" spans="10:12">
      <c r="J1791">
        <f>DropAnalityka[[#This Row],[Sell Drop]]+IF(DropAnalityka[[#This Row],[Drop]]="Scroll", 2000*DropAnalityka[[#This Row],[Quality/Quantity]],0)</f>
        <v>0</v>
      </c>
      <c r="K1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2" spans="10:12">
      <c r="J1792">
        <f>DropAnalityka[[#This Row],[Sell Drop]]+IF(DropAnalityka[[#This Row],[Drop]]="Scroll", 2000*DropAnalityka[[#This Row],[Quality/Quantity]],0)</f>
        <v>0</v>
      </c>
      <c r="K1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3" spans="10:12">
      <c r="J1793">
        <f>DropAnalityka[[#This Row],[Sell Drop]]+IF(DropAnalityka[[#This Row],[Drop]]="Scroll", 2000*DropAnalityka[[#This Row],[Quality/Quantity]],0)</f>
        <v>0</v>
      </c>
      <c r="K1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4" spans="10:12">
      <c r="J1794">
        <f>DropAnalityka[[#This Row],[Sell Drop]]+IF(DropAnalityka[[#This Row],[Drop]]="Scroll", 2000*DropAnalityka[[#This Row],[Quality/Quantity]],0)</f>
        <v>0</v>
      </c>
      <c r="K1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5" spans="10:12">
      <c r="J1795">
        <f>DropAnalityka[[#This Row],[Sell Drop]]+IF(DropAnalityka[[#This Row],[Drop]]="Scroll", 2000*DropAnalityka[[#This Row],[Quality/Quantity]],0)</f>
        <v>0</v>
      </c>
      <c r="K1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6" spans="10:12">
      <c r="J1796">
        <f>DropAnalityka[[#This Row],[Sell Drop]]+IF(DropAnalityka[[#This Row],[Drop]]="Scroll", 2000*DropAnalityka[[#This Row],[Quality/Quantity]],0)</f>
        <v>0</v>
      </c>
      <c r="K1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7" spans="10:12">
      <c r="J1797">
        <f>DropAnalityka[[#This Row],[Sell Drop]]+IF(DropAnalityka[[#This Row],[Drop]]="Scroll", 2000*DropAnalityka[[#This Row],[Quality/Quantity]],0)</f>
        <v>0</v>
      </c>
      <c r="K1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8" spans="10:12">
      <c r="J1798">
        <f>DropAnalityka[[#This Row],[Sell Drop]]+IF(DropAnalityka[[#This Row],[Drop]]="Scroll", 2000*DropAnalityka[[#This Row],[Quality/Quantity]],0)</f>
        <v>0</v>
      </c>
      <c r="K1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799" spans="10:12">
      <c r="J1799">
        <f>DropAnalityka[[#This Row],[Sell Drop]]+IF(DropAnalityka[[#This Row],[Drop]]="Scroll", 2000*DropAnalityka[[#This Row],[Quality/Quantity]],0)</f>
        <v>0</v>
      </c>
      <c r="K1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0" spans="10:12">
      <c r="J1800">
        <f>DropAnalityka[[#This Row],[Sell Drop]]+IF(DropAnalityka[[#This Row],[Drop]]="Scroll", 2000*DropAnalityka[[#This Row],[Quality/Quantity]],0)</f>
        <v>0</v>
      </c>
      <c r="K1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1" spans="10:12">
      <c r="J1801">
        <f>DropAnalityka[[#This Row],[Sell Drop]]+IF(DropAnalityka[[#This Row],[Drop]]="Scroll", 2000*DropAnalityka[[#This Row],[Quality/Quantity]],0)</f>
        <v>0</v>
      </c>
      <c r="K1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2" spans="10:12">
      <c r="J1802">
        <f>DropAnalityka[[#This Row],[Sell Drop]]+IF(DropAnalityka[[#This Row],[Drop]]="Scroll", 2000*DropAnalityka[[#This Row],[Quality/Quantity]],0)</f>
        <v>0</v>
      </c>
      <c r="K18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3" spans="10:12">
      <c r="J1803">
        <f>DropAnalityka[[#This Row],[Sell Drop]]+IF(DropAnalityka[[#This Row],[Drop]]="Scroll", 2000*DropAnalityka[[#This Row],[Quality/Quantity]],0)</f>
        <v>0</v>
      </c>
      <c r="K1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4" spans="10:12">
      <c r="J1804">
        <f>DropAnalityka[[#This Row],[Sell Drop]]+IF(DropAnalityka[[#This Row],[Drop]]="Scroll", 2000*DropAnalityka[[#This Row],[Quality/Quantity]],0)</f>
        <v>0</v>
      </c>
      <c r="K1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5" spans="10:12">
      <c r="J1805">
        <f>DropAnalityka[[#This Row],[Sell Drop]]+IF(DropAnalityka[[#This Row],[Drop]]="Scroll", 2000*DropAnalityka[[#This Row],[Quality/Quantity]],0)</f>
        <v>0</v>
      </c>
      <c r="K1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6" spans="10:12">
      <c r="J1806">
        <f>DropAnalityka[[#This Row],[Sell Drop]]+IF(DropAnalityka[[#This Row],[Drop]]="Scroll", 2000*DropAnalityka[[#This Row],[Quality/Quantity]],0)</f>
        <v>0</v>
      </c>
      <c r="K1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7" spans="10:12">
      <c r="J1807">
        <f>DropAnalityka[[#This Row],[Sell Drop]]+IF(DropAnalityka[[#This Row],[Drop]]="Scroll", 2000*DropAnalityka[[#This Row],[Quality/Quantity]],0)</f>
        <v>0</v>
      </c>
      <c r="K1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8" spans="10:12">
      <c r="J1808">
        <f>DropAnalityka[[#This Row],[Sell Drop]]+IF(DropAnalityka[[#This Row],[Drop]]="Scroll", 2000*DropAnalityka[[#This Row],[Quality/Quantity]],0)</f>
        <v>0</v>
      </c>
      <c r="K1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09" spans="10:12">
      <c r="J1809">
        <f>DropAnalityka[[#This Row],[Sell Drop]]+IF(DropAnalityka[[#This Row],[Drop]]="Scroll", 2000*DropAnalityka[[#This Row],[Quality/Quantity]],0)</f>
        <v>0</v>
      </c>
      <c r="K1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0" spans="10:12">
      <c r="J1810">
        <f>DropAnalityka[[#This Row],[Sell Drop]]+IF(DropAnalityka[[#This Row],[Drop]]="Scroll", 2000*DropAnalityka[[#This Row],[Quality/Quantity]],0)</f>
        <v>0</v>
      </c>
      <c r="K1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1" spans="10:12">
      <c r="J1811">
        <f>DropAnalityka[[#This Row],[Sell Drop]]+IF(DropAnalityka[[#This Row],[Drop]]="Scroll", 2000*DropAnalityka[[#This Row],[Quality/Quantity]],0)</f>
        <v>0</v>
      </c>
      <c r="K1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2" spans="10:12">
      <c r="J1812">
        <f>DropAnalityka[[#This Row],[Sell Drop]]+IF(DropAnalityka[[#This Row],[Drop]]="Scroll", 2000*DropAnalityka[[#This Row],[Quality/Quantity]],0)</f>
        <v>0</v>
      </c>
      <c r="K1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3" spans="10:12">
      <c r="J1813">
        <f>DropAnalityka[[#This Row],[Sell Drop]]+IF(DropAnalityka[[#This Row],[Drop]]="Scroll", 2000*DropAnalityka[[#This Row],[Quality/Quantity]],0)</f>
        <v>0</v>
      </c>
      <c r="K1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4" spans="10:12">
      <c r="J1814">
        <f>DropAnalityka[[#This Row],[Sell Drop]]+IF(DropAnalityka[[#This Row],[Drop]]="Scroll", 2000*DropAnalityka[[#This Row],[Quality/Quantity]],0)</f>
        <v>0</v>
      </c>
      <c r="K1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5" spans="10:12">
      <c r="J1815">
        <f>DropAnalityka[[#This Row],[Sell Drop]]+IF(DropAnalityka[[#This Row],[Drop]]="Scroll", 2000*DropAnalityka[[#This Row],[Quality/Quantity]],0)</f>
        <v>0</v>
      </c>
      <c r="K1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6" spans="10:12">
      <c r="J1816">
        <f>DropAnalityka[[#This Row],[Sell Drop]]+IF(DropAnalityka[[#This Row],[Drop]]="Scroll", 2000*DropAnalityka[[#This Row],[Quality/Quantity]],0)</f>
        <v>0</v>
      </c>
      <c r="K1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7" spans="10:12">
      <c r="J1817">
        <f>DropAnalityka[[#This Row],[Sell Drop]]+IF(DropAnalityka[[#This Row],[Drop]]="Scroll", 2000*DropAnalityka[[#This Row],[Quality/Quantity]],0)</f>
        <v>0</v>
      </c>
      <c r="K1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8" spans="10:12">
      <c r="J1818">
        <f>DropAnalityka[[#This Row],[Sell Drop]]+IF(DropAnalityka[[#This Row],[Drop]]="Scroll", 2000*DropAnalityka[[#This Row],[Quality/Quantity]],0)</f>
        <v>0</v>
      </c>
      <c r="K1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19" spans="10:12">
      <c r="J1819">
        <f>DropAnalityka[[#This Row],[Sell Drop]]+IF(DropAnalityka[[#This Row],[Drop]]="Scroll", 2000*DropAnalityka[[#This Row],[Quality/Quantity]],0)</f>
        <v>0</v>
      </c>
      <c r="K1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0" spans="10:12">
      <c r="J1820">
        <f>DropAnalityka[[#This Row],[Sell Drop]]+IF(DropAnalityka[[#This Row],[Drop]]="Scroll", 2000*DropAnalityka[[#This Row],[Quality/Quantity]],0)</f>
        <v>0</v>
      </c>
      <c r="K1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1" spans="10:12">
      <c r="J1821">
        <f>DropAnalityka[[#This Row],[Sell Drop]]+IF(DropAnalityka[[#This Row],[Drop]]="Scroll", 2000*DropAnalityka[[#This Row],[Quality/Quantity]],0)</f>
        <v>0</v>
      </c>
      <c r="K1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2" spans="10:12">
      <c r="J1822">
        <f>DropAnalityka[[#This Row],[Sell Drop]]+IF(DropAnalityka[[#This Row],[Drop]]="Scroll", 2000*DropAnalityka[[#This Row],[Quality/Quantity]],0)</f>
        <v>0</v>
      </c>
      <c r="K1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3" spans="10:12">
      <c r="J1823">
        <f>DropAnalityka[[#This Row],[Sell Drop]]+IF(DropAnalityka[[#This Row],[Drop]]="Scroll", 2000*DropAnalityka[[#This Row],[Quality/Quantity]],0)</f>
        <v>0</v>
      </c>
      <c r="K1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4" spans="10:12">
      <c r="J1824">
        <f>DropAnalityka[[#This Row],[Sell Drop]]+IF(DropAnalityka[[#This Row],[Drop]]="Scroll", 2000*DropAnalityka[[#This Row],[Quality/Quantity]],0)</f>
        <v>0</v>
      </c>
      <c r="K1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5" spans="10:12">
      <c r="J1825">
        <f>DropAnalityka[[#This Row],[Sell Drop]]+IF(DropAnalityka[[#This Row],[Drop]]="Scroll", 2000*DropAnalityka[[#This Row],[Quality/Quantity]],0)</f>
        <v>0</v>
      </c>
      <c r="K1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6" spans="10:12">
      <c r="J1826">
        <f>DropAnalityka[[#This Row],[Sell Drop]]+IF(DropAnalityka[[#This Row],[Drop]]="Scroll", 2000*DropAnalityka[[#This Row],[Quality/Quantity]],0)</f>
        <v>0</v>
      </c>
      <c r="K1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7" spans="10:12">
      <c r="J1827">
        <f>DropAnalityka[[#This Row],[Sell Drop]]+IF(DropAnalityka[[#This Row],[Drop]]="Scroll", 2000*DropAnalityka[[#This Row],[Quality/Quantity]],0)</f>
        <v>0</v>
      </c>
      <c r="K1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8" spans="10:12">
      <c r="J1828">
        <f>DropAnalityka[[#This Row],[Sell Drop]]+IF(DropAnalityka[[#This Row],[Drop]]="Scroll", 2000*DropAnalityka[[#This Row],[Quality/Quantity]],0)</f>
        <v>0</v>
      </c>
      <c r="K1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29" spans="10:12">
      <c r="J1829">
        <f>DropAnalityka[[#This Row],[Sell Drop]]+IF(DropAnalityka[[#This Row],[Drop]]="Scroll", 2000*DropAnalityka[[#This Row],[Quality/Quantity]],0)</f>
        <v>0</v>
      </c>
      <c r="K1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0" spans="10:12">
      <c r="J1830">
        <f>DropAnalityka[[#This Row],[Sell Drop]]+IF(DropAnalityka[[#This Row],[Drop]]="Scroll", 2000*DropAnalityka[[#This Row],[Quality/Quantity]],0)</f>
        <v>0</v>
      </c>
      <c r="K1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1" spans="10:12">
      <c r="J1831">
        <f>DropAnalityka[[#This Row],[Sell Drop]]+IF(DropAnalityka[[#This Row],[Drop]]="Scroll", 2000*DropAnalityka[[#This Row],[Quality/Quantity]],0)</f>
        <v>0</v>
      </c>
      <c r="K1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2" spans="10:12">
      <c r="J1832">
        <f>DropAnalityka[[#This Row],[Sell Drop]]+IF(DropAnalityka[[#This Row],[Drop]]="Scroll", 2000*DropAnalityka[[#This Row],[Quality/Quantity]],0)</f>
        <v>0</v>
      </c>
      <c r="K1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3" spans="10:12">
      <c r="J1833">
        <f>DropAnalityka[[#This Row],[Sell Drop]]+IF(DropAnalityka[[#This Row],[Drop]]="Scroll", 2000*DropAnalityka[[#This Row],[Quality/Quantity]],0)</f>
        <v>0</v>
      </c>
      <c r="K1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4" spans="10:12">
      <c r="J1834">
        <f>DropAnalityka[[#This Row],[Sell Drop]]+IF(DropAnalityka[[#This Row],[Drop]]="Scroll", 2000*DropAnalityka[[#This Row],[Quality/Quantity]],0)</f>
        <v>0</v>
      </c>
      <c r="K1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5" spans="10:12">
      <c r="J1835">
        <f>DropAnalityka[[#This Row],[Sell Drop]]+IF(DropAnalityka[[#This Row],[Drop]]="Scroll", 2000*DropAnalityka[[#This Row],[Quality/Quantity]],0)</f>
        <v>0</v>
      </c>
      <c r="K1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6" spans="10:12">
      <c r="J1836">
        <f>DropAnalityka[[#This Row],[Sell Drop]]+IF(DropAnalityka[[#This Row],[Drop]]="Scroll", 2000*DropAnalityka[[#This Row],[Quality/Quantity]],0)</f>
        <v>0</v>
      </c>
      <c r="K1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7" spans="10:12">
      <c r="J1837">
        <f>DropAnalityka[[#This Row],[Sell Drop]]+IF(DropAnalityka[[#This Row],[Drop]]="Scroll", 2000*DropAnalityka[[#This Row],[Quality/Quantity]],0)</f>
        <v>0</v>
      </c>
      <c r="K1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8" spans="10:12">
      <c r="J1838">
        <f>DropAnalityka[[#This Row],[Sell Drop]]+IF(DropAnalityka[[#This Row],[Drop]]="Scroll", 2000*DropAnalityka[[#This Row],[Quality/Quantity]],0)</f>
        <v>0</v>
      </c>
      <c r="K1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39" spans="10:12">
      <c r="J1839">
        <f>DropAnalityka[[#This Row],[Sell Drop]]+IF(DropAnalityka[[#This Row],[Drop]]="Scroll", 2000*DropAnalityka[[#This Row],[Quality/Quantity]],0)</f>
        <v>0</v>
      </c>
      <c r="K1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0" spans="10:12">
      <c r="J1840">
        <f>DropAnalityka[[#This Row],[Sell Drop]]+IF(DropAnalityka[[#This Row],[Drop]]="Scroll", 2000*DropAnalityka[[#This Row],[Quality/Quantity]],0)</f>
        <v>0</v>
      </c>
      <c r="K1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1" spans="10:12">
      <c r="J1841">
        <f>DropAnalityka[[#This Row],[Sell Drop]]+IF(DropAnalityka[[#This Row],[Drop]]="Scroll", 2000*DropAnalityka[[#This Row],[Quality/Quantity]],0)</f>
        <v>0</v>
      </c>
      <c r="K1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2" spans="10:12">
      <c r="J1842">
        <f>DropAnalityka[[#This Row],[Sell Drop]]+IF(DropAnalityka[[#This Row],[Drop]]="Scroll", 2000*DropAnalityka[[#This Row],[Quality/Quantity]],0)</f>
        <v>0</v>
      </c>
      <c r="K1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3" spans="10:12">
      <c r="J1843">
        <f>DropAnalityka[[#This Row],[Sell Drop]]+IF(DropAnalityka[[#This Row],[Drop]]="Scroll", 2000*DropAnalityka[[#This Row],[Quality/Quantity]],0)</f>
        <v>0</v>
      </c>
      <c r="K1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4" spans="10:12">
      <c r="J1844">
        <f>DropAnalityka[[#This Row],[Sell Drop]]+IF(DropAnalityka[[#This Row],[Drop]]="Scroll", 2000*DropAnalityka[[#This Row],[Quality/Quantity]],0)</f>
        <v>0</v>
      </c>
      <c r="K1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5" spans="10:12">
      <c r="J1845">
        <f>DropAnalityka[[#This Row],[Sell Drop]]+IF(DropAnalityka[[#This Row],[Drop]]="Scroll", 2000*DropAnalityka[[#This Row],[Quality/Quantity]],0)</f>
        <v>0</v>
      </c>
      <c r="K1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6" spans="10:12">
      <c r="J1846">
        <f>DropAnalityka[[#This Row],[Sell Drop]]+IF(DropAnalityka[[#This Row],[Drop]]="Scroll", 2000*DropAnalityka[[#This Row],[Quality/Quantity]],0)</f>
        <v>0</v>
      </c>
      <c r="K1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7" spans="10:12">
      <c r="J1847">
        <f>DropAnalityka[[#This Row],[Sell Drop]]+IF(DropAnalityka[[#This Row],[Drop]]="Scroll", 2000*DropAnalityka[[#This Row],[Quality/Quantity]],0)</f>
        <v>0</v>
      </c>
      <c r="K1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8" spans="10:12">
      <c r="J1848">
        <f>DropAnalityka[[#This Row],[Sell Drop]]+IF(DropAnalityka[[#This Row],[Drop]]="Scroll", 2000*DropAnalityka[[#This Row],[Quality/Quantity]],0)</f>
        <v>0</v>
      </c>
      <c r="K1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49" spans="10:12">
      <c r="J1849">
        <f>DropAnalityka[[#This Row],[Sell Drop]]+IF(DropAnalityka[[#This Row],[Drop]]="Scroll", 2000*DropAnalityka[[#This Row],[Quality/Quantity]],0)</f>
        <v>0</v>
      </c>
      <c r="K1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0" spans="10:12">
      <c r="J1850">
        <f>DropAnalityka[[#This Row],[Sell Drop]]+IF(DropAnalityka[[#This Row],[Drop]]="Scroll", 2000*DropAnalityka[[#This Row],[Quality/Quantity]],0)</f>
        <v>0</v>
      </c>
      <c r="K1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1" spans="10:12">
      <c r="J1851">
        <f>DropAnalityka[[#This Row],[Sell Drop]]+IF(DropAnalityka[[#This Row],[Drop]]="Scroll", 2000*DropAnalityka[[#This Row],[Quality/Quantity]],0)</f>
        <v>0</v>
      </c>
      <c r="K1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2" spans="10:12">
      <c r="J1852">
        <f>DropAnalityka[[#This Row],[Sell Drop]]+IF(DropAnalityka[[#This Row],[Drop]]="Scroll", 2000*DropAnalityka[[#This Row],[Quality/Quantity]],0)</f>
        <v>0</v>
      </c>
      <c r="K1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3" spans="10:12">
      <c r="J1853">
        <f>DropAnalityka[[#This Row],[Sell Drop]]+IF(DropAnalityka[[#This Row],[Drop]]="Scroll", 2000*DropAnalityka[[#This Row],[Quality/Quantity]],0)</f>
        <v>0</v>
      </c>
      <c r="K1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4" spans="10:12">
      <c r="J1854">
        <f>DropAnalityka[[#This Row],[Sell Drop]]+IF(DropAnalityka[[#This Row],[Drop]]="Scroll", 2000*DropAnalityka[[#This Row],[Quality/Quantity]],0)</f>
        <v>0</v>
      </c>
      <c r="K1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5" spans="10:12">
      <c r="J1855">
        <f>DropAnalityka[[#This Row],[Sell Drop]]+IF(DropAnalityka[[#This Row],[Drop]]="Scroll", 2000*DropAnalityka[[#This Row],[Quality/Quantity]],0)</f>
        <v>0</v>
      </c>
      <c r="K1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6" spans="10:12">
      <c r="J1856">
        <f>DropAnalityka[[#This Row],[Sell Drop]]+IF(DropAnalityka[[#This Row],[Drop]]="Scroll", 2000*DropAnalityka[[#This Row],[Quality/Quantity]],0)</f>
        <v>0</v>
      </c>
      <c r="K1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7" spans="10:12">
      <c r="J1857">
        <f>DropAnalityka[[#This Row],[Sell Drop]]+IF(DropAnalityka[[#This Row],[Drop]]="Scroll", 2000*DropAnalityka[[#This Row],[Quality/Quantity]],0)</f>
        <v>0</v>
      </c>
      <c r="K1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8" spans="10:12">
      <c r="J1858">
        <f>DropAnalityka[[#This Row],[Sell Drop]]+IF(DropAnalityka[[#This Row],[Drop]]="Scroll", 2000*DropAnalityka[[#This Row],[Quality/Quantity]],0)</f>
        <v>0</v>
      </c>
      <c r="K1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59" spans="10:12">
      <c r="J1859">
        <f>DropAnalityka[[#This Row],[Sell Drop]]+IF(DropAnalityka[[#This Row],[Drop]]="Scroll", 2000*DropAnalityka[[#This Row],[Quality/Quantity]],0)</f>
        <v>0</v>
      </c>
      <c r="K1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0" spans="10:12">
      <c r="J1860">
        <f>DropAnalityka[[#This Row],[Sell Drop]]+IF(DropAnalityka[[#This Row],[Drop]]="Scroll", 2000*DropAnalityka[[#This Row],[Quality/Quantity]],0)</f>
        <v>0</v>
      </c>
      <c r="K1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1" spans="10:12">
      <c r="J1861">
        <f>DropAnalityka[[#This Row],[Sell Drop]]+IF(DropAnalityka[[#This Row],[Drop]]="Scroll", 2000*DropAnalityka[[#This Row],[Quality/Quantity]],0)</f>
        <v>0</v>
      </c>
      <c r="K1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2" spans="10:12">
      <c r="J1862">
        <f>DropAnalityka[[#This Row],[Sell Drop]]+IF(DropAnalityka[[#This Row],[Drop]]="Scroll", 2000*DropAnalityka[[#This Row],[Quality/Quantity]],0)</f>
        <v>0</v>
      </c>
      <c r="K1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3" spans="10:12">
      <c r="J1863">
        <f>DropAnalityka[[#This Row],[Sell Drop]]+IF(DropAnalityka[[#This Row],[Drop]]="Scroll", 2000*DropAnalityka[[#This Row],[Quality/Quantity]],0)</f>
        <v>0</v>
      </c>
      <c r="K1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4" spans="10:12">
      <c r="J1864">
        <f>DropAnalityka[[#This Row],[Sell Drop]]+IF(DropAnalityka[[#This Row],[Drop]]="Scroll", 2000*DropAnalityka[[#This Row],[Quality/Quantity]],0)</f>
        <v>0</v>
      </c>
      <c r="K1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5" spans="10:12">
      <c r="J1865">
        <f>DropAnalityka[[#This Row],[Sell Drop]]+IF(DropAnalityka[[#This Row],[Drop]]="Scroll", 2000*DropAnalityka[[#This Row],[Quality/Quantity]],0)</f>
        <v>0</v>
      </c>
      <c r="K1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6" spans="10:12">
      <c r="J1866">
        <f>DropAnalityka[[#This Row],[Sell Drop]]+IF(DropAnalityka[[#This Row],[Drop]]="Scroll", 2000*DropAnalityka[[#This Row],[Quality/Quantity]],0)</f>
        <v>0</v>
      </c>
      <c r="K1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7" spans="10:12">
      <c r="J1867">
        <f>DropAnalityka[[#This Row],[Sell Drop]]+IF(DropAnalityka[[#This Row],[Drop]]="Scroll", 2000*DropAnalityka[[#This Row],[Quality/Quantity]],0)</f>
        <v>0</v>
      </c>
      <c r="K1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8" spans="10:12">
      <c r="J1868">
        <f>DropAnalityka[[#This Row],[Sell Drop]]+IF(DropAnalityka[[#This Row],[Drop]]="Scroll", 2000*DropAnalityka[[#This Row],[Quality/Quantity]],0)</f>
        <v>0</v>
      </c>
      <c r="K1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69" spans="10:12">
      <c r="J1869">
        <f>DropAnalityka[[#This Row],[Sell Drop]]+IF(DropAnalityka[[#This Row],[Drop]]="Scroll", 2000*DropAnalityka[[#This Row],[Quality/Quantity]],0)</f>
        <v>0</v>
      </c>
      <c r="K1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0" spans="10:12">
      <c r="J1870">
        <f>DropAnalityka[[#This Row],[Sell Drop]]+IF(DropAnalityka[[#This Row],[Drop]]="Scroll", 2000*DropAnalityka[[#This Row],[Quality/Quantity]],0)</f>
        <v>0</v>
      </c>
      <c r="K1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1" spans="10:12">
      <c r="J1871">
        <f>DropAnalityka[[#This Row],[Sell Drop]]+IF(DropAnalityka[[#This Row],[Drop]]="Scroll", 2000*DropAnalityka[[#This Row],[Quality/Quantity]],0)</f>
        <v>0</v>
      </c>
      <c r="K1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2" spans="10:12">
      <c r="J1872">
        <f>DropAnalityka[[#This Row],[Sell Drop]]+IF(DropAnalityka[[#This Row],[Drop]]="Scroll", 2000*DropAnalityka[[#This Row],[Quality/Quantity]],0)</f>
        <v>0</v>
      </c>
      <c r="K1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3" spans="10:12">
      <c r="J1873">
        <f>DropAnalityka[[#This Row],[Sell Drop]]+IF(DropAnalityka[[#This Row],[Drop]]="Scroll", 2000*DropAnalityka[[#This Row],[Quality/Quantity]],0)</f>
        <v>0</v>
      </c>
      <c r="K1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4" spans="10:12">
      <c r="J1874">
        <f>DropAnalityka[[#This Row],[Sell Drop]]+IF(DropAnalityka[[#This Row],[Drop]]="Scroll", 2000*DropAnalityka[[#This Row],[Quality/Quantity]],0)</f>
        <v>0</v>
      </c>
      <c r="K1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5" spans="10:12">
      <c r="J1875">
        <f>DropAnalityka[[#This Row],[Sell Drop]]+IF(DropAnalityka[[#This Row],[Drop]]="Scroll", 2000*DropAnalityka[[#This Row],[Quality/Quantity]],0)</f>
        <v>0</v>
      </c>
      <c r="K1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6" spans="10:12">
      <c r="J1876">
        <f>DropAnalityka[[#This Row],[Sell Drop]]+IF(DropAnalityka[[#This Row],[Drop]]="Scroll", 2000*DropAnalityka[[#This Row],[Quality/Quantity]],0)</f>
        <v>0</v>
      </c>
      <c r="K1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7" spans="10:12">
      <c r="J1877">
        <f>DropAnalityka[[#This Row],[Sell Drop]]+IF(DropAnalityka[[#This Row],[Drop]]="Scroll", 2000*DropAnalityka[[#This Row],[Quality/Quantity]],0)</f>
        <v>0</v>
      </c>
      <c r="K1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8" spans="10:12">
      <c r="J1878">
        <f>DropAnalityka[[#This Row],[Sell Drop]]+IF(DropAnalityka[[#This Row],[Drop]]="Scroll", 2000*DropAnalityka[[#This Row],[Quality/Quantity]],0)</f>
        <v>0</v>
      </c>
      <c r="K1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79" spans="10:12">
      <c r="J1879">
        <f>DropAnalityka[[#This Row],[Sell Drop]]+IF(DropAnalityka[[#This Row],[Drop]]="Scroll", 2000*DropAnalityka[[#This Row],[Quality/Quantity]],0)</f>
        <v>0</v>
      </c>
      <c r="K1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0" spans="10:12">
      <c r="J1880">
        <f>DropAnalityka[[#This Row],[Sell Drop]]+IF(DropAnalityka[[#This Row],[Drop]]="Scroll", 2000*DropAnalityka[[#This Row],[Quality/Quantity]],0)</f>
        <v>0</v>
      </c>
      <c r="K1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1" spans="10:12">
      <c r="J1881">
        <f>DropAnalityka[[#This Row],[Sell Drop]]+IF(DropAnalityka[[#This Row],[Drop]]="Scroll", 2000*DropAnalityka[[#This Row],[Quality/Quantity]],0)</f>
        <v>0</v>
      </c>
      <c r="K1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2" spans="10:12">
      <c r="J1882">
        <f>DropAnalityka[[#This Row],[Sell Drop]]+IF(DropAnalityka[[#This Row],[Drop]]="Scroll", 2000*DropAnalityka[[#This Row],[Quality/Quantity]],0)</f>
        <v>0</v>
      </c>
      <c r="K1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3" spans="10:12">
      <c r="J1883">
        <f>DropAnalityka[[#This Row],[Sell Drop]]+IF(DropAnalityka[[#This Row],[Drop]]="Scroll", 2000*DropAnalityka[[#This Row],[Quality/Quantity]],0)</f>
        <v>0</v>
      </c>
      <c r="K1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4" spans="10:12">
      <c r="J1884">
        <f>DropAnalityka[[#This Row],[Sell Drop]]+IF(DropAnalityka[[#This Row],[Drop]]="Scroll", 2000*DropAnalityka[[#This Row],[Quality/Quantity]],0)</f>
        <v>0</v>
      </c>
      <c r="K1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5" spans="10:12">
      <c r="J1885">
        <f>DropAnalityka[[#This Row],[Sell Drop]]+IF(DropAnalityka[[#This Row],[Drop]]="Scroll", 2000*DropAnalityka[[#This Row],[Quality/Quantity]],0)</f>
        <v>0</v>
      </c>
      <c r="K1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6" spans="10:12">
      <c r="J1886">
        <f>DropAnalityka[[#This Row],[Sell Drop]]+IF(DropAnalityka[[#This Row],[Drop]]="Scroll", 2000*DropAnalityka[[#This Row],[Quality/Quantity]],0)</f>
        <v>0</v>
      </c>
      <c r="K1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7" spans="10:12">
      <c r="J1887">
        <f>DropAnalityka[[#This Row],[Sell Drop]]+IF(DropAnalityka[[#This Row],[Drop]]="Scroll", 2000*DropAnalityka[[#This Row],[Quality/Quantity]],0)</f>
        <v>0</v>
      </c>
      <c r="K1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8" spans="10:12">
      <c r="J1888">
        <f>DropAnalityka[[#This Row],[Sell Drop]]+IF(DropAnalityka[[#This Row],[Drop]]="Scroll", 2000*DropAnalityka[[#This Row],[Quality/Quantity]],0)</f>
        <v>0</v>
      </c>
      <c r="K1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89" spans="10:12">
      <c r="J1889">
        <f>DropAnalityka[[#This Row],[Sell Drop]]+IF(DropAnalityka[[#This Row],[Drop]]="Scroll", 2000*DropAnalityka[[#This Row],[Quality/Quantity]],0)</f>
        <v>0</v>
      </c>
      <c r="K1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0" spans="10:12">
      <c r="J1890">
        <f>DropAnalityka[[#This Row],[Sell Drop]]+IF(DropAnalityka[[#This Row],[Drop]]="Scroll", 2000*DropAnalityka[[#This Row],[Quality/Quantity]],0)</f>
        <v>0</v>
      </c>
      <c r="K1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1" spans="10:12">
      <c r="J1891">
        <f>DropAnalityka[[#This Row],[Sell Drop]]+IF(DropAnalityka[[#This Row],[Drop]]="Scroll", 2000*DropAnalityka[[#This Row],[Quality/Quantity]],0)</f>
        <v>0</v>
      </c>
      <c r="K1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2" spans="10:12">
      <c r="J1892">
        <f>DropAnalityka[[#This Row],[Sell Drop]]+IF(DropAnalityka[[#This Row],[Drop]]="Scroll", 2000*DropAnalityka[[#This Row],[Quality/Quantity]],0)</f>
        <v>0</v>
      </c>
      <c r="K1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3" spans="10:12">
      <c r="J1893">
        <f>DropAnalityka[[#This Row],[Sell Drop]]+IF(DropAnalityka[[#This Row],[Drop]]="Scroll", 2000*DropAnalityka[[#This Row],[Quality/Quantity]],0)</f>
        <v>0</v>
      </c>
      <c r="K1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4" spans="10:12">
      <c r="J1894">
        <f>DropAnalityka[[#This Row],[Sell Drop]]+IF(DropAnalityka[[#This Row],[Drop]]="Scroll", 2000*DropAnalityka[[#This Row],[Quality/Quantity]],0)</f>
        <v>0</v>
      </c>
      <c r="K1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5" spans="10:12">
      <c r="J1895">
        <f>DropAnalityka[[#This Row],[Sell Drop]]+IF(DropAnalityka[[#This Row],[Drop]]="Scroll", 2000*DropAnalityka[[#This Row],[Quality/Quantity]],0)</f>
        <v>0</v>
      </c>
      <c r="K1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6" spans="10:12">
      <c r="J1896">
        <f>DropAnalityka[[#This Row],[Sell Drop]]+IF(DropAnalityka[[#This Row],[Drop]]="Scroll", 2000*DropAnalityka[[#This Row],[Quality/Quantity]],0)</f>
        <v>0</v>
      </c>
      <c r="K1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7" spans="10:12">
      <c r="J1897">
        <f>DropAnalityka[[#This Row],[Sell Drop]]+IF(DropAnalityka[[#This Row],[Drop]]="Scroll", 2000*DropAnalityka[[#This Row],[Quality/Quantity]],0)</f>
        <v>0</v>
      </c>
      <c r="K1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8" spans="10:12">
      <c r="J1898">
        <f>DropAnalityka[[#This Row],[Sell Drop]]+IF(DropAnalityka[[#This Row],[Drop]]="Scroll", 2000*DropAnalityka[[#This Row],[Quality/Quantity]],0)</f>
        <v>0</v>
      </c>
      <c r="K1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899" spans="10:12">
      <c r="J1899">
        <f>DropAnalityka[[#This Row],[Sell Drop]]+IF(DropAnalityka[[#This Row],[Drop]]="Scroll", 2000*DropAnalityka[[#This Row],[Quality/Quantity]],0)</f>
        <v>0</v>
      </c>
      <c r="K1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0" spans="10:12">
      <c r="J1900">
        <f>DropAnalityka[[#This Row],[Sell Drop]]+IF(DropAnalityka[[#This Row],[Drop]]="Scroll", 2000*DropAnalityka[[#This Row],[Quality/Quantity]],0)</f>
        <v>0</v>
      </c>
      <c r="K1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1" spans="10:12">
      <c r="J1901">
        <f>DropAnalityka[[#This Row],[Sell Drop]]+IF(DropAnalityka[[#This Row],[Drop]]="Scroll", 2000*DropAnalityka[[#This Row],[Quality/Quantity]],0)</f>
        <v>0</v>
      </c>
      <c r="K1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2" spans="10:12">
      <c r="J1902">
        <f>DropAnalityka[[#This Row],[Sell Drop]]+IF(DropAnalityka[[#This Row],[Drop]]="Scroll", 2000*DropAnalityka[[#This Row],[Quality/Quantity]],0)</f>
        <v>0</v>
      </c>
      <c r="K1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3" spans="10:12">
      <c r="J1903">
        <f>DropAnalityka[[#This Row],[Sell Drop]]+IF(DropAnalityka[[#This Row],[Drop]]="Scroll", 2000*DropAnalityka[[#This Row],[Quality/Quantity]],0)</f>
        <v>0</v>
      </c>
      <c r="K1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4" spans="10:12">
      <c r="J1904">
        <f>DropAnalityka[[#This Row],[Sell Drop]]+IF(DropAnalityka[[#This Row],[Drop]]="Scroll", 2000*DropAnalityka[[#This Row],[Quality/Quantity]],0)</f>
        <v>0</v>
      </c>
      <c r="K1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5" spans="10:12">
      <c r="J1905">
        <f>DropAnalityka[[#This Row],[Sell Drop]]+IF(DropAnalityka[[#This Row],[Drop]]="Scroll", 2000*DropAnalityka[[#This Row],[Quality/Quantity]],0)</f>
        <v>0</v>
      </c>
      <c r="K1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6" spans="10:12">
      <c r="J1906">
        <f>DropAnalityka[[#This Row],[Sell Drop]]+IF(DropAnalityka[[#This Row],[Drop]]="Scroll", 2000*DropAnalityka[[#This Row],[Quality/Quantity]],0)</f>
        <v>0</v>
      </c>
      <c r="K1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7" spans="10:12">
      <c r="J1907">
        <f>DropAnalityka[[#This Row],[Sell Drop]]+IF(DropAnalityka[[#This Row],[Drop]]="Scroll", 2000*DropAnalityka[[#This Row],[Quality/Quantity]],0)</f>
        <v>0</v>
      </c>
      <c r="K1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8" spans="10:12">
      <c r="J1908">
        <f>DropAnalityka[[#This Row],[Sell Drop]]+IF(DropAnalityka[[#This Row],[Drop]]="Scroll", 2000*DropAnalityka[[#This Row],[Quality/Quantity]],0)</f>
        <v>0</v>
      </c>
      <c r="K1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09" spans="10:12">
      <c r="J1909">
        <f>DropAnalityka[[#This Row],[Sell Drop]]+IF(DropAnalityka[[#This Row],[Drop]]="Scroll", 2000*DropAnalityka[[#This Row],[Quality/Quantity]],0)</f>
        <v>0</v>
      </c>
      <c r="K1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0" spans="10:12">
      <c r="J1910">
        <f>DropAnalityka[[#This Row],[Sell Drop]]+IF(DropAnalityka[[#This Row],[Drop]]="Scroll", 2000*DropAnalityka[[#This Row],[Quality/Quantity]],0)</f>
        <v>0</v>
      </c>
      <c r="K1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1" spans="10:12">
      <c r="J1911">
        <f>DropAnalityka[[#This Row],[Sell Drop]]+IF(DropAnalityka[[#This Row],[Drop]]="Scroll", 2000*DropAnalityka[[#This Row],[Quality/Quantity]],0)</f>
        <v>0</v>
      </c>
      <c r="K1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2" spans="10:12">
      <c r="J1912">
        <f>DropAnalityka[[#This Row],[Sell Drop]]+IF(DropAnalityka[[#This Row],[Drop]]="Scroll", 2000*DropAnalityka[[#This Row],[Quality/Quantity]],0)</f>
        <v>0</v>
      </c>
      <c r="K1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3" spans="10:12">
      <c r="J1913">
        <f>DropAnalityka[[#This Row],[Sell Drop]]+IF(DropAnalityka[[#This Row],[Drop]]="Scroll", 2000*DropAnalityka[[#This Row],[Quality/Quantity]],0)</f>
        <v>0</v>
      </c>
      <c r="K1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4" spans="10:12">
      <c r="J1914">
        <f>DropAnalityka[[#This Row],[Sell Drop]]+IF(DropAnalityka[[#This Row],[Drop]]="Scroll", 2000*DropAnalityka[[#This Row],[Quality/Quantity]],0)</f>
        <v>0</v>
      </c>
      <c r="K1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5" spans="10:12">
      <c r="J1915">
        <f>DropAnalityka[[#This Row],[Sell Drop]]+IF(DropAnalityka[[#This Row],[Drop]]="Scroll", 2000*DropAnalityka[[#This Row],[Quality/Quantity]],0)</f>
        <v>0</v>
      </c>
      <c r="K1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6" spans="10:12">
      <c r="J1916">
        <f>DropAnalityka[[#This Row],[Sell Drop]]+IF(DropAnalityka[[#This Row],[Drop]]="Scroll", 2000*DropAnalityka[[#This Row],[Quality/Quantity]],0)</f>
        <v>0</v>
      </c>
      <c r="K1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7" spans="10:12">
      <c r="J1917">
        <f>DropAnalityka[[#This Row],[Sell Drop]]+IF(DropAnalityka[[#This Row],[Drop]]="Scroll", 2000*DropAnalityka[[#This Row],[Quality/Quantity]],0)</f>
        <v>0</v>
      </c>
      <c r="K1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8" spans="10:12">
      <c r="J1918">
        <f>DropAnalityka[[#This Row],[Sell Drop]]+IF(DropAnalityka[[#This Row],[Drop]]="Scroll", 2000*DropAnalityka[[#This Row],[Quality/Quantity]],0)</f>
        <v>0</v>
      </c>
      <c r="K1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19" spans="10:12">
      <c r="J1919">
        <f>DropAnalityka[[#This Row],[Sell Drop]]+IF(DropAnalityka[[#This Row],[Drop]]="Scroll", 2000*DropAnalityka[[#This Row],[Quality/Quantity]],0)</f>
        <v>0</v>
      </c>
      <c r="K1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0" spans="10:12">
      <c r="J1920">
        <f>DropAnalityka[[#This Row],[Sell Drop]]+IF(DropAnalityka[[#This Row],[Drop]]="Scroll", 2000*DropAnalityka[[#This Row],[Quality/Quantity]],0)</f>
        <v>0</v>
      </c>
      <c r="K1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1" spans="10:12">
      <c r="J1921">
        <f>DropAnalityka[[#This Row],[Sell Drop]]+IF(DropAnalityka[[#This Row],[Drop]]="Scroll", 2000*DropAnalityka[[#This Row],[Quality/Quantity]],0)</f>
        <v>0</v>
      </c>
      <c r="K1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2" spans="10:12">
      <c r="J1922">
        <f>DropAnalityka[[#This Row],[Sell Drop]]+IF(DropAnalityka[[#This Row],[Drop]]="Scroll", 2000*DropAnalityka[[#This Row],[Quality/Quantity]],0)</f>
        <v>0</v>
      </c>
      <c r="K1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3" spans="10:12">
      <c r="J1923">
        <f>DropAnalityka[[#This Row],[Sell Drop]]+IF(DropAnalityka[[#This Row],[Drop]]="Scroll", 2000*DropAnalityka[[#This Row],[Quality/Quantity]],0)</f>
        <v>0</v>
      </c>
      <c r="K1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4" spans="10:12">
      <c r="J1924">
        <f>DropAnalityka[[#This Row],[Sell Drop]]+IF(DropAnalityka[[#This Row],[Drop]]="Scroll", 2000*DropAnalityka[[#This Row],[Quality/Quantity]],0)</f>
        <v>0</v>
      </c>
      <c r="K1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5" spans="10:12">
      <c r="J1925">
        <f>DropAnalityka[[#This Row],[Sell Drop]]+IF(DropAnalityka[[#This Row],[Drop]]="Scroll", 2000*DropAnalityka[[#This Row],[Quality/Quantity]],0)</f>
        <v>0</v>
      </c>
      <c r="K1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6" spans="10:12">
      <c r="J1926">
        <f>DropAnalityka[[#This Row],[Sell Drop]]+IF(DropAnalityka[[#This Row],[Drop]]="Scroll", 2000*DropAnalityka[[#This Row],[Quality/Quantity]],0)</f>
        <v>0</v>
      </c>
      <c r="K1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7" spans="10:12">
      <c r="J1927">
        <f>DropAnalityka[[#This Row],[Sell Drop]]+IF(DropAnalityka[[#This Row],[Drop]]="Scroll", 2000*DropAnalityka[[#This Row],[Quality/Quantity]],0)</f>
        <v>0</v>
      </c>
      <c r="K1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8" spans="10:12">
      <c r="J1928">
        <f>DropAnalityka[[#This Row],[Sell Drop]]+IF(DropAnalityka[[#This Row],[Drop]]="Scroll", 2000*DropAnalityka[[#This Row],[Quality/Quantity]],0)</f>
        <v>0</v>
      </c>
      <c r="K1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29" spans="10:12">
      <c r="J1929">
        <f>DropAnalityka[[#This Row],[Sell Drop]]+IF(DropAnalityka[[#This Row],[Drop]]="Scroll", 2000*DropAnalityka[[#This Row],[Quality/Quantity]],0)</f>
        <v>0</v>
      </c>
      <c r="K1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0" spans="10:12">
      <c r="J1930">
        <f>DropAnalityka[[#This Row],[Sell Drop]]+IF(DropAnalityka[[#This Row],[Drop]]="Scroll", 2000*DropAnalityka[[#This Row],[Quality/Quantity]],0)</f>
        <v>0</v>
      </c>
      <c r="K1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1" spans="10:12">
      <c r="J1931">
        <f>DropAnalityka[[#This Row],[Sell Drop]]+IF(DropAnalityka[[#This Row],[Drop]]="Scroll", 2000*DropAnalityka[[#This Row],[Quality/Quantity]],0)</f>
        <v>0</v>
      </c>
      <c r="K1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2" spans="10:12">
      <c r="J1932">
        <f>DropAnalityka[[#This Row],[Sell Drop]]+IF(DropAnalityka[[#This Row],[Drop]]="Scroll", 2000*DropAnalityka[[#This Row],[Quality/Quantity]],0)</f>
        <v>0</v>
      </c>
      <c r="K1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3" spans="10:12">
      <c r="J1933">
        <f>DropAnalityka[[#This Row],[Sell Drop]]+IF(DropAnalityka[[#This Row],[Drop]]="Scroll", 2000*DropAnalityka[[#This Row],[Quality/Quantity]],0)</f>
        <v>0</v>
      </c>
      <c r="K1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4" spans="10:12">
      <c r="J1934">
        <f>DropAnalityka[[#This Row],[Sell Drop]]+IF(DropAnalityka[[#This Row],[Drop]]="Scroll", 2000*DropAnalityka[[#This Row],[Quality/Quantity]],0)</f>
        <v>0</v>
      </c>
      <c r="K1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5" spans="10:12">
      <c r="J1935">
        <f>DropAnalityka[[#This Row],[Sell Drop]]+IF(DropAnalityka[[#This Row],[Drop]]="Scroll", 2000*DropAnalityka[[#This Row],[Quality/Quantity]],0)</f>
        <v>0</v>
      </c>
      <c r="K1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6" spans="10:12">
      <c r="J1936">
        <f>DropAnalityka[[#This Row],[Sell Drop]]+IF(DropAnalityka[[#This Row],[Drop]]="Scroll", 2000*DropAnalityka[[#This Row],[Quality/Quantity]],0)</f>
        <v>0</v>
      </c>
      <c r="K1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7" spans="10:12">
      <c r="J1937">
        <f>DropAnalityka[[#This Row],[Sell Drop]]+IF(DropAnalityka[[#This Row],[Drop]]="Scroll", 2000*DropAnalityka[[#This Row],[Quality/Quantity]],0)</f>
        <v>0</v>
      </c>
      <c r="K1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8" spans="10:12">
      <c r="J1938">
        <f>DropAnalityka[[#This Row],[Sell Drop]]+IF(DropAnalityka[[#This Row],[Drop]]="Scroll", 2000*DropAnalityka[[#This Row],[Quality/Quantity]],0)</f>
        <v>0</v>
      </c>
      <c r="K1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39" spans="10:12">
      <c r="J1939">
        <f>DropAnalityka[[#This Row],[Sell Drop]]+IF(DropAnalityka[[#This Row],[Drop]]="Scroll", 2000*DropAnalityka[[#This Row],[Quality/Quantity]],0)</f>
        <v>0</v>
      </c>
      <c r="K1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0" spans="10:12">
      <c r="J1940">
        <f>DropAnalityka[[#This Row],[Sell Drop]]+IF(DropAnalityka[[#This Row],[Drop]]="Scroll", 2000*DropAnalityka[[#This Row],[Quality/Quantity]],0)</f>
        <v>0</v>
      </c>
      <c r="K1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1" spans="10:12">
      <c r="J1941">
        <f>DropAnalityka[[#This Row],[Sell Drop]]+IF(DropAnalityka[[#This Row],[Drop]]="Scroll", 2000*DropAnalityka[[#This Row],[Quality/Quantity]],0)</f>
        <v>0</v>
      </c>
      <c r="K1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2" spans="10:12">
      <c r="J1942">
        <f>DropAnalityka[[#This Row],[Sell Drop]]+IF(DropAnalityka[[#This Row],[Drop]]="Scroll", 2000*DropAnalityka[[#This Row],[Quality/Quantity]],0)</f>
        <v>0</v>
      </c>
      <c r="K1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3" spans="10:12">
      <c r="J1943">
        <f>DropAnalityka[[#This Row],[Sell Drop]]+IF(DropAnalityka[[#This Row],[Drop]]="Scroll", 2000*DropAnalityka[[#This Row],[Quality/Quantity]],0)</f>
        <v>0</v>
      </c>
      <c r="K1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4" spans="10:12">
      <c r="J1944">
        <f>DropAnalityka[[#This Row],[Sell Drop]]+IF(DropAnalityka[[#This Row],[Drop]]="Scroll", 2000*DropAnalityka[[#This Row],[Quality/Quantity]],0)</f>
        <v>0</v>
      </c>
      <c r="K1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5" spans="10:12">
      <c r="J1945">
        <f>DropAnalityka[[#This Row],[Sell Drop]]+IF(DropAnalityka[[#This Row],[Drop]]="Scroll", 2000*DropAnalityka[[#This Row],[Quality/Quantity]],0)</f>
        <v>0</v>
      </c>
      <c r="K1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6" spans="10:12">
      <c r="J1946">
        <f>DropAnalityka[[#This Row],[Sell Drop]]+IF(DropAnalityka[[#This Row],[Drop]]="Scroll", 2000*DropAnalityka[[#This Row],[Quality/Quantity]],0)</f>
        <v>0</v>
      </c>
      <c r="K1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7" spans="10:12">
      <c r="J1947">
        <f>DropAnalityka[[#This Row],[Sell Drop]]+IF(DropAnalityka[[#This Row],[Drop]]="Scroll", 2000*DropAnalityka[[#This Row],[Quality/Quantity]],0)</f>
        <v>0</v>
      </c>
      <c r="K1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8" spans="10:12">
      <c r="J1948">
        <f>DropAnalityka[[#This Row],[Sell Drop]]+IF(DropAnalityka[[#This Row],[Drop]]="Scroll", 2000*DropAnalityka[[#This Row],[Quality/Quantity]],0)</f>
        <v>0</v>
      </c>
      <c r="K1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49" spans="10:12">
      <c r="J1949">
        <f>DropAnalityka[[#This Row],[Sell Drop]]+IF(DropAnalityka[[#This Row],[Drop]]="Scroll", 2000*DropAnalityka[[#This Row],[Quality/Quantity]],0)</f>
        <v>0</v>
      </c>
      <c r="K1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0" spans="10:12">
      <c r="J1950">
        <f>DropAnalityka[[#This Row],[Sell Drop]]+IF(DropAnalityka[[#This Row],[Drop]]="Scroll", 2000*DropAnalityka[[#This Row],[Quality/Quantity]],0)</f>
        <v>0</v>
      </c>
      <c r="K1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1" spans="10:12">
      <c r="J1951">
        <f>DropAnalityka[[#This Row],[Sell Drop]]+IF(DropAnalityka[[#This Row],[Drop]]="Scroll", 2000*DropAnalityka[[#This Row],[Quality/Quantity]],0)</f>
        <v>0</v>
      </c>
      <c r="K1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2" spans="10:12">
      <c r="J1952">
        <f>DropAnalityka[[#This Row],[Sell Drop]]+IF(DropAnalityka[[#This Row],[Drop]]="Scroll", 2000*DropAnalityka[[#This Row],[Quality/Quantity]],0)</f>
        <v>0</v>
      </c>
      <c r="K1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3" spans="10:12">
      <c r="J1953">
        <f>DropAnalityka[[#This Row],[Sell Drop]]+IF(DropAnalityka[[#This Row],[Drop]]="Scroll", 2000*DropAnalityka[[#This Row],[Quality/Quantity]],0)</f>
        <v>0</v>
      </c>
      <c r="K1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4" spans="10:12">
      <c r="J1954">
        <f>DropAnalityka[[#This Row],[Sell Drop]]+IF(DropAnalityka[[#This Row],[Drop]]="Scroll", 2000*DropAnalityka[[#This Row],[Quality/Quantity]],0)</f>
        <v>0</v>
      </c>
      <c r="K1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5" spans="10:12">
      <c r="J1955">
        <f>DropAnalityka[[#This Row],[Sell Drop]]+IF(DropAnalityka[[#This Row],[Drop]]="Scroll", 2000*DropAnalityka[[#This Row],[Quality/Quantity]],0)</f>
        <v>0</v>
      </c>
      <c r="K1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6" spans="10:12">
      <c r="J1956">
        <f>DropAnalityka[[#This Row],[Sell Drop]]+IF(DropAnalityka[[#This Row],[Drop]]="Scroll", 2000*DropAnalityka[[#This Row],[Quality/Quantity]],0)</f>
        <v>0</v>
      </c>
      <c r="K1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7" spans="10:12">
      <c r="J1957">
        <f>DropAnalityka[[#This Row],[Sell Drop]]+IF(DropAnalityka[[#This Row],[Drop]]="Scroll", 2000*DropAnalityka[[#This Row],[Quality/Quantity]],0)</f>
        <v>0</v>
      </c>
      <c r="K1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8" spans="10:12">
      <c r="J1958">
        <f>DropAnalityka[[#This Row],[Sell Drop]]+IF(DropAnalityka[[#This Row],[Drop]]="Scroll", 2000*DropAnalityka[[#This Row],[Quality/Quantity]],0)</f>
        <v>0</v>
      </c>
      <c r="K1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59" spans="10:12">
      <c r="J1959">
        <f>DropAnalityka[[#This Row],[Sell Drop]]+IF(DropAnalityka[[#This Row],[Drop]]="Scroll", 2000*DropAnalityka[[#This Row],[Quality/Quantity]],0)</f>
        <v>0</v>
      </c>
      <c r="K1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0" spans="10:12">
      <c r="J1960">
        <f>DropAnalityka[[#This Row],[Sell Drop]]+IF(DropAnalityka[[#This Row],[Drop]]="Scroll", 2000*DropAnalityka[[#This Row],[Quality/Quantity]],0)</f>
        <v>0</v>
      </c>
      <c r="K1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1" spans="10:12">
      <c r="J1961">
        <f>DropAnalityka[[#This Row],[Sell Drop]]+IF(DropAnalityka[[#This Row],[Drop]]="Scroll", 2000*DropAnalityka[[#This Row],[Quality/Quantity]],0)</f>
        <v>0</v>
      </c>
      <c r="K1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2" spans="10:12">
      <c r="J1962">
        <f>DropAnalityka[[#This Row],[Sell Drop]]+IF(DropAnalityka[[#This Row],[Drop]]="Scroll", 2000*DropAnalityka[[#This Row],[Quality/Quantity]],0)</f>
        <v>0</v>
      </c>
      <c r="K1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3" spans="10:12">
      <c r="J1963">
        <f>DropAnalityka[[#This Row],[Sell Drop]]+IF(DropAnalityka[[#This Row],[Drop]]="Scroll", 2000*DropAnalityka[[#This Row],[Quality/Quantity]],0)</f>
        <v>0</v>
      </c>
      <c r="K1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4" spans="10:12">
      <c r="J1964">
        <f>DropAnalityka[[#This Row],[Sell Drop]]+IF(DropAnalityka[[#This Row],[Drop]]="Scroll", 2000*DropAnalityka[[#This Row],[Quality/Quantity]],0)</f>
        <v>0</v>
      </c>
      <c r="K1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5" spans="10:12">
      <c r="J1965">
        <f>DropAnalityka[[#This Row],[Sell Drop]]+IF(DropAnalityka[[#This Row],[Drop]]="Scroll", 2000*DropAnalityka[[#This Row],[Quality/Quantity]],0)</f>
        <v>0</v>
      </c>
      <c r="K1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6" spans="10:12">
      <c r="J1966">
        <f>DropAnalityka[[#This Row],[Sell Drop]]+IF(DropAnalityka[[#This Row],[Drop]]="Scroll", 2000*DropAnalityka[[#This Row],[Quality/Quantity]],0)</f>
        <v>0</v>
      </c>
      <c r="K1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7" spans="10:12">
      <c r="J1967">
        <f>DropAnalityka[[#This Row],[Sell Drop]]+IF(DropAnalityka[[#This Row],[Drop]]="Scroll", 2000*DropAnalityka[[#This Row],[Quality/Quantity]],0)</f>
        <v>0</v>
      </c>
      <c r="K1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8" spans="10:12">
      <c r="J1968">
        <f>DropAnalityka[[#This Row],[Sell Drop]]+IF(DropAnalityka[[#This Row],[Drop]]="Scroll", 2000*DropAnalityka[[#This Row],[Quality/Quantity]],0)</f>
        <v>0</v>
      </c>
      <c r="K1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69" spans="10:12">
      <c r="J1969">
        <f>DropAnalityka[[#This Row],[Sell Drop]]+IF(DropAnalityka[[#This Row],[Drop]]="Scroll", 2000*DropAnalityka[[#This Row],[Quality/Quantity]],0)</f>
        <v>0</v>
      </c>
      <c r="K1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0" spans="10:12">
      <c r="J1970">
        <f>DropAnalityka[[#This Row],[Sell Drop]]+IF(DropAnalityka[[#This Row],[Drop]]="Scroll", 2000*DropAnalityka[[#This Row],[Quality/Quantity]],0)</f>
        <v>0</v>
      </c>
      <c r="K1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1" spans="10:12">
      <c r="J1971">
        <f>DropAnalityka[[#This Row],[Sell Drop]]+IF(DropAnalityka[[#This Row],[Drop]]="Scroll", 2000*DropAnalityka[[#This Row],[Quality/Quantity]],0)</f>
        <v>0</v>
      </c>
      <c r="K1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2" spans="10:12">
      <c r="J1972">
        <f>DropAnalityka[[#This Row],[Sell Drop]]+IF(DropAnalityka[[#This Row],[Drop]]="Scroll", 2000*DropAnalityka[[#This Row],[Quality/Quantity]],0)</f>
        <v>0</v>
      </c>
      <c r="K1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3" spans="10:12">
      <c r="J1973">
        <f>DropAnalityka[[#This Row],[Sell Drop]]+IF(DropAnalityka[[#This Row],[Drop]]="Scroll", 2000*DropAnalityka[[#This Row],[Quality/Quantity]],0)</f>
        <v>0</v>
      </c>
      <c r="K1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4" spans="10:12">
      <c r="J1974">
        <f>DropAnalityka[[#This Row],[Sell Drop]]+IF(DropAnalityka[[#This Row],[Drop]]="Scroll", 2000*DropAnalityka[[#This Row],[Quality/Quantity]],0)</f>
        <v>0</v>
      </c>
      <c r="K1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5" spans="10:12">
      <c r="J1975">
        <f>DropAnalityka[[#This Row],[Sell Drop]]+IF(DropAnalityka[[#This Row],[Drop]]="Scroll", 2000*DropAnalityka[[#This Row],[Quality/Quantity]],0)</f>
        <v>0</v>
      </c>
      <c r="K1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6" spans="10:12">
      <c r="J1976">
        <f>DropAnalityka[[#This Row],[Sell Drop]]+IF(DropAnalityka[[#This Row],[Drop]]="Scroll", 2000*DropAnalityka[[#This Row],[Quality/Quantity]],0)</f>
        <v>0</v>
      </c>
      <c r="K1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7" spans="10:12">
      <c r="J1977">
        <f>DropAnalityka[[#This Row],[Sell Drop]]+IF(DropAnalityka[[#This Row],[Drop]]="Scroll", 2000*DropAnalityka[[#This Row],[Quality/Quantity]],0)</f>
        <v>0</v>
      </c>
      <c r="K1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8" spans="10:12">
      <c r="J1978">
        <f>DropAnalityka[[#This Row],[Sell Drop]]+IF(DropAnalityka[[#This Row],[Drop]]="Scroll", 2000*DropAnalityka[[#This Row],[Quality/Quantity]],0)</f>
        <v>0</v>
      </c>
      <c r="K1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79" spans="10:12">
      <c r="J1979">
        <f>DropAnalityka[[#This Row],[Sell Drop]]+IF(DropAnalityka[[#This Row],[Drop]]="Scroll", 2000*DropAnalityka[[#This Row],[Quality/Quantity]],0)</f>
        <v>0</v>
      </c>
      <c r="K1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0" spans="10:12">
      <c r="J1980">
        <f>DropAnalityka[[#This Row],[Sell Drop]]+IF(DropAnalityka[[#This Row],[Drop]]="Scroll", 2000*DropAnalityka[[#This Row],[Quality/Quantity]],0)</f>
        <v>0</v>
      </c>
      <c r="K1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1" spans="10:12">
      <c r="J1981">
        <f>DropAnalityka[[#This Row],[Sell Drop]]+IF(DropAnalityka[[#This Row],[Drop]]="Scroll", 2000*DropAnalityka[[#This Row],[Quality/Quantity]],0)</f>
        <v>0</v>
      </c>
      <c r="K1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2" spans="10:12">
      <c r="J1982">
        <f>DropAnalityka[[#This Row],[Sell Drop]]+IF(DropAnalityka[[#This Row],[Drop]]="Scroll", 2000*DropAnalityka[[#This Row],[Quality/Quantity]],0)</f>
        <v>0</v>
      </c>
      <c r="K1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3" spans="10:12">
      <c r="J1983">
        <f>DropAnalityka[[#This Row],[Sell Drop]]+IF(DropAnalityka[[#This Row],[Drop]]="Scroll", 2000*DropAnalityka[[#This Row],[Quality/Quantity]],0)</f>
        <v>0</v>
      </c>
      <c r="K1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4" spans="10:12">
      <c r="J1984">
        <f>DropAnalityka[[#This Row],[Sell Drop]]+IF(DropAnalityka[[#This Row],[Drop]]="Scroll", 2000*DropAnalityka[[#This Row],[Quality/Quantity]],0)</f>
        <v>0</v>
      </c>
      <c r="K1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5" spans="1:13">
      <c r="J1985">
        <f>DropAnalityka[[#This Row],[Sell Drop]]+IF(DropAnalityka[[#This Row],[Drop]]="Scroll", 2000*DropAnalityka[[#This Row],[Quality/Quantity]],0)</f>
        <v>0</v>
      </c>
      <c r="K1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6" spans="1:13">
      <c r="J1986">
        <f>DropAnalityka[[#This Row],[Sell Drop]]+IF(DropAnalityka[[#This Row],[Drop]]="Scroll", 2000*DropAnalityka[[#This Row],[Quality/Quantity]],0)</f>
        <v>0</v>
      </c>
      <c r="K1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7" spans="1:13">
      <c r="J1987">
        <f>DropAnalityka[[#This Row],[Sell Drop]]+IF(DropAnalityka[[#This Row],[Drop]]="Scroll", 2000*DropAnalityka[[#This Row],[Quality/Quantity]],0)</f>
        <v>0</v>
      </c>
      <c r="K1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8" spans="1:13">
      <c r="J1988">
        <f>DropAnalityka[[#This Row],[Sell Drop]]+IF(DropAnalityka[[#This Row],[Drop]]="Scroll", 2000*DropAnalityka[[#This Row],[Quality/Quantity]],0)</f>
        <v>0</v>
      </c>
      <c r="K1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89" spans="1:13">
      <c r="J1989">
        <f>DropAnalityka[[#This Row],[Sell Drop]]+IF(DropAnalityka[[#This Row],[Drop]]="Scroll", 2000*DropAnalityka[[#This Row],[Quality/Quantity]],0)</f>
        <v>0</v>
      </c>
      <c r="K1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0" spans="1:13">
      <c r="J1990">
        <f>DropAnalityka[[#This Row],[Sell Drop]]+IF(DropAnalityka[[#This Row],[Drop]]="Scroll", 2000*DropAnalityka[[#This Row],[Quality/Quantity]],0)</f>
        <v>0</v>
      </c>
      <c r="K1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1" spans="1:13">
      <c r="J1991">
        <f>DropAnalityka[[#This Row],[Sell Drop]]+IF(DropAnalityka[[#This Row],[Drop]]="Scroll", 2000*DropAnalityka[[#This Row],[Quality/Quantity]],0)</f>
        <v>0</v>
      </c>
      <c r="K1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2" spans="1:13">
      <c r="J1992">
        <f>DropAnalityka[[#This Row],[Sell Drop]]+IF(DropAnalityka[[#This Row],[Drop]]="Scroll", 2000*DropAnalityka[[#This Row],[Quality/Quantity]],0)</f>
        <v>0</v>
      </c>
      <c r="K1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3" spans="1:13">
      <c r="J1993">
        <f>DropAnalityka[[#This Row],[Sell Drop]]+IF(DropAnalityka[[#This Row],[Drop]]="Scroll", 2000*DropAnalityka[[#This Row],[Quality/Quantity]],0)</f>
        <v>0</v>
      </c>
      <c r="K1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4" spans="1:13">
      <c r="J1994">
        <f>DropAnalityka[[#This Row],[Sell Drop]]+IF(DropAnalityka[[#This Row],[Drop]]="Scroll", 2000*DropAnalityka[[#This Row],[Quality/Quantity]],0)</f>
        <v>0</v>
      </c>
      <c r="K1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5" spans="1:13">
      <c r="J1995">
        <f>DropAnalityka[[#This Row],[Sell Drop]]+IF(DropAnalityka[[#This Row],[Drop]]="Scroll", 2000*DropAnalityka[[#This Row],[Quality/Quantity]],0)</f>
        <v>0</v>
      </c>
      <c r="K1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6" spans="1:13">
      <c r="J1996">
        <f>DropAnalityka[[#This Row],[Sell Drop]]+IF(DropAnalityka[[#This Row],[Drop]]="Scroll", 2000*DropAnalityka[[#This Row],[Quality/Quantity]],0)</f>
        <v>0</v>
      </c>
      <c r="K1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7" spans="1:13">
      <c r="J1997">
        <f>DropAnalityka[[#This Row],[Sell Drop]]+IF(DropAnalityka[[#This Row],[Drop]]="Scroll", 2000*DropAnalityka[[#This Row],[Quality/Quantity]],0)</f>
        <v>0</v>
      </c>
      <c r="K1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8" spans="1:13">
      <c r="J1998">
        <f>DropAnalityka[[#This Row],[Sell Drop]]+IF(DropAnalityka[[#This Row],[Drop]]="Scroll", 2000*DropAnalityka[[#This Row],[Quality/Quantity]],0)</f>
        <v>0</v>
      </c>
      <c r="K1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1999" spans="1:13">
      <c r="J1999">
        <f>DropAnalityka[[#This Row],[Sell Drop]]+IF(DropAnalityka[[#This Row],[Drop]]="Scroll", 2000*DropAnalityka[[#This Row],[Quality/Quantity]],0)</f>
        <v>0</v>
      </c>
      <c r="K1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1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Drop]]+IF(DropAnalityka[[#This Row],[Drop]]="Scroll", 2000*DropAnalityka[[#This Row],[Quality/Quantity]],0)</f>
        <v>0</v>
      </c>
      <c r="K2000" s="87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Row],[Quality/Quantity]]="2*"),11500,IF(DropAnalityka[[#This Row],[Drop]]="SumStone", DropAnalityka[[#This Row],[Quality/Quantity]]/40*34500,0))))</f>
        <v>0</v>
      </c>
      <c r="L2000" s="87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Row],[Quality/Quantity]]="2*"),66062,IF(DropAnalityka[[#This Row],[Drop]]="SumStone", DropAnalityka[[#This Row],[Quality/Quantity]]/40*66062,0) )))</f>
        <v>0</v>
      </c>
      <c r="M2000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tabSelected="1" topLeftCell="A13" zoomScale="85" zoomScaleNormal="85" workbookViewId="0">
      <selection activeCell="G38" sqref="G38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90" t="s">
        <v>256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2"/>
    </row>
    <row r="3" spans="1:16" ht="15">
      <c r="A3" s="37" t="s">
        <v>234</v>
      </c>
      <c r="B3" s="36" t="s">
        <v>249</v>
      </c>
      <c r="C3" s="36" t="s">
        <v>255</v>
      </c>
      <c r="D3" s="36" t="s">
        <v>239</v>
      </c>
      <c r="E3" s="36" t="s">
        <v>249</v>
      </c>
      <c r="F3" s="36" t="s">
        <v>255</v>
      </c>
      <c r="G3" s="36" t="s">
        <v>244</v>
      </c>
      <c r="H3" s="36" t="s">
        <v>249</v>
      </c>
      <c r="I3" s="36" t="s">
        <v>255</v>
      </c>
      <c r="J3" s="57"/>
      <c r="K3" s="36" t="s">
        <v>249</v>
      </c>
      <c r="L3" s="58" t="s">
        <v>255</v>
      </c>
    </row>
    <row r="4" spans="1:16">
      <c r="A4" s="5" t="s">
        <v>237</v>
      </c>
      <c r="B4" s="6" t="s">
        <v>250</v>
      </c>
      <c r="C4" s="6" t="s">
        <v>226</v>
      </c>
      <c r="D4" s="6" t="s">
        <v>240</v>
      </c>
      <c r="E4" s="6" t="s">
        <v>250</v>
      </c>
      <c r="F4" s="6"/>
      <c r="G4" s="6" t="s">
        <v>245</v>
      </c>
      <c r="H4" s="6" t="s">
        <v>250</v>
      </c>
      <c r="I4" s="62" t="s">
        <v>226</v>
      </c>
      <c r="J4" s="59" t="s">
        <v>253</v>
      </c>
      <c r="K4" s="59" t="s">
        <v>34</v>
      </c>
      <c r="L4" s="60" t="s">
        <v>226</v>
      </c>
    </row>
    <row r="5" spans="1:16">
      <c r="A5" s="5" t="s">
        <v>236</v>
      </c>
      <c r="B5" s="6" t="s">
        <v>251</v>
      </c>
      <c r="C5" s="6" t="s">
        <v>226</v>
      </c>
      <c r="D5" s="6" t="s">
        <v>241</v>
      </c>
      <c r="E5" s="6" t="s">
        <v>251</v>
      </c>
      <c r="F5" s="62" t="s">
        <v>226</v>
      </c>
      <c r="G5" s="6" t="s">
        <v>246</v>
      </c>
      <c r="H5" s="6" t="s">
        <v>34</v>
      </c>
      <c r="I5" s="6" t="s">
        <v>226</v>
      </c>
      <c r="J5" s="6"/>
      <c r="K5" s="6"/>
      <c r="L5" s="61"/>
    </row>
    <row r="6" spans="1:16">
      <c r="A6" s="5" t="s">
        <v>235</v>
      </c>
      <c r="B6" s="6" t="s">
        <v>251</v>
      </c>
      <c r="C6" s="62" t="s">
        <v>226</v>
      </c>
      <c r="D6" s="6" t="s">
        <v>242</v>
      </c>
      <c r="E6" s="6" t="s">
        <v>251</v>
      </c>
      <c r="F6" s="6" t="s">
        <v>226</v>
      </c>
      <c r="G6" s="6" t="s">
        <v>247</v>
      </c>
      <c r="H6" s="6" t="s">
        <v>250</v>
      </c>
      <c r="I6" s="62" t="s">
        <v>226</v>
      </c>
      <c r="J6" s="6"/>
      <c r="K6" s="6"/>
      <c r="L6" s="61"/>
    </row>
    <row r="7" spans="1:16" ht="15" thickBot="1">
      <c r="A7" s="7" t="s">
        <v>238</v>
      </c>
      <c r="B7" s="8" t="s">
        <v>254</v>
      </c>
      <c r="C7" s="8" t="s">
        <v>226</v>
      </c>
      <c r="D7" s="8" t="s">
        <v>243</v>
      </c>
      <c r="E7" s="8" t="s">
        <v>252</v>
      </c>
      <c r="F7" s="8"/>
      <c r="G7" s="8" t="s">
        <v>248</v>
      </c>
      <c r="H7" s="8" t="s">
        <v>252</v>
      </c>
      <c r="I7" s="8" t="s">
        <v>226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93" t="s">
        <v>257</v>
      </c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5"/>
    </row>
    <row r="10" spans="1:16" ht="15">
      <c r="A10" s="37" t="s">
        <v>258</v>
      </c>
      <c r="B10" s="36" t="s">
        <v>249</v>
      </c>
      <c r="C10" s="36" t="s">
        <v>255</v>
      </c>
      <c r="D10" s="72" t="s">
        <v>259</v>
      </c>
      <c r="E10" s="71" t="s">
        <v>249</v>
      </c>
      <c r="F10" s="71" t="s">
        <v>255</v>
      </c>
      <c r="G10" s="71" t="s">
        <v>260</v>
      </c>
      <c r="H10" s="71" t="s">
        <v>249</v>
      </c>
      <c r="I10" s="71" t="s">
        <v>255</v>
      </c>
      <c r="J10" s="71" t="s">
        <v>203</v>
      </c>
      <c r="K10" s="71"/>
      <c r="L10" s="71" t="s">
        <v>249</v>
      </c>
      <c r="M10" s="71" t="s">
        <v>255</v>
      </c>
      <c r="N10" s="65"/>
      <c r="O10" s="71" t="s">
        <v>249</v>
      </c>
      <c r="P10" s="73" t="s">
        <v>255</v>
      </c>
    </row>
    <row r="11" spans="1:16">
      <c r="A11" s="5" t="s">
        <v>274</v>
      </c>
      <c r="B11" s="6" t="s">
        <v>251</v>
      </c>
      <c r="C11" s="74" t="s">
        <v>226</v>
      </c>
      <c r="D11" s="69" t="s">
        <v>261</v>
      </c>
      <c r="E11" s="65" t="s">
        <v>251</v>
      </c>
      <c r="F11" s="65" t="s">
        <v>226</v>
      </c>
      <c r="G11" s="65" t="s">
        <v>265</v>
      </c>
      <c r="H11" s="65" t="s">
        <v>34</v>
      </c>
      <c r="I11" s="65" t="s">
        <v>226</v>
      </c>
      <c r="J11" s="65" t="s">
        <v>269</v>
      </c>
      <c r="K11" s="65"/>
      <c r="L11" s="65" t="s">
        <v>251</v>
      </c>
      <c r="M11" s="65"/>
      <c r="N11" s="65" t="s">
        <v>273</v>
      </c>
      <c r="O11" s="65"/>
      <c r="P11" s="66" t="s">
        <v>226</v>
      </c>
    </row>
    <row r="12" spans="1:16">
      <c r="A12" s="5" t="s">
        <v>275</v>
      </c>
      <c r="B12" s="6" t="s">
        <v>34</v>
      </c>
      <c r="C12" s="74" t="s">
        <v>226</v>
      </c>
      <c r="D12" s="69" t="s">
        <v>262</v>
      </c>
      <c r="E12" s="65" t="s">
        <v>34</v>
      </c>
      <c r="F12" s="65" t="s">
        <v>226</v>
      </c>
      <c r="G12" s="65" t="s">
        <v>266</v>
      </c>
      <c r="H12" s="65" t="s">
        <v>250</v>
      </c>
      <c r="I12" s="65" t="s">
        <v>226</v>
      </c>
      <c r="J12" s="65" t="s">
        <v>270</v>
      </c>
      <c r="K12" s="65"/>
      <c r="L12" s="65" t="s">
        <v>250</v>
      </c>
      <c r="M12" s="65" t="s">
        <v>226</v>
      </c>
      <c r="N12" s="65"/>
      <c r="O12" s="65"/>
      <c r="P12" s="66"/>
    </row>
    <row r="13" spans="1:16">
      <c r="A13" s="5" t="s">
        <v>276</v>
      </c>
      <c r="B13" s="6" t="s">
        <v>251</v>
      </c>
      <c r="C13" s="74" t="s">
        <v>226</v>
      </c>
      <c r="D13" s="69" t="s">
        <v>263</v>
      </c>
      <c r="E13" s="65" t="s">
        <v>251</v>
      </c>
      <c r="F13" s="65" t="s">
        <v>226</v>
      </c>
      <c r="G13" s="65" t="s">
        <v>267</v>
      </c>
      <c r="H13" s="65" t="s">
        <v>251</v>
      </c>
      <c r="I13" s="65" t="s">
        <v>226</v>
      </c>
      <c r="J13" s="65" t="s">
        <v>271</v>
      </c>
      <c r="K13" s="65"/>
      <c r="L13" s="65" t="s">
        <v>250</v>
      </c>
      <c r="M13" s="65" t="s">
        <v>226</v>
      </c>
      <c r="N13" s="65"/>
      <c r="O13" s="65"/>
      <c r="P13" s="66"/>
    </row>
    <row r="14" spans="1:16" ht="15" thickBot="1">
      <c r="A14" s="7" t="s">
        <v>277</v>
      </c>
      <c r="B14" s="8" t="s">
        <v>250</v>
      </c>
      <c r="C14" s="75" t="s">
        <v>226</v>
      </c>
      <c r="D14" s="70" t="s">
        <v>264</v>
      </c>
      <c r="E14" s="67" t="s">
        <v>278</v>
      </c>
      <c r="F14" s="67" t="s">
        <v>226</v>
      </c>
      <c r="G14" s="67" t="s">
        <v>268</v>
      </c>
      <c r="H14" s="67" t="s">
        <v>278</v>
      </c>
      <c r="I14" s="67" t="s">
        <v>226</v>
      </c>
      <c r="J14" s="67" t="s">
        <v>272</v>
      </c>
      <c r="K14" s="67"/>
      <c r="L14" s="67" t="s">
        <v>278</v>
      </c>
      <c r="M14" s="67" t="s">
        <v>226</v>
      </c>
      <c r="N14" s="67"/>
      <c r="O14" s="67"/>
      <c r="P14" s="68"/>
    </row>
    <row r="17" spans="1:20" ht="15" thickBot="1"/>
    <row r="18" spans="1:20" ht="15" thickBot="1">
      <c r="F18" s="103" t="s">
        <v>285</v>
      </c>
      <c r="G18" s="104"/>
      <c r="H18" s="105"/>
      <c r="I18" s="114" t="s">
        <v>286</v>
      </c>
      <c r="J18" s="115"/>
      <c r="K18" s="116"/>
      <c r="L18" s="125" t="s">
        <v>18</v>
      </c>
      <c r="M18" s="126"/>
      <c r="N18" s="127"/>
      <c r="O18" s="149" t="s">
        <v>288</v>
      </c>
      <c r="P18" s="150"/>
      <c r="Q18" s="151"/>
      <c r="R18" s="136" t="s">
        <v>287</v>
      </c>
      <c r="S18" s="137"/>
      <c r="T18" s="138"/>
    </row>
    <row r="19" spans="1:20" ht="15.75" thickBot="1">
      <c r="C19" s="37" t="s">
        <v>281</v>
      </c>
      <c r="D19" s="36" t="s">
        <v>282</v>
      </c>
      <c r="E19" s="58" t="s">
        <v>283</v>
      </c>
      <c r="F19" s="106" t="s">
        <v>289</v>
      </c>
      <c r="G19" s="107" t="s">
        <v>320</v>
      </c>
      <c r="H19" s="108" t="s">
        <v>290</v>
      </c>
      <c r="I19" s="117" t="s">
        <v>289</v>
      </c>
      <c r="J19" s="118" t="s">
        <v>320</v>
      </c>
      <c r="K19" s="119" t="s">
        <v>290</v>
      </c>
      <c r="L19" s="128" t="s">
        <v>289</v>
      </c>
      <c r="M19" s="129" t="s">
        <v>320</v>
      </c>
      <c r="N19" s="130" t="s">
        <v>290</v>
      </c>
      <c r="O19" s="152" t="s">
        <v>289</v>
      </c>
      <c r="P19" s="153" t="s">
        <v>320</v>
      </c>
      <c r="Q19" s="154" t="s">
        <v>290</v>
      </c>
      <c r="R19" s="139" t="s">
        <v>289</v>
      </c>
      <c r="S19" s="140" t="s">
        <v>320</v>
      </c>
      <c r="T19" s="141" t="s">
        <v>290</v>
      </c>
    </row>
    <row r="20" spans="1:20" ht="15">
      <c r="A20" s="76" t="s">
        <v>284</v>
      </c>
      <c r="B20" s="81" t="s">
        <v>259</v>
      </c>
      <c r="C20" s="79"/>
      <c r="D20" s="79"/>
      <c r="E20" s="80"/>
      <c r="F20" s="109"/>
      <c r="G20" s="110">
        <v>20</v>
      </c>
      <c r="H20" s="111">
        <v>10</v>
      </c>
      <c r="I20" s="120"/>
      <c r="J20" s="121"/>
      <c r="K20" s="122"/>
      <c r="L20" s="131"/>
      <c r="M20" s="132"/>
      <c r="N20" s="133"/>
      <c r="O20" s="155"/>
      <c r="P20" s="156">
        <v>15</v>
      </c>
      <c r="Q20" s="157">
        <v>5</v>
      </c>
      <c r="R20" s="142"/>
      <c r="S20" s="143"/>
      <c r="T20" s="144"/>
    </row>
    <row r="21" spans="1:20">
      <c r="A21" s="77" t="s">
        <v>284</v>
      </c>
      <c r="B21" s="82" t="s">
        <v>261</v>
      </c>
      <c r="C21" s="5" t="s">
        <v>226</v>
      </c>
      <c r="D21" s="82" t="s">
        <v>293</v>
      </c>
      <c r="E21" s="61"/>
      <c r="F21" s="109">
        <v>10</v>
      </c>
      <c r="G21" s="110">
        <v>15</v>
      </c>
      <c r="H21" s="111"/>
      <c r="I21" s="120"/>
      <c r="J21" s="121"/>
      <c r="K21" s="122"/>
      <c r="L21" s="131"/>
      <c r="M21" s="132"/>
      <c r="N21" s="133"/>
      <c r="O21" s="155">
        <v>5</v>
      </c>
      <c r="P21" s="156">
        <v>10</v>
      </c>
      <c r="Q21" s="157"/>
      <c r="R21" s="142"/>
      <c r="S21" s="143"/>
      <c r="T21" s="144"/>
    </row>
    <row r="22" spans="1:20">
      <c r="A22" s="77" t="s">
        <v>284</v>
      </c>
      <c r="B22" s="82" t="s">
        <v>262</v>
      </c>
      <c r="C22" s="5" t="s">
        <v>226</v>
      </c>
      <c r="D22" s="82" t="s">
        <v>293</v>
      </c>
      <c r="E22" s="61"/>
      <c r="F22" s="109">
        <v>10</v>
      </c>
      <c r="G22" s="110">
        <v>15</v>
      </c>
      <c r="H22" s="111"/>
      <c r="I22" s="120"/>
      <c r="J22" s="121"/>
      <c r="K22" s="122"/>
      <c r="L22" s="131"/>
      <c r="M22" s="132"/>
      <c r="N22" s="133"/>
      <c r="O22" s="155">
        <v>5</v>
      </c>
      <c r="P22" s="156">
        <v>10</v>
      </c>
      <c r="Q22" s="157"/>
      <c r="R22" s="142"/>
      <c r="S22" s="143"/>
      <c r="T22" s="144"/>
    </row>
    <row r="23" spans="1:20">
      <c r="A23" s="77" t="s">
        <v>284</v>
      </c>
      <c r="B23" s="82" t="s">
        <v>263</v>
      </c>
      <c r="C23" s="5" t="s">
        <v>226</v>
      </c>
      <c r="D23" s="82" t="s">
        <v>293</v>
      </c>
      <c r="E23" s="61"/>
      <c r="F23" s="109"/>
      <c r="G23" s="110"/>
      <c r="H23" s="111"/>
      <c r="I23" s="120">
        <v>10</v>
      </c>
      <c r="J23" s="121">
        <v>15</v>
      </c>
      <c r="K23" s="122"/>
      <c r="L23" s="131"/>
      <c r="M23" s="132"/>
      <c r="N23" s="133"/>
      <c r="O23" s="155">
        <v>5</v>
      </c>
      <c r="P23" s="156">
        <v>10</v>
      </c>
      <c r="Q23" s="157"/>
      <c r="R23" s="142"/>
      <c r="S23" s="143"/>
      <c r="T23" s="144"/>
    </row>
    <row r="24" spans="1:20" ht="15" thickBot="1">
      <c r="A24" s="77" t="s">
        <v>284</v>
      </c>
      <c r="B24" s="83" t="s">
        <v>264</v>
      </c>
      <c r="C24" s="5" t="s">
        <v>226</v>
      </c>
      <c r="D24" s="5" t="s">
        <v>226</v>
      </c>
      <c r="E24" s="61"/>
      <c r="F24" s="109"/>
      <c r="G24" s="110"/>
      <c r="H24" s="111"/>
      <c r="I24" s="120"/>
      <c r="J24" s="121"/>
      <c r="K24" s="122"/>
      <c r="L24" s="131">
        <v>20</v>
      </c>
      <c r="M24" s="132"/>
      <c r="N24" s="133"/>
      <c r="O24" s="155">
        <v>15</v>
      </c>
      <c r="P24" s="156"/>
      <c r="Q24" s="157"/>
      <c r="R24" s="142"/>
      <c r="S24" s="143"/>
      <c r="T24" s="144"/>
    </row>
    <row r="25" spans="1:20" ht="15">
      <c r="A25" s="77" t="s">
        <v>284</v>
      </c>
      <c r="B25" s="81" t="s">
        <v>260</v>
      </c>
      <c r="C25" s="5"/>
      <c r="D25" s="5"/>
      <c r="E25" s="61"/>
      <c r="F25" s="109"/>
      <c r="G25" s="110"/>
      <c r="H25" s="111"/>
      <c r="I25" s="120"/>
      <c r="J25" s="121"/>
      <c r="K25" s="122"/>
      <c r="L25" s="131"/>
      <c r="M25" s="132">
        <v>20</v>
      </c>
      <c r="N25" s="133">
        <v>10</v>
      </c>
      <c r="O25" s="155"/>
      <c r="P25" s="156">
        <v>15</v>
      </c>
      <c r="Q25" s="157">
        <v>5</v>
      </c>
      <c r="R25" s="142"/>
      <c r="S25" s="143"/>
      <c r="T25" s="144"/>
    </row>
    <row r="26" spans="1:20">
      <c r="A26" s="77" t="s">
        <v>284</v>
      </c>
      <c r="B26" s="82" t="s">
        <v>265</v>
      </c>
      <c r="C26" s="5" t="s">
        <v>226</v>
      </c>
      <c r="D26" s="82" t="s">
        <v>294</v>
      </c>
      <c r="E26" s="61"/>
      <c r="F26" s="109"/>
      <c r="G26" s="110"/>
      <c r="H26" s="111"/>
      <c r="I26" s="120"/>
      <c r="J26" s="121"/>
      <c r="K26" s="122"/>
      <c r="L26" s="131"/>
      <c r="M26" s="132">
        <v>10</v>
      </c>
      <c r="N26" s="133">
        <v>15</v>
      </c>
      <c r="O26" s="155">
        <v>5</v>
      </c>
      <c r="P26" s="156">
        <v>10</v>
      </c>
      <c r="Q26" s="157"/>
      <c r="R26" s="142"/>
      <c r="S26" s="143"/>
      <c r="T26" s="144"/>
    </row>
    <row r="27" spans="1:20">
      <c r="A27" s="77" t="s">
        <v>284</v>
      </c>
      <c r="B27" s="82" t="s">
        <v>266</v>
      </c>
      <c r="C27" s="5" t="s">
        <v>226</v>
      </c>
      <c r="D27" s="82" t="s">
        <v>294</v>
      </c>
      <c r="E27" s="61"/>
      <c r="F27" s="109"/>
      <c r="G27" s="110"/>
      <c r="H27" s="111"/>
      <c r="I27" s="120"/>
      <c r="J27" s="121"/>
      <c r="K27" s="122"/>
      <c r="L27" s="131"/>
      <c r="M27" s="132">
        <v>20</v>
      </c>
      <c r="N27" s="133"/>
      <c r="O27" s="155">
        <v>10</v>
      </c>
      <c r="P27" s="156">
        <v>2</v>
      </c>
      <c r="Q27" s="157"/>
      <c r="R27" s="142"/>
      <c r="S27" s="143"/>
      <c r="T27" s="144"/>
    </row>
    <row r="28" spans="1:20">
      <c r="A28" s="77" t="s">
        <v>284</v>
      </c>
      <c r="B28" s="82" t="s">
        <v>267</v>
      </c>
      <c r="C28" s="5" t="s">
        <v>226</v>
      </c>
      <c r="D28" s="82" t="s">
        <v>294</v>
      </c>
      <c r="E28" s="61"/>
      <c r="F28" s="109">
        <v>10</v>
      </c>
      <c r="G28" s="110">
        <v>15</v>
      </c>
      <c r="H28" s="111"/>
      <c r="I28" s="120"/>
      <c r="J28" s="121"/>
      <c r="K28" s="122"/>
      <c r="L28" s="131"/>
      <c r="M28" s="132"/>
      <c r="N28" s="133"/>
      <c r="O28" s="155">
        <v>5</v>
      </c>
      <c r="P28" s="156">
        <v>10</v>
      </c>
      <c r="Q28" s="157"/>
      <c r="R28" s="142"/>
      <c r="S28" s="143"/>
      <c r="T28" s="144"/>
    </row>
    <row r="29" spans="1:20" ht="15" thickBot="1">
      <c r="A29" s="77" t="s">
        <v>284</v>
      </c>
      <c r="B29" s="83" t="s">
        <v>268</v>
      </c>
      <c r="C29" s="5" t="s">
        <v>226</v>
      </c>
      <c r="D29" s="5" t="s">
        <v>226</v>
      </c>
      <c r="E29" s="61"/>
      <c r="F29" s="109"/>
      <c r="G29" s="110"/>
      <c r="H29" s="111"/>
      <c r="I29" s="120">
        <v>15</v>
      </c>
      <c r="J29" s="121">
        <v>5</v>
      </c>
      <c r="K29" s="122"/>
      <c r="L29" s="131"/>
      <c r="M29" s="132"/>
      <c r="N29" s="133"/>
      <c r="O29" s="155">
        <v>10</v>
      </c>
      <c r="P29" s="156">
        <v>5</v>
      </c>
      <c r="Q29" s="157"/>
      <c r="R29" s="142"/>
      <c r="S29" s="143"/>
      <c r="T29" s="144"/>
    </row>
    <row r="30" spans="1:20" ht="15">
      <c r="A30" s="77" t="s">
        <v>284</v>
      </c>
      <c r="B30" s="81" t="s">
        <v>203</v>
      </c>
      <c r="C30" s="5"/>
      <c r="D30" s="5"/>
      <c r="E30" s="61"/>
      <c r="F30" s="109"/>
      <c r="G30" s="110"/>
      <c r="H30" s="111"/>
      <c r="I30" s="120"/>
      <c r="J30" s="121">
        <v>15</v>
      </c>
      <c r="K30" s="122">
        <v>12</v>
      </c>
      <c r="L30" s="131"/>
      <c r="M30" s="132"/>
      <c r="N30" s="133"/>
      <c r="O30" s="155"/>
      <c r="P30" s="156">
        <v>15</v>
      </c>
      <c r="Q30" s="157">
        <v>10</v>
      </c>
      <c r="R30" s="142"/>
      <c r="S30" s="143"/>
      <c r="T30" s="144"/>
    </row>
    <row r="31" spans="1:20">
      <c r="A31" s="77" t="s">
        <v>284</v>
      </c>
      <c r="B31" s="175" t="s">
        <v>269</v>
      </c>
      <c r="C31" s="175"/>
      <c r="D31" s="175"/>
      <c r="E31" s="61"/>
      <c r="F31" s="109"/>
      <c r="G31" s="110"/>
      <c r="H31" s="111"/>
      <c r="I31" s="120">
        <v>10</v>
      </c>
      <c r="J31" s="121">
        <v>15</v>
      </c>
      <c r="K31" s="122"/>
      <c r="L31" s="131"/>
      <c r="M31" s="132"/>
      <c r="N31" s="133"/>
      <c r="O31" s="155">
        <v>5</v>
      </c>
      <c r="P31" s="156">
        <v>10</v>
      </c>
      <c r="Q31" s="157"/>
      <c r="R31" s="142"/>
      <c r="S31" s="143"/>
      <c r="T31" s="144"/>
    </row>
    <row r="32" spans="1:20">
      <c r="A32" s="77" t="s">
        <v>284</v>
      </c>
      <c r="B32" s="82" t="s">
        <v>270</v>
      </c>
      <c r="C32" s="5" t="s">
        <v>226</v>
      </c>
      <c r="D32" s="82" t="s">
        <v>294</v>
      </c>
      <c r="E32" s="61"/>
      <c r="F32" s="109"/>
      <c r="G32" s="110"/>
      <c r="H32" s="111"/>
      <c r="I32" s="120">
        <v>10</v>
      </c>
      <c r="J32" s="121">
        <v>15</v>
      </c>
      <c r="K32" s="122"/>
      <c r="L32" s="131"/>
      <c r="M32" s="132"/>
      <c r="N32" s="133"/>
      <c r="O32" s="155">
        <v>5</v>
      </c>
      <c r="P32" s="156">
        <v>10</v>
      </c>
      <c r="Q32" s="157"/>
      <c r="R32" s="142"/>
      <c r="S32" s="143"/>
      <c r="T32" s="144"/>
    </row>
    <row r="33" spans="1:21">
      <c r="A33" s="77" t="s">
        <v>284</v>
      </c>
      <c r="B33" s="82" t="s">
        <v>271</v>
      </c>
      <c r="C33" s="5" t="s">
        <v>226</v>
      </c>
      <c r="D33" s="82" t="s">
        <v>294</v>
      </c>
      <c r="E33" s="61"/>
      <c r="F33" s="109"/>
      <c r="G33" s="110"/>
      <c r="H33" s="111"/>
      <c r="I33" s="120"/>
      <c r="J33" s="121"/>
      <c r="K33" s="122"/>
      <c r="L33" s="131">
        <v>10</v>
      </c>
      <c r="M33" s="132">
        <v>15</v>
      </c>
      <c r="N33" s="133"/>
      <c r="O33" s="155">
        <v>5</v>
      </c>
      <c r="P33" s="156">
        <v>10</v>
      </c>
      <c r="Q33" s="157"/>
      <c r="R33" s="142"/>
      <c r="S33" s="143"/>
      <c r="T33" s="144"/>
    </row>
    <row r="34" spans="1:21" ht="15" thickBot="1">
      <c r="A34" s="77" t="s">
        <v>284</v>
      </c>
      <c r="B34" s="83" t="s">
        <v>272</v>
      </c>
      <c r="C34" s="5" t="s">
        <v>226</v>
      </c>
      <c r="D34" s="5" t="s">
        <v>226</v>
      </c>
      <c r="E34" s="61"/>
      <c r="F34" s="109">
        <v>20</v>
      </c>
      <c r="G34" s="110"/>
      <c r="H34" s="111"/>
      <c r="I34" s="120"/>
      <c r="J34" s="121"/>
      <c r="K34" s="122"/>
      <c r="L34" s="131"/>
      <c r="M34" s="132"/>
      <c r="N34" s="133"/>
      <c r="O34" s="155">
        <v>15</v>
      </c>
      <c r="P34" s="156"/>
      <c r="Q34" s="157"/>
      <c r="R34" s="142"/>
      <c r="S34" s="143"/>
      <c r="T34" s="144"/>
    </row>
    <row r="35" spans="1:21" ht="15.75" thickBot="1">
      <c r="A35" s="78" t="s">
        <v>284</v>
      </c>
      <c r="B35" s="84" t="s">
        <v>273</v>
      </c>
      <c r="C35" s="7" t="s">
        <v>226</v>
      </c>
      <c r="D35" s="83" t="s">
        <v>294</v>
      </c>
      <c r="E35" s="9"/>
      <c r="F35" s="109"/>
      <c r="G35" s="110"/>
      <c r="H35" s="111"/>
      <c r="I35" s="120"/>
      <c r="J35" s="121"/>
      <c r="K35" s="122"/>
      <c r="L35" s="131"/>
      <c r="M35" s="132"/>
      <c r="N35" s="133"/>
      <c r="O35" s="155">
        <v>20</v>
      </c>
      <c r="P35" s="156"/>
      <c r="Q35" s="157"/>
      <c r="R35" s="142">
        <v>15</v>
      </c>
      <c r="S35" s="143">
        <v>1</v>
      </c>
      <c r="T35" s="144"/>
    </row>
    <row r="36" spans="1:21">
      <c r="E36" s="77" t="s">
        <v>291</v>
      </c>
      <c r="F36" s="112">
        <f>SUM(F$20:F$35)</f>
        <v>50</v>
      </c>
      <c r="G36" s="112">
        <f t="shared" ref="G36:T36" si="0">SUM(G$20:G$35)</f>
        <v>65</v>
      </c>
      <c r="H36" s="112">
        <f t="shared" si="0"/>
        <v>10</v>
      </c>
      <c r="I36" s="123">
        <f t="shared" si="0"/>
        <v>45</v>
      </c>
      <c r="J36" s="123">
        <f t="shared" si="0"/>
        <v>65</v>
      </c>
      <c r="K36" s="123">
        <f t="shared" si="0"/>
        <v>12</v>
      </c>
      <c r="L36" s="134">
        <f t="shared" si="0"/>
        <v>30</v>
      </c>
      <c r="M36" s="134">
        <f t="shared" si="0"/>
        <v>65</v>
      </c>
      <c r="N36" s="134">
        <f t="shared" si="0"/>
        <v>25</v>
      </c>
      <c r="O36" s="158">
        <f t="shared" si="0"/>
        <v>110</v>
      </c>
      <c r="P36" s="158">
        <f t="shared" si="0"/>
        <v>132</v>
      </c>
      <c r="Q36" s="158">
        <f t="shared" si="0"/>
        <v>20</v>
      </c>
      <c r="R36" s="145">
        <f t="shared" si="0"/>
        <v>15</v>
      </c>
      <c r="S36" s="145">
        <f t="shared" si="0"/>
        <v>1</v>
      </c>
      <c r="T36" s="147">
        <f t="shared" si="0"/>
        <v>0</v>
      </c>
    </row>
    <row r="37" spans="1:21">
      <c r="E37" s="77" t="s">
        <v>292</v>
      </c>
      <c r="F37" s="110">
        <v>240</v>
      </c>
      <c r="G37" s="110">
        <v>53</v>
      </c>
      <c r="H37" s="110">
        <v>26</v>
      </c>
      <c r="I37" s="121">
        <v>2</v>
      </c>
      <c r="J37" s="121">
        <v>20</v>
      </c>
      <c r="K37" s="121">
        <v>10</v>
      </c>
      <c r="L37" s="132">
        <v>53</v>
      </c>
      <c r="M37" s="132">
        <v>23</v>
      </c>
      <c r="N37" s="132">
        <v>12</v>
      </c>
      <c r="O37" s="156">
        <v>149</v>
      </c>
      <c r="P37" s="156">
        <v>31</v>
      </c>
      <c r="Q37" s="156">
        <v>21</v>
      </c>
      <c r="R37" s="143">
        <v>19</v>
      </c>
      <c r="S37" s="143">
        <v>16</v>
      </c>
      <c r="T37" s="144">
        <v>5</v>
      </c>
    </row>
    <row r="38" spans="1:21" ht="15.75" thickBot="1">
      <c r="E38" s="86" t="s">
        <v>131</v>
      </c>
      <c r="F38" s="113">
        <f>MAXA(F36-F37,0)</f>
        <v>0</v>
      </c>
      <c r="G38" s="113">
        <f t="shared" ref="G38:T38" si="1">MAXA(G36-G37,0)</f>
        <v>12</v>
      </c>
      <c r="H38" s="113">
        <f t="shared" si="1"/>
        <v>0</v>
      </c>
      <c r="I38" s="124">
        <f t="shared" si="1"/>
        <v>43</v>
      </c>
      <c r="J38" s="124">
        <f t="shared" si="1"/>
        <v>45</v>
      </c>
      <c r="K38" s="124">
        <f t="shared" si="1"/>
        <v>2</v>
      </c>
      <c r="L38" s="135">
        <f t="shared" si="1"/>
        <v>0</v>
      </c>
      <c r="M38" s="135">
        <f t="shared" si="1"/>
        <v>42</v>
      </c>
      <c r="N38" s="135">
        <f t="shared" si="1"/>
        <v>13</v>
      </c>
      <c r="O38" s="159">
        <f t="shared" si="1"/>
        <v>0</v>
      </c>
      <c r="P38" s="159">
        <f t="shared" si="1"/>
        <v>101</v>
      </c>
      <c r="Q38" s="159">
        <f t="shared" si="1"/>
        <v>0</v>
      </c>
      <c r="R38" s="146">
        <f t="shared" si="1"/>
        <v>0</v>
      </c>
      <c r="S38" s="146">
        <f t="shared" si="1"/>
        <v>0</v>
      </c>
      <c r="T38" s="148">
        <f t="shared" si="1"/>
        <v>0</v>
      </c>
    </row>
    <row r="39" spans="1:21">
      <c r="E39" s="79"/>
      <c r="F39" s="57"/>
      <c r="G39" s="88" t="s">
        <v>322</v>
      </c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9"/>
    </row>
    <row r="40" spans="1:21">
      <c r="E40" s="5">
        <v>9</v>
      </c>
      <c r="F40" s="6">
        <f>F$38/VLOOKUP(F$19,Tabela11[#All],6,FALSE)</f>
        <v>0</v>
      </c>
      <c r="G40" s="163">
        <f>G$38/VLOOKUP(G$19,Tabela11[#All],6,FALSE)</f>
        <v>22.258064516129032</v>
      </c>
      <c r="H40" s="163">
        <f>H$38/VLOOKUP(H$19,Tabela11[#All],6,FALSE)</f>
        <v>0</v>
      </c>
      <c r="I40" s="163">
        <f>I$38/VLOOKUP(I$19,Tabela11[#All],6,FALSE)</f>
        <v>39.87903225806452</v>
      </c>
      <c r="J40" s="163">
        <f>J$38/VLOOKUP(J$19,Tabela11[#All],6,FALSE)</f>
        <v>83.467741935483872</v>
      </c>
      <c r="K40" s="163">
        <f>K$38/VLOOKUP(K$19,Tabela11[#All],6,FALSE)</f>
        <v>8.518518518518519</v>
      </c>
      <c r="L40" s="163">
        <f>L$38/VLOOKUP(L$19,Tabela11[#All],6,FALSE)</f>
        <v>0</v>
      </c>
      <c r="M40" s="163">
        <f>M$38/VLOOKUP(M$19,Tabela11[#All],6,FALSE)</f>
        <v>77.903225806451616</v>
      </c>
      <c r="N40" s="163">
        <f>N$38/VLOOKUP(N$19,Tabela11[#All],6,FALSE)</f>
        <v>55.370370370370367</v>
      </c>
      <c r="O40" s="163">
        <f>O$38/VLOOKUP(O$19,Tabela11[#All],6,FALSE)</f>
        <v>0</v>
      </c>
      <c r="P40" s="163">
        <f>P$38/VLOOKUP(P$19,Tabela11[#All],6,FALSE)</f>
        <v>187.33870967741936</v>
      </c>
      <c r="Q40" s="163">
        <f>Q$38/VLOOKUP(Q$19,Tabela11[#All],6,FALSE)</f>
        <v>0</v>
      </c>
      <c r="R40" s="163">
        <f>R$38/VLOOKUP(R$19,Tabela11[#All],6,FALSE)</f>
        <v>0</v>
      </c>
      <c r="S40" s="163">
        <f>S$38/VLOOKUP(S$19,Tabela11[#All],6,FALSE)</f>
        <v>0</v>
      </c>
      <c r="T40" s="164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63">
        <f>G$38/VLOOKUP(G$19,Tabela11[#All],5,FALSE)</f>
        <v>54.857142857142854</v>
      </c>
      <c r="H41" s="163">
        <f>H$38/VLOOKUP(H$19,Tabela11[#All],5,FALSE)</f>
        <v>0</v>
      </c>
      <c r="I41" s="163">
        <f>I$38/VLOOKUP(I$19,Tabela11[#All],5,FALSE)</f>
        <v>32</v>
      </c>
      <c r="J41" s="163">
        <f>J$38/VLOOKUP(J$19,Tabela11[#All],5,FALSE)</f>
        <v>205.71428571428572</v>
      </c>
      <c r="K41" s="163">
        <f>K$38/VLOOKUP(K$19,Tabela11[#All],5,FALSE)</f>
        <v>9.1428571428571423</v>
      </c>
      <c r="L41" s="163">
        <f>L$38/VLOOKUP(L$19,Tabela11[#All],5,FALSE)</f>
        <v>0</v>
      </c>
      <c r="M41" s="163">
        <f>M$38/VLOOKUP(M$19,Tabela11[#All],5,FALSE)</f>
        <v>192</v>
      </c>
      <c r="N41" s="163">
        <f>N$38/VLOOKUP(N$19,Tabela11[#All],5,FALSE)</f>
        <v>59.428571428571431</v>
      </c>
      <c r="O41" s="163">
        <f>O$38/VLOOKUP(O$19,Tabela11[#All],5,FALSE)</f>
        <v>0</v>
      </c>
      <c r="P41" s="163">
        <f>P$38/VLOOKUP(P$19,Tabela11[#All],5,FALSE)</f>
        <v>461.71428571428572</v>
      </c>
      <c r="Q41" s="163">
        <f>Q$38/VLOOKUP(Q$19,Tabela11[#All],5,FALSE)</f>
        <v>0</v>
      </c>
      <c r="R41" s="163">
        <f>R$38/VLOOKUP(R$19,Tabela11[#All],5,FALSE)</f>
        <v>0</v>
      </c>
      <c r="S41" s="163">
        <f>S$38/VLOOKUP(S$19,Tabela11[#All],5,FALSE)</f>
        <v>0</v>
      </c>
      <c r="T41" s="164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65">
        <f>G$38/VLOOKUP(G$19,Tabela11[#All],4,FALSE)</f>
        <v>21.72972972972973</v>
      </c>
      <c r="H42" s="165">
        <f>H$38/VLOOKUP(H$19,Tabela11[#All],4,FALSE)</f>
        <v>0</v>
      </c>
      <c r="I42" s="165">
        <f>I$38/VLOOKUP(I$19,Tabela11[#All],4,FALSE)</f>
        <v>30.326315789473682</v>
      </c>
      <c r="J42" s="165">
        <f>J$38/VLOOKUP(J$19,Tabela11[#All],4,FALSE)</f>
        <v>81.486486486486484</v>
      </c>
      <c r="K42" s="165">
        <f>K$38/VLOOKUP(K$19,Tabela11[#All],4,FALSE)</f>
        <v>14.888888888888889</v>
      </c>
      <c r="L42" s="165">
        <f>L$38/VLOOKUP(L$19,Tabela11[#All],4,FALSE)</f>
        <v>0</v>
      </c>
      <c r="M42" s="165">
        <f>M$38/VLOOKUP(M$19,Tabela11[#All],4,FALSE)</f>
        <v>76.054054054054049</v>
      </c>
      <c r="N42" s="165">
        <f>N$38/VLOOKUP(N$19,Tabela11[#All],4,FALSE)</f>
        <v>96.777777777777771</v>
      </c>
      <c r="O42" s="165">
        <f>O$38/VLOOKUP(O$19,Tabela11[#All],4,FALSE)</f>
        <v>0</v>
      </c>
      <c r="P42" s="165">
        <f>P$38/VLOOKUP(P$19,Tabela11[#All],4,FALSE)</f>
        <v>182.89189189189187</v>
      </c>
      <c r="Q42" s="165">
        <f>Q$38/VLOOKUP(Q$19,Tabela11[#All],4,FALSE)</f>
        <v>0</v>
      </c>
      <c r="R42" s="165">
        <f>R$38/VLOOKUP(R$19,Tabela11[#All],4,FALSE)</f>
        <v>0</v>
      </c>
      <c r="S42" s="165">
        <f>S$38/VLOOKUP(S$19,Tabela11[#All],4,FALSE)</f>
        <v>0</v>
      </c>
      <c r="T42" s="166">
        <f>T$38/VLOOKUP(T$19,Tabela11[#All],4,FALSE)</f>
        <v>0</v>
      </c>
    </row>
    <row r="43" spans="1:21" ht="15" thickBot="1"/>
    <row r="44" spans="1:21" ht="15.75" thickBot="1">
      <c r="E44" s="79"/>
      <c r="F44" s="57"/>
      <c r="G44" s="98" t="s">
        <v>321</v>
      </c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100"/>
      <c r="U44" s="167" t="s">
        <v>323</v>
      </c>
    </row>
    <row r="45" spans="1:21">
      <c r="E45" s="5">
        <v>9</v>
      </c>
      <c r="F45" s="6">
        <f>F$38/VLOOKUP(F$19,Tabela11[#All],6,FALSE)*(7-12*0.065)</f>
        <v>0</v>
      </c>
      <c r="G45" s="171">
        <f>G$38/VLOOKUP(G$19,Tabela11[#All],6,FALSE)*(7-12*0.065)</f>
        <v>138.44516129032257</v>
      </c>
      <c r="H45" s="171">
        <f>H$38/VLOOKUP(H$19,Tabela11[#All],6,FALSE)*(7-12*0.065)</f>
        <v>0</v>
      </c>
      <c r="I45" s="171">
        <f>I$38/VLOOKUP(I$19,Tabela11[#All],6,FALSE)*(7-12*0.065)</f>
        <v>248.0475806451613</v>
      </c>
      <c r="J45" s="171">
        <f>J$38/VLOOKUP(J$19,Tabela11[#All],6,FALSE)*(7-12*0.065)</f>
        <v>519.16935483870964</v>
      </c>
      <c r="K45" s="171">
        <f>K$38/VLOOKUP(K$19,Tabela11[#All],6,FALSE)*(7-12*0.065)</f>
        <v>52.985185185185188</v>
      </c>
      <c r="L45" s="171">
        <f>L$38/VLOOKUP(L$19,Tabela11[#All],6,FALSE)*(7-12*0.065)</f>
        <v>0</v>
      </c>
      <c r="M45" s="171">
        <f>M$38/VLOOKUP(M$19,Tabela11[#All],6,FALSE)*(7-12*0.065)</f>
        <v>484.55806451612904</v>
      </c>
      <c r="N45" s="171">
        <f>N$38/VLOOKUP(N$19,Tabela11[#All],6,FALSE)*(7-12*0.065)</f>
        <v>344.40370370370368</v>
      </c>
      <c r="O45" s="171">
        <f>O$38/VLOOKUP(O$19,Tabela11[#All],6,FALSE)*(7-12*0.065)</f>
        <v>0</v>
      </c>
      <c r="P45" s="171">
        <f>P$38/VLOOKUP(P$19,Tabela11[#All],6,FALSE)*(7-12*0.065)</f>
        <v>1165.2467741935484</v>
      </c>
      <c r="Q45" s="171">
        <f>Q$38/VLOOKUP(Q$19,Tabela11[#All],6,FALSE)*(7-12*0.065)</f>
        <v>0</v>
      </c>
      <c r="R45" s="171">
        <f>R$38/VLOOKUP(R$19,Tabela11[#All],6,FALSE)*(7-12*0.065)</f>
        <v>0</v>
      </c>
      <c r="S45" s="171">
        <f>S$38/VLOOKUP(S$19,Tabela11[#All],6,FALSE)*(7-12*0.065)</f>
        <v>0</v>
      </c>
      <c r="T45" s="172">
        <f>T$38/VLOOKUP(T$19,Tabela11[#All],6,FALSE)*(7-12*0.065)</f>
        <v>0</v>
      </c>
      <c r="U45" s="168">
        <f>MAX(F45:H45)+MAX(I45:K45)+MAX(L45:N45)+MAX(O45:Q45)+MAX(R45:T45)</f>
        <v>2307.4193548387093</v>
      </c>
    </row>
    <row r="46" spans="1:21">
      <c r="E46" s="5">
        <v>8</v>
      </c>
      <c r="F46" s="6">
        <f>F$38/VLOOKUP(F$19,Tabela11[#All],5,FALSE)*(7-12*0.065)</f>
        <v>0</v>
      </c>
      <c r="G46" s="171">
        <f>G$38/VLOOKUP(G$19,Tabela11[#All],5,FALSE)*(7-12*0.065)</f>
        <v>341.21142857142854</v>
      </c>
      <c r="H46" s="171">
        <f>H$38/VLOOKUP(H$19,Tabela11[#All],5,FALSE)*(7-12*0.065)</f>
        <v>0</v>
      </c>
      <c r="I46" s="171">
        <f>I$38/VLOOKUP(I$19,Tabela11[#All],5,FALSE)*(7-12*0.065)</f>
        <v>199.04</v>
      </c>
      <c r="J46" s="171">
        <f>J$38/VLOOKUP(J$19,Tabela11[#All],5,FALSE)*(7-12*0.065)</f>
        <v>1279.5428571428572</v>
      </c>
      <c r="K46" s="171">
        <f>K$38/VLOOKUP(K$19,Tabela11[#All],5,FALSE)*(7-12*0.065)</f>
        <v>56.868571428571421</v>
      </c>
      <c r="L46" s="171">
        <f>L$38/VLOOKUP(L$19,Tabela11[#All],5,FALSE)*(7-12*0.065)</f>
        <v>0</v>
      </c>
      <c r="M46" s="171">
        <f>M$38/VLOOKUP(M$19,Tabela11[#All],5,FALSE)*(7-12*0.065)</f>
        <v>1194.24</v>
      </c>
      <c r="N46" s="171">
        <f>N$38/VLOOKUP(N$19,Tabela11[#All],5,FALSE)*(7-12*0.065)</f>
        <v>369.64571428571429</v>
      </c>
      <c r="O46" s="171">
        <f>O$38/VLOOKUP(O$19,Tabela11[#All],5,FALSE)*(7-12*0.065)</f>
        <v>0</v>
      </c>
      <c r="P46" s="171">
        <f>P$38/VLOOKUP(P$19,Tabela11[#All],5,FALSE)*(7-12*0.065)</f>
        <v>2871.8628571428571</v>
      </c>
      <c r="Q46" s="171">
        <f>Q$38/VLOOKUP(Q$19,Tabela11[#All],5,FALSE)*(7-12*0.065)</f>
        <v>0</v>
      </c>
      <c r="R46" s="171">
        <f>R$38/VLOOKUP(R$19,Tabela11[#All],5,FALSE)*(7-12*0.065)</f>
        <v>0</v>
      </c>
      <c r="S46" s="171">
        <f>S$38/VLOOKUP(S$19,Tabela11[#All],5,FALSE)*(7-12*0.065)</f>
        <v>0</v>
      </c>
      <c r="T46" s="172">
        <f>T$38/VLOOKUP(T$19,Tabela11[#All],5,FALSE)*(7-12*0.065)</f>
        <v>0</v>
      </c>
      <c r="U46" s="169">
        <f>MAX(F46:H46)+MAX(I46:K46)+MAX(L46:N46)+MAX(O46:Q46)+MAX(R46:T46)</f>
        <v>5686.8571428571431</v>
      </c>
    </row>
    <row r="47" spans="1:21" ht="15" thickBot="1">
      <c r="E47" s="7">
        <v>7</v>
      </c>
      <c r="F47" s="8">
        <f>F$38/VLOOKUP(F$19,Tabela11[#All],4,FALSE)*(6-12*0.065)</f>
        <v>0</v>
      </c>
      <c r="G47" s="173">
        <f>G$38/VLOOKUP(G$19,Tabela11[#All],4,FALSE)*(6-12*0.065)</f>
        <v>113.42918918918919</v>
      </c>
      <c r="H47" s="173">
        <f>H$38/VLOOKUP(H$19,Tabela11[#All],4,FALSE)*(6-12*0.065)</f>
        <v>0</v>
      </c>
      <c r="I47" s="173">
        <f>I$38/VLOOKUP(I$19,Tabela11[#All],4,FALSE)*(6-12*0.065)</f>
        <v>158.30336842105262</v>
      </c>
      <c r="J47" s="173">
        <f>J$38/VLOOKUP(J$19,Tabela11[#All],4,FALSE)*(6-12*0.065)</f>
        <v>425.3594594594594</v>
      </c>
      <c r="K47" s="173">
        <f>K$38/VLOOKUP(K$19,Tabela11[#All],4,FALSE)*(6-12*0.065)</f>
        <v>77.72</v>
      </c>
      <c r="L47" s="173">
        <f>L$38/VLOOKUP(L$19,Tabela11[#All],4,FALSE)*(6-12*0.065)</f>
        <v>0</v>
      </c>
      <c r="M47" s="173">
        <f>M$38/VLOOKUP(M$19,Tabela11[#All],4,FALSE)*(6-12*0.065)</f>
        <v>397.00216216216211</v>
      </c>
      <c r="N47" s="173">
        <f>N$38/VLOOKUP(N$19,Tabela11[#All],4,FALSE)*(6-12*0.065)</f>
        <v>505.17999999999995</v>
      </c>
      <c r="O47" s="173">
        <f>O$38/VLOOKUP(O$19,Tabela11[#All],4,FALSE)*(6-12*0.065)</f>
        <v>0</v>
      </c>
      <c r="P47" s="173">
        <f>P$38/VLOOKUP(P$19,Tabela11[#All],4,FALSE)*(6-12*0.065)</f>
        <v>954.69567567567549</v>
      </c>
      <c r="Q47" s="173">
        <f>Q$38/VLOOKUP(Q$19,Tabela11[#All],4,FALSE)*(6-12*0.065)</f>
        <v>0</v>
      </c>
      <c r="R47" s="173">
        <f>R$38/VLOOKUP(R$19,Tabela11[#All],4,FALSE)*(6-12*0.065)</f>
        <v>0</v>
      </c>
      <c r="S47" s="173">
        <f>S$38/VLOOKUP(S$19,Tabela11[#All],4,FALSE)*(6-12*0.065)</f>
        <v>0</v>
      </c>
      <c r="T47" s="174">
        <f>T$38/VLOOKUP(T$19,Tabela11[#All],4,FALSE)*(6-12*0.065)</f>
        <v>0</v>
      </c>
      <c r="U47" s="170">
        <f>MAX(F47:H47)+MAX(I47:K47)+MAX(L47:N47)+MAX(O47:Q47)+MAX(R47:T47)</f>
        <v>1998.6643243243238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6"/>
  <sheetViews>
    <sheetView workbookViewId="0">
      <selection activeCell="P25" sqref="P2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195</v>
      </c>
      <c r="J1" s="85" t="s">
        <v>22</v>
      </c>
      <c r="K1" s="85" t="s">
        <v>57</v>
      </c>
      <c r="L1" s="85" t="s">
        <v>56</v>
      </c>
      <c r="M1" s="85" t="s">
        <v>199</v>
      </c>
      <c r="N1" s="85" t="s">
        <v>196</v>
      </c>
      <c r="O1" s="85" t="s">
        <v>201</v>
      </c>
      <c r="P1" s="85" t="s">
        <v>24</v>
      </c>
      <c r="Q1" s="85" t="s">
        <v>279</v>
      </c>
      <c r="R1" s="85" t="s">
        <v>295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5183.6111111111113</v>
      </c>
      <c r="J2" s="19">
        <f>AVERAGEIFS(DropAnalityka[Energy Drop],DropAnalityka[Location],LocFeatures[[#This Row],[Location]],DropAnalityka[LVL],LocFeatures[[#This Row],[LVL]],DropAnalityka[Stage],LocFeatures[[#This Row],[Stage]])</f>
        <v>0.72222222222222221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4510.1111111111113</v>
      </c>
      <c r="N2" s="56">
        <f>LocFeatures[[#This Row],[Drop worth gain]]/(LocFeatures[[#This Row],[E. Cost]]-LocFeatures[[#This Row],[Energy gain]])</f>
        <v>1581.4406779661017</v>
      </c>
      <c r="O2" s="56">
        <f>LocFeatures[[#This Row],[XP Train Gain]]/(LocFeatures[[#This Row],[E. Cost]]-LocFeatures[[#This Row],[Energy gain]])</f>
        <v>1215.457627118644</v>
      </c>
      <c r="P2" s="56">
        <f>(LocFeatures[[#This Row],[XP Train Gain]]+LocFeatures[[#This Row],[XP drop]])/(LocFeatures[[#This Row],[E. Cost]]-LocFeatures[[#This Row],[Energy gain]])</f>
        <v>2591.4237288135596</v>
      </c>
      <c r="Q2" s="53">
        <f>COUNTIFS(DropAnalityka[Location],LocFeatures[[#This Row],[Location]],DropAnalityka[LVL],LocFeatures[[#This Row],[LVL]],DropAnalityka[Stage],LocFeatures[[#This Row],[Stage]])</f>
        <v>18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5053.6470338983054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1417.5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1803.9014778325122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62</v>
      </c>
      <c r="B5" s="10" t="s">
        <v>9</v>
      </c>
      <c r="C5" s="10">
        <v>3</v>
      </c>
      <c r="D5" s="10">
        <v>3</v>
      </c>
      <c r="E5" s="10">
        <v>804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988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2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s="10" t="s">
        <v>31</v>
      </c>
      <c r="B6" s="10" t="s">
        <v>30</v>
      </c>
      <c r="C6" s="10">
        <v>1</v>
      </c>
      <c r="D6" s="10">
        <v>4</v>
      </c>
      <c r="E6" s="10">
        <v>1276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5581.1860465116279</v>
      </c>
      <c r="J6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6" s="10">
        <f>4*LocFeatures[[#This Row],[XP Gain per member]]</f>
        <v>5104</v>
      </c>
      <c r="L6">
        <f>3*LocFeatures[[#This Row],[XP Gain per member]]</f>
        <v>3828</v>
      </c>
      <c r="M6" s="56">
        <f>AVERAGEIFS(DropAnalityka[Exp Gain],DropAnalityka[Location],LocFeatures[[#This Row],[Location]],DropAnalityka[LVL],LocFeatures[[#This Row],[LVL]],DropAnalityka[Stage],LocFeatures[[#This Row],[Stage]])</f>
        <v>4127.5348837209303</v>
      </c>
      <c r="N6" s="56">
        <f>LocFeatures[[#This Row],[Drop worth gain]]/(LocFeatures[[#This Row],[E. Cost]]-LocFeatures[[#This Row],[Energy gain]])</f>
        <v>1739.0652173913045</v>
      </c>
      <c r="O6" s="56">
        <f>LocFeatures[[#This Row],[XP Train Gain]]/(LocFeatures[[#This Row],[E. Cost]]-LocFeatures[[#This Row],[Energy gain]])</f>
        <v>1192.7826086956522</v>
      </c>
      <c r="P6" s="56">
        <f>(LocFeatures[[#This Row],[XP Train Gain]]+LocFeatures[[#This Row],[XP drop]])/(LocFeatures[[#This Row],[E. Cost]]-LocFeatures[[#This Row],[Energy gain]])</f>
        <v>2478.898550724638</v>
      </c>
      <c r="Q6" s="53">
        <f>COUNTIFS(DropAnalityka[Location],LocFeatures[[#This Row],[Location]],DropAnalityka[LVL],LocFeatures[[#This Row],[LVL]],DropAnalityka[Stage],LocFeatures[[#This Row],[Stage]])</f>
        <v>43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6"/>
    </row>
    <row r="7" spans="1:22" s="10" customFormat="1">
      <c r="A7" s="10" t="s">
        <v>31</v>
      </c>
      <c r="B7" s="10" t="s">
        <v>30</v>
      </c>
      <c r="C7" s="10">
        <v>11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4993.5753424657532</v>
      </c>
      <c r="J7" s="19">
        <f>AVERAGEIFS(DropAnalityka[Energy Drop],DropAnalityka[Location],LocFeatures[[#This Row],[Location]],DropAnalityka[LVL],LocFeatures[[#This Row],[LVL]],DropAnalityka[Stage],LocFeatures[[#This Row],[Stage]])</f>
        <v>0.9178082191780822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1733.4520547945206</v>
      </c>
      <c r="N7" s="56">
        <f>LocFeatures[[#This Row],[Drop worth gain]]/(LocFeatures[[#This Row],[E. Cost]]-LocFeatures[[#This Row],[Energy gain]])</f>
        <v>1620.1377777777777</v>
      </c>
      <c r="O7" s="56">
        <f>LocFeatures[[#This Row],[XP Train Gain]]/(LocFeatures[[#This Row],[E. Cost]]-LocFeatures[[#This Row],[Energy gain]])</f>
        <v>1241.9733333333334</v>
      </c>
      <c r="P7" s="56">
        <f>(LocFeatures[[#This Row],[XP Train Gain]]+LocFeatures[[#This Row],[XP drop]])/(LocFeatures[[#This Row],[E. Cost]]-LocFeatures[[#This Row],[Energy gain]])</f>
        <v>1804.3822222222223</v>
      </c>
      <c r="Q7" s="49">
        <f>COUNTIFS(DropAnalityka[Location],LocFeatures[[#This Row],[Location]],DropAnalityka[LVL],LocFeatures[[#This Row],[LVL]],DropAnalityka[Stage],LocFeatures[[#This Row],[Stage]])</f>
        <v>73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4650.6850987654325</v>
      </c>
      <c r="S7">
        <v>58</v>
      </c>
      <c r="T7" s="10" t="s">
        <v>280</v>
      </c>
      <c r="U7"/>
      <c r="V7"/>
    </row>
    <row r="8" spans="1:22" s="10" customFormat="1">
      <c r="A8" s="10" t="s">
        <v>31</v>
      </c>
      <c r="B8" s="10" t="s">
        <v>9</v>
      </c>
      <c r="C8" s="10">
        <v>1</v>
      </c>
      <c r="D8" s="10">
        <v>3</v>
      </c>
      <c r="E8" s="10">
        <v>756</v>
      </c>
      <c r="F8" s="10">
        <v>13</v>
      </c>
      <c r="G8" s="10" t="s">
        <v>18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8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8" s="10">
        <f>4*LocFeatures[[#This Row],[XP Gain per member]]</f>
        <v>3024</v>
      </c>
      <c r="L8">
        <f>3*LocFeatures[[#This Row],[XP Gain per member]]</f>
        <v>2268</v>
      </c>
      <c r="M8" s="56">
        <f>AVERAGEIFS(DropAnalityka[Exp Gain],DropAnalityka[Location],LocFeatures[[#This Row],[Location]],DropAnalityka[LVL],LocFeatures[[#This Row],[LVL]],DropAnalityka[Stage],LocFeatures[[#This Row],[Stage]])</f>
        <v>560</v>
      </c>
      <c r="N8" s="56">
        <f>LocFeatures[[#This Row],[Drop worth gain]]/(LocFeatures[[#This Row],[E. Cost]]-LocFeatures[[#This Row],[Energy gain]])</f>
        <v>1518.4476744186045</v>
      </c>
      <c r="O8" s="56">
        <f>LocFeatures[[#This Row],[XP Train Gain]]/(LocFeatures[[#This Row],[E. Cost]]-LocFeatures[[#This Row],[Energy gain]])</f>
        <v>1068.0697674418604</v>
      </c>
      <c r="P8" s="56">
        <f>(LocFeatures[[#This Row],[XP Train Gain]]+LocFeatures[[#This Row],[XP drop]])/(LocFeatures[[#This Row],[E. Cost]]-LocFeatures[[#This Row],[Energy gain]])</f>
        <v>1331.7906976744187</v>
      </c>
      <c r="Q8" s="53">
        <f>COUNTIFS(DropAnalityka[Location],LocFeatures[[#This Row],[Location]],DropAnalityka[LVL],LocFeatures[[#This Row],[LVL]],DropAnalityka[Stage],LocFeatures[[#This Row],[Stage]])</f>
        <v>81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8"/>
    </row>
    <row r="9" spans="1:22" s="10" customFormat="1">
      <c r="A9" s="10" t="s">
        <v>191</v>
      </c>
      <c r="B9" s="10" t="s">
        <v>9</v>
      </c>
      <c r="C9" s="10">
        <v>5</v>
      </c>
      <c r="D9" s="10">
        <v>6</v>
      </c>
      <c r="E9" s="10">
        <v>605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9" s="19">
        <f>AVERAGEIFS(DropAnalityka[Energy Drop],DropAnalityka[Location],LocFeatures[[#This Row],[Location]],DropAnalityka[LVL],LocFeatures[[#This Row],[LVL]],DropAnalityka[Stage],LocFeatures[[#This Row],[Stage]])</f>
        <v>1.75</v>
      </c>
      <c r="K9" s="10">
        <f>5*LocFeatures[[#This Row],[XP Gain per member]]</f>
        <v>3025</v>
      </c>
      <c r="L9">
        <f>3*LocFeatures[[#This Row],[XP Gain per member]]</f>
        <v>1815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1739.8823529411766</v>
      </c>
      <c r="O9" s="56">
        <f>LocFeatures[[#This Row],[XP Train Gain]]/(LocFeatures[[#This Row],[E. Cost]]-LocFeatures[[#This Row],[Energy gain]])</f>
        <v>427.05882352941177</v>
      </c>
      <c r="P9" s="56">
        <f>(LocFeatures[[#This Row],[XP Train Gain]]+LocFeatures[[#This Row],[XP drop]])/(LocFeatures[[#This Row],[E. Cost]]-LocFeatures[[#This Row],[Energy gain]])</f>
        <v>427.05882352941177</v>
      </c>
      <c r="Q9" s="53">
        <f>COUNTIFS(DropAnalityka[Location],LocFeatures[[#This Row],[Location]],DropAnalityka[LVL],LocFeatures[[#This Row],[LVL]],DropAnalityka[Stage],LocFeatures[[#This Row],[Stage]])</f>
        <v>16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9"/>
      <c r="T9"/>
      <c r="U9"/>
      <c r="V9"/>
    </row>
    <row r="10" spans="1:22" s="10" customFormat="1">
      <c r="A10" s="10" t="s">
        <v>191</v>
      </c>
      <c r="B10" s="10" t="s">
        <v>9</v>
      </c>
      <c r="C10" s="10">
        <v>6</v>
      </c>
      <c r="D10" s="10">
        <v>7</v>
      </c>
      <c r="E10" s="10">
        <v>760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0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0" s="10">
        <f>5*LocFeatures[[#This Row],[XP Gain per member]]</f>
        <v>3800</v>
      </c>
      <c r="L10">
        <f>3*LocFeatures[[#This Row],[XP Gain per member]]</f>
        <v>2280</v>
      </c>
      <c r="M10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0" s="56">
        <f>LocFeatures[[#This Row],[Drop worth gain]]/(LocFeatures[[#This Row],[E. Cost]]-LocFeatures[[#This Row],[Energy gain]])</f>
        <v>1307.4029850746269</v>
      </c>
      <c r="O10" s="56">
        <f>LocFeatures[[#This Row],[XP Train Gain]]/(LocFeatures[[#This Row],[E. Cost]]-LocFeatures[[#This Row],[Energy gain]])</f>
        <v>374.32835820895525</v>
      </c>
      <c r="P10" s="56">
        <f>(LocFeatures[[#This Row],[XP Train Gain]]+LocFeatures[[#This Row],[XP drop]])/(LocFeatures[[#This Row],[E. Cost]]-LocFeatures[[#This Row],[Energy gain]])</f>
        <v>1360.3283582089553</v>
      </c>
      <c r="Q10" s="53">
        <f>COUNTIFS(DropAnalityka[Location],LocFeatures[[#This Row],[Location]],DropAnalityka[LVL],LocFeatures[[#This Row],[LVL]],DropAnalityka[Stage],LocFeatures[[#This Row],[Stage]])</f>
        <v>11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  <c r="S10"/>
      <c r="T10"/>
      <c r="U10"/>
      <c r="V10"/>
    </row>
    <row r="11" spans="1:22" s="10" customFormat="1">
      <c r="A11" s="10" t="s">
        <v>37</v>
      </c>
      <c r="B11" s="10" t="s">
        <v>9</v>
      </c>
      <c r="C11" s="10">
        <v>4</v>
      </c>
      <c r="D11" s="10">
        <v>5</v>
      </c>
      <c r="E11" s="10">
        <v>439</v>
      </c>
      <c r="F11" s="10">
        <v>10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1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1" s="10">
        <f>4*LocFeatures[[#This Row],[XP Gain per member]]</f>
        <v>1756</v>
      </c>
      <c r="L11">
        <f>3*LocFeatures[[#This Row],[XP Gain per member]]</f>
        <v>1317</v>
      </c>
      <c r="M11" s="56">
        <f>AVERAGEIFS(DropAnalityka[Exp Gain],DropAnalityka[Location],LocFeatures[[#This Row],[Location]],DropAnalityka[LVL],LocFeatures[[#This Row],[LVL]],DropAnalityka[Stage],LocFeatures[[#This Row],[Stage]])</f>
        <v>0</v>
      </c>
      <c r="N11" s="56">
        <f>LocFeatures[[#This Row],[Drop worth gain]]/(LocFeatures[[#This Row],[E. Cost]]-LocFeatures[[#This Row],[Energy gain]])</f>
        <v>962.46666666666681</v>
      </c>
      <c r="O11" s="56">
        <f>LocFeatures[[#This Row],[XP Train Gain]]/(LocFeatures[[#This Row],[E. Cost]]-LocFeatures[[#This Row],[Energy gain]])</f>
        <v>307.3</v>
      </c>
      <c r="P11" s="56">
        <f>(LocFeatures[[#This Row],[XP Train Gain]]+LocFeatures[[#This Row],[XP drop]])/(LocFeatures[[#This Row],[E. Cost]]-LocFeatures[[#This Row],[Energy gain]])</f>
        <v>307.3</v>
      </c>
      <c r="Q11" s="53">
        <f>COUNTIFS(DropAnalityka[Location],LocFeatures[[#This Row],[Location]],DropAnalityka[LVL],LocFeatures[[#This Row],[LVL]],DropAnalityka[Stage],LocFeatures[[#This Row],[Stage]])</f>
        <v>7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S11"/>
    </row>
    <row r="12" spans="1:22" s="10" customFormat="1">
      <c r="A12" s="10" t="s">
        <v>37</v>
      </c>
      <c r="B12" s="10" t="s">
        <v>9</v>
      </c>
      <c r="C12" s="10">
        <v>5</v>
      </c>
      <c r="D12">
        <v>6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2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263.25</v>
      </c>
      <c r="O12" s="56">
        <f>LocFeatures[[#This Row],[XP Train Gain]]/(LocFeatures[[#This Row],[E. Cost]]-LocFeatures[[#This Row],[Energy gain]])</f>
        <v>361.125</v>
      </c>
      <c r="P12" s="56">
        <f>(LocFeatures[[#This Row],[XP Train Gain]]+LocFeatures[[#This Row],[XP drop]])/(LocFeatures[[#This Row],[E. Cost]]-LocFeatures[[#This Row],[Energy gain]])</f>
        <v>361.125</v>
      </c>
      <c r="Q12" s="49">
        <f>COUNTIFS(DropAnalityka[Location],LocFeatures[[#This Row],[Location]],DropAnalityka[LVL],LocFeatures[[#This Row],[LVL]],DropAnalityka[Stage],LocFeatures[[#This Row],[Stage]])</f>
        <v>3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  <c r="S12"/>
      <c r="T12"/>
      <c r="U12"/>
      <c r="V12"/>
    </row>
    <row r="13" spans="1:22">
      <c r="A13" s="10" t="s">
        <v>37</v>
      </c>
      <c r="B13" s="10" t="s">
        <v>9</v>
      </c>
      <c r="C13" s="10">
        <v>7</v>
      </c>
      <c r="D13" s="10">
        <v>6</v>
      </c>
      <c r="E13" s="10">
        <v>616</v>
      </c>
      <c r="F13" s="10"/>
      <c r="G13" s="10"/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3" s="10">
        <f>5*LocFeatures[[#This Row],[XP Gain per member]]</f>
        <v>3080</v>
      </c>
      <c r="L13">
        <f>3*LocFeatures[[#This Row],[XP Gain per member]]</f>
        <v>1848</v>
      </c>
      <c r="M13" s="56">
        <f>AVERAGEIFS(DropAnalityka[Exp Gain],DropAnalityka[Location],LocFeatures[[#This Row],[Location]],DropAnalityka[LVL],LocFeatures[[#This Row],[LVL]],DropAnalityka[Stage],LocFeatures[[#This Row],[Stage]])</f>
        <v>1065.516129032258</v>
      </c>
      <c r="N13" s="56">
        <f>LocFeatures[[#This Row],[Drop worth gain]]/(LocFeatures[[#This Row],[E. Cost]]-LocFeatures[[#This Row],[Energy gain]])</f>
        <v>605.169642857143</v>
      </c>
      <c r="O13" s="56">
        <f>LocFeatures[[#This Row],[XP Train Gain]]/(LocFeatures[[#This Row],[E. Cost]]-LocFeatures[[#This Row],[Energy gain]])</f>
        <v>341</v>
      </c>
      <c r="P13" s="56">
        <f>(LocFeatures[[#This Row],[XP Train Gain]]+LocFeatures[[#This Row],[XP drop]])/(LocFeatures[[#This Row],[E. Cost]]-LocFeatures[[#This Row],[Energy gain]])</f>
        <v>537.6130952380953</v>
      </c>
      <c r="Q13" s="53">
        <f>COUNTIFS(DropAnalityka[Location],LocFeatures[[#This Row],[Location]],DropAnalityka[LVL],LocFeatures[[#This Row],[LVL]],DropAnalityka[Stage],LocFeatures[[#This Row],[Stage]])</f>
        <v>62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4" spans="1:22">
      <c r="A14" t="s">
        <v>37</v>
      </c>
      <c r="B14" t="s">
        <v>9</v>
      </c>
      <c r="C14">
        <v>9</v>
      </c>
      <c r="D14">
        <v>7</v>
      </c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4005.8636363636365</v>
      </c>
      <c r="J14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4">
        <f>4*LocFeatures[[#This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4" s="56">
        <f>LocFeatures[[#This Row],[Drop worth gain]]/(LocFeatures[[#This Row],[E. Cost]]-LocFeatures[[#This Row],[Energy gain]])</f>
        <v>657.67910447761199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986.00000000000011</v>
      </c>
      <c r="Q14" s="49">
        <f>COUNTIFS(DropAnalityka[Location],LocFeatures[[#This Row],[Location]],DropAnalityka[LVL],LocFeatures[[#This Row],[LVL]],DropAnalityka[Stage],LocFeatures[[#This Row],[Stage]])</f>
        <v>22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1449.5417910447761</v>
      </c>
    </row>
    <row r="15" spans="1:22">
      <c r="A15" s="10" t="s">
        <v>61</v>
      </c>
      <c r="B15" s="10" t="s">
        <v>32</v>
      </c>
      <c r="C15" s="10">
        <v>2</v>
      </c>
      <c r="D15" s="10">
        <v>5</v>
      </c>
      <c r="E15" s="10">
        <v>1500</v>
      </c>
      <c r="F15" s="10">
        <v>10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6000</v>
      </c>
      <c r="L15">
        <f>3*LocFeatures[[#This Row],[XP Gain per member]]</f>
        <v>4500</v>
      </c>
      <c r="M15" s="56">
        <f>AVERAGEIFS(DropAnalityka[Exp Gain],DropAnalityka[Location],LocFeatures[[#This Row],[Location]],DropAnalityka[LVL],LocFeatures[[#This Row],[LVL]],DropAnalityka[Stage],LocFeatures[[#This Row],[Stage]])</f>
        <v>66062</v>
      </c>
      <c r="N15" s="56">
        <f>LocFeatures[[#This Row],[Drop worth gain]]/(LocFeatures[[#This Row],[E. Cost]]-LocFeatures[[#This Row],[Energy gain]])</f>
        <v>3173</v>
      </c>
      <c r="O15" s="56">
        <f>LocFeatures[[#This Row],[XP Train Gain]]/(LocFeatures[[#This Row],[E. Cost]]-LocFeatures[[#This Row],[Energy gain]])</f>
        <v>1125</v>
      </c>
      <c r="P15" s="56">
        <f>(LocFeatures[[#This Row],[XP Train Gain]]+LocFeatures[[#This Row],[XP drop]])/(LocFeatures[[#This Row],[E. Cost]]-LocFeatures[[#This Row],[Energy gain]])</f>
        <v>17640.5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5" s="10"/>
      <c r="U15" s="10"/>
      <c r="V15" s="10"/>
    </row>
    <row r="16" spans="1:22">
      <c r="A16" s="10" t="s">
        <v>8</v>
      </c>
      <c r="B16" s="10" t="s">
        <v>30</v>
      </c>
      <c r="C16" s="10">
        <v>3</v>
      </c>
      <c r="D16" s="10">
        <v>4</v>
      </c>
      <c r="E16" s="10">
        <v>1098</v>
      </c>
      <c r="F16" s="10">
        <v>12</v>
      </c>
      <c r="G16" s="10" t="s">
        <v>18</v>
      </c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4179.565312046444</v>
      </c>
      <c r="J1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6" s="10">
        <f>4*LocFeatures[[#This Row],[XP Gain per member]]</f>
        <v>4392</v>
      </c>
      <c r="L16">
        <f>3*LocFeatures[[#This Row],[XP Gain per member]]</f>
        <v>3294</v>
      </c>
      <c r="M16" s="56">
        <f>AVERAGEIFS(DropAnalityka[Exp Gain],DropAnalityka[Location],LocFeatures[[#This Row],[Location]],DropAnalityka[LVL],LocFeatures[[#This Row],[LVL]],DropAnalityka[Stage],LocFeatures[[#This Row],[Stage]])</f>
        <v>2387.5849056603774</v>
      </c>
      <c r="N16" s="56">
        <f>LocFeatures[[#This Row],[Drop worth gain]]/(LocFeatures[[#This Row],[E. Cost]]-LocFeatures[[#This Row],[Energy gain]])</f>
        <v>1334.4395273401299</v>
      </c>
      <c r="O16" s="56">
        <f>LocFeatures[[#This Row],[XP Train Gain]]/(LocFeatures[[#This Row],[E. Cost]]-LocFeatures[[#This Row],[Energy gain]])</f>
        <v>1051.698795180723</v>
      </c>
      <c r="P16" s="56">
        <f>(LocFeatures[[#This Row],[XP Train Gain]]+LocFeatures[[#This Row],[XP drop]])/(LocFeatures[[#This Row],[E. Cost]]-LocFeatures[[#This Row],[Energy gain]])</f>
        <v>1814.0000000000002</v>
      </c>
      <c r="Q16" s="53">
        <f>COUNTIFS(DropAnalityka[Location],LocFeatures[[#This Row],[Location]],DropAnalityka[LVL],LocFeatures[[#This Row],[LVL]],DropAnalityka[Stage],LocFeatures[[#This Row],[Stage]])</f>
        <v>53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6" s="10"/>
      <c r="U16" s="10"/>
      <c r="V16" s="10"/>
    </row>
    <row r="17" spans="1:22">
      <c r="A17" s="10" t="s">
        <v>8</v>
      </c>
      <c r="B17" s="10" t="s">
        <v>30</v>
      </c>
      <c r="C17" s="10">
        <v>6</v>
      </c>
      <c r="D17" s="10">
        <v>5</v>
      </c>
      <c r="E17" s="10">
        <v>1116</v>
      </c>
      <c r="F17" s="10">
        <v>12</v>
      </c>
      <c r="G17" s="10"/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7" s="19">
        <f>AVERAGEIFS(DropAnalityka[Energy Drop],DropAnalityka[Location],LocFeatures[[#This Row],[Location]],DropAnalityka[LVL],LocFeatures[[#This Row],[LVL]],DropAnalityka[Stage],LocFeatures[[#This Row],[Stage]])</f>
        <v>1</v>
      </c>
      <c r="K17" s="10">
        <f>4*LocFeatures[[#This Row],[XP Gain per member]]</f>
        <v>4464</v>
      </c>
      <c r="L17">
        <f>3*LocFeatures[[#This Row],[XP Gain per member]]</f>
        <v>3348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663</v>
      </c>
      <c r="O17" s="56">
        <f>LocFeatures[[#This Row],[XP Train Gain]]/(LocFeatures[[#This Row],[E. Cost]]-LocFeatures[[#This Row],[Energy gain]])</f>
        <v>837</v>
      </c>
      <c r="P17" s="56">
        <f>(LocFeatures[[#This Row],[XP Train Gain]]+LocFeatures[[#This Row],[XP drop]])/(LocFeatures[[#This Row],[E. Cost]]-LocFeatures[[#This Row],[Energy gain]])</f>
        <v>837</v>
      </c>
      <c r="Q17" s="53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7" s="10"/>
      <c r="U17" s="10"/>
      <c r="V17" s="10"/>
    </row>
    <row r="18" spans="1:22">
      <c r="A18" s="10" t="s">
        <v>8</v>
      </c>
      <c r="B18" s="10" t="s">
        <v>32</v>
      </c>
      <c r="C18" s="10">
        <v>3</v>
      </c>
      <c r="D18" s="10">
        <v>5</v>
      </c>
      <c r="E18" s="10">
        <v>1800</v>
      </c>
      <c r="F18" s="10">
        <v>12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8" s="10">
        <f>4*LocFeatures[[#This Row],[XP Gain per member]]</f>
        <v>7200</v>
      </c>
      <c r="L18">
        <f>3*LocFeatures[[#This Row],[XP Gain per member]]</f>
        <v>5400</v>
      </c>
      <c r="M18" s="56">
        <f>AVERAGEIFS(DropAnalityka[Exp Gain],DropAnalityka[Location],LocFeatures[[#This Row],[Location]],DropAnalityka[LVL],LocFeatures[[#This Row],[LVL]],DropAnalityka[Stage],LocFeatures[[#This Row],[Stage]])</f>
        <v>1984.6666666666667</v>
      </c>
      <c r="N18" s="56">
        <f>LocFeatures[[#This Row],[Drop worth gain]]/(LocFeatures[[#This Row],[E. Cost]]-LocFeatures[[#This Row],[Energy gain]])</f>
        <v>1097.8548644338116</v>
      </c>
      <c r="O18" s="56">
        <f>LocFeatures[[#This Row],[XP Train Gain]]/(LocFeatures[[#This Row],[E. Cost]]-LocFeatures[[#This Row],[Energy gain]])</f>
        <v>1343.5406698564593</v>
      </c>
      <c r="P18" s="56">
        <f>(LocFeatures[[#This Row],[XP Train Gain]]+LocFeatures[[#This Row],[XP drop]])/(LocFeatures[[#This Row],[E. Cost]]-LocFeatures[[#This Row],[Energy gain]])</f>
        <v>1837.3333333333335</v>
      </c>
      <c r="Q18" s="53">
        <f>COUNTIFS(DropAnalityka[Location],LocFeatures[[#This Row],[Location]],DropAnalityka[LVL],LocFeatures[[#This Row],[LVL]],DropAnalityka[Stage],LocFeatures[[#This Row],[Stage]])</f>
        <v>156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3620.4537543859647</v>
      </c>
      <c r="T18" s="10"/>
      <c r="U18" s="10"/>
      <c r="V18" s="10"/>
    </row>
    <row r="19" spans="1:22">
      <c r="A19" s="10" t="s">
        <v>8</v>
      </c>
      <c r="B19" s="10" t="s">
        <v>32</v>
      </c>
      <c r="C19" s="10">
        <v>13</v>
      </c>
      <c r="D19" s="10">
        <v>5</v>
      </c>
      <c r="E19" s="10">
        <v>1800</v>
      </c>
      <c r="F19" s="10">
        <v>12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9" s="10">
        <f>4*LocFeatures[[#This Row],[XP Gain per member]]</f>
        <v>7200</v>
      </c>
      <c r="L19">
        <f>3*LocFeatures[[#This Row],[XP Gain per member]]</f>
        <v>5400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916.54666666666662</v>
      </c>
      <c r="O19" s="56">
        <f>LocFeatures[[#This Row],[XP Train Gain]]/(LocFeatures[[#This Row],[E. Cost]]-LocFeatures[[#This Row],[Energy gain]])</f>
        <v>1296</v>
      </c>
      <c r="P19" s="56">
        <f>(LocFeatures[[#This Row],[XP Train Gain]]+LocFeatures[[#This Row],[XP drop]])/(LocFeatures[[#This Row],[E. Cost]]-LocFeatures[[#This Row],[Energy gain]])</f>
        <v>1296</v>
      </c>
      <c r="Q19" s="53">
        <f>COUNTIFS(DropAnalityka[Location],LocFeatures[[#This Row],[Location]],DropAnalityka[LVL],LocFeatures[[#This Row],[LVL]],DropAnalityka[Stage],LocFeatures[[#This Row],[Stage]])</f>
        <v>18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9">
        <v>92</v>
      </c>
      <c r="T19" s="10" t="s">
        <v>280</v>
      </c>
    </row>
    <row r="20" spans="1:22">
      <c r="A20" t="s">
        <v>8</v>
      </c>
      <c r="B20" t="s">
        <v>9</v>
      </c>
      <c r="C20">
        <v>3</v>
      </c>
      <c r="D20">
        <v>3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0">
        <f>4*LocFeatures[[#This Row],[XP Gain per member]]</f>
        <v>2568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0" s="56">
        <f>LocFeatures[[#This Row],[Drop worth gain]]/(LocFeatures[[#This Row],[E. Cost]]-LocFeatures[[#This Row],[Energy gain]])</f>
        <v>1284.4719101123596</v>
      </c>
      <c r="O20" s="56">
        <f>LocFeatures[[#This Row],[XP Train Gain]]/(LocFeatures[[#This Row],[E. Cost]]-LocFeatures[[#This Row],[Energy gain]])</f>
        <v>887.25842696629206</v>
      </c>
      <c r="P20" s="56">
        <f>(LocFeatures[[#This Row],[XP Train Gain]]+LocFeatures[[#This Row],[XP drop]])/(LocFeatures[[#This Row],[E. Cost]]-LocFeatures[[#This Row],[Energy gain]])</f>
        <v>1396.9213483146066</v>
      </c>
      <c r="Q20" s="49">
        <f>COUNTIFS(DropAnalityka[Location],LocFeatures[[#This Row],[Location]],DropAnalityka[LVL],LocFeatures[[#This Row],[LVL]],DropAnalityka[Stage],LocFeatures[[#This Row],[Stage]])</f>
        <v>41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21" spans="1:22">
      <c r="A21" t="s">
        <v>8</v>
      </c>
      <c r="B21" t="s">
        <v>9</v>
      </c>
      <c r="C21">
        <v>3</v>
      </c>
      <c r="D21">
        <v>3</v>
      </c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1">
        <f>4*LocFeatures[[#This Row],[XP Gain per member]]</f>
        <v>0</v>
      </c>
      <c r="L21">
        <f>3*LocFeatures[[#This Row],[XP Gain per member]]</f>
        <v>0</v>
      </c>
      <c r="M21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1" s="56">
        <f>LocFeatures[[#This Row],[Drop worth gain]]/(LocFeatures[[#This Row],[E. Cost]]-LocFeatures[[#This Row],[Energy gain]])</f>
        <v>1284.4719101123596</v>
      </c>
      <c r="O21" s="56">
        <f>LocFeatures[[#This Row],[XP Train Gain]]/(LocFeatures[[#This Row],[E. Cost]]-LocFeatures[[#This Row],[Energy gain]])</f>
        <v>0</v>
      </c>
      <c r="P21" s="56">
        <f>(LocFeatures[[#This Row],[XP Train Gain]]+LocFeatures[[#This Row],[XP drop]])/(LocFeatures[[#This Row],[E. Cost]]-LocFeatures[[#This Row],[Energy gain]])</f>
        <v>509.66292134831451</v>
      </c>
      <c r="Q21" s="49">
        <f>COUNTIFS(DropAnalityka[Location],LocFeatures[[#This Row],[Location]],DropAnalityka[LVL],LocFeatures[[#This Row],[LVL]],DropAnalityka[Stage],LocFeatures[[#This Row],[Stage]])</f>
        <v>41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2" spans="1:22">
      <c r="A22" s="10" t="s">
        <v>230</v>
      </c>
      <c r="B22" t="s">
        <v>9</v>
      </c>
      <c r="C22">
        <v>8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2" s="19">
        <f>AVERAGEIFS(DropAnalityka[Energy Drop],DropAnalityka[Location],LocFeatures[[#This Row],[Location]],DropAnalityka[LVL],LocFeatures[[#This Row],[LVL]],DropAnalityka[Stage],LocFeatures[[#This Row],[Stage]])</f>
        <v>1</v>
      </c>
      <c r="K22">
        <f>4*LocFeatures[[#This Row],[XP Gain per member]]</f>
        <v>2568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778.62068965517244</v>
      </c>
      <c r="O22" s="56">
        <f>LocFeatures[[#This Row],[XP Train Gain]]/(LocFeatures[[#This Row],[E. Cost]]-LocFeatures[[#This Row],[Energy gain]])</f>
        <v>321</v>
      </c>
      <c r="P22" s="56">
        <f>(LocFeatures[[#This Row],[XP Train Gain]]+LocFeatures[[#This Row],[XP drop]])/(LocFeatures[[#This Row],[E. Cost]]-LocFeatures[[#This Row],[Energy gain]])</f>
        <v>321</v>
      </c>
      <c r="Q22" s="49">
        <f>COUNTIFS(DropAnalityka[Location],LocFeatures[[#This Row],[Location]],DropAnalityka[LVL],LocFeatures[[#This Row],[LVL]],DropAnalityka[Stage],LocFeatures[[#This Row],[Stage]])</f>
        <v>29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3" spans="1:22">
      <c r="A23" s="10" t="s">
        <v>230</v>
      </c>
      <c r="B23" t="s">
        <v>9</v>
      </c>
      <c r="C23">
        <v>9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3445.613636363636</v>
      </c>
      <c r="J23" s="19">
        <f>AVERAGEIFS(DropAnalityka[Energy Drop],DropAnalityka[Location],LocFeatures[[#This Row],[Location]],DropAnalityka[LVL],LocFeatures[[#This Row],[LVL]],DropAnalityka[Stage],LocFeatures[[#This Row],[Stage]])</f>
        <v>0.77272727272727271</v>
      </c>
      <c r="K23">
        <f>4*LocFeatures[[#This Row],[XP Gain per member]]</f>
        <v>2568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1076.0098484848484</v>
      </c>
      <c r="N23" s="56">
        <f>LocFeatures[[#This Row],[Drop worth gain]]/(LocFeatures[[#This Row],[E. Cost]]-LocFeatures[[#This Row],[Energy gain]])</f>
        <v>553.31021897810217</v>
      </c>
      <c r="O23" s="56">
        <f>LocFeatures[[#This Row],[XP Train Gain]]/(LocFeatures[[#This Row],[E. Cost]]-LocFeatures[[#This Row],[Energy gain]])</f>
        <v>309.28467153284669</v>
      </c>
      <c r="P23" s="56">
        <f>(LocFeatures[[#This Row],[XP Train Gain]]+LocFeatures[[#This Row],[XP drop]])/(LocFeatures[[#This Row],[E. Cost]]-LocFeatures[[#This Row],[Energy gain]])</f>
        <v>482.07457420924572</v>
      </c>
      <c r="Q23" s="49">
        <f>COUNTIFS(DropAnalityka[Location],LocFeatures[[#This Row],[Location]],DropAnalityka[LVL],LocFeatures[[#This Row],[LVL]],DropAnalityka[Stage],LocFeatures[[#This Row],[Stage]])</f>
        <v>66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1858.9153284671531</v>
      </c>
    </row>
    <row r="24" spans="1:22">
      <c r="A24" s="10" t="s">
        <v>300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4*LocFeatures[[#This Row],[XP Gain per member]]</f>
        <v>2568</v>
      </c>
      <c r="L24">
        <f>3*LocFeatures[[#This Row],[XP Gain per member]]</f>
        <v>1926</v>
      </c>
      <c r="M24" s="56">
        <f>AVERAGEIFS(DropAnalityka[Exp Gain],DropAnalityka[Location],LocFeatures[[#This Row],[Location]],DropAnalityka[LVL],LocFeatures[[#This Row],[LVL]],DropAnalityka[Stage],LocFeatures[[#This Row],[Stage]])</f>
        <v>4893.4814814814818</v>
      </c>
      <c r="N24" s="56">
        <f>LocFeatures[[#This Row],[Drop worth gain]]/(LocFeatures[[#This Row],[E. Cost]]-LocFeatures[[#This Row],[Energy gain]])</f>
        <v>596.11627906976742</v>
      </c>
      <c r="O24" s="56">
        <f>LocFeatures[[#This Row],[XP Train Gain]]/(LocFeatures[[#This Row],[E. Cost]]-LocFeatures[[#This Row],[Energy gain]])</f>
        <v>302.33720930232556</v>
      </c>
      <c r="P24" s="56">
        <f>(LocFeatures[[#This Row],[XP Train Gain]]+LocFeatures[[#This Row],[XP drop]])/(LocFeatures[[#This Row],[E. Cost]]-LocFeatures[[#This Row],[Energy gain]])</f>
        <v>1070.5</v>
      </c>
      <c r="Q24" s="49">
        <f>COUNTIFS(DropAnalityka[Location],LocFeatures[[#This Row],[Location]],DropAnalityka[LVL],LocFeatures[[#This Row],[LVL]],DropAnalityka[Stage],LocFeatures[[#This Row],[Stage]])</f>
        <v>27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t="s">
        <v>251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6">
        <f>AVERAGEIFS(DropAnalityka[Exp Gain],DropAnalityka[Location],LocFeatures[[#This Row],[Location]],DropAnalityka[LVL],LocFeatures[[#This Row],[LVL]],DropAnalityka[Stage],LocFeatures[[#This Row],[Stage]])</f>
        <v>6606.1999999999989</v>
      </c>
      <c r="N25" s="56">
        <f>LocFeatures[[#This Row],[Drop worth gain]]/(LocFeatures[[#This Row],[E. Cost]]-LocFeatures[[#This Row],[Energy gain]])</f>
        <v>1846.9</v>
      </c>
      <c r="O25" s="56">
        <f>LocFeatures[[#This Row],[XP Train Gain]]/(LocFeatures[[#This Row],[E. Cost]]-LocFeatures[[#This Row],[Energy gain]])</f>
        <v>0</v>
      </c>
      <c r="P25" s="56">
        <f>(LocFeatures[[#This Row],[XP Train Gain]]+LocFeatures[[#This Row],[XP drop]])/(LocFeatures[[#This Row],[E. Cost]]-LocFeatures[[#This Row],[Energy gain]])</f>
        <v>1321.2399999999998</v>
      </c>
      <c r="Q25" s="49">
        <f>COUNTIFS(DropAnalityka[Location],LocFeatures[[#This Row],[Location]],DropAnalityka[LVL],LocFeatures[[#This Row],[LVL]],DropAnalityka[Stage],LocFeatures[[#This Row],[Stage]])</f>
        <v>8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I26" s="49"/>
      <c r="M26" s="49"/>
      <c r="O26" s="54"/>
      <c r="Q26" s="49"/>
    </row>
    <row r="27" spans="1:22">
      <c r="I27" s="49"/>
      <c r="M27" s="49"/>
      <c r="O27" s="54"/>
      <c r="Q27" s="49"/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  <row r="96" spans="9:17">
      <c r="I96" s="49"/>
      <c r="M96" s="49"/>
      <c r="O96" s="54"/>
      <c r="Q96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topLeftCell="E1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308</v>
      </c>
    </row>
    <row r="2" spans="1:23">
      <c r="R2" s="96" t="s">
        <v>313</v>
      </c>
      <c r="S2" s="96"/>
      <c r="T2" s="96"/>
      <c r="U2" s="96"/>
      <c r="V2" s="96"/>
      <c r="W2" s="96"/>
    </row>
    <row r="3" spans="1:23" ht="15" thickBot="1">
      <c r="B3" s="11" t="s">
        <v>70</v>
      </c>
      <c r="G3" s="11" t="s">
        <v>297</v>
      </c>
      <c r="H3" s="11" t="s">
        <v>161</v>
      </c>
      <c r="Q3" s="6" t="s">
        <v>33</v>
      </c>
      <c r="R3" s="160" t="s">
        <v>314</v>
      </c>
      <c r="S3" s="161" t="s">
        <v>315</v>
      </c>
      <c r="T3" s="161" t="s">
        <v>316</v>
      </c>
      <c r="U3" s="161" t="s">
        <v>317</v>
      </c>
      <c r="V3" s="161" t="s">
        <v>318</v>
      </c>
      <c r="W3" s="162" t="s">
        <v>319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102">
        <f>GETPIVOTDATA("Quality/Quantity",$G$3,"Stage",4,"Grade","high")/GETPIVOTDATA("LVL",$G$31,"Stage",4)</f>
        <v>0</v>
      </c>
      <c r="S4" s="97">
        <f>GETPIVOTDATA("Quality/Quantity",$G$3,"Stage",5,"Grade","high")/GETPIVOTDATA("LVL",$G$31,"Stage",5)</f>
        <v>0</v>
      </c>
      <c r="T4" s="97">
        <f>GETPIVOTDATA("Quality/Quantity",$G$3,"Stage",7,"Grade","high")/GETPIVOTDATA("LVL",$G$31,"Stage",7)</f>
        <v>0.13432835820895522</v>
      </c>
      <c r="U4" s="97">
        <f>GETPIVOTDATA("Quality/Quantity",$G$3,"Stage",8,"Grade","high")/GETPIVOTDATA("LVL",$G$31,"Stage",8)</f>
        <v>0.21875</v>
      </c>
      <c r="V4" s="97">
        <f>GETPIVOTDATA("Quality/Quantity",$G$3,"Stage",9,"Grade","high")/GETPIVOTDATA("LVL",$G$31,"Stage",9)</f>
        <v>0.23478260869565218</v>
      </c>
      <c r="W4" s="101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311</v>
      </c>
      <c r="H5" s="49"/>
      <c r="I5" s="49"/>
      <c r="J5" s="49">
        <v>9</v>
      </c>
      <c r="K5" s="49">
        <v>7</v>
      </c>
      <c r="L5" s="49">
        <v>27</v>
      </c>
      <c r="M5" s="49">
        <v>3</v>
      </c>
      <c r="N5" s="49">
        <v>46</v>
      </c>
      <c r="Q5" s="6" t="str">
        <f>G6</f>
        <v>low</v>
      </c>
      <c r="R5" s="102">
        <f>GETPIVOTDATA("Quality/Quantity",$G$3,"Stage",4,"Grade","low")/GETPIVOTDATA("LVL",$G$31,"Stage",4)</f>
        <v>0.5714285714285714</v>
      </c>
      <c r="S5" s="97">
        <f>GETPIVOTDATA("Quality/Quantity",$G$3,"Stage",5,"Grade","low")/GETPIVOTDATA("LVL",$G$31,"Stage",5)</f>
        <v>1.2</v>
      </c>
      <c r="T5" s="97">
        <f>GETPIVOTDATA("Quality/Quantity",$G$3,"Stage",7,"Grade","low")/GETPIVOTDATA("LVL",$G$31,"Stage",7)</f>
        <v>1.4179104477611941</v>
      </c>
      <c r="U5" s="97">
        <f>GETPIVOTDATA("Quality/Quantity",$G$3,"Stage",8,"Grade","low")/GETPIVOTDATA("LVL",$G$31,"Stage",8)</f>
        <v>1.34375</v>
      </c>
      <c r="V5" s="97">
        <f>GETPIVOTDATA("Quality/Quantity",$G$3,"Stage",9,"Grade","low")/GETPIVOTDATA("LVL",$G$31,"Stage",9)</f>
        <v>1.0782608695652174</v>
      </c>
      <c r="W5" s="101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309</v>
      </c>
      <c r="H6" s="49">
        <v>4</v>
      </c>
      <c r="I6" s="49">
        <v>24</v>
      </c>
      <c r="J6" s="49">
        <v>95</v>
      </c>
      <c r="K6" s="49">
        <v>43</v>
      </c>
      <c r="L6" s="49">
        <v>124</v>
      </c>
      <c r="M6" s="49">
        <v>10</v>
      </c>
      <c r="N6" s="49">
        <v>300</v>
      </c>
      <c r="Q6" s="6" t="str">
        <f>G7</f>
        <v>med.</v>
      </c>
      <c r="R6" s="102">
        <f>GETPIVOTDATA("Quality/Quantity",$G$3,"Stage",4,"Grade","med.")/GETPIVOTDATA("LVL",$G$31,"Stage",4)</f>
        <v>0.14285714285714285</v>
      </c>
      <c r="S6" s="97">
        <f>GETPIVOTDATA("Quality/Quantity",$G$3,"Stage",5,"Grade","med.")/GETPIVOTDATA("LVL",$G$31,"Stage",5)</f>
        <v>0.5</v>
      </c>
      <c r="T6" s="97">
        <f>GETPIVOTDATA("Quality/Quantity",$G$3,"Stage",7,"Grade","med.")/GETPIVOTDATA("LVL",$G$31,"Stage",7)</f>
        <v>0.55223880597014929</v>
      </c>
      <c r="U6" s="97">
        <f>GETPIVOTDATA("Quality/Quantity",$G$3,"Stage",8,"Grade","med.")/GETPIVOTDATA("LVL",$G$31,"Stage",8)</f>
        <v>0.21875</v>
      </c>
      <c r="V6" s="97">
        <f>GETPIVOTDATA("Quality/Quantity",$G$3,"Stage",9,"Grade","med.")/GETPIVOTDATA("LVL",$G$31,"Stage",9)</f>
        <v>0.53913043478260869</v>
      </c>
      <c r="W6" s="101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310</v>
      </c>
      <c r="H7" s="49">
        <v>1</v>
      </c>
      <c r="I7" s="49">
        <v>10</v>
      </c>
      <c r="J7" s="49">
        <v>37</v>
      </c>
      <c r="K7" s="49">
        <v>7</v>
      </c>
      <c r="L7" s="49">
        <v>62</v>
      </c>
      <c r="M7" s="49">
        <v>2</v>
      </c>
      <c r="N7" s="49">
        <v>119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27</v>
      </c>
      <c r="M8" s="49"/>
      <c r="N8" s="49">
        <v>113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240</v>
      </c>
      <c r="M9" s="49">
        <v>15</v>
      </c>
      <c r="N9" s="49">
        <v>578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2277.1489361702129</v>
      </c>
      <c r="C23" s="1">
        <v>0</v>
      </c>
      <c r="D23" s="15">
        <v>0.67021276595744683</v>
      </c>
      <c r="E23" s="49">
        <v>93</v>
      </c>
    </row>
    <row r="24" spans="1:14">
      <c r="A24" s="13" t="s">
        <v>9</v>
      </c>
      <c r="B24" s="1">
        <v>2277.1489361702129</v>
      </c>
      <c r="C24" s="1">
        <v>0</v>
      </c>
      <c r="D24" s="15">
        <v>0.67021276595744683</v>
      </c>
      <c r="E24" s="49">
        <v>93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2596.7727272727275</v>
      </c>
      <c r="C28" s="1">
        <v>0</v>
      </c>
      <c r="D28" s="15">
        <v>0.90909090909090906</v>
      </c>
      <c r="E28" s="49">
        <v>21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298</v>
      </c>
      <c r="H31" s="11" t="s">
        <v>161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192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22</v>
      </c>
      <c r="M35" s="49"/>
      <c r="N35" s="49">
        <v>94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230</v>
      </c>
      <c r="H36" s="49"/>
      <c r="I36" s="49"/>
      <c r="J36" s="49">
        <v>4</v>
      </c>
      <c r="K36" s="49">
        <v>29</v>
      </c>
      <c r="L36" s="49">
        <v>65</v>
      </c>
      <c r="M36" s="49"/>
      <c r="N36" s="49">
        <v>98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300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115</v>
      </c>
      <c r="M38" s="49">
        <v>6</v>
      </c>
      <c r="N38" s="49">
        <v>247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1586.736231884058</v>
      </c>
      <c r="C42" s="1">
        <v>925.24264705882354</v>
      </c>
      <c r="D42" s="15">
        <v>0.86521739130434783</v>
      </c>
      <c r="E42" s="49">
        <v>265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2720629.4078270243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2240231.1779845771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2177957.3333753715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2177957.3333753711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633085.77958172816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951334.71436433669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951334.71436433669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212</v>
      </c>
      <c r="B1" t="s">
        <v>223</v>
      </c>
      <c r="C1" t="s">
        <v>213</v>
      </c>
      <c r="D1" t="s">
        <v>214</v>
      </c>
      <c r="E1" t="s">
        <v>215</v>
      </c>
      <c r="F1" t="s">
        <v>216</v>
      </c>
      <c r="G1" t="s">
        <v>178</v>
      </c>
      <c r="H1" t="s">
        <v>217</v>
      </c>
      <c r="I1" t="s">
        <v>218</v>
      </c>
      <c r="J1" t="s">
        <v>219</v>
      </c>
      <c r="K1" t="s">
        <v>222</v>
      </c>
      <c r="L1" t="s">
        <v>224</v>
      </c>
      <c r="M1" t="s">
        <v>225</v>
      </c>
    </row>
    <row r="2" spans="1:13">
      <c r="A2" t="s">
        <v>220</v>
      </c>
      <c r="C2">
        <v>1</v>
      </c>
      <c r="D2">
        <v>4</v>
      </c>
      <c r="G2">
        <v>3</v>
      </c>
      <c r="J2">
        <v>7</v>
      </c>
    </row>
    <row r="3" spans="1:13">
      <c r="A3" t="s">
        <v>220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226</v>
      </c>
    </row>
    <row r="5" spans="1:13">
      <c r="A5" t="s">
        <v>220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226</v>
      </c>
    </row>
    <row r="6" spans="1:13">
      <c r="A6" t="s">
        <v>221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220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220</v>
      </c>
      <c r="C8">
        <v>4</v>
      </c>
      <c r="G8">
        <v>6</v>
      </c>
      <c r="H8">
        <v>6</v>
      </c>
    </row>
    <row r="9" spans="1:13">
      <c r="A9" t="s">
        <v>221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220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29.2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29.2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29.2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173</v>
      </c>
      <c r="B1" t="s">
        <v>174</v>
      </c>
      <c r="C1" t="s">
        <v>175</v>
      </c>
      <c r="D1" t="s">
        <v>179</v>
      </c>
      <c r="E1" t="s">
        <v>176</v>
      </c>
      <c r="F1" t="s">
        <v>10</v>
      </c>
    </row>
    <row r="2" spans="1:6">
      <c r="A2" t="s">
        <v>163</v>
      </c>
      <c r="B2" t="s">
        <v>207</v>
      </c>
      <c r="C2" t="s">
        <v>183</v>
      </c>
      <c r="D2" t="s">
        <v>188</v>
      </c>
      <c r="E2" t="s">
        <v>189</v>
      </c>
      <c r="F2" t="s">
        <v>210</v>
      </c>
    </row>
    <row r="3" spans="1:6">
      <c r="A3" t="s">
        <v>164</v>
      </c>
      <c r="B3" t="s">
        <v>207</v>
      </c>
      <c r="C3" t="s">
        <v>187</v>
      </c>
      <c r="D3" t="s">
        <v>185</v>
      </c>
      <c r="E3" t="s">
        <v>186</v>
      </c>
      <c r="F3" t="s">
        <v>210</v>
      </c>
    </row>
    <row r="4" spans="1:6">
      <c r="A4" t="s">
        <v>165</v>
      </c>
      <c r="B4" t="s">
        <v>207</v>
      </c>
      <c r="C4" t="s">
        <v>166</v>
      </c>
      <c r="D4" t="s">
        <v>188</v>
      </c>
      <c r="E4" t="s">
        <v>190</v>
      </c>
      <c r="F4" t="s">
        <v>211</v>
      </c>
    </row>
    <row r="5" spans="1:6">
      <c r="A5" t="s">
        <v>168</v>
      </c>
      <c r="B5" t="s">
        <v>167</v>
      </c>
      <c r="C5" t="s">
        <v>183</v>
      </c>
      <c r="D5" t="s">
        <v>202</v>
      </c>
      <c r="E5" t="s">
        <v>184</v>
      </c>
      <c r="F5" t="s">
        <v>211</v>
      </c>
    </row>
    <row r="6" spans="1:6">
      <c r="A6" t="s">
        <v>169</v>
      </c>
      <c r="B6" t="s">
        <v>170</v>
      </c>
      <c r="C6" t="s">
        <v>171</v>
      </c>
      <c r="D6" t="s">
        <v>182</v>
      </c>
      <c r="E6" t="s">
        <v>177</v>
      </c>
      <c r="F6" t="s">
        <v>211</v>
      </c>
    </row>
    <row r="7" spans="1:6">
      <c r="A7" t="s">
        <v>149</v>
      </c>
      <c r="B7" t="s">
        <v>203</v>
      </c>
      <c r="C7" t="s">
        <v>204</v>
      </c>
    </row>
    <row r="8" spans="1:6">
      <c r="A8" t="s">
        <v>205</v>
      </c>
      <c r="B8" t="s">
        <v>172</v>
      </c>
      <c r="C8" t="s">
        <v>91</v>
      </c>
      <c r="D8" t="s">
        <v>206</v>
      </c>
    </row>
    <row r="9" spans="1:6">
      <c r="A9" t="s">
        <v>208</v>
      </c>
      <c r="B9" t="s">
        <v>170</v>
      </c>
      <c r="C9" t="s">
        <v>209</v>
      </c>
      <c r="D9" t="s">
        <v>188</v>
      </c>
      <c r="F9" t="s">
        <v>211</v>
      </c>
    </row>
    <row r="10" spans="1:6">
      <c r="A10" t="s">
        <v>231</v>
      </c>
      <c r="B10" t="s">
        <v>172</v>
      </c>
      <c r="C10" t="s">
        <v>91</v>
      </c>
    </row>
    <row r="11" spans="1:6">
      <c r="A11" t="s">
        <v>232</v>
      </c>
      <c r="B11" t="s">
        <v>167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2015-10-21T17:06:43Z</dcterms:modified>
</cp:coreProperties>
</file>