
<file path=[Content_Types].xml><?xml version="1.0" encoding="utf-8"?>
<Types xmlns="http://schemas.openxmlformats.org/package/2006/content-types">
  <Override PartName="/xl/tables/table4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15540" windowHeight="11820" firstSheet="4" activeTab="12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stats" sheetId="11" r:id="rId7"/>
    <sheet name="Runes DB" sheetId="8" r:id="rId8"/>
    <sheet name="TP_Mon.Runes" sheetId="12" r:id="rId9"/>
    <sheet name="Grind.Summary" sheetId="2" r:id="rId10"/>
    <sheet name="Runes Mon.build" sheetId="7" r:id="rId11"/>
    <sheet name="Crystals" sheetId="14" r:id="rId12"/>
    <sheet name="Mon.Utilities" sheetId="13" r:id="rId13"/>
  </sheets>
  <definedNames>
    <definedName name="_xlnm._FilterDatabase" localSheetId="12" hidden="1">Mon.Utilities!$A$1:$N$1</definedName>
  </definedNames>
  <calcPr calcId="125725"/>
  <pivotCaches>
    <pivotCache cacheId="0" r:id="rId14"/>
    <pivotCache cacheId="1" r:id="rId15"/>
  </pivotCaches>
</workbook>
</file>

<file path=xl/calcChain.xml><?xml version="1.0" encoding="utf-8"?>
<calcChain xmlns="http://schemas.openxmlformats.org/spreadsheetml/2006/main">
  <c r="J4" i="6"/>
  <c r="H4"/>
  <c r="I4"/>
  <c r="B16" i="14"/>
  <c r="B15"/>
  <c r="B14"/>
  <c r="R7" i="13"/>
  <c r="R75"/>
  <c r="R76"/>
  <c r="R77"/>
  <c r="R78"/>
  <c r="R79"/>
  <c r="R80"/>
  <c r="R8"/>
  <c r="R81"/>
  <c r="R52"/>
  <c r="R82"/>
  <c r="R83"/>
  <c r="R84"/>
  <c r="R85"/>
  <c r="R86"/>
  <c r="R87"/>
  <c r="R88"/>
  <c r="R89"/>
  <c r="R90"/>
  <c r="R91"/>
  <c r="R92"/>
  <c r="R93"/>
  <c r="R53"/>
  <c r="R94"/>
  <c r="R95"/>
  <c r="R96"/>
  <c r="R9"/>
  <c r="R97"/>
  <c r="R98"/>
  <c r="R99"/>
  <c r="R100"/>
  <c r="R101"/>
  <c r="R102"/>
  <c r="R103"/>
  <c r="R104"/>
  <c r="R105"/>
  <c r="R106"/>
  <c r="R107"/>
  <c r="R108"/>
  <c r="R109"/>
  <c r="R110"/>
  <c r="R111"/>
  <c r="R112"/>
  <c r="R113"/>
  <c r="R114"/>
  <c r="R115"/>
  <c r="R21"/>
  <c r="R116"/>
  <c r="R117"/>
  <c r="R54"/>
  <c r="R118"/>
  <c r="R2"/>
  <c r="R119"/>
  <c r="R55"/>
  <c r="R120"/>
  <c r="R121"/>
  <c r="R122"/>
  <c r="R123"/>
  <c r="R124"/>
  <c r="R22"/>
  <c r="R125"/>
  <c r="R56"/>
  <c r="R126"/>
  <c r="R10"/>
  <c r="R127"/>
  <c r="R128"/>
  <c r="R129"/>
  <c r="R130"/>
  <c r="R131"/>
  <c r="R132"/>
  <c r="R133"/>
  <c r="R134"/>
  <c r="R135"/>
  <c r="R136"/>
  <c r="R137"/>
  <c r="R138"/>
  <c r="R139"/>
  <c r="R57"/>
  <c r="R23"/>
  <c r="R140"/>
  <c r="R141"/>
  <c r="R58"/>
  <c r="R142"/>
  <c r="R11"/>
  <c r="R143"/>
  <c r="R144"/>
  <c r="R145"/>
  <c r="R146"/>
  <c r="R147"/>
  <c r="R148"/>
  <c r="R149"/>
  <c r="R150"/>
  <c r="R151"/>
  <c r="R152"/>
  <c r="R153"/>
  <c r="R154"/>
  <c r="R155"/>
  <c r="R156"/>
  <c r="R157"/>
  <c r="R158"/>
  <c r="R159"/>
  <c r="R160"/>
  <c r="R161"/>
  <c r="R162"/>
  <c r="R163"/>
  <c r="R164"/>
  <c r="R24"/>
  <c r="R59"/>
  <c r="R165"/>
  <c r="R166"/>
  <c r="R167"/>
  <c r="R60"/>
  <c r="R168"/>
  <c r="R61"/>
  <c r="R169"/>
  <c r="R170"/>
  <c r="R171"/>
  <c r="R25"/>
  <c r="R172"/>
  <c r="R173"/>
  <c r="R174"/>
  <c r="R175"/>
  <c r="R176"/>
  <c r="R177"/>
  <c r="R178"/>
  <c r="R179"/>
  <c r="R180"/>
  <c r="R181"/>
  <c r="R182"/>
  <c r="R183"/>
  <c r="R184"/>
  <c r="R185"/>
  <c r="R26"/>
  <c r="R186"/>
  <c r="R187"/>
  <c r="R188"/>
  <c r="R189"/>
  <c r="R190"/>
  <c r="R191"/>
  <c r="R192"/>
  <c r="R193"/>
  <c r="R194"/>
  <c r="R195"/>
  <c r="R196"/>
  <c r="R197"/>
  <c r="R198"/>
  <c r="R27"/>
  <c r="R28"/>
  <c r="R199"/>
  <c r="R200"/>
  <c r="R201"/>
  <c r="R202"/>
  <c r="R203"/>
  <c r="R204"/>
  <c r="R205"/>
  <c r="R206"/>
  <c r="R207"/>
  <c r="R208"/>
  <c r="R209"/>
  <c r="R210"/>
  <c r="R211"/>
  <c r="R212"/>
  <c r="R213"/>
  <c r="R214"/>
  <c r="R215"/>
  <c r="R216"/>
  <c r="R217"/>
  <c r="R62"/>
  <c r="R218"/>
  <c r="R219"/>
  <c r="R29"/>
  <c r="R220"/>
  <c r="R221"/>
  <c r="R327"/>
  <c r="R222"/>
  <c r="R223"/>
  <c r="R224"/>
  <c r="R225"/>
  <c r="R226"/>
  <c r="R227"/>
  <c r="R228"/>
  <c r="R229"/>
  <c r="R30"/>
  <c r="R63"/>
  <c r="R230"/>
  <c r="R231"/>
  <c r="R232"/>
  <c r="R12"/>
  <c r="R233"/>
  <c r="R64"/>
  <c r="R234"/>
  <c r="R235"/>
  <c r="R236"/>
  <c r="R237"/>
  <c r="R238"/>
  <c r="R239"/>
  <c r="R240"/>
  <c r="R241"/>
  <c r="R13"/>
  <c r="R31"/>
  <c r="R65"/>
  <c r="R242"/>
  <c r="R243"/>
  <c r="R244"/>
  <c r="R245"/>
  <c r="R14"/>
  <c r="R32"/>
  <c r="R246"/>
  <c r="R66"/>
  <c r="R247"/>
  <c r="R33"/>
  <c r="R34"/>
  <c r="R3"/>
  <c r="R248"/>
  <c r="R249"/>
  <c r="R35"/>
  <c r="R250"/>
  <c r="R67"/>
  <c r="R251"/>
  <c r="R4"/>
  <c r="R252"/>
  <c r="R253"/>
  <c r="R254"/>
  <c r="R255"/>
  <c r="R36"/>
  <c r="R256"/>
  <c r="R37"/>
  <c r="R257"/>
  <c r="R258"/>
  <c r="R259"/>
  <c r="R38"/>
  <c r="R39"/>
  <c r="R260"/>
  <c r="R40"/>
  <c r="R261"/>
  <c r="R15"/>
  <c r="R262"/>
  <c r="R41"/>
  <c r="R263"/>
  <c r="R264"/>
  <c r="R42"/>
  <c r="R265"/>
  <c r="R266"/>
  <c r="R267"/>
  <c r="R268"/>
  <c r="R68"/>
  <c r="R269"/>
  <c r="R270"/>
  <c r="R271"/>
  <c r="R272"/>
  <c r="R273"/>
  <c r="R274"/>
  <c r="R275"/>
  <c r="R276"/>
  <c r="R277"/>
  <c r="R69"/>
  <c r="R70"/>
  <c r="R278"/>
  <c r="R279"/>
  <c r="R71"/>
  <c r="R280"/>
  <c r="R281"/>
  <c r="R282"/>
  <c r="R16"/>
  <c r="R5"/>
  <c r="R283"/>
  <c r="R43"/>
  <c r="R284"/>
  <c r="R17"/>
  <c r="R285"/>
  <c r="R44"/>
  <c r="R18"/>
  <c r="R286"/>
  <c r="R287"/>
  <c r="R288"/>
  <c r="R289"/>
  <c r="R290"/>
  <c r="R291"/>
  <c r="R72"/>
  <c r="R292"/>
  <c r="R293"/>
  <c r="R294"/>
  <c r="R73"/>
  <c r="R19"/>
  <c r="R295"/>
  <c r="R20"/>
  <c r="R296"/>
  <c r="R297"/>
  <c r="R298"/>
  <c r="R299"/>
  <c r="R300"/>
  <c r="R45"/>
  <c r="R301"/>
  <c r="R46"/>
  <c r="R74"/>
  <c r="R302"/>
  <c r="R303"/>
  <c r="R304"/>
  <c r="R305"/>
  <c r="R306"/>
  <c r="R307"/>
  <c r="R308"/>
  <c r="R309"/>
  <c r="R310"/>
  <c r="R311"/>
  <c r="R312"/>
  <c r="R47"/>
  <c r="R313"/>
  <c r="R48"/>
  <c r="R314"/>
  <c r="R315"/>
  <c r="R316"/>
  <c r="R317"/>
  <c r="R318"/>
  <c r="R49"/>
  <c r="R319"/>
  <c r="R320"/>
  <c r="R50"/>
  <c r="R321"/>
  <c r="R6"/>
  <c r="R322"/>
  <c r="R323"/>
  <c r="R324"/>
  <c r="R325"/>
  <c r="R51"/>
  <c r="R326"/>
  <c r="Q7"/>
  <c r="Q75"/>
  <c r="Q76"/>
  <c r="Q77"/>
  <c r="Q78"/>
  <c r="Q79"/>
  <c r="Q80"/>
  <c r="Q8"/>
  <c r="Q81"/>
  <c r="Q52"/>
  <c r="Q82"/>
  <c r="Q83"/>
  <c r="Q84"/>
  <c r="Q85"/>
  <c r="Q86"/>
  <c r="Q87"/>
  <c r="Q88"/>
  <c r="Q89"/>
  <c r="Q90"/>
  <c r="Q91"/>
  <c r="Q92"/>
  <c r="Q93"/>
  <c r="Q53"/>
  <c r="Q94"/>
  <c r="Q95"/>
  <c r="Q96"/>
  <c r="Q9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21"/>
  <c r="Q116"/>
  <c r="Q117"/>
  <c r="Q54"/>
  <c r="Q118"/>
  <c r="Q2"/>
  <c r="Q119"/>
  <c r="Q55"/>
  <c r="Q120"/>
  <c r="Q121"/>
  <c r="Q122"/>
  <c r="Q123"/>
  <c r="Q124"/>
  <c r="Q22"/>
  <c r="Q125"/>
  <c r="Q56"/>
  <c r="Q126"/>
  <c r="Q10"/>
  <c r="Q127"/>
  <c r="Q128"/>
  <c r="Q129"/>
  <c r="Q130"/>
  <c r="Q131"/>
  <c r="Q132"/>
  <c r="Q133"/>
  <c r="Q134"/>
  <c r="Q135"/>
  <c r="Q136"/>
  <c r="Q137"/>
  <c r="Q138"/>
  <c r="Q139"/>
  <c r="Q57"/>
  <c r="Q23"/>
  <c r="Q140"/>
  <c r="Q141"/>
  <c r="Q58"/>
  <c r="Q142"/>
  <c r="Q11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24"/>
  <c r="Q59"/>
  <c r="Q165"/>
  <c r="Q166"/>
  <c r="Q167"/>
  <c r="Q60"/>
  <c r="Q168"/>
  <c r="Q61"/>
  <c r="Q169"/>
  <c r="Q170"/>
  <c r="Q171"/>
  <c r="Q25"/>
  <c r="Q172"/>
  <c r="Q173"/>
  <c r="Q174"/>
  <c r="Q175"/>
  <c r="Q176"/>
  <c r="Q177"/>
  <c r="Q178"/>
  <c r="Q179"/>
  <c r="Q180"/>
  <c r="Q181"/>
  <c r="Q182"/>
  <c r="Q183"/>
  <c r="Q184"/>
  <c r="Q185"/>
  <c r="Q26"/>
  <c r="Q186"/>
  <c r="Q187"/>
  <c r="Q188"/>
  <c r="Q189"/>
  <c r="Q190"/>
  <c r="Q191"/>
  <c r="Q192"/>
  <c r="Q193"/>
  <c r="Q194"/>
  <c r="Q195"/>
  <c r="Q196"/>
  <c r="Q197"/>
  <c r="Q198"/>
  <c r="Q27"/>
  <c r="Q2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62"/>
  <c r="Q218"/>
  <c r="Q219"/>
  <c r="Q29"/>
  <c r="Q220"/>
  <c r="Q221"/>
  <c r="Q327"/>
  <c r="Q222"/>
  <c r="Q223"/>
  <c r="Q224"/>
  <c r="Q225"/>
  <c r="Q226"/>
  <c r="Q227"/>
  <c r="Q228"/>
  <c r="Q229"/>
  <c r="Q30"/>
  <c r="Q63"/>
  <c r="Q230"/>
  <c r="Q231"/>
  <c r="Q232"/>
  <c r="Q12"/>
  <c r="Q233"/>
  <c r="Q64"/>
  <c r="Q234"/>
  <c r="Q235"/>
  <c r="Q236"/>
  <c r="Q237"/>
  <c r="Q238"/>
  <c r="Q239"/>
  <c r="Q240"/>
  <c r="Q241"/>
  <c r="Q13"/>
  <c r="Q31"/>
  <c r="Q65"/>
  <c r="Q242"/>
  <c r="Q243"/>
  <c r="Q244"/>
  <c r="Q245"/>
  <c r="Q14"/>
  <c r="Q32"/>
  <c r="Q246"/>
  <c r="Q66"/>
  <c r="Q247"/>
  <c r="Q33"/>
  <c r="Q34"/>
  <c r="Q3"/>
  <c r="Q248"/>
  <c r="Q249"/>
  <c r="Q35"/>
  <c r="Q250"/>
  <c r="Q67"/>
  <c r="Q251"/>
  <c r="Q4"/>
  <c r="Q252"/>
  <c r="Q253"/>
  <c r="Q254"/>
  <c r="Q255"/>
  <c r="Q36"/>
  <c r="Q256"/>
  <c r="Q37"/>
  <c r="Q257"/>
  <c r="Q258"/>
  <c r="Q259"/>
  <c r="Q38"/>
  <c r="Q39"/>
  <c r="Q260"/>
  <c r="Q40"/>
  <c r="Q261"/>
  <c r="Q15"/>
  <c r="Q262"/>
  <c r="Q41"/>
  <c r="Q263"/>
  <c r="Q264"/>
  <c r="Q42"/>
  <c r="Q265"/>
  <c r="Q266"/>
  <c r="Q267"/>
  <c r="Q268"/>
  <c r="Q68"/>
  <c r="Q269"/>
  <c r="Q270"/>
  <c r="Q271"/>
  <c r="Q272"/>
  <c r="Q273"/>
  <c r="Q274"/>
  <c r="Q275"/>
  <c r="Q276"/>
  <c r="Q277"/>
  <c r="Q69"/>
  <c r="Q70"/>
  <c r="Q278"/>
  <c r="Q279"/>
  <c r="Q71"/>
  <c r="Q280"/>
  <c r="Q281"/>
  <c r="Q282"/>
  <c r="Q16"/>
  <c r="Q5"/>
  <c r="Q283"/>
  <c r="Q43"/>
  <c r="Q284"/>
  <c r="Q17"/>
  <c r="Q285"/>
  <c r="Q44"/>
  <c r="Q18"/>
  <c r="Q286"/>
  <c r="Q287"/>
  <c r="Q288"/>
  <c r="Q289"/>
  <c r="Q290"/>
  <c r="Q291"/>
  <c r="Q72"/>
  <c r="Q292"/>
  <c r="Q293"/>
  <c r="Q294"/>
  <c r="Q73"/>
  <c r="Q19"/>
  <c r="Q295"/>
  <c r="Q20"/>
  <c r="Q296"/>
  <c r="Q297"/>
  <c r="Q298"/>
  <c r="Q299"/>
  <c r="Q300"/>
  <c r="Q45"/>
  <c r="Q301"/>
  <c r="Q46"/>
  <c r="Q74"/>
  <c r="Q302"/>
  <c r="Q303"/>
  <c r="Q304"/>
  <c r="Q305"/>
  <c r="Q306"/>
  <c r="Q307"/>
  <c r="Q308"/>
  <c r="Q309"/>
  <c r="Q310"/>
  <c r="Q311"/>
  <c r="Q312"/>
  <c r="Q47"/>
  <c r="Q313"/>
  <c r="Q48"/>
  <c r="Q314"/>
  <c r="Q315"/>
  <c r="Q316"/>
  <c r="Q317"/>
  <c r="Q318"/>
  <c r="Q49"/>
  <c r="Q319"/>
  <c r="Q320"/>
  <c r="Q50"/>
  <c r="Q321"/>
  <c r="Q6"/>
  <c r="Q322"/>
  <c r="Q323"/>
  <c r="Q324"/>
  <c r="Q325"/>
  <c r="Q51"/>
  <c r="Q326"/>
  <c r="P7"/>
  <c r="P75"/>
  <c r="P76"/>
  <c r="P77"/>
  <c r="P78"/>
  <c r="P79"/>
  <c r="P80"/>
  <c r="P8"/>
  <c r="P81"/>
  <c r="P52"/>
  <c r="P82"/>
  <c r="P83"/>
  <c r="P84"/>
  <c r="P85"/>
  <c r="P86"/>
  <c r="P87"/>
  <c r="P88"/>
  <c r="P89"/>
  <c r="P90"/>
  <c r="P91"/>
  <c r="P92"/>
  <c r="P93"/>
  <c r="P53"/>
  <c r="P94"/>
  <c r="P95"/>
  <c r="P96"/>
  <c r="P9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21"/>
  <c r="P116"/>
  <c r="P117"/>
  <c r="P54"/>
  <c r="P118"/>
  <c r="P2"/>
  <c r="P119"/>
  <c r="P55"/>
  <c r="P120"/>
  <c r="P121"/>
  <c r="P122"/>
  <c r="P123"/>
  <c r="P124"/>
  <c r="P22"/>
  <c r="P125"/>
  <c r="P56"/>
  <c r="P126"/>
  <c r="P10"/>
  <c r="P127"/>
  <c r="P128"/>
  <c r="P129"/>
  <c r="P130"/>
  <c r="P131"/>
  <c r="P132"/>
  <c r="P133"/>
  <c r="P134"/>
  <c r="P135"/>
  <c r="P136"/>
  <c r="P137"/>
  <c r="P138"/>
  <c r="P139"/>
  <c r="P57"/>
  <c r="P23"/>
  <c r="P140"/>
  <c r="P141"/>
  <c r="P58"/>
  <c r="P142"/>
  <c r="P11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24"/>
  <c r="P59"/>
  <c r="P165"/>
  <c r="P166"/>
  <c r="P167"/>
  <c r="P60"/>
  <c r="P168"/>
  <c r="P61"/>
  <c r="P169"/>
  <c r="P170"/>
  <c r="P171"/>
  <c r="P25"/>
  <c r="P172"/>
  <c r="P173"/>
  <c r="P174"/>
  <c r="P175"/>
  <c r="P176"/>
  <c r="P177"/>
  <c r="P178"/>
  <c r="P179"/>
  <c r="P180"/>
  <c r="P181"/>
  <c r="P182"/>
  <c r="P183"/>
  <c r="P184"/>
  <c r="P185"/>
  <c r="P26"/>
  <c r="P186"/>
  <c r="P187"/>
  <c r="P188"/>
  <c r="P189"/>
  <c r="P190"/>
  <c r="P191"/>
  <c r="P192"/>
  <c r="P193"/>
  <c r="P194"/>
  <c r="P195"/>
  <c r="P196"/>
  <c r="P197"/>
  <c r="P198"/>
  <c r="P27"/>
  <c r="P2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62"/>
  <c r="P218"/>
  <c r="P219"/>
  <c r="P29"/>
  <c r="P220"/>
  <c r="P221"/>
  <c r="P327"/>
  <c r="P222"/>
  <c r="P223"/>
  <c r="P224"/>
  <c r="P225"/>
  <c r="P226"/>
  <c r="P227"/>
  <c r="P228"/>
  <c r="P229"/>
  <c r="P30"/>
  <c r="P63"/>
  <c r="P230"/>
  <c r="P231"/>
  <c r="P232"/>
  <c r="P12"/>
  <c r="P233"/>
  <c r="P64"/>
  <c r="P234"/>
  <c r="P235"/>
  <c r="P236"/>
  <c r="P237"/>
  <c r="P238"/>
  <c r="P239"/>
  <c r="P240"/>
  <c r="P241"/>
  <c r="P13"/>
  <c r="P31"/>
  <c r="P65"/>
  <c r="P242"/>
  <c r="P243"/>
  <c r="P244"/>
  <c r="P245"/>
  <c r="P14"/>
  <c r="P32"/>
  <c r="P246"/>
  <c r="P66"/>
  <c r="P247"/>
  <c r="P33"/>
  <c r="P34"/>
  <c r="P3"/>
  <c r="P248"/>
  <c r="P249"/>
  <c r="P35"/>
  <c r="P250"/>
  <c r="P67"/>
  <c r="P251"/>
  <c r="P4"/>
  <c r="P252"/>
  <c r="P253"/>
  <c r="P254"/>
  <c r="P255"/>
  <c r="P36"/>
  <c r="P256"/>
  <c r="P37"/>
  <c r="P257"/>
  <c r="P258"/>
  <c r="P259"/>
  <c r="P38"/>
  <c r="P39"/>
  <c r="P260"/>
  <c r="P40"/>
  <c r="P261"/>
  <c r="P15"/>
  <c r="P262"/>
  <c r="P41"/>
  <c r="P263"/>
  <c r="P264"/>
  <c r="P42"/>
  <c r="P265"/>
  <c r="P266"/>
  <c r="P267"/>
  <c r="P268"/>
  <c r="P68"/>
  <c r="P269"/>
  <c r="P270"/>
  <c r="P271"/>
  <c r="P272"/>
  <c r="P273"/>
  <c r="P274"/>
  <c r="P275"/>
  <c r="P276"/>
  <c r="P277"/>
  <c r="P69"/>
  <c r="P70"/>
  <c r="P278"/>
  <c r="P279"/>
  <c r="P71"/>
  <c r="P280"/>
  <c r="P281"/>
  <c r="P282"/>
  <c r="P16"/>
  <c r="P5"/>
  <c r="P283"/>
  <c r="P43"/>
  <c r="P284"/>
  <c r="P17"/>
  <c r="P285"/>
  <c r="P44"/>
  <c r="P18"/>
  <c r="P286"/>
  <c r="P287"/>
  <c r="P288"/>
  <c r="P289"/>
  <c r="P290"/>
  <c r="P291"/>
  <c r="P72"/>
  <c r="P292"/>
  <c r="P293"/>
  <c r="P294"/>
  <c r="P73"/>
  <c r="P19"/>
  <c r="P295"/>
  <c r="P20"/>
  <c r="P296"/>
  <c r="P297"/>
  <c r="P298"/>
  <c r="P299"/>
  <c r="P300"/>
  <c r="P45"/>
  <c r="P301"/>
  <c r="P46"/>
  <c r="P74"/>
  <c r="P302"/>
  <c r="P303"/>
  <c r="P304"/>
  <c r="P305"/>
  <c r="P306"/>
  <c r="P307"/>
  <c r="P308"/>
  <c r="P309"/>
  <c r="P310"/>
  <c r="P311"/>
  <c r="P312"/>
  <c r="P47"/>
  <c r="P313"/>
  <c r="P48"/>
  <c r="P314"/>
  <c r="P315"/>
  <c r="P316"/>
  <c r="P317"/>
  <c r="P318"/>
  <c r="P49"/>
  <c r="P319"/>
  <c r="P320"/>
  <c r="P50"/>
  <c r="P321"/>
  <c r="P6"/>
  <c r="P322"/>
  <c r="P323"/>
  <c r="P324"/>
  <c r="P325"/>
  <c r="P51"/>
  <c r="P326"/>
  <c r="S7"/>
  <c r="S75"/>
  <c r="S76"/>
  <c r="S77"/>
  <c r="S78"/>
  <c r="S79"/>
  <c r="S80"/>
  <c r="S8"/>
  <c r="S81"/>
  <c r="S52"/>
  <c r="S82"/>
  <c r="S83"/>
  <c r="S84"/>
  <c r="S85"/>
  <c r="S86"/>
  <c r="S87"/>
  <c r="S88"/>
  <c r="S89"/>
  <c r="S90"/>
  <c r="S91"/>
  <c r="S92"/>
  <c r="S93"/>
  <c r="S53"/>
  <c r="S94"/>
  <c r="S95"/>
  <c r="S96"/>
  <c r="S9"/>
  <c r="S97"/>
  <c r="S98"/>
  <c r="S99"/>
  <c r="S100"/>
  <c r="S101"/>
  <c r="S102"/>
  <c r="S103"/>
  <c r="S104"/>
  <c r="S105"/>
  <c r="S106"/>
  <c r="S107"/>
  <c r="S108"/>
  <c r="S109"/>
  <c r="S110"/>
  <c r="S111"/>
  <c r="S112"/>
  <c r="S113"/>
  <c r="S114"/>
  <c r="S115"/>
  <c r="S21"/>
  <c r="S116"/>
  <c r="S117"/>
  <c r="S54"/>
  <c r="S118"/>
  <c r="S2"/>
  <c r="S119"/>
  <c r="S55"/>
  <c r="S120"/>
  <c r="S121"/>
  <c r="S122"/>
  <c r="S123"/>
  <c r="S124"/>
  <c r="S22"/>
  <c r="S125"/>
  <c r="S56"/>
  <c r="S126"/>
  <c r="S10"/>
  <c r="S127"/>
  <c r="S128"/>
  <c r="S129"/>
  <c r="S130"/>
  <c r="S131"/>
  <c r="S132"/>
  <c r="S133"/>
  <c r="S134"/>
  <c r="S135"/>
  <c r="S136"/>
  <c r="S137"/>
  <c r="S138"/>
  <c r="S139"/>
  <c r="S57"/>
  <c r="S23"/>
  <c r="S140"/>
  <c r="S141"/>
  <c r="S58"/>
  <c r="S142"/>
  <c r="S11"/>
  <c r="S143"/>
  <c r="S144"/>
  <c r="S145"/>
  <c r="S146"/>
  <c r="S147"/>
  <c r="S148"/>
  <c r="S149"/>
  <c r="S150"/>
  <c r="S151"/>
  <c r="S152"/>
  <c r="S153"/>
  <c r="S154"/>
  <c r="S155"/>
  <c r="S156"/>
  <c r="S157"/>
  <c r="S158"/>
  <c r="S159"/>
  <c r="S160"/>
  <c r="S161"/>
  <c r="S162"/>
  <c r="S163"/>
  <c r="S164"/>
  <c r="S24"/>
  <c r="S59"/>
  <c r="S165"/>
  <c r="S166"/>
  <c r="S167"/>
  <c r="S60"/>
  <c r="S168"/>
  <c r="S61"/>
  <c r="S169"/>
  <c r="S170"/>
  <c r="S171"/>
  <c r="S25"/>
  <c r="S172"/>
  <c r="S173"/>
  <c r="S174"/>
  <c r="S175"/>
  <c r="S176"/>
  <c r="S177"/>
  <c r="S178"/>
  <c r="S179"/>
  <c r="S180"/>
  <c r="S181"/>
  <c r="S182"/>
  <c r="S183"/>
  <c r="S184"/>
  <c r="S185"/>
  <c r="S26"/>
  <c r="S186"/>
  <c r="S187"/>
  <c r="S188"/>
  <c r="S189"/>
  <c r="S190"/>
  <c r="S191"/>
  <c r="S192"/>
  <c r="S193"/>
  <c r="S194"/>
  <c r="S195"/>
  <c r="S196"/>
  <c r="S197"/>
  <c r="S198"/>
  <c r="S27"/>
  <c r="S28"/>
  <c r="S199"/>
  <c r="S200"/>
  <c r="S201"/>
  <c r="S202"/>
  <c r="S203"/>
  <c r="S204"/>
  <c r="S205"/>
  <c r="S206"/>
  <c r="S207"/>
  <c r="S208"/>
  <c r="S209"/>
  <c r="S210"/>
  <c r="S211"/>
  <c r="S212"/>
  <c r="S213"/>
  <c r="S214"/>
  <c r="S215"/>
  <c r="S216"/>
  <c r="S217"/>
  <c r="S62"/>
  <c r="S218"/>
  <c r="S219"/>
  <c r="S29"/>
  <c r="S220"/>
  <c r="S221"/>
  <c r="S327"/>
  <c r="S222"/>
  <c r="S223"/>
  <c r="S224"/>
  <c r="S225"/>
  <c r="S226"/>
  <c r="S227"/>
  <c r="S228"/>
  <c r="S229"/>
  <c r="S30"/>
  <c r="S63"/>
  <c r="S230"/>
  <c r="S231"/>
  <c r="S232"/>
  <c r="S12"/>
  <c r="S233"/>
  <c r="S64"/>
  <c r="S234"/>
  <c r="S235"/>
  <c r="S236"/>
  <c r="S237"/>
  <c r="S238"/>
  <c r="S239"/>
  <c r="S240"/>
  <c r="S241"/>
  <c r="S13"/>
  <c r="S31"/>
  <c r="S65"/>
  <c r="S242"/>
  <c r="S243"/>
  <c r="S244"/>
  <c r="S245"/>
  <c r="S14"/>
  <c r="S32"/>
  <c r="S246"/>
  <c r="S66"/>
  <c r="S247"/>
  <c r="S33"/>
  <c r="S34"/>
  <c r="S3"/>
  <c r="S248"/>
  <c r="S249"/>
  <c r="S35"/>
  <c r="S250"/>
  <c r="S67"/>
  <c r="S251"/>
  <c r="S4"/>
  <c r="S252"/>
  <c r="S253"/>
  <c r="S254"/>
  <c r="S255"/>
  <c r="S36"/>
  <c r="S256"/>
  <c r="S37"/>
  <c r="S257"/>
  <c r="S258"/>
  <c r="S259"/>
  <c r="S38"/>
  <c r="S39"/>
  <c r="S260"/>
  <c r="S40"/>
  <c r="S261"/>
  <c r="S15"/>
  <c r="S262"/>
  <c r="S41"/>
  <c r="S263"/>
  <c r="S264"/>
  <c r="S42"/>
  <c r="S265"/>
  <c r="S266"/>
  <c r="S267"/>
  <c r="S268"/>
  <c r="S68"/>
  <c r="S269"/>
  <c r="S270"/>
  <c r="S271"/>
  <c r="S272"/>
  <c r="S273"/>
  <c r="S274"/>
  <c r="S275"/>
  <c r="S276"/>
  <c r="S277"/>
  <c r="S69"/>
  <c r="S70"/>
  <c r="S278"/>
  <c r="S279"/>
  <c r="S71"/>
  <c r="S280"/>
  <c r="S281"/>
  <c r="S282"/>
  <c r="S16"/>
  <c r="S5"/>
  <c r="S283"/>
  <c r="S43"/>
  <c r="S284"/>
  <c r="S17"/>
  <c r="S285"/>
  <c r="S44"/>
  <c r="S18"/>
  <c r="S286"/>
  <c r="S287"/>
  <c r="S288"/>
  <c r="S289"/>
  <c r="S290"/>
  <c r="S291"/>
  <c r="S72"/>
  <c r="S292"/>
  <c r="S293"/>
  <c r="S294"/>
  <c r="S73"/>
  <c r="S19"/>
  <c r="S295"/>
  <c r="S20"/>
  <c r="S296"/>
  <c r="S297"/>
  <c r="S298"/>
  <c r="S299"/>
  <c r="S300"/>
  <c r="S45"/>
  <c r="S301"/>
  <c r="S46"/>
  <c r="S74"/>
  <c r="S302"/>
  <c r="S303"/>
  <c r="S304"/>
  <c r="S305"/>
  <c r="S306"/>
  <c r="S307"/>
  <c r="S308"/>
  <c r="S309"/>
  <c r="S310"/>
  <c r="S311"/>
  <c r="S312"/>
  <c r="S47"/>
  <c r="S313"/>
  <c r="S48"/>
  <c r="S314"/>
  <c r="S315"/>
  <c r="S316"/>
  <c r="S317"/>
  <c r="S318"/>
  <c r="S49"/>
  <c r="S319"/>
  <c r="S320"/>
  <c r="S50"/>
  <c r="S321"/>
  <c r="S6"/>
  <c r="S322"/>
  <c r="S323"/>
  <c r="S324"/>
  <c r="S325"/>
  <c r="S51"/>
  <c r="S326"/>
  <c r="N32" i="1"/>
  <c r="M3" l="1"/>
  <c r="J55" i="6" l="1"/>
  <c r="I55"/>
  <c r="H55"/>
  <c r="J46"/>
  <c r="I46"/>
  <c r="H46"/>
  <c r="L21" i="11" l="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M28" i="1" l="1"/>
  <c r="M29" l="1"/>
  <c r="O28"/>
  <c r="R35" i="2" l="1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K3" l="1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I37" i="2" l="1"/>
  <c r="J36"/>
  <c r="K36"/>
  <c r="J5" i="6"/>
  <c r="H5"/>
  <c r="P2"/>
  <c r="AN4"/>
  <c r="AM4"/>
  <c r="AL4"/>
  <c r="AN3"/>
  <c r="AM3"/>
  <c r="AL3"/>
  <c r="AN2"/>
  <c r="AM2"/>
  <c r="AL2"/>
  <c r="Q6" i="5"/>
  <c r="Q13" i="4"/>
  <c r="L13"/>
  <c r="K13"/>
  <c r="J13"/>
  <c r="T6" i="5"/>
  <c r="R6"/>
  <c r="U6"/>
  <c r="S6"/>
  <c r="W6"/>
  <c r="V6"/>
  <c r="R55" i="6" l="1"/>
  <c r="R46"/>
  <c r="R4"/>
  <c r="R3"/>
  <c r="I38" i="2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" i="4" l="1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W4" i="5"/>
  <c r="U4"/>
  <c r="R5"/>
  <c r="V5"/>
  <c r="S5"/>
  <c r="W5"/>
  <c r="T5"/>
  <c r="T4"/>
  <c r="S4"/>
  <c r="U5"/>
  <c r="V4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M32" i="1" l="1"/>
  <c r="I11" i="4"/>
  <c r="N11" s="1"/>
  <c r="P22"/>
  <c r="I22"/>
  <c r="N22" s="1"/>
  <c r="I24"/>
  <c r="N24" s="1"/>
  <c r="P24"/>
  <c r="O26"/>
  <c r="R26" s="1"/>
  <c r="K2" l="1"/>
  <c r="Q2"/>
  <c r="L2"/>
  <c r="O2" l="1"/>
  <c r="R2" s="1"/>
  <c r="T37" i="9"/>
  <c r="T39" s="1"/>
  <c r="S37"/>
  <c r="S39" s="1"/>
  <c r="R37"/>
  <c r="R39" s="1"/>
  <c r="Q37"/>
  <c r="Q39" s="1"/>
  <c r="P37"/>
  <c r="P39" s="1"/>
  <c r="O37"/>
  <c r="O39" s="1"/>
  <c r="N37"/>
  <c r="N39" s="1"/>
  <c r="M37"/>
  <c r="M39" s="1"/>
  <c r="L37"/>
  <c r="L39" s="1"/>
  <c r="K37"/>
  <c r="K39" s="1"/>
  <c r="J37"/>
  <c r="J39" s="1"/>
  <c r="I37"/>
  <c r="I39" s="1"/>
  <c r="H37"/>
  <c r="H39" s="1"/>
  <c r="G37"/>
  <c r="G39" s="1"/>
  <c r="F37"/>
  <c r="F39" s="1"/>
  <c r="I48" l="1"/>
  <c r="I41"/>
  <c r="I46"/>
  <c r="I42"/>
  <c r="I43"/>
  <c r="I47"/>
  <c r="M43"/>
  <c r="M46"/>
  <c r="M41"/>
  <c r="M47"/>
  <c r="M48"/>
  <c r="M42"/>
  <c r="L46"/>
  <c r="L42"/>
  <c r="L47"/>
  <c r="L43"/>
  <c r="L48"/>
  <c r="L41"/>
  <c r="T48"/>
  <c r="T41"/>
  <c r="T46"/>
  <c r="T42"/>
  <c r="T47"/>
  <c r="T43"/>
  <c r="J42"/>
  <c r="J46"/>
  <c r="J47"/>
  <c r="J43"/>
  <c r="J48"/>
  <c r="J41"/>
  <c r="N47"/>
  <c r="N41"/>
  <c r="N42"/>
  <c r="N48"/>
  <c r="N43"/>
  <c r="N46"/>
  <c r="R48"/>
  <c r="R41"/>
  <c r="R42"/>
  <c r="R46"/>
  <c r="R47"/>
  <c r="R43"/>
  <c r="P41"/>
  <c r="P47"/>
  <c r="P48"/>
  <c r="P42"/>
  <c r="P43"/>
  <c r="P46"/>
  <c r="Q46"/>
  <c r="Q42"/>
  <c r="Q43"/>
  <c r="Q47"/>
  <c r="Q48"/>
  <c r="Q41"/>
  <c r="K48"/>
  <c r="K41"/>
  <c r="K46"/>
  <c r="K42"/>
  <c r="K43"/>
  <c r="K47"/>
  <c r="O43"/>
  <c r="O46"/>
  <c r="O47"/>
  <c r="O41"/>
  <c r="O48"/>
  <c r="O42"/>
  <c r="S46"/>
  <c r="S42"/>
  <c r="S43"/>
  <c r="S47"/>
  <c r="S48"/>
  <c r="S41"/>
  <c r="H48"/>
  <c r="H46"/>
  <c r="H43"/>
  <c r="H41"/>
  <c r="H47"/>
  <c r="H42"/>
  <c r="G47"/>
  <c r="G41"/>
  <c r="G43"/>
  <c r="G48"/>
  <c r="G46"/>
  <c r="G42"/>
  <c r="F46"/>
  <c r="F42"/>
  <c r="F48"/>
  <c r="F41"/>
  <c r="F47"/>
  <c r="F43"/>
  <c r="Q15" i="4"/>
  <c r="L15"/>
  <c r="K15"/>
  <c r="J15"/>
  <c r="U47" i="9" l="1"/>
  <c r="U48"/>
  <c r="U46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Q35" i="2" l="1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B35" i="2" l="1"/>
  <c r="K23" i="4"/>
  <c r="O35" i="1" l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N5" i="4" l="1"/>
  <c r="P35" i="2"/>
  <c r="C35" s="1"/>
  <c r="P37"/>
  <c r="M21" i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AF2"/>
  <c r="J6"/>
  <c r="J7" s="1"/>
  <c r="J8" s="1"/>
  <c r="J9" s="1"/>
  <c r="Q5"/>
  <c r="Q7" s="1"/>
  <c r="V3" i="1"/>
  <c r="W3" s="1"/>
  <c r="V2"/>
  <c r="F4" i="6" l="1"/>
  <c r="F55"/>
  <c r="F46"/>
  <c r="F5"/>
  <c r="G4"/>
  <c r="G46"/>
  <c r="G55"/>
  <c r="G3"/>
  <c r="F3"/>
  <c r="N3" s="1"/>
  <c r="O6" i="1"/>
  <c r="N31" s="1"/>
  <c r="M31" s="1"/>
  <c r="O7"/>
  <c r="M6"/>
  <c r="M7"/>
  <c r="J10" i="6"/>
  <c r="N4"/>
  <c r="R5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19" s="1"/>
  <c r="Q20" s="1"/>
  <c r="Q21" s="1"/>
  <c r="Q22" s="1"/>
  <c r="Q23" s="1"/>
  <c r="Q24" s="1"/>
  <c r="Q25" s="1"/>
  <c r="Q26" s="1"/>
  <c r="Q27" s="1"/>
  <c r="Q28" s="1"/>
  <c r="Q6"/>
  <c r="I5"/>
  <c r="G5" s="1"/>
  <c r="H6"/>
  <c r="N5"/>
  <c r="Z3" i="1"/>
  <c r="Y3"/>
  <c r="R27" i="2"/>
  <c r="R26"/>
  <c r="R25"/>
  <c r="R24"/>
  <c r="R23"/>
  <c r="R22"/>
  <c r="R21"/>
  <c r="R20"/>
  <c r="R19"/>
  <c r="R18"/>
  <c r="R17"/>
  <c r="R16"/>
  <c r="R15"/>
  <c r="N55" i="6" l="1"/>
  <c r="O55"/>
  <c r="P55" s="1"/>
  <c r="S55" s="1"/>
  <c r="U55" s="1"/>
  <c r="O46"/>
  <c r="P46" s="1"/>
  <c r="S46" s="1"/>
  <c r="U46" s="1"/>
  <c r="N46"/>
  <c r="H7"/>
  <c r="F7" s="1"/>
  <c r="F6"/>
  <c r="N6" s="1"/>
  <c r="O31" i="1"/>
  <c r="O37" s="1"/>
  <c r="O3" i="6"/>
  <c r="P3" s="1"/>
  <c r="S3" s="1"/>
  <c r="U3" s="1"/>
  <c r="O8" i="1"/>
  <c r="N33" s="1"/>
  <c r="M33" s="1"/>
  <c r="O33" s="1"/>
  <c r="M9"/>
  <c r="M8"/>
  <c r="O9" s="1"/>
  <c r="N34" s="1"/>
  <c r="M34" s="1"/>
  <c r="R9" i="6"/>
  <c r="J11"/>
  <c r="R10"/>
  <c r="H8"/>
  <c r="N7"/>
  <c r="R6"/>
  <c r="R7"/>
  <c r="Q24" i="2"/>
  <c r="P6" i="1"/>
  <c r="Q19" i="2"/>
  <c r="Q31"/>
  <c r="Q32"/>
  <c r="I6" i="6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H9" i="6" l="1"/>
  <c r="F9" s="1"/>
  <c r="F8"/>
  <c r="I7"/>
  <c r="G7" s="1"/>
  <c r="G6"/>
  <c r="H10"/>
  <c r="F10" s="1"/>
  <c r="J12"/>
  <c r="R11"/>
  <c r="N8"/>
  <c r="R8"/>
  <c r="M11" i="1"/>
  <c r="P8"/>
  <c r="O7" i="6"/>
  <c r="O6"/>
  <c r="O24" i="2"/>
  <c r="O22"/>
  <c r="O23"/>
  <c r="P23"/>
  <c r="P24"/>
  <c r="P22"/>
  <c r="I8" i="6" l="1"/>
  <c r="H11"/>
  <c r="F11" s="1"/>
  <c r="J13"/>
  <c r="R12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I9" i="6" l="1"/>
  <c r="G8"/>
  <c r="P8" s="1"/>
  <c r="S8" s="1"/>
  <c r="U8" s="1"/>
  <c r="H12"/>
  <c r="F12" s="1"/>
  <c r="J14"/>
  <c r="R13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G9" i="6" l="1"/>
  <c r="I10"/>
  <c r="H13"/>
  <c r="F13" s="1"/>
  <c r="J15"/>
  <c r="R14"/>
  <c r="N9"/>
  <c r="Q34" i="2"/>
  <c r="Q33"/>
  <c r="B24"/>
  <c r="C24"/>
  <c r="B23"/>
  <c r="C23"/>
  <c r="O14"/>
  <c r="A3"/>
  <c r="B3" s="1"/>
  <c r="G10" i="6" l="1"/>
  <c r="I11"/>
  <c r="B37" i="2"/>
  <c r="C37"/>
  <c r="H14" i="6"/>
  <c r="F14" s="1"/>
  <c r="J16"/>
  <c r="R15"/>
  <c r="P38" i="2"/>
  <c r="P36"/>
  <c r="C33"/>
  <c r="B30"/>
  <c r="P30"/>
  <c r="P29"/>
  <c r="P28"/>
  <c r="N11" i="6"/>
  <c r="N12"/>
  <c r="O9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G11" i="6" l="1"/>
  <c r="I12"/>
  <c r="H15"/>
  <c r="F15" s="1"/>
  <c r="N14"/>
  <c r="J17"/>
  <c r="R16"/>
  <c r="P9"/>
  <c r="O10"/>
  <c r="P10" s="1"/>
  <c r="N10"/>
  <c r="C3" i="2"/>
  <c r="D3" s="1"/>
  <c r="C30"/>
  <c r="B33"/>
  <c r="B31"/>
  <c r="C31"/>
  <c r="B28"/>
  <c r="C28"/>
  <c r="C29"/>
  <c r="B29"/>
  <c r="B32"/>
  <c r="C32"/>
  <c r="O12" i="6"/>
  <c r="O11"/>
  <c r="N13"/>
  <c r="B26" i="2"/>
  <c r="C26"/>
  <c r="B27"/>
  <c r="C27"/>
  <c r="E42"/>
  <c r="F42" s="1"/>
  <c r="G12" i="6" l="1"/>
  <c r="I13"/>
  <c r="R17"/>
  <c r="J18"/>
  <c r="H16"/>
  <c r="F16" s="1"/>
  <c r="N15"/>
  <c r="S10"/>
  <c r="U10" s="1"/>
  <c r="S9"/>
  <c r="U9" s="1"/>
  <c r="C34" i="2"/>
  <c r="B34"/>
  <c r="O14" i="6"/>
  <c r="O13"/>
  <c r="P11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G13" i="6" l="1"/>
  <c r="I14"/>
  <c r="R18"/>
  <c r="J19"/>
  <c r="H17"/>
  <c r="F17" s="1"/>
  <c r="N16"/>
  <c r="O15"/>
  <c r="S11"/>
  <c r="U11" s="1"/>
  <c r="G14" l="1"/>
  <c r="I15"/>
  <c r="J20"/>
  <c r="R19"/>
  <c r="N17"/>
  <c r="H18"/>
  <c r="O16"/>
  <c r="B36" i="2"/>
  <c r="C36"/>
  <c r="B38"/>
  <c r="C38"/>
  <c r="F18" i="6" l="1"/>
  <c r="H19"/>
  <c r="G15"/>
  <c r="I16"/>
  <c r="J21"/>
  <c r="R20"/>
  <c r="O17"/>
  <c r="N18"/>
  <c r="O18"/>
  <c r="P12"/>
  <c r="H20" l="1"/>
  <c r="F19"/>
  <c r="G16"/>
  <c r="I17"/>
  <c r="J22"/>
  <c r="R21"/>
  <c r="S12"/>
  <c r="U12" s="1"/>
  <c r="P13"/>
  <c r="G17" l="1"/>
  <c r="I18"/>
  <c r="O19"/>
  <c r="N19"/>
  <c r="H21"/>
  <c r="F20"/>
  <c r="J23"/>
  <c r="R22"/>
  <c r="S13"/>
  <c r="U13" s="1"/>
  <c r="P14"/>
  <c r="O20" l="1"/>
  <c r="N20"/>
  <c r="H22"/>
  <c r="F21"/>
  <c r="G18"/>
  <c r="P18" s="1"/>
  <c r="S18" s="1"/>
  <c r="U18" s="1"/>
  <c r="I19"/>
  <c r="J24"/>
  <c r="R23"/>
  <c r="S14"/>
  <c r="U14" s="1"/>
  <c r="P15"/>
  <c r="H23" l="1"/>
  <c r="F22"/>
  <c r="G19"/>
  <c r="P19" s="1"/>
  <c r="S19" s="1"/>
  <c r="U19" s="1"/>
  <c r="I20"/>
  <c r="O21"/>
  <c r="N21"/>
  <c r="J25"/>
  <c r="R24"/>
  <c r="S15"/>
  <c r="U15" s="1"/>
  <c r="P16"/>
  <c r="H24" l="1"/>
  <c r="F23"/>
  <c r="O22"/>
  <c r="N22"/>
  <c r="I21"/>
  <c r="G20"/>
  <c r="P20" s="1"/>
  <c r="S20" s="1"/>
  <c r="U20" s="1"/>
  <c r="J26"/>
  <c r="R25"/>
  <c r="S16"/>
  <c r="U16" s="1"/>
  <c r="P17"/>
  <c r="H25" l="1"/>
  <c r="F24"/>
  <c r="I22"/>
  <c r="G21"/>
  <c r="P21" s="1"/>
  <c r="S21" s="1"/>
  <c r="U21" s="1"/>
  <c r="O23"/>
  <c r="N23"/>
  <c r="J27"/>
  <c r="R26"/>
  <c r="S17"/>
  <c r="U17" s="1"/>
  <c r="J20" i="11"/>
  <c r="J19"/>
  <c r="J21"/>
  <c r="K20"/>
  <c r="K21"/>
  <c r="K19"/>
  <c r="H26" i="6" l="1"/>
  <c r="F25"/>
  <c r="I23"/>
  <c r="G22"/>
  <c r="P22" s="1"/>
  <c r="S22" s="1"/>
  <c r="U22" s="1"/>
  <c r="O24"/>
  <c r="N24"/>
  <c r="J28"/>
  <c r="R28" s="1"/>
  <c r="R27"/>
  <c r="H27" l="1"/>
  <c r="F26"/>
  <c r="I24"/>
  <c r="G23"/>
  <c r="P23" s="1"/>
  <c r="S23" s="1"/>
  <c r="U23" s="1"/>
  <c r="O25"/>
  <c r="N25"/>
  <c r="H28" l="1"/>
  <c r="F28" s="1"/>
  <c r="F27"/>
  <c r="I25"/>
  <c r="G24"/>
  <c r="P24" s="1"/>
  <c r="S24" s="1"/>
  <c r="U24" s="1"/>
  <c r="N26"/>
  <c r="O26"/>
  <c r="O27" l="1"/>
  <c r="N27"/>
  <c r="I26"/>
  <c r="G25"/>
  <c r="P25" s="1"/>
  <c r="S25" s="1"/>
  <c r="U25" s="1"/>
  <c r="O28"/>
  <c r="N28"/>
  <c r="I27" l="1"/>
  <c r="G26"/>
  <c r="P26" s="1"/>
  <c r="S26" s="1"/>
  <c r="U26" s="1"/>
  <c r="I28" l="1"/>
  <c r="G28" s="1"/>
  <c r="P28" s="1"/>
  <c r="S28" s="1"/>
  <c r="U28" s="1"/>
  <c r="G27"/>
  <c r="P27" s="1"/>
  <c r="S27" s="1"/>
  <c r="U27" s="1"/>
</calcChain>
</file>

<file path=xl/sharedStrings.xml><?xml version="1.0" encoding="utf-8"?>
<sst xmlns="http://schemas.openxmlformats.org/spreadsheetml/2006/main" count="5994" uniqueCount="806">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</sst>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" fillId="0" borderId="0"/>
  </cellStyleXfs>
  <cellXfs count="230">
    <xf numFmtId="0" fontId="0" fillId="0" borderId="0" xfId="0"/>
    <xf numFmtId="4" fontId="0" fillId="0" borderId="0" xfId="0" applyNumberFormat="1"/>
    <xf numFmtId="0" fontId="0" fillId="2" borderId="0" xfId="0" applyFill="1"/>
    <xf numFmtId="0" fontId="2" fillId="3" borderId="1" xfId="0" applyFont="1" applyFill="1" applyBorder="1"/>
    <xf numFmtId="0" fontId="2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3" fillId="0" borderId="10" xfId="0" applyNumberFormat="1" applyFont="1" applyFill="1" applyBorder="1" applyAlignment="1">
      <alignment horizontal="left" wrapText="1"/>
    </xf>
    <xf numFmtId="0" fontId="3" fillId="0" borderId="10" xfId="0" applyFont="1" applyFill="1" applyBorder="1" applyAlignment="1">
      <alignment horizontal="left" wrapText="1"/>
    </xf>
    <xf numFmtId="3" fontId="3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4" fillId="0" borderId="5" xfId="0" applyNumberFormat="1" applyFont="1" applyBorder="1"/>
    <xf numFmtId="0" fontId="4" fillId="0" borderId="4" xfId="0" applyFont="1" applyBorder="1"/>
    <xf numFmtId="0" fontId="4" fillId="0" borderId="3" xfId="0" applyFont="1" applyBorder="1"/>
    <xf numFmtId="165" fontId="4" fillId="0" borderId="14" xfId="0" applyNumberFormat="1" applyFont="1" applyBorder="1"/>
    <xf numFmtId="0" fontId="5" fillId="4" borderId="0" xfId="0" applyFont="1" applyFill="1" applyBorder="1" applyAlignment="1">
      <alignment horizontal="left" vertical="center" wrapText="1"/>
    </xf>
    <xf numFmtId="0" fontId="4" fillId="0" borderId="0" xfId="0" applyFont="1"/>
    <xf numFmtId="4" fontId="3" fillId="0" borderId="10" xfId="0" applyNumberFormat="1" applyFont="1" applyFill="1" applyBorder="1" applyAlignment="1">
      <alignment horizontal="left" wrapText="1"/>
    </xf>
    <xf numFmtId="4" fontId="4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6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4" fillId="0" borderId="5" xfId="0" applyFont="1" applyBorder="1"/>
    <xf numFmtId="0" fontId="6" fillId="0" borderId="0" xfId="0" applyFont="1" applyBorder="1"/>
    <xf numFmtId="0" fontId="6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0" xfId="0" applyFont="1" applyFill="1" applyBorder="1"/>
    <xf numFmtId="0" fontId="4" fillId="2" borderId="6" xfId="0" applyFont="1" applyFill="1" applyBorder="1"/>
    <xf numFmtId="0" fontId="4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4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4" fillId="0" borderId="16" xfId="0" applyFont="1" applyFill="1" applyBorder="1"/>
    <xf numFmtId="0" fontId="0" fillId="0" borderId="0" xfId="0" applyAlignment="1">
      <alignment wrapText="1"/>
    </xf>
    <xf numFmtId="0" fontId="4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4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4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4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4" fillId="9" borderId="8" xfId="0" applyFont="1" applyFill="1" applyBorder="1"/>
    <xf numFmtId="0" fontId="0" fillId="9" borderId="5" xfId="0" applyFill="1" applyBorder="1"/>
    <xf numFmtId="0" fontId="4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4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4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3" fillId="4" borderId="0" xfId="0" applyFont="1" applyFill="1" applyBorder="1" applyAlignment="1">
      <alignment horizontal="left" vertical="center" wrapText="1"/>
    </xf>
    <xf numFmtId="0" fontId="3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5" fillId="0" borderId="2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3" fillId="0" borderId="10" xfId="0" applyFont="1" applyFill="1" applyBorder="1" applyAlignment="1">
      <alignment horizontal="left" vertical="center" wrapText="1"/>
    </xf>
    <xf numFmtId="0" fontId="5" fillId="0" borderId="15" xfId="0" applyFont="1" applyFill="1" applyBorder="1" applyAlignment="1">
      <alignment horizontal="left" vertical="center" wrapText="1"/>
    </xf>
    <xf numFmtId="0" fontId="4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8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8" fillId="0" borderId="20" xfId="0" applyFont="1" applyFill="1" applyBorder="1" applyAlignment="1">
      <alignment horizontal="left" wrapText="1"/>
    </xf>
    <xf numFmtId="0" fontId="8" fillId="0" borderId="10" xfId="0" applyFont="1" applyFill="1" applyBorder="1" applyAlignment="1">
      <alignment horizontal="left" wrapText="1"/>
    </xf>
    <xf numFmtId="9" fontId="8" fillId="0" borderId="10" xfId="0" applyNumberFormat="1" applyFont="1" applyFill="1" applyBorder="1" applyAlignment="1">
      <alignment horizontal="left" wrapText="1"/>
    </xf>
    <xf numFmtId="3" fontId="8" fillId="0" borderId="10" xfId="0" applyNumberFormat="1" applyFont="1" applyFill="1" applyBorder="1" applyAlignment="1">
      <alignment horizontal="left" wrapText="1"/>
    </xf>
    <xf numFmtId="4" fontId="8" fillId="0" borderId="10" xfId="0" applyNumberFormat="1" applyFont="1" applyFill="1" applyBorder="1" applyAlignment="1">
      <alignment horizontal="left" wrapText="1"/>
    </xf>
    <xf numFmtId="0" fontId="8" fillId="0" borderId="21" xfId="0" applyFont="1" applyFill="1" applyBorder="1" applyAlignment="1">
      <alignment horizontal="left" wrapText="1"/>
    </xf>
    <xf numFmtId="0" fontId="8" fillId="0" borderId="22" xfId="0" applyFont="1" applyFill="1" applyBorder="1" applyAlignment="1">
      <alignment horizontal="left" wrapText="1"/>
    </xf>
    <xf numFmtId="9" fontId="8" fillId="0" borderId="22" xfId="0" applyNumberFormat="1" applyFont="1" applyFill="1" applyBorder="1" applyAlignment="1">
      <alignment horizontal="left" wrapText="1"/>
    </xf>
    <xf numFmtId="3" fontId="8" fillId="0" borderId="22" xfId="0" applyNumberFormat="1" applyFont="1" applyFill="1" applyBorder="1" applyAlignment="1">
      <alignment horizontal="left" wrapText="1"/>
    </xf>
    <xf numFmtId="4" fontId="8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1" fillId="0" borderId="0" xfId="2"/>
    <xf numFmtId="0" fontId="1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" fillId="14" borderId="0" xfId="2" applyFill="1" applyAlignment="1">
      <alignment vertical="center" wrapText="1"/>
    </xf>
    <xf numFmtId="0" fontId="12" fillId="0" borderId="0" xfId="2" applyFont="1" applyAlignment="1">
      <alignment vertical="center" wrapText="1"/>
    </xf>
    <xf numFmtId="0" fontId="9" fillId="0" borderId="0" xfId="2" applyFont="1" applyAlignment="1">
      <alignment vertical="center" wrapText="1"/>
    </xf>
    <xf numFmtId="0" fontId="9" fillId="14" borderId="0" xfId="2" applyFont="1" applyFill="1" applyAlignment="1">
      <alignment vertical="center" wrapText="1"/>
    </xf>
    <xf numFmtId="0" fontId="1" fillId="5" borderId="0" xfId="2" applyFill="1" applyAlignment="1">
      <alignment vertical="center" wrapText="1"/>
    </xf>
    <xf numFmtId="0" fontId="11" fillId="4" borderId="0" xfId="2" applyFont="1" applyFill="1" applyAlignment="1">
      <alignment vertical="center" wrapText="1"/>
    </xf>
    <xf numFmtId="0" fontId="12" fillId="14" borderId="0" xfId="2" applyFont="1" applyFill="1" applyAlignment="1">
      <alignment vertical="center" wrapText="1"/>
    </xf>
    <xf numFmtId="0" fontId="0" fillId="15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2" applyNumberFormat="1" applyAlignment="1">
      <alignment vertical="center" wrapText="1"/>
    </xf>
    <xf numFmtId="0" fontId="1" fillId="14" borderId="0" xfId="2" applyNumberFormat="1" applyFill="1" applyAlignment="1">
      <alignment vertical="center" wrapText="1"/>
    </xf>
    <xf numFmtId="0" fontId="1" fillId="5" borderId="0" xfId="2" applyNumberFormat="1" applyFill="1" applyAlignment="1">
      <alignment vertical="center" wrapText="1"/>
    </xf>
    <xf numFmtId="0" fontId="1" fillId="0" borderId="0" xfId="2" applyFill="1" applyAlignment="1">
      <alignment vertical="center" wrapText="1"/>
    </xf>
    <xf numFmtId="0" fontId="9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0" fillId="0" borderId="0" xfId="2" applyNumberFormat="1" applyFont="1" applyAlignment="1">
      <alignment vertical="center" wrapText="1"/>
    </xf>
  </cellXfs>
  <cellStyles count="3">
    <cellStyle name="Normalny" xfId="0" builtinId="0"/>
    <cellStyle name="Normalny 2" xfId="2"/>
    <cellStyle name="Procentowy" xfId="1" builtinId="5"/>
  </cellStyles>
  <dxfs count="106">
    <dxf>
      <numFmt numFmtId="0" formatCode="General"/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0" justifyLastLine="0" shrinkToFit="0" mergeCell="0" readingOrder="0"/>
    </dxf>
    <dxf>
      <alignment horizontal="general" vertical="center" textRotation="0" wrapText="1" indent="0" relativeIndent="0" justifyLastLine="0" shrinkToFit="0" mergeCell="0" readingOrder="0"/>
    </dxf>
    <dxf>
      <alignment horizontal="general" vertical="center" textRotation="0" wrapText="1" indent="0" relativeIndent="0" justifyLastLine="0" shrinkToFit="0" mergeCell="0" readingOrder="0"/>
    </dxf>
    <dxf>
      <numFmt numFmtId="0" formatCode="General"/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9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3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8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7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6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105">
      <calculatedColumnFormula>MAXA(-(4*M1-Tabela6[[#This Row],[Done]]),0)</calculatedColumnFormula>
    </tableColumn>
    <tableColumn id="4" name="XP to gain" dataDxfId="104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03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0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01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00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99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8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97">
      <calculatedColumnFormula>4*LocFeatures[[#This Row],[XP Gain per member]]</calculatedColumnFormula>
    </tableColumn>
    <tableColumn id="11" name="XP Train Gain"/>
    <tableColumn id="22" name="XP drop" dataDxfId="96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95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94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93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90" tableBorderDxfId="89">
  <autoFilter ref="Q3:W6"/>
  <tableColumns count="7">
    <tableColumn id="1" name="Kolumna1">
      <calculatedColumnFormula>G5</calculatedColumnFormula>
    </tableColumn>
    <tableColumn id="2" name="4" dataDxfId="88"/>
    <tableColumn id="3" name="5" dataDxfId="87"/>
    <tableColumn id="4" name="7" dataDxfId="86"/>
    <tableColumn id="5" name="8" dataDxfId="85"/>
    <tableColumn id="6" name="9" dataDxfId="84"/>
    <tableColumn id="7" name="10" dataDxfId="83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82">
  <autoFilter ref="X1:AB5"/>
  <tableColumns count="5">
    <tableColumn id="1" name="Set Name" dataDxfId="81"/>
    <tableColumn id="2" name="Attack" dataDxfId="80"/>
    <tableColumn id="3" name="Crit.Dmg" dataDxfId="79"/>
    <tableColumn id="4" name="Crit.Cha" dataDxfId="78"/>
    <tableColumn id="5" name="Speed" dataDxfId="7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76" dataDxfId="75" tableBorderDxfId="74">
  <autoFilter ref="A1:U74"/>
  <tableColumns count="21">
    <tableColumn id="1" name="Set" dataDxfId="73"/>
    <tableColumn id="2" name="Runes" dataDxfId="72"/>
    <tableColumn id="3" name="Fatal Nbr" dataDxfId="71"/>
    <tableColumn id="4" name="Rage Nbr" dataDxfId="70"/>
    <tableColumn id="5" name="Blade Nbr" dataDxfId="69"/>
    <tableColumn id="6" name="Atk Mult" dataDxfId="68"/>
    <tableColumn id="7" name="CritD" dataDxfId="67"/>
    <tableColumn id="8" name="Atk % from subs" dataDxfId="66"/>
    <tableColumn id="9" name="Crit D % from subs" dataDxfId="65"/>
    <tableColumn id="10" name="% of Crit C from subs" dataDxfId="64"/>
    <tableColumn id="11" name="Nbr of Atk rune" dataDxfId="63"/>
    <tableColumn id="12" name="Nbr of Crit D rune" dataDxfId="62"/>
    <tableColumn id="13" name="Nbr of Crit C rune" dataDxfId="61"/>
    <tableColumn id="14" name="Atk" dataDxfId="60"/>
    <tableColumn id="15" name="Dmg" dataDxfId="59"/>
    <tableColumn id="16" name="DmgC" dataDxfId="58"/>
    <tableColumn id="17" name="Crit Chance Basic" dataDxfId="57"/>
    <tableColumn id="18" name="Final Crit Chance" dataDxfId="56"/>
    <tableColumn id="19" name="AvgDmg" dataDxfId="55"/>
    <tableColumn id="20" name="AvgDmg Basic" dataDxfId="54"/>
    <tableColumn id="21" name="% change to basic" dataDxfId="53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52">
  <autoFilter ref="W20:AF43"/>
  <tableColumns count="10">
    <tableColumn id="1" name="Crit C" dataDxfId="51"/>
    <tableColumn id="2" name="Crit D" dataDxfId="50"/>
    <tableColumn id="3" name="Atk " dataDxfId="49"/>
    <tableColumn id="4" name="Set1" dataDxfId="48"/>
    <tableColumn id="5" name="Set2" dataDxfId="47"/>
    <tableColumn id="6" name="Rune1" dataDxfId="46"/>
    <tableColumn id="7" name="NBR R1"/>
    <tableColumn id="8" name="Rune2" dataDxfId="45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23">
      <calculatedColumnFormula>FLOOR((J$17+J$18*(Tabela1318[[#This Row],[Type]]-1))*1.2,1)</calculatedColumnFormula>
    </tableColumn>
    <tableColumn id="9" name="Att" dataDxfId="22">
      <calculatedColumnFormula>FLOOR((K$17+K$18*(Tabela1318[[#This Row],[Type]]-1))*1.2,1)</calculatedColumnFormula>
    </tableColumn>
    <tableColumn id="10" name="Def" dataDxfId="21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4"/>
    <tableColumn id="5" name="HP"/>
    <tableColumn id="6" name="Acc%"/>
    <tableColumn id="7" name="SPD"/>
    <tableColumn id="8" name="Crit Rate%" dataDxfId="43"/>
    <tableColumn id="9" name="Crit DMG%" dataDxfId="42"/>
    <tableColumn id="10" name="Att%" dataDxfId="41"/>
    <tableColumn id="16" name="Att"/>
    <tableColumn id="11" name="Def%" dataDxfId="40"/>
    <tableColumn id="14" name="Def"/>
    <tableColumn id="12" name="Res%" dataDxfId="39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1">
  <autoFilter ref="A6:R38"/>
  <tableColumns count="18">
    <tableColumn id="1" name="Scenario"/>
    <tableColumn id="2" name="XP" dataDxfId="30">
      <calculatedColumnFormula>(2*$J7+$K7)/($R7-$Q7)*O7</calculatedColumnFormula>
    </tableColumn>
    <tableColumn id="3" name="Gold" dataDxfId="29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8"/>
    <tableColumn id="11" name="Ene normal" dataDxfId="27"/>
    <tableColumn id="12" name="Location" dataDxfId="26"/>
    <tableColumn id="13" name="LVL" dataDxfId="25"/>
    <tableColumn id="14" name="Stage" dataDxfId="24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>
    <filterColumn colId="1"/>
    <filterColumn colId="6"/>
    <filterColumn colId="14"/>
    <filterColumn colId="15"/>
    <filterColumn colId="16"/>
    <filterColumn colId="17"/>
    <filterColumn colId="18"/>
  </autoFilter>
  <sortState ref="A2:S327">
    <sortCondition descending="1" ref="H2:H327"/>
  </sortState>
  <tableColumns count="19">
    <tableColumn id="1" name="LP" dataDxfId="18" dataCellStyle="Normalny 2"/>
    <tableColumn id="16" name="Awakened2" dataDxfId="3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4" dataCellStyle="Normalny 2"/>
    <tableColumn id="17" name="Suma PVE" dataDxfId="2" dataCellStyle="Normalny 2">
      <calculatedColumnFormula>SUM(Tabela2[[#This Row],[G]]+Tabela2[[#This Row],[D]]+Tabela2[[#This Row],[N]]+Tabela2[[#This Row],[HM]])</calculatedColumnFormula>
    </tableColumn>
    <tableColumn id="18" name="Suma PVP" dataDxfId="1" dataCellStyle="Normalny 2">
      <calculatedColumnFormula>SUM(Tabela2[[#This Row],[AO]]+Tabela2[[#This Row],[AD]]+Tabela2[[#This Row],[GWO]]+Tabela2[[#This Row],[GWD]])</calculatedColumnFormula>
    </tableColumn>
    <tableColumn id="19" name="Suma GW" dataDxfId="0" dataCellStyle="Normalny 2">
      <calculatedColumnFormula>Tabela2[[#This Row],[GWO]]+Tabela2[[#This Row],[GWD]]</calculatedColumnFormula>
    </tableColumn>
    <tableColumn id="14" name="Suma ALL" dataDxfId="5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workbookViewId="0">
      <selection activeCell="N22" sqref="N2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144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119</v>
      </c>
      <c r="N2" t="s">
        <v>120</v>
      </c>
      <c r="O2" t="s">
        <v>343</v>
      </c>
      <c r="P2" t="s">
        <v>123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121</v>
      </c>
      <c r="M3">
        <f>5-Tabela6[[#This Row],[Done]]</f>
        <v>5</v>
      </c>
      <c r="N3">
        <v>0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7</v>
      </c>
      <c r="O4" s="43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8</v>
      </c>
      <c r="N5">
        <v>12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20</v>
      </c>
      <c r="O6" s="43">
        <f>MAXA(-(M5+M4-O5-Tabela6[[#This Row],[Done]]),0)</f>
        <v>12</v>
      </c>
      <c r="P6" s="1">
        <f>M6*$B$4</f>
        <v>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24</v>
      </c>
      <c r="N7">
        <v>0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122</v>
      </c>
      <c r="M8">
        <f>MAXA(M7+M6-O7-Tabela6[[#This Row],[Done]],0)</f>
        <v>23</v>
      </c>
      <c r="N8">
        <v>1</v>
      </c>
      <c r="O8" s="43">
        <f>MAXA(-(M7+M6-O7-Tabela6[[#This Row],[Done]]),0)</f>
        <v>0</v>
      </c>
      <c r="P8" s="1">
        <f>M8*$B$3</f>
        <v>823906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125</v>
      </c>
      <c r="M9" s="6">
        <f>MAXA(2*(M7+M6-O7)-Tabela6[[#This Row],[Done]],0)</f>
        <v>42</v>
      </c>
      <c r="N9">
        <v>6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164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165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124</v>
      </c>
      <c r="O12" s="38">
        <f>SUM(Tabela6[XP to gain])</f>
        <v>823906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119</v>
      </c>
      <c r="N14" t="s">
        <v>120</v>
      </c>
      <c r="O14" t="s">
        <v>123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121</v>
      </c>
      <c r="M15">
        <v>1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122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125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164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165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124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236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119</v>
      </c>
      <c r="N27" t="s">
        <v>120</v>
      </c>
      <c r="O27" t="s">
        <v>123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344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8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12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24</v>
      </c>
      <c r="N32">
        <f>O7</f>
        <v>0</v>
      </c>
      <c r="O32" s="1"/>
    </row>
    <row r="33" spans="4:15">
      <c r="D33">
        <v>32</v>
      </c>
      <c r="I33">
        <v>43048</v>
      </c>
      <c r="J33">
        <v>51990</v>
      </c>
      <c r="L33" t="s">
        <v>122</v>
      </c>
      <c r="M33">
        <f>MAXA(3+M32-Tabela610[[#This Row],[Done]],0)</f>
        <v>27</v>
      </c>
      <c r="N33">
        <f>O8</f>
        <v>0</v>
      </c>
      <c r="O33" s="1">
        <f>M33*$B$3</f>
        <v>967194</v>
      </c>
    </row>
    <row r="34" spans="4:15">
      <c r="D34">
        <v>33</v>
      </c>
      <c r="I34">
        <v>49617</v>
      </c>
      <c r="J34">
        <v>59924</v>
      </c>
      <c r="L34" s="6" t="s">
        <v>125</v>
      </c>
      <c r="M34" s="6">
        <f>MAXA(2*(M31+M32-10)-Tabela610[[#This Row],[Done]],0)</f>
        <v>28</v>
      </c>
      <c r="N34">
        <f>O9</f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164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165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124</v>
      </c>
      <c r="O37" s="38">
        <f>SUM(Tabela610[XP to gain])</f>
        <v>2239988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0" activePane="bottomLeft" state="frozen"/>
      <selection pane="bottomLeft" activeCell="J1060" sqref="J1060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205</v>
      </c>
      <c r="I1" t="s">
        <v>178</v>
      </c>
      <c r="J1" t="s">
        <v>177</v>
      </c>
      <c r="K1" t="s">
        <v>184</v>
      </c>
      <c r="L1" t="s">
        <v>182</v>
      </c>
      <c r="M1" t="s">
        <v>276</v>
      </c>
      <c r="O1" t="s">
        <v>11</v>
      </c>
      <c r="P1" t="s">
        <v>205</v>
      </c>
      <c r="Q1" t="s">
        <v>177</v>
      </c>
      <c r="R1" t="s">
        <v>184</v>
      </c>
      <c r="S1" t="s">
        <v>182</v>
      </c>
      <c r="T1" t="s">
        <v>304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303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208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267</v>
      </c>
      <c r="G120">
        <v>2</v>
      </c>
      <c r="H120" t="s">
        <v>285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267</v>
      </c>
      <c r="G170">
        <v>2</v>
      </c>
      <c r="H170" t="s">
        <v>285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267</v>
      </c>
      <c r="G174">
        <v>1</v>
      </c>
      <c r="H174" t="s">
        <v>307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264</v>
      </c>
      <c r="G176">
        <v>2</v>
      </c>
      <c r="H176" t="s">
        <v>285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267</v>
      </c>
      <c r="G284">
        <v>4</v>
      </c>
      <c r="H284" t="s">
        <v>285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142</v>
      </c>
      <c r="B285" t="s">
        <v>9</v>
      </c>
      <c r="C285">
        <v>5</v>
      </c>
      <c r="D285">
        <v>1500</v>
      </c>
      <c r="E285">
        <v>0</v>
      </c>
      <c r="F285" t="s">
        <v>287</v>
      </c>
      <c r="G285">
        <v>3</v>
      </c>
      <c r="H285" t="s">
        <v>285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142</v>
      </c>
      <c r="B286" t="s">
        <v>9</v>
      </c>
      <c r="C286">
        <v>5</v>
      </c>
      <c r="D286">
        <v>1782</v>
      </c>
      <c r="E286">
        <v>0</v>
      </c>
      <c r="F286" t="s">
        <v>287</v>
      </c>
      <c r="G286">
        <v>2</v>
      </c>
      <c r="H286" t="s">
        <v>285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142</v>
      </c>
      <c r="B287" t="s">
        <v>9</v>
      </c>
      <c r="C287">
        <v>5</v>
      </c>
      <c r="D287">
        <v>1666</v>
      </c>
      <c r="E287">
        <v>1</v>
      </c>
      <c r="F287" t="s">
        <v>287</v>
      </c>
      <c r="G287">
        <v>1</v>
      </c>
      <c r="H287" t="s">
        <v>307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142</v>
      </c>
      <c r="B288" t="s">
        <v>9</v>
      </c>
      <c r="C288">
        <v>5</v>
      </c>
      <c r="D288">
        <v>1556</v>
      </c>
      <c r="E288">
        <v>0</v>
      </c>
      <c r="F288" t="s">
        <v>287</v>
      </c>
      <c r="G288">
        <v>2</v>
      </c>
      <c r="H288" t="s">
        <v>285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142</v>
      </c>
      <c r="B289" t="s">
        <v>9</v>
      </c>
      <c r="C289">
        <v>5</v>
      </c>
      <c r="D289">
        <v>2860</v>
      </c>
      <c r="E289">
        <v>0</v>
      </c>
      <c r="F289" t="s">
        <v>287</v>
      </c>
      <c r="G289">
        <v>1</v>
      </c>
      <c r="H289" t="s">
        <v>307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142</v>
      </c>
      <c r="B290" t="s">
        <v>9</v>
      </c>
      <c r="C290">
        <v>5</v>
      </c>
      <c r="D290">
        <v>2986</v>
      </c>
      <c r="E290">
        <v>0</v>
      </c>
      <c r="F290" t="s">
        <v>287</v>
      </c>
      <c r="G290">
        <v>2</v>
      </c>
      <c r="H290" t="s">
        <v>285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142</v>
      </c>
      <c r="B291" t="s">
        <v>9</v>
      </c>
      <c r="C291">
        <v>5</v>
      </c>
      <c r="D291">
        <v>3172</v>
      </c>
      <c r="E291">
        <v>1</v>
      </c>
      <c r="F291" t="s">
        <v>143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142</v>
      </c>
      <c r="B292" t="s">
        <v>9</v>
      </c>
      <c r="C292">
        <v>5</v>
      </c>
      <c r="D292">
        <v>1420</v>
      </c>
      <c r="E292">
        <v>0</v>
      </c>
      <c r="F292" t="s">
        <v>287</v>
      </c>
      <c r="G292">
        <v>2</v>
      </c>
      <c r="H292" t="s">
        <v>307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142</v>
      </c>
      <c r="B293" t="s">
        <v>9</v>
      </c>
      <c r="C293">
        <v>5</v>
      </c>
      <c r="D293">
        <v>1352</v>
      </c>
      <c r="E293">
        <v>0</v>
      </c>
      <c r="F293" t="s">
        <v>287</v>
      </c>
      <c r="G293">
        <v>1</v>
      </c>
      <c r="H293" t="s">
        <v>307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142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142</v>
      </c>
      <c r="B295" t="s">
        <v>9</v>
      </c>
      <c r="C295">
        <v>5</v>
      </c>
      <c r="D295">
        <v>1428</v>
      </c>
      <c r="E295">
        <v>1</v>
      </c>
      <c r="F295" t="s">
        <v>208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142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142</v>
      </c>
      <c r="B297" t="s">
        <v>9</v>
      </c>
      <c r="C297">
        <v>5</v>
      </c>
      <c r="D297">
        <v>1559</v>
      </c>
      <c r="E297">
        <v>0</v>
      </c>
      <c r="F297" t="s">
        <v>287</v>
      </c>
      <c r="G297">
        <v>1</v>
      </c>
      <c r="H297" t="s">
        <v>307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142</v>
      </c>
      <c r="B298" t="s">
        <v>9</v>
      </c>
      <c r="C298">
        <v>5</v>
      </c>
      <c r="D298">
        <v>1600</v>
      </c>
      <c r="E298">
        <v>0</v>
      </c>
      <c r="F298" t="s">
        <v>287</v>
      </c>
      <c r="G298">
        <v>3</v>
      </c>
      <c r="H298" t="s">
        <v>307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142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142</v>
      </c>
      <c r="B300" t="s">
        <v>9</v>
      </c>
      <c r="C300">
        <v>5</v>
      </c>
      <c r="D300">
        <v>1389</v>
      </c>
      <c r="E300">
        <v>0</v>
      </c>
      <c r="F300" t="s">
        <v>287</v>
      </c>
      <c r="G300">
        <v>4</v>
      </c>
      <c r="H300" t="s">
        <v>285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146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175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267</v>
      </c>
      <c r="G335">
        <v>1</v>
      </c>
      <c r="H335" t="s">
        <v>307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176</v>
      </c>
      <c r="B336" t="s">
        <v>9</v>
      </c>
      <c r="C336">
        <v>5</v>
      </c>
      <c r="D336">
        <v>1000</v>
      </c>
      <c r="E336">
        <v>0</v>
      </c>
      <c r="F336" t="s">
        <v>266</v>
      </c>
      <c r="G336">
        <v>5</v>
      </c>
      <c r="H336" t="s">
        <v>285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146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175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175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175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175</v>
      </c>
      <c r="B370" t="s">
        <v>9</v>
      </c>
      <c r="C370">
        <v>5</v>
      </c>
      <c r="D370">
        <v>2547</v>
      </c>
      <c r="E370">
        <v>2</v>
      </c>
      <c r="F370" t="s">
        <v>146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175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175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175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175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175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175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175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175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175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175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175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175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181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146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146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146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146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146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267</v>
      </c>
      <c r="G522">
        <v>1</v>
      </c>
      <c r="H522" t="s">
        <v>307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267</v>
      </c>
      <c r="G523">
        <v>1</v>
      </c>
      <c r="H523" t="s">
        <v>307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267</v>
      </c>
      <c r="G524">
        <v>4</v>
      </c>
      <c r="H524" t="s">
        <v>285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175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175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175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175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175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175</v>
      </c>
      <c r="B530" t="s">
        <v>9</v>
      </c>
      <c r="C530">
        <v>6</v>
      </c>
      <c r="D530">
        <v>2638</v>
      </c>
      <c r="E530">
        <v>0</v>
      </c>
      <c r="F530" t="s">
        <v>146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175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175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175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175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210</v>
      </c>
      <c r="B535" t="s">
        <v>9</v>
      </c>
      <c r="C535">
        <v>8</v>
      </c>
      <c r="D535">
        <v>2498</v>
      </c>
      <c r="E535">
        <v>2</v>
      </c>
      <c r="F535" t="s">
        <v>264</v>
      </c>
      <c r="G535">
        <v>3</v>
      </c>
      <c r="H535" t="s">
        <v>285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210</v>
      </c>
      <c r="B536" t="s">
        <v>9</v>
      </c>
      <c r="C536">
        <v>7</v>
      </c>
      <c r="D536">
        <v>2073</v>
      </c>
      <c r="E536">
        <v>0</v>
      </c>
      <c r="F536" t="s">
        <v>264</v>
      </c>
      <c r="G536">
        <v>1</v>
      </c>
      <c r="H536" t="s">
        <v>307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210</v>
      </c>
      <c r="B537" t="s">
        <v>9</v>
      </c>
      <c r="C537">
        <v>7</v>
      </c>
      <c r="D537">
        <v>2143</v>
      </c>
      <c r="E537">
        <v>0</v>
      </c>
      <c r="F537" t="s">
        <v>264</v>
      </c>
      <c r="G537">
        <v>3</v>
      </c>
      <c r="H537" t="s">
        <v>285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210</v>
      </c>
      <c r="B538" t="s">
        <v>9</v>
      </c>
      <c r="C538">
        <v>7</v>
      </c>
      <c r="D538">
        <v>1852</v>
      </c>
      <c r="E538">
        <v>1</v>
      </c>
      <c r="F538" t="s">
        <v>264</v>
      </c>
      <c r="G538">
        <v>1</v>
      </c>
      <c r="H538" t="s">
        <v>307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210</v>
      </c>
      <c r="B539" t="s">
        <v>9</v>
      </c>
      <c r="C539">
        <v>7</v>
      </c>
      <c r="D539">
        <v>2417</v>
      </c>
      <c r="E539">
        <v>0</v>
      </c>
      <c r="F539" t="s">
        <v>208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210</v>
      </c>
      <c r="B540" t="s">
        <v>9</v>
      </c>
      <c r="C540">
        <v>8</v>
      </c>
      <c r="D540">
        <v>2146</v>
      </c>
      <c r="E540">
        <v>0</v>
      </c>
      <c r="F540" t="s">
        <v>264</v>
      </c>
      <c r="G540">
        <v>2</v>
      </c>
      <c r="H540" t="s">
        <v>307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210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210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210</v>
      </c>
      <c r="B543" t="s">
        <v>9</v>
      </c>
      <c r="C543">
        <v>8</v>
      </c>
      <c r="D543">
        <v>2223</v>
      </c>
      <c r="E543">
        <v>1</v>
      </c>
      <c r="F543" t="s">
        <v>264</v>
      </c>
      <c r="G543">
        <v>5</v>
      </c>
      <c r="H543" t="s">
        <v>285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210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210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210</v>
      </c>
      <c r="B546" t="s">
        <v>9</v>
      </c>
      <c r="C546">
        <v>8</v>
      </c>
      <c r="D546">
        <v>2404</v>
      </c>
      <c r="E546">
        <v>1</v>
      </c>
      <c r="F546" t="s">
        <v>264</v>
      </c>
      <c r="G546">
        <v>4</v>
      </c>
      <c r="H546" t="s">
        <v>285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210</v>
      </c>
      <c r="B547" t="s">
        <v>9</v>
      </c>
      <c r="C547">
        <v>8</v>
      </c>
      <c r="D547">
        <v>3017</v>
      </c>
      <c r="E547">
        <v>1</v>
      </c>
      <c r="F547" t="s">
        <v>264</v>
      </c>
      <c r="G547">
        <v>4</v>
      </c>
      <c r="H547" t="s">
        <v>285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210</v>
      </c>
      <c r="B548" t="s">
        <v>9</v>
      </c>
      <c r="C548">
        <v>8</v>
      </c>
      <c r="D548">
        <v>2175</v>
      </c>
      <c r="E548">
        <v>0</v>
      </c>
      <c r="F548" t="s">
        <v>146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210</v>
      </c>
      <c r="B549" t="s">
        <v>9</v>
      </c>
      <c r="C549">
        <v>8</v>
      </c>
      <c r="D549">
        <v>2276</v>
      </c>
      <c r="E549">
        <v>0</v>
      </c>
      <c r="F549" t="s">
        <v>264</v>
      </c>
      <c r="G549">
        <v>4</v>
      </c>
      <c r="H549" t="s">
        <v>285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210</v>
      </c>
      <c r="B550" t="s">
        <v>9</v>
      </c>
      <c r="C550">
        <v>8</v>
      </c>
      <c r="D550">
        <v>2576</v>
      </c>
      <c r="E550">
        <v>3</v>
      </c>
      <c r="F550" t="s">
        <v>264</v>
      </c>
      <c r="G550">
        <v>4</v>
      </c>
      <c r="H550" t="s">
        <v>285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210</v>
      </c>
      <c r="B551" t="s">
        <v>9</v>
      </c>
      <c r="C551">
        <v>8</v>
      </c>
      <c r="D551">
        <v>2058</v>
      </c>
      <c r="E551">
        <v>1</v>
      </c>
      <c r="F551" t="s">
        <v>264</v>
      </c>
      <c r="G551">
        <v>5</v>
      </c>
      <c r="H551" t="s">
        <v>285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210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210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210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210</v>
      </c>
      <c r="B555" t="s">
        <v>9</v>
      </c>
      <c r="C555">
        <v>8</v>
      </c>
      <c r="D555">
        <v>2526</v>
      </c>
      <c r="E555">
        <v>0</v>
      </c>
      <c r="F555" t="s">
        <v>264</v>
      </c>
      <c r="G555">
        <v>1</v>
      </c>
      <c r="H555" t="s">
        <v>286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210</v>
      </c>
      <c r="B556" t="s">
        <v>9</v>
      </c>
      <c r="C556">
        <v>8</v>
      </c>
      <c r="D556">
        <v>2483</v>
      </c>
      <c r="E556">
        <v>3</v>
      </c>
      <c r="F556" t="s">
        <v>264</v>
      </c>
      <c r="G556">
        <v>1</v>
      </c>
      <c r="H556" t="s">
        <v>286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210</v>
      </c>
      <c r="B557" t="s">
        <v>9</v>
      </c>
      <c r="C557">
        <v>8</v>
      </c>
      <c r="D557">
        <v>2491</v>
      </c>
      <c r="E557">
        <v>0</v>
      </c>
      <c r="F557" t="s">
        <v>230</v>
      </c>
      <c r="G557" t="s">
        <v>305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210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210</v>
      </c>
      <c r="B559" t="s">
        <v>9</v>
      </c>
      <c r="C559">
        <v>8</v>
      </c>
      <c r="D559">
        <v>2671</v>
      </c>
      <c r="E559">
        <v>2</v>
      </c>
      <c r="F559" t="s">
        <v>264</v>
      </c>
      <c r="G559">
        <v>4</v>
      </c>
      <c r="H559" t="s">
        <v>285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210</v>
      </c>
      <c r="B560" t="s">
        <v>9</v>
      </c>
      <c r="C560">
        <v>8</v>
      </c>
      <c r="D560">
        <v>2186</v>
      </c>
      <c r="E560">
        <v>1</v>
      </c>
      <c r="F560" t="s">
        <v>209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210</v>
      </c>
      <c r="B561" t="s">
        <v>9</v>
      </c>
      <c r="C561">
        <v>8</v>
      </c>
      <c r="D561">
        <v>2316</v>
      </c>
      <c r="E561">
        <v>0</v>
      </c>
      <c r="F561" t="s">
        <v>264</v>
      </c>
      <c r="G561">
        <v>3</v>
      </c>
      <c r="H561" t="s">
        <v>285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210</v>
      </c>
      <c r="B562" t="s">
        <v>9</v>
      </c>
      <c r="C562">
        <v>8</v>
      </c>
      <c r="D562">
        <v>2046</v>
      </c>
      <c r="E562">
        <v>1</v>
      </c>
      <c r="F562" t="s">
        <v>264</v>
      </c>
      <c r="G562">
        <v>4</v>
      </c>
      <c r="H562" t="s">
        <v>285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210</v>
      </c>
      <c r="B563" t="s">
        <v>9</v>
      </c>
      <c r="C563">
        <v>8</v>
      </c>
      <c r="D563">
        <v>2303</v>
      </c>
      <c r="E563">
        <v>3</v>
      </c>
      <c r="F563" t="s">
        <v>264</v>
      </c>
      <c r="G563">
        <v>1</v>
      </c>
      <c r="H563" t="s">
        <v>307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210</v>
      </c>
      <c r="B564" t="s">
        <v>9</v>
      </c>
      <c r="C564">
        <v>8</v>
      </c>
      <c r="D564">
        <v>2396</v>
      </c>
      <c r="E564">
        <v>1</v>
      </c>
      <c r="F564" t="s">
        <v>264</v>
      </c>
      <c r="G564">
        <v>1</v>
      </c>
      <c r="H564" t="s">
        <v>307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210</v>
      </c>
      <c r="B565" t="s">
        <v>9</v>
      </c>
      <c r="C565">
        <v>8</v>
      </c>
      <c r="D565">
        <v>2325</v>
      </c>
      <c r="E565">
        <v>1</v>
      </c>
      <c r="F565" t="s">
        <v>264</v>
      </c>
      <c r="G565">
        <v>2</v>
      </c>
      <c r="H565" t="s">
        <v>286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210</v>
      </c>
      <c r="B566" t="s">
        <v>9</v>
      </c>
      <c r="C566">
        <v>8</v>
      </c>
      <c r="D566">
        <v>2398</v>
      </c>
      <c r="E566">
        <v>1</v>
      </c>
      <c r="F566" t="s">
        <v>264</v>
      </c>
      <c r="G566">
        <v>3</v>
      </c>
      <c r="H566" t="s">
        <v>285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210</v>
      </c>
      <c r="B567" t="s">
        <v>9</v>
      </c>
      <c r="C567">
        <v>8</v>
      </c>
      <c r="D567">
        <v>2668</v>
      </c>
      <c r="E567">
        <v>0</v>
      </c>
      <c r="F567" t="s">
        <v>264</v>
      </c>
      <c r="G567">
        <v>3</v>
      </c>
      <c r="H567" t="s">
        <v>286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267</v>
      </c>
      <c r="G568">
        <v>2</v>
      </c>
      <c r="H568" t="s">
        <v>307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267</v>
      </c>
      <c r="G569">
        <v>1</v>
      </c>
      <c r="H569" t="s">
        <v>307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267</v>
      </c>
      <c r="G570">
        <v>4</v>
      </c>
      <c r="H570" t="s">
        <v>285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267</v>
      </c>
      <c r="G571">
        <v>1</v>
      </c>
      <c r="H571" t="s">
        <v>307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267</v>
      </c>
      <c r="G572">
        <v>1</v>
      </c>
      <c r="H572" t="s">
        <v>307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267</v>
      </c>
      <c r="G573">
        <v>4</v>
      </c>
      <c r="H573" t="s">
        <v>285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267</v>
      </c>
      <c r="G574">
        <v>3</v>
      </c>
      <c r="H574" t="s">
        <v>307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267</v>
      </c>
      <c r="G575">
        <v>3</v>
      </c>
      <c r="H575" t="s">
        <v>307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267</v>
      </c>
      <c r="G576">
        <v>4</v>
      </c>
      <c r="H576" t="s">
        <v>285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267</v>
      </c>
      <c r="G577">
        <v>3</v>
      </c>
      <c r="H577" t="s">
        <v>285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264</v>
      </c>
      <c r="G578">
        <v>3</v>
      </c>
      <c r="H578" t="s">
        <v>285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267</v>
      </c>
      <c r="G579">
        <v>5</v>
      </c>
      <c r="H579" t="s">
        <v>285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146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267</v>
      </c>
      <c r="G582">
        <v>3</v>
      </c>
      <c r="H582" t="s">
        <v>285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267</v>
      </c>
      <c r="G583">
        <v>2</v>
      </c>
      <c r="H583" t="s">
        <v>286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175</v>
      </c>
      <c r="B584" t="s">
        <v>9</v>
      </c>
      <c r="C584">
        <v>6</v>
      </c>
      <c r="D584">
        <v>2097</v>
      </c>
      <c r="E584">
        <v>2</v>
      </c>
      <c r="F584" t="s">
        <v>273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267</v>
      </c>
      <c r="G655">
        <v>4</v>
      </c>
      <c r="H655" t="s">
        <v>285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267</v>
      </c>
      <c r="G656">
        <v>1</v>
      </c>
      <c r="H656" t="s">
        <v>286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267</v>
      </c>
      <c r="G657">
        <v>1</v>
      </c>
      <c r="H657" t="s">
        <v>307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264</v>
      </c>
      <c r="G658">
        <v>1</v>
      </c>
      <c r="H658" t="s">
        <v>307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267</v>
      </c>
      <c r="G660">
        <v>1</v>
      </c>
      <c r="H660" t="s">
        <v>307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267</v>
      </c>
      <c r="G662">
        <v>1</v>
      </c>
      <c r="H662" t="s">
        <v>307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267</v>
      </c>
      <c r="G663">
        <v>5</v>
      </c>
      <c r="H663" t="s">
        <v>285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267</v>
      </c>
      <c r="G664">
        <v>4</v>
      </c>
      <c r="H664" t="s">
        <v>285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267</v>
      </c>
      <c r="G665">
        <v>2</v>
      </c>
      <c r="H665" t="s">
        <v>307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267</v>
      </c>
      <c r="G666">
        <v>1</v>
      </c>
      <c r="H666" t="s">
        <v>307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267</v>
      </c>
      <c r="G667">
        <v>3</v>
      </c>
      <c r="H667" t="s">
        <v>285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265</v>
      </c>
      <c r="G668">
        <v>1</v>
      </c>
      <c r="H668" t="s">
        <v>307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265</v>
      </c>
      <c r="G669">
        <v>2</v>
      </c>
      <c r="H669" t="s">
        <v>307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267</v>
      </c>
      <c r="G670">
        <v>5</v>
      </c>
      <c r="H670" t="s">
        <v>285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267</v>
      </c>
      <c r="G672">
        <v>3</v>
      </c>
      <c r="H672" t="s">
        <v>285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267</v>
      </c>
      <c r="G673">
        <v>4</v>
      </c>
      <c r="H673" t="s">
        <v>285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265</v>
      </c>
      <c r="G674">
        <v>3</v>
      </c>
      <c r="H674" t="s">
        <v>307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267</v>
      </c>
      <c r="G675">
        <v>5</v>
      </c>
      <c r="H675" t="s">
        <v>285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286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267</v>
      </c>
      <c r="G677">
        <v>5</v>
      </c>
      <c r="H677" t="s">
        <v>285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265</v>
      </c>
      <c r="G678">
        <v>1</v>
      </c>
      <c r="H678" t="s">
        <v>307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175</v>
      </c>
      <c r="B679" t="s">
        <v>9</v>
      </c>
      <c r="C679">
        <v>8</v>
      </c>
      <c r="D679">
        <v>3681</v>
      </c>
      <c r="E679">
        <v>1</v>
      </c>
      <c r="F679" t="s">
        <v>273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267</v>
      </c>
      <c r="G690">
        <v>1</v>
      </c>
      <c r="H690" t="s">
        <v>307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267</v>
      </c>
      <c r="G691">
        <v>1</v>
      </c>
      <c r="H691" t="s">
        <v>286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267</v>
      </c>
      <c r="G692">
        <v>1</v>
      </c>
      <c r="H692" t="s">
        <v>307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265</v>
      </c>
      <c r="G693">
        <v>1</v>
      </c>
      <c r="H693" t="s">
        <v>307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267</v>
      </c>
      <c r="G694">
        <v>4</v>
      </c>
      <c r="H694" t="s">
        <v>285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286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267</v>
      </c>
      <c r="G696">
        <v>1</v>
      </c>
      <c r="H696" t="s">
        <v>307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267</v>
      </c>
      <c r="G697">
        <v>5</v>
      </c>
      <c r="H697" t="s">
        <v>285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267</v>
      </c>
      <c r="G698">
        <v>1</v>
      </c>
      <c r="H698" t="s">
        <v>286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267</v>
      </c>
      <c r="G699">
        <v>3</v>
      </c>
      <c r="H699" t="s">
        <v>285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267</v>
      </c>
      <c r="G701">
        <v>5</v>
      </c>
      <c r="H701" t="s">
        <v>285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267</v>
      </c>
      <c r="G702">
        <v>1</v>
      </c>
      <c r="H702" t="s">
        <v>307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267</v>
      </c>
      <c r="G703">
        <v>1</v>
      </c>
      <c r="H703" t="s">
        <v>286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267</v>
      </c>
      <c r="G704">
        <v>1</v>
      </c>
      <c r="H704" t="s">
        <v>307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267</v>
      </c>
      <c r="G706">
        <v>3</v>
      </c>
      <c r="H706" t="s">
        <v>285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267</v>
      </c>
      <c r="G707">
        <v>4</v>
      </c>
      <c r="H707" t="s">
        <v>285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176</v>
      </c>
      <c r="B708" t="s">
        <v>9</v>
      </c>
      <c r="C708">
        <v>7</v>
      </c>
      <c r="D708">
        <v>2217</v>
      </c>
      <c r="E708">
        <v>0</v>
      </c>
      <c r="F708" t="s">
        <v>266</v>
      </c>
      <c r="G708">
        <v>2</v>
      </c>
      <c r="H708" t="s">
        <v>307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176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176</v>
      </c>
      <c r="B710" t="s">
        <v>9</v>
      </c>
      <c r="C710">
        <v>8</v>
      </c>
      <c r="D710">
        <v>2286</v>
      </c>
      <c r="E710">
        <v>0</v>
      </c>
      <c r="F710" t="s">
        <v>266</v>
      </c>
      <c r="G710">
        <v>2</v>
      </c>
      <c r="H710" t="s">
        <v>307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176</v>
      </c>
      <c r="B711" t="s">
        <v>9</v>
      </c>
      <c r="C711">
        <v>8</v>
      </c>
      <c r="D711">
        <v>2828</v>
      </c>
      <c r="E711">
        <v>0</v>
      </c>
      <c r="F711" t="s">
        <v>266</v>
      </c>
      <c r="G711">
        <v>1</v>
      </c>
      <c r="H711" t="s">
        <v>307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176</v>
      </c>
      <c r="B712" t="s">
        <v>9</v>
      </c>
      <c r="C712">
        <v>9</v>
      </c>
      <c r="D712">
        <v>2917</v>
      </c>
      <c r="E712">
        <v>2</v>
      </c>
      <c r="F712" t="s">
        <v>266</v>
      </c>
      <c r="G712">
        <v>3</v>
      </c>
      <c r="H712" t="s">
        <v>307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176</v>
      </c>
      <c r="B713" t="s">
        <v>9</v>
      </c>
      <c r="C713">
        <v>10</v>
      </c>
      <c r="D713">
        <v>2771</v>
      </c>
      <c r="E713">
        <v>0</v>
      </c>
      <c r="F713" t="s">
        <v>266</v>
      </c>
      <c r="G713">
        <v>1</v>
      </c>
      <c r="H713" t="s">
        <v>307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176</v>
      </c>
      <c r="B714" t="s">
        <v>9</v>
      </c>
      <c r="C714">
        <v>10</v>
      </c>
      <c r="D714">
        <v>3158</v>
      </c>
      <c r="E714">
        <v>1</v>
      </c>
      <c r="F714" t="s">
        <v>266</v>
      </c>
      <c r="G714">
        <v>3</v>
      </c>
      <c r="H714" t="s">
        <v>286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176</v>
      </c>
      <c r="B715" t="s">
        <v>9</v>
      </c>
      <c r="C715">
        <v>10</v>
      </c>
      <c r="D715">
        <v>3080</v>
      </c>
      <c r="E715">
        <v>0</v>
      </c>
      <c r="F715" t="s">
        <v>266</v>
      </c>
      <c r="G715">
        <v>5</v>
      </c>
      <c r="H715" t="s">
        <v>285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176</v>
      </c>
      <c r="B716" t="s">
        <v>9</v>
      </c>
      <c r="C716">
        <v>10</v>
      </c>
      <c r="D716">
        <v>3091</v>
      </c>
      <c r="E716">
        <v>2</v>
      </c>
      <c r="F716" t="s">
        <v>266</v>
      </c>
      <c r="G716">
        <v>5</v>
      </c>
      <c r="H716" t="s">
        <v>285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267</v>
      </c>
      <c r="G717">
        <v>2</v>
      </c>
      <c r="H717" t="s">
        <v>286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267</v>
      </c>
      <c r="G718">
        <v>1</v>
      </c>
      <c r="H718" t="s">
        <v>307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267</v>
      </c>
      <c r="G719">
        <v>5</v>
      </c>
      <c r="H719" t="s">
        <v>285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267</v>
      </c>
      <c r="G720">
        <v>5</v>
      </c>
      <c r="H720" t="s">
        <v>285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267</v>
      </c>
      <c r="G721">
        <v>1</v>
      </c>
      <c r="H721" t="s">
        <v>307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267</v>
      </c>
      <c r="G722">
        <v>5</v>
      </c>
      <c r="H722" t="s">
        <v>285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267</v>
      </c>
      <c r="G723">
        <v>2</v>
      </c>
      <c r="H723" t="s">
        <v>307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267</v>
      </c>
      <c r="G724">
        <v>3</v>
      </c>
      <c r="H724" t="s">
        <v>285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175</v>
      </c>
      <c r="B726" t="s">
        <v>9</v>
      </c>
      <c r="C726">
        <v>8</v>
      </c>
      <c r="D726">
        <v>3502</v>
      </c>
      <c r="E726">
        <v>1</v>
      </c>
      <c r="F726" t="s">
        <v>273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207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267</v>
      </c>
      <c r="G728">
        <v>1</v>
      </c>
      <c r="H728" t="s">
        <v>286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267</v>
      </c>
      <c r="G730">
        <v>3</v>
      </c>
      <c r="H730" t="s">
        <v>307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264</v>
      </c>
      <c r="G731">
        <v>2</v>
      </c>
      <c r="H731" t="s">
        <v>307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264</v>
      </c>
      <c r="G732">
        <v>4</v>
      </c>
      <c r="H732" t="s">
        <v>285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267</v>
      </c>
      <c r="G733">
        <v>1</v>
      </c>
      <c r="H733" t="s">
        <v>286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175</v>
      </c>
      <c r="B755" t="s">
        <v>9</v>
      </c>
      <c r="C755">
        <v>8</v>
      </c>
      <c r="D755">
        <v>3665</v>
      </c>
      <c r="E755">
        <v>1</v>
      </c>
      <c r="F755" t="s">
        <v>273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267</v>
      </c>
      <c r="G756">
        <v>1</v>
      </c>
      <c r="H756" t="s">
        <v>307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267</v>
      </c>
      <c r="G757">
        <v>2</v>
      </c>
      <c r="H757" t="s">
        <v>307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267</v>
      </c>
      <c r="G758">
        <v>4</v>
      </c>
      <c r="H758" t="s">
        <v>285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267</v>
      </c>
      <c r="G759">
        <v>1</v>
      </c>
      <c r="H759" t="s">
        <v>286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277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277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285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277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307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277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277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277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307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277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207</v>
      </c>
    </row>
    <row r="768" spans="1:13">
      <c r="A768" t="s">
        <v>277</v>
      </c>
      <c r="B768" t="s">
        <v>9</v>
      </c>
      <c r="C768">
        <v>9</v>
      </c>
      <c r="D768">
        <v>2875</v>
      </c>
      <c r="E768">
        <v>0</v>
      </c>
      <c r="F768" t="s">
        <v>209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277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286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277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307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277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307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277</v>
      </c>
      <c r="B772" t="s">
        <v>9</v>
      </c>
      <c r="C772">
        <v>9</v>
      </c>
      <c r="D772">
        <v>2758</v>
      </c>
      <c r="E772">
        <v>0</v>
      </c>
      <c r="F772" t="s">
        <v>279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277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307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277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307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277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286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277</v>
      </c>
      <c r="B776" t="s">
        <v>9</v>
      </c>
      <c r="C776">
        <v>9</v>
      </c>
      <c r="D776">
        <v>2516</v>
      </c>
      <c r="E776">
        <v>1</v>
      </c>
      <c r="F776" t="s">
        <v>279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277</v>
      </c>
      <c r="B777" t="s">
        <v>9</v>
      </c>
      <c r="C777">
        <v>9</v>
      </c>
      <c r="D777">
        <v>2850</v>
      </c>
      <c r="E777">
        <v>2</v>
      </c>
      <c r="F777" t="s">
        <v>278</v>
      </c>
      <c r="G777">
        <v>3</v>
      </c>
      <c r="H777" t="s">
        <v>285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267</v>
      </c>
      <c r="G778">
        <v>3</v>
      </c>
      <c r="H778" t="s">
        <v>307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175</v>
      </c>
      <c r="B779" t="s">
        <v>9</v>
      </c>
      <c r="C779">
        <v>8</v>
      </c>
      <c r="D779">
        <v>3425</v>
      </c>
      <c r="E779">
        <v>0</v>
      </c>
      <c r="F779" t="s">
        <v>280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277</v>
      </c>
      <c r="B780" t="s">
        <v>9</v>
      </c>
      <c r="C780">
        <v>9</v>
      </c>
      <c r="D780">
        <v>2517</v>
      </c>
      <c r="E780">
        <v>0</v>
      </c>
      <c r="F780" t="s">
        <v>279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277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286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277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277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307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277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307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277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207</v>
      </c>
    </row>
    <row r="786" spans="1:13">
      <c r="A786" t="s">
        <v>277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307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277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307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277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285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277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285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277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285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279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277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175</v>
      </c>
      <c r="B813" t="s">
        <v>9</v>
      </c>
      <c r="C813">
        <v>8</v>
      </c>
      <c r="D813">
        <v>3118</v>
      </c>
      <c r="E813">
        <v>0</v>
      </c>
      <c r="F813" t="s">
        <v>273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175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175</v>
      </c>
      <c r="B815" t="s">
        <v>9</v>
      </c>
      <c r="C815">
        <v>8</v>
      </c>
      <c r="D815">
        <v>3825</v>
      </c>
      <c r="E815">
        <v>1</v>
      </c>
      <c r="F815" t="s">
        <v>279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175</v>
      </c>
      <c r="B816" t="s">
        <v>9</v>
      </c>
      <c r="C816">
        <v>8</v>
      </c>
      <c r="D816">
        <v>3553</v>
      </c>
      <c r="E816">
        <v>0</v>
      </c>
      <c r="F816" t="s">
        <v>273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175</v>
      </c>
      <c r="B817" t="s">
        <v>9</v>
      </c>
      <c r="C817">
        <v>8</v>
      </c>
      <c r="D817">
        <v>3574</v>
      </c>
      <c r="E817">
        <v>1</v>
      </c>
      <c r="F817" t="s">
        <v>281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175</v>
      </c>
      <c r="B818" t="s">
        <v>9</v>
      </c>
      <c r="C818">
        <v>8</v>
      </c>
      <c r="D818">
        <v>3456</v>
      </c>
      <c r="E818">
        <v>3</v>
      </c>
      <c r="F818" t="s">
        <v>273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175</v>
      </c>
      <c r="B819" t="s">
        <v>9</v>
      </c>
      <c r="C819">
        <v>8</v>
      </c>
      <c r="D819">
        <v>3185</v>
      </c>
      <c r="E819">
        <v>0</v>
      </c>
      <c r="F819" t="s">
        <v>273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175</v>
      </c>
      <c r="B820" t="s">
        <v>9</v>
      </c>
      <c r="C820">
        <v>8</v>
      </c>
      <c r="D820">
        <v>3742</v>
      </c>
      <c r="E820">
        <v>4</v>
      </c>
      <c r="F820" t="s">
        <v>273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210</v>
      </c>
      <c r="B821" t="s">
        <v>9</v>
      </c>
      <c r="C821">
        <v>9</v>
      </c>
      <c r="D821">
        <v>2924</v>
      </c>
      <c r="E821">
        <v>1</v>
      </c>
      <c r="F821" t="s">
        <v>264</v>
      </c>
      <c r="G821">
        <v>1</v>
      </c>
      <c r="H821" t="s">
        <v>307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210</v>
      </c>
      <c r="B822" t="s">
        <v>9</v>
      </c>
      <c r="C822">
        <v>9</v>
      </c>
      <c r="D822">
        <v>3192</v>
      </c>
      <c r="E822">
        <v>2</v>
      </c>
      <c r="F822" t="s">
        <v>264</v>
      </c>
      <c r="G822">
        <v>2</v>
      </c>
      <c r="H822" t="s">
        <v>307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210</v>
      </c>
      <c r="B823" t="s">
        <v>9</v>
      </c>
      <c r="C823">
        <v>9</v>
      </c>
      <c r="D823">
        <v>2967</v>
      </c>
      <c r="E823">
        <v>1</v>
      </c>
      <c r="F823" t="s">
        <v>264</v>
      </c>
      <c r="G823">
        <v>2</v>
      </c>
      <c r="H823" t="s">
        <v>307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210</v>
      </c>
      <c r="B824" t="s">
        <v>9</v>
      </c>
      <c r="C824">
        <v>9</v>
      </c>
      <c r="D824">
        <v>2926</v>
      </c>
      <c r="E824">
        <v>0</v>
      </c>
      <c r="F824" t="s">
        <v>264</v>
      </c>
      <c r="G824">
        <v>3</v>
      </c>
      <c r="H824" t="s">
        <v>285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210</v>
      </c>
      <c r="B825" t="s">
        <v>9</v>
      </c>
      <c r="C825">
        <v>9</v>
      </c>
      <c r="D825">
        <v>2801</v>
      </c>
      <c r="E825">
        <v>1</v>
      </c>
      <c r="F825" t="s">
        <v>264</v>
      </c>
      <c r="G825">
        <v>3</v>
      </c>
      <c r="H825" t="s">
        <v>285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210</v>
      </c>
      <c r="B826" t="s">
        <v>9</v>
      </c>
      <c r="C826">
        <v>9</v>
      </c>
      <c r="D826">
        <v>2800</v>
      </c>
      <c r="E826">
        <v>0</v>
      </c>
      <c r="F826" t="s">
        <v>230</v>
      </c>
      <c r="G826" t="s">
        <v>282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210</v>
      </c>
      <c r="B827" t="s">
        <v>9</v>
      </c>
      <c r="C827">
        <v>9</v>
      </c>
      <c r="D827">
        <v>2913</v>
      </c>
      <c r="E827">
        <v>0</v>
      </c>
      <c r="F827" t="s">
        <v>264</v>
      </c>
      <c r="G827">
        <v>1</v>
      </c>
      <c r="H827" t="s">
        <v>286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210</v>
      </c>
      <c r="B828" t="s">
        <v>9</v>
      </c>
      <c r="C828">
        <v>9</v>
      </c>
      <c r="D828">
        <v>2812</v>
      </c>
      <c r="E828">
        <v>1</v>
      </c>
      <c r="F828" t="s">
        <v>264</v>
      </c>
      <c r="G828">
        <v>1</v>
      </c>
      <c r="H828" t="s">
        <v>307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210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210</v>
      </c>
      <c r="B830" t="s">
        <v>9</v>
      </c>
      <c r="C830">
        <v>9</v>
      </c>
      <c r="D830">
        <v>2754</v>
      </c>
      <c r="E830">
        <v>1</v>
      </c>
      <c r="F830" t="s">
        <v>303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210</v>
      </c>
      <c r="B831" t="s">
        <v>9</v>
      </c>
      <c r="C831">
        <v>9</v>
      </c>
      <c r="D831">
        <v>2824</v>
      </c>
      <c r="E831">
        <v>1</v>
      </c>
      <c r="F831" t="s">
        <v>230</v>
      </c>
      <c r="G831" t="s">
        <v>283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210</v>
      </c>
      <c r="B832" t="s">
        <v>9</v>
      </c>
      <c r="C832">
        <v>9</v>
      </c>
      <c r="D832">
        <v>2980</v>
      </c>
      <c r="E832">
        <v>0</v>
      </c>
      <c r="F832" t="s">
        <v>264</v>
      </c>
      <c r="G832">
        <v>1</v>
      </c>
      <c r="H832" t="s">
        <v>307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210</v>
      </c>
      <c r="B833" t="s">
        <v>9</v>
      </c>
      <c r="C833">
        <v>9</v>
      </c>
      <c r="D833">
        <v>2957</v>
      </c>
      <c r="E833">
        <v>0</v>
      </c>
      <c r="F833" t="s">
        <v>209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210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210</v>
      </c>
      <c r="B835" t="s">
        <v>9</v>
      </c>
      <c r="C835">
        <v>9</v>
      </c>
      <c r="D835">
        <v>2671</v>
      </c>
      <c r="E835">
        <v>0</v>
      </c>
      <c r="F835" t="s">
        <v>264</v>
      </c>
      <c r="G835">
        <v>5</v>
      </c>
      <c r="H835" t="s">
        <v>285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210</v>
      </c>
      <c r="B836" t="s">
        <v>9</v>
      </c>
      <c r="C836">
        <v>9</v>
      </c>
      <c r="D836">
        <v>2947</v>
      </c>
      <c r="E836">
        <v>1</v>
      </c>
      <c r="F836" t="s">
        <v>264</v>
      </c>
      <c r="G836">
        <v>1</v>
      </c>
      <c r="H836" t="s">
        <v>286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210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210</v>
      </c>
      <c r="B838" t="s">
        <v>9</v>
      </c>
      <c r="C838">
        <v>9</v>
      </c>
      <c r="D838">
        <v>2184</v>
      </c>
      <c r="E838">
        <v>0</v>
      </c>
      <c r="F838" t="s">
        <v>264</v>
      </c>
      <c r="G838">
        <v>4</v>
      </c>
      <c r="H838" t="s">
        <v>285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210</v>
      </c>
      <c r="B839" t="s">
        <v>9</v>
      </c>
      <c r="C839">
        <v>9</v>
      </c>
      <c r="D839">
        <v>2654</v>
      </c>
      <c r="E839">
        <v>3</v>
      </c>
      <c r="F839" t="s">
        <v>264</v>
      </c>
      <c r="G839">
        <v>1</v>
      </c>
      <c r="H839" t="s">
        <v>307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210</v>
      </c>
      <c r="B840" t="s">
        <v>9</v>
      </c>
      <c r="C840">
        <v>9</v>
      </c>
      <c r="D840">
        <v>2592</v>
      </c>
      <c r="E840">
        <v>1</v>
      </c>
      <c r="F840" t="s">
        <v>264</v>
      </c>
      <c r="G840">
        <v>1</v>
      </c>
      <c r="H840" t="s">
        <v>307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210</v>
      </c>
      <c r="B841" t="s">
        <v>9</v>
      </c>
      <c r="C841">
        <v>9</v>
      </c>
      <c r="D841">
        <v>2625</v>
      </c>
      <c r="E841">
        <v>0</v>
      </c>
      <c r="F841" t="s">
        <v>264</v>
      </c>
      <c r="G841">
        <v>1</v>
      </c>
      <c r="H841" t="s">
        <v>286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210</v>
      </c>
      <c r="B842" t="s">
        <v>9</v>
      </c>
      <c r="C842">
        <v>9</v>
      </c>
      <c r="D842">
        <v>3029</v>
      </c>
      <c r="E842">
        <v>0</v>
      </c>
      <c r="F842" t="s">
        <v>264</v>
      </c>
      <c r="G842">
        <v>1</v>
      </c>
      <c r="H842" t="s">
        <v>307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210</v>
      </c>
      <c r="B843" t="s">
        <v>9</v>
      </c>
      <c r="C843">
        <v>9</v>
      </c>
      <c r="D843">
        <v>2865</v>
      </c>
      <c r="E843">
        <v>1</v>
      </c>
      <c r="F843" t="s">
        <v>264</v>
      </c>
      <c r="G843">
        <v>1</v>
      </c>
      <c r="H843" t="s">
        <v>307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210</v>
      </c>
      <c r="B844" t="s">
        <v>9</v>
      </c>
      <c r="C844">
        <v>9</v>
      </c>
      <c r="D844">
        <v>3075</v>
      </c>
      <c r="E844">
        <v>3</v>
      </c>
      <c r="F844" t="s">
        <v>264</v>
      </c>
      <c r="G844">
        <v>5</v>
      </c>
      <c r="H844" t="s">
        <v>285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210</v>
      </c>
      <c r="B845" t="s">
        <v>9</v>
      </c>
      <c r="C845">
        <v>9</v>
      </c>
      <c r="D845">
        <v>3767</v>
      </c>
      <c r="E845">
        <v>2</v>
      </c>
      <c r="F845" t="s">
        <v>264</v>
      </c>
      <c r="G845">
        <v>4</v>
      </c>
      <c r="H845" t="s">
        <v>285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210</v>
      </c>
      <c r="B846" t="s">
        <v>9</v>
      </c>
      <c r="C846">
        <v>9</v>
      </c>
      <c r="D846">
        <v>3007</v>
      </c>
      <c r="E846">
        <v>2</v>
      </c>
      <c r="F846" t="s">
        <v>264</v>
      </c>
      <c r="G846">
        <v>3</v>
      </c>
      <c r="H846" t="s">
        <v>307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210</v>
      </c>
      <c r="B847" t="s">
        <v>9</v>
      </c>
      <c r="C847">
        <v>9</v>
      </c>
      <c r="D847">
        <v>2942</v>
      </c>
      <c r="E847">
        <v>0</v>
      </c>
      <c r="F847" t="s">
        <v>264</v>
      </c>
      <c r="G847">
        <v>1</v>
      </c>
      <c r="H847" t="s">
        <v>307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210</v>
      </c>
      <c r="B848" t="s">
        <v>9</v>
      </c>
      <c r="C848">
        <v>9</v>
      </c>
      <c r="D848">
        <v>2701</v>
      </c>
      <c r="E848">
        <v>0</v>
      </c>
      <c r="F848" t="s">
        <v>264</v>
      </c>
      <c r="G848">
        <v>5</v>
      </c>
      <c r="H848" t="s">
        <v>285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210</v>
      </c>
      <c r="B849" t="s">
        <v>9</v>
      </c>
      <c r="C849">
        <v>9</v>
      </c>
      <c r="D849">
        <v>3320</v>
      </c>
      <c r="E849">
        <v>0</v>
      </c>
      <c r="F849" t="s">
        <v>264</v>
      </c>
      <c r="G849">
        <v>3</v>
      </c>
      <c r="H849" t="s">
        <v>286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210</v>
      </c>
      <c r="B850" t="s">
        <v>9</v>
      </c>
      <c r="C850">
        <v>9</v>
      </c>
      <c r="D850">
        <v>2890</v>
      </c>
      <c r="E850">
        <v>2</v>
      </c>
      <c r="F850" t="s">
        <v>264</v>
      </c>
      <c r="G850">
        <v>3</v>
      </c>
      <c r="H850" t="s">
        <v>285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210</v>
      </c>
      <c r="B851" t="s">
        <v>9</v>
      </c>
      <c r="C851">
        <v>9</v>
      </c>
      <c r="D851">
        <v>3274</v>
      </c>
      <c r="E851">
        <v>1</v>
      </c>
      <c r="F851" t="s">
        <v>264</v>
      </c>
      <c r="G851">
        <v>2</v>
      </c>
      <c r="H851" t="s">
        <v>286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210</v>
      </c>
      <c r="B852" t="s">
        <v>9</v>
      </c>
      <c r="C852">
        <v>9</v>
      </c>
      <c r="D852">
        <v>2847</v>
      </c>
      <c r="E852">
        <v>1</v>
      </c>
      <c r="F852" t="s">
        <v>264</v>
      </c>
      <c r="G852">
        <v>1</v>
      </c>
      <c r="H852" t="s">
        <v>286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210</v>
      </c>
      <c r="B853" t="s">
        <v>9</v>
      </c>
      <c r="C853">
        <v>9</v>
      </c>
      <c r="D853">
        <v>2602</v>
      </c>
      <c r="E853">
        <v>0</v>
      </c>
      <c r="F853" t="s">
        <v>264</v>
      </c>
      <c r="G853">
        <v>4</v>
      </c>
      <c r="H853" t="s">
        <v>285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210</v>
      </c>
      <c r="B854" t="s">
        <v>9</v>
      </c>
      <c r="C854">
        <v>9</v>
      </c>
      <c r="D854">
        <v>2901</v>
      </c>
      <c r="E854">
        <v>1</v>
      </c>
      <c r="F854" t="s">
        <v>230</v>
      </c>
      <c r="G854" t="s">
        <v>298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210</v>
      </c>
      <c r="B855" t="s">
        <v>9</v>
      </c>
      <c r="C855">
        <v>9</v>
      </c>
      <c r="D855">
        <v>2768</v>
      </c>
      <c r="E855">
        <v>0</v>
      </c>
      <c r="F855" t="s">
        <v>264</v>
      </c>
      <c r="G855">
        <v>5</v>
      </c>
      <c r="H855" t="s">
        <v>285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210</v>
      </c>
      <c r="B856" t="s">
        <v>9</v>
      </c>
      <c r="C856">
        <v>9</v>
      </c>
      <c r="D856">
        <v>2401</v>
      </c>
      <c r="E856">
        <v>1</v>
      </c>
      <c r="F856" t="s">
        <v>264</v>
      </c>
      <c r="G856">
        <v>1</v>
      </c>
      <c r="H856" t="s">
        <v>307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210</v>
      </c>
      <c r="B857" t="s">
        <v>9</v>
      </c>
      <c r="C857">
        <v>9</v>
      </c>
      <c r="D857">
        <v>2915</v>
      </c>
      <c r="E857">
        <v>0</v>
      </c>
      <c r="F857" t="s">
        <v>208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210</v>
      </c>
      <c r="B858" t="s">
        <v>9</v>
      </c>
      <c r="C858">
        <v>9</v>
      </c>
      <c r="D858">
        <v>2978</v>
      </c>
      <c r="E858">
        <v>0</v>
      </c>
      <c r="F858" t="s">
        <v>264</v>
      </c>
      <c r="G858">
        <v>4</v>
      </c>
      <c r="H858" t="s">
        <v>285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210</v>
      </c>
      <c r="B859" t="s">
        <v>9</v>
      </c>
      <c r="C859">
        <v>9</v>
      </c>
      <c r="D859">
        <v>2956</v>
      </c>
      <c r="E859">
        <v>0</v>
      </c>
      <c r="F859" t="s">
        <v>264</v>
      </c>
      <c r="G859">
        <v>5</v>
      </c>
      <c r="H859" t="s">
        <v>285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210</v>
      </c>
      <c r="B860" t="s">
        <v>9</v>
      </c>
      <c r="C860">
        <v>9</v>
      </c>
      <c r="D860">
        <v>2657</v>
      </c>
      <c r="E860">
        <v>1</v>
      </c>
      <c r="F860" t="s">
        <v>264</v>
      </c>
      <c r="G860">
        <v>5</v>
      </c>
      <c r="H860" t="s">
        <v>285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210</v>
      </c>
      <c r="B861" t="s">
        <v>9</v>
      </c>
      <c r="C861">
        <v>9</v>
      </c>
      <c r="D861">
        <v>2789</v>
      </c>
      <c r="E861">
        <v>0</v>
      </c>
      <c r="F861" t="s">
        <v>209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210</v>
      </c>
      <c r="B862" t="s">
        <v>9</v>
      </c>
      <c r="C862">
        <v>9</v>
      </c>
      <c r="D862">
        <v>2793</v>
      </c>
      <c r="E862">
        <v>1</v>
      </c>
      <c r="F862" t="s">
        <v>264</v>
      </c>
      <c r="G862">
        <v>5</v>
      </c>
      <c r="H862" t="s">
        <v>285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210</v>
      </c>
      <c r="B863" t="s">
        <v>9</v>
      </c>
      <c r="C863">
        <v>9</v>
      </c>
      <c r="D863">
        <v>2869</v>
      </c>
      <c r="E863">
        <v>2</v>
      </c>
      <c r="F863" t="s">
        <v>264</v>
      </c>
      <c r="G863">
        <v>4</v>
      </c>
      <c r="H863" t="s">
        <v>285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210</v>
      </c>
      <c r="B864" t="s">
        <v>9</v>
      </c>
      <c r="C864">
        <v>9</v>
      </c>
      <c r="D864">
        <v>2638</v>
      </c>
      <c r="E864">
        <v>1</v>
      </c>
      <c r="F864" t="s">
        <v>209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210</v>
      </c>
      <c r="B865" t="s">
        <v>9</v>
      </c>
      <c r="C865">
        <v>9</v>
      </c>
      <c r="D865">
        <v>2929</v>
      </c>
      <c r="E865">
        <v>1</v>
      </c>
      <c r="F865" t="s">
        <v>264</v>
      </c>
      <c r="G865">
        <v>1</v>
      </c>
      <c r="H865" t="s">
        <v>307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210</v>
      </c>
      <c r="B866" t="s">
        <v>9</v>
      </c>
      <c r="C866">
        <v>9</v>
      </c>
      <c r="D866">
        <v>2423</v>
      </c>
      <c r="E866">
        <v>1</v>
      </c>
      <c r="F866" t="s">
        <v>264</v>
      </c>
      <c r="G866">
        <v>3</v>
      </c>
      <c r="H866" t="s">
        <v>285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210</v>
      </c>
      <c r="B867" t="s">
        <v>9</v>
      </c>
      <c r="C867">
        <v>9</v>
      </c>
      <c r="D867">
        <v>2881</v>
      </c>
      <c r="E867">
        <v>0</v>
      </c>
      <c r="F867" t="s">
        <v>264</v>
      </c>
      <c r="G867">
        <v>5</v>
      </c>
      <c r="H867" t="s">
        <v>285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210</v>
      </c>
      <c r="B868" t="s">
        <v>9</v>
      </c>
      <c r="C868">
        <v>9</v>
      </c>
      <c r="D868">
        <v>3128</v>
      </c>
      <c r="E868">
        <v>1</v>
      </c>
      <c r="F868" t="s">
        <v>264</v>
      </c>
      <c r="G868">
        <v>4</v>
      </c>
      <c r="H868" t="s">
        <v>285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210</v>
      </c>
      <c r="B869" t="s">
        <v>9</v>
      </c>
      <c r="C869">
        <v>9</v>
      </c>
      <c r="D869">
        <v>3042</v>
      </c>
      <c r="E869">
        <v>0</v>
      </c>
      <c r="F869" t="s">
        <v>264</v>
      </c>
      <c r="G869">
        <v>3</v>
      </c>
      <c r="H869" t="s">
        <v>286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210</v>
      </c>
      <c r="B870" t="s">
        <v>9</v>
      </c>
      <c r="C870">
        <v>9</v>
      </c>
      <c r="D870">
        <v>2846</v>
      </c>
      <c r="E870">
        <v>1</v>
      </c>
      <c r="F870" t="s">
        <v>264</v>
      </c>
      <c r="G870">
        <v>1</v>
      </c>
      <c r="H870" t="s">
        <v>286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210</v>
      </c>
      <c r="B871" t="s">
        <v>9</v>
      </c>
      <c r="C871">
        <v>9</v>
      </c>
      <c r="D871">
        <v>3112</v>
      </c>
      <c r="E871">
        <v>1</v>
      </c>
      <c r="F871" t="s">
        <v>264</v>
      </c>
      <c r="G871">
        <v>1</v>
      </c>
      <c r="H871" t="s">
        <v>286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210</v>
      </c>
      <c r="B872" t="s">
        <v>9</v>
      </c>
      <c r="C872">
        <v>9</v>
      </c>
      <c r="D872">
        <v>2928</v>
      </c>
      <c r="E872">
        <v>1</v>
      </c>
      <c r="F872" t="s">
        <v>264</v>
      </c>
      <c r="G872">
        <v>4</v>
      </c>
      <c r="H872" t="s">
        <v>285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210</v>
      </c>
      <c r="B873" t="s">
        <v>9</v>
      </c>
      <c r="C873">
        <v>9</v>
      </c>
      <c r="D873">
        <v>2702</v>
      </c>
      <c r="E873">
        <v>1</v>
      </c>
      <c r="F873" t="s">
        <v>264</v>
      </c>
      <c r="G873">
        <v>2</v>
      </c>
      <c r="H873" t="s">
        <v>307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230</v>
      </c>
      <c r="B874" t="s">
        <v>9</v>
      </c>
      <c r="C874" t="s">
        <v>26</v>
      </c>
      <c r="D874">
        <v>6071</v>
      </c>
      <c r="E874">
        <v>0</v>
      </c>
      <c r="F874" t="s">
        <v>208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230</v>
      </c>
      <c r="B875" t="s">
        <v>9</v>
      </c>
      <c r="C875" t="s">
        <v>26</v>
      </c>
      <c r="D875">
        <v>5719</v>
      </c>
      <c r="E875">
        <v>0</v>
      </c>
      <c r="F875" t="s">
        <v>208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230</v>
      </c>
      <c r="B876" t="s">
        <v>9</v>
      </c>
      <c r="C876" t="s">
        <v>26</v>
      </c>
      <c r="D876">
        <v>5444</v>
      </c>
      <c r="E876">
        <v>0</v>
      </c>
      <c r="F876" t="s">
        <v>208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230</v>
      </c>
      <c r="B877" t="s">
        <v>9</v>
      </c>
      <c r="C877" t="s">
        <v>26</v>
      </c>
      <c r="D877">
        <v>5741</v>
      </c>
      <c r="E877">
        <v>0</v>
      </c>
      <c r="F877" t="s">
        <v>208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230</v>
      </c>
      <c r="B878" t="s">
        <v>9</v>
      </c>
      <c r="C878" t="s">
        <v>26</v>
      </c>
      <c r="D878">
        <v>6031</v>
      </c>
      <c r="E878">
        <v>0</v>
      </c>
      <c r="F878" t="s">
        <v>208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230</v>
      </c>
      <c r="B879" t="s">
        <v>9</v>
      </c>
      <c r="C879" t="s">
        <v>26</v>
      </c>
      <c r="D879">
        <v>5574</v>
      </c>
      <c r="E879">
        <v>0</v>
      </c>
      <c r="F879" t="s">
        <v>208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230</v>
      </c>
      <c r="B880" t="s">
        <v>9</v>
      </c>
      <c r="C880" t="s">
        <v>26</v>
      </c>
      <c r="D880">
        <v>6065</v>
      </c>
      <c r="E880">
        <v>0</v>
      </c>
      <c r="F880" t="s">
        <v>208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230</v>
      </c>
      <c r="B881" t="s">
        <v>9</v>
      </c>
      <c r="C881" t="s">
        <v>26</v>
      </c>
      <c r="D881">
        <v>5631</v>
      </c>
      <c r="E881">
        <v>0</v>
      </c>
      <c r="F881" t="s">
        <v>208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210</v>
      </c>
      <c r="B882" t="s">
        <v>9</v>
      </c>
      <c r="C882">
        <v>9</v>
      </c>
      <c r="D882">
        <v>2671</v>
      </c>
      <c r="E882">
        <v>0</v>
      </c>
      <c r="F882" t="s">
        <v>264</v>
      </c>
      <c r="G882">
        <v>1</v>
      </c>
      <c r="H882" t="s">
        <v>307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210</v>
      </c>
      <c r="B883" t="s">
        <v>9</v>
      </c>
      <c r="C883">
        <v>9</v>
      </c>
      <c r="D883">
        <v>2940</v>
      </c>
      <c r="E883">
        <v>0</v>
      </c>
      <c r="F883" t="s">
        <v>264</v>
      </c>
      <c r="G883">
        <v>1</v>
      </c>
      <c r="H883" t="s">
        <v>286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210</v>
      </c>
      <c r="B884" t="s">
        <v>9</v>
      </c>
      <c r="C884">
        <v>9</v>
      </c>
      <c r="D884">
        <v>2643</v>
      </c>
      <c r="E884">
        <v>2</v>
      </c>
      <c r="F884" t="s">
        <v>264</v>
      </c>
      <c r="G884">
        <v>1</v>
      </c>
      <c r="H884" t="s">
        <v>286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210</v>
      </c>
      <c r="B885" t="s">
        <v>9</v>
      </c>
      <c r="C885">
        <v>9</v>
      </c>
      <c r="D885">
        <v>2968</v>
      </c>
      <c r="E885">
        <v>0</v>
      </c>
      <c r="F885" t="s">
        <v>264</v>
      </c>
      <c r="G885">
        <v>3</v>
      </c>
      <c r="H885" t="s">
        <v>307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210</v>
      </c>
      <c r="B886" t="s">
        <v>9</v>
      </c>
      <c r="C886">
        <v>9</v>
      </c>
      <c r="D886">
        <v>2502</v>
      </c>
      <c r="E886">
        <v>2</v>
      </c>
      <c r="F886" t="s">
        <v>264</v>
      </c>
      <c r="G886">
        <v>2</v>
      </c>
      <c r="H886" t="s">
        <v>307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210</v>
      </c>
      <c r="B887" t="s">
        <v>9</v>
      </c>
      <c r="C887">
        <v>9</v>
      </c>
      <c r="D887">
        <v>2719</v>
      </c>
      <c r="E887">
        <v>3</v>
      </c>
      <c r="F887" t="s">
        <v>230</v>
      </c>
      <c r="G887" t="s">
        <v>299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210</v>
      </c>
      <c r="B888" t="s">
        <v>9</v>
      </c>
      <c r="C888">
        <v>9</v>
      </c>
      <c r="D888">
        <v>2733</v>
      </c>
      <c r="E888">
        <v>1</v>
      </c>
      <c r="F888" t="s">
        <v>264</v>
      </c>
      <c r="G888">
        <v>1</v>
      </c>
      <c r="H888" t="s">
        <v>307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210</v>
      </c>
      <c r="B889" t="s">
        <v>9</v>
      </c>
      <c r="C889">
        <v>9</v>
      </c>
      <c r="D889">
        <v>2917</v>
      </c>
      <c r="E889">
        <v>1</v>
      </c>
      <c r="F889" t="s">
        <v>264</v>
      </c>
      <c r="G889">
        <v>1</v>
      </c>
      <c r="H889" t="s">
        <v>307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210</v>
      </c>
      <c r="B890" t="s">
        <v>9</v>
      </c>
      <c r="C890">
        <v>9</v>
      </c>
      <c r="D890">
        <v>2662</v>
      </c>
      <c r="E890">
        <v>0</v>
      </c>
      <c r="F890" t="s">
        <v>264</v>
      </c>
      <c r="G890">
        <v>3</v>
      </c>
      <c r="H890" t="s">
        <v>286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210</v>
      </c>
      <c r="B891" t="s">
        <v>9</v>
      </c>
      <c r="C891">
        <v>9</v>
      </c>
      <c r="D891">
        <v>2980</v>
      </c>
      <c r="E891">
        <v>1</v>
      </c>
      <c r="F891" t="s">
        <v>264</v>
      </c>
      <c r="G891">
        <v>2</v>
      </c>
      <c r="H891" t="s">
        <v>307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210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210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210</v>
      </c>
      <c r="B894" t="s">
        <v>9</v>
      </c>
      <c r="C894">
        <v>9</v>
      </c>
      <c r="D894">
        <v>2705</v>
      </c>
      <c r="E894">
        <v>1</v>
      </c>
      <c r="F894" t="s">
        <v>264</v>
      </c>
      <c r="G894">
        <v>1</v>
      </c>
      <c r="H894" t="s">
        <v>286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210</v>
      </c>
      <c r="B895" t="s">
        <v>9</v>
      </c>
      <c r="C895">
        <v>9</v>
      </c>
      <c r="D895">
        <v>2769</v>
      </c>
      <c r="E895">
        <v>1</v>
      </c>
      <c r="F895" t="s">
        <v>264</v>
      </c>
      <c r="G895">
        <v>1</v>
      </c>
      <c r="H895" t="s">
        <v>286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267</v>
      </c>
      <c r="G896">
        <v>5</v>
      </c>
      <c r="H896" t="s">
        <v>285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300</v>
      </c>
      <c r="B897" t="s">
        <v>9</v>
      </c>
      <c r="C897">
        <v>9</v>
      </c>
      <c r="D897">
        <v>2838</v>
      </c>
      <c r="E897">
        <v>0</v>
      </c>
      <c r="F897" t="s">
        <v>265</v>
      </c>
      <c r="G897">
        <v>4</v>
      </c>
      <c r="H897" t="s">
        <v>285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300</v>
      </c>
      <c r="B898" t="s">
        <v>9</v>
      </c>
      <c r="C898">
        <v>9</v>
      </c>
      <c r="D898">
        <v>2427</v>
      </c>
      <c r="E898">
        <v>1</v>
      </c>
      <c r="F898" t="s">
        <v>279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300</v>
      </c>
      <c r="B899" t="s">
        <v>9</v>
      </c>
      <c r="C899">
        <v>9</v>
      </c>
      <c r="D899">
        <v>3047</v>
      </c>
      <c r="E899">
        <v>2</v>
      </c>
      <c r="F899" t="s">
        <v>265</v>
      </c>
      <c r="G899">
        <v>1</v>
      </c>
      <c r="H899" t="s">
        <v>307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300</v>
      </c>
      <c r="B900" t="s">
        <v>9</v>
      </c>
      <c r="C900">
        <v>9</v>
      </c>
      <c r="D900">
        <v>2866</v>
      </c>
      <c r="E900">
        <v>1</v>
      </c>
      <c r="F900" t="s">
        <v>209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300</v>
      </c>
      <c r="B901" t="s">
        <v>9</v>
      </c>
      <c r="C901">
        <v>9</v>
      </c>
      <c r="D901">
        <v>2763</v>
      </c>
      <c r="E901">
        <v>0</v>
      </c>
      <c r="F901" t="s">
        <v>279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300</v>
      </c>
      <c r="B902" t="s">
        <v>9</v>
      </c>
      <c r="C902">
        <v>9</v>
      </c>
      <c r="D902">
        <v>3056</v>
      </c>
      <c r="E902">
        <v>1</v>
      </c>
      <c r="F902" t="s">
        <v>279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300</v>
      </c>
      <c r="B903" t="s">
        <v>9</v>
      </c>
      <c r="C903">
        <v>9</v>
      </c>
      <c r="D903">
        <v>2719</v>
      </c>
      <c r="E903">
        <v>0</v>
      </c>
      <c r="F903" t="s">
        <v>265</v>
      </c>
      <c r="G903">
        <v>5</v>
      </c>
      <c r="H903" t="s">
        <v>285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300</v>
      </c>
      <c r="B904" t="s">
        <v>9</v>
      </c>
      <c r="C904">
        <v>9</v>
      </c>
      <c r="D904">
        <v>2911</v>
      </c>
      <c r="E904">
        <v>1</v>
      </c>
      <c r="F904" t="s">
        <v>265</v>
      </c>
      <c r="G904">
        <v>5</v>
      </c>
      <c r="H904" t="s">
        <v>285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300</v>
      </c>
      <c r="B905" t="s">
        <v>9</v>
      </c>
      <c r="C905">
        <v>9</v>
      </c>
      <c r="D905">
        <v>2858</v>
      </c>
      <c r="E905">
        <v>0</v>
      </c>
      <c r="F905" t="s">
        <v>265</v>
      </c>
      <c r="G905">
        <v>1</v>
      </c>
      <c r="H905" t="s">
        <v>307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300</v>
      </c>
      <c r="B906" t="s">
        <v>9</v>
      </c>
      <c r="C906">
        <v>9</v>
      </c>
      <c r="D906">
        <v>2965</v>
      </c>
      <c r="E906">
        <v>1</v>
      </c>
      <c r="F906" t="s">
        <v>265</v>
      </c>
      <c r="G906">
        <v>3</v>
      </c>
      <c r="H906" t="s">
        <v>307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300</v>
      </c>
      <c r="B907" t="s">
        <v>9</v>
      </c>
      <c r="C907">
        <v>9</v>
      </c>
      <c r="D907">
        <v>3486</v>
      </c>
      <c r="E907">
        <v>1</v>
      </c>
      <c r="F907" t="s">
        <v>209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300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300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300</v>
      </c>
      <c r="B910" t="s">
        <v>9</v>
      </c>
      <c r="C910">
        <v>9</v>
      </c>
      <c r="D910">
        <v>2744</v>
      </c>
      <c r="E910">
        <v>1</v>
      </c>
      <c r="F910" t="s">
        <v>265</v>
      </c>
      <c r="G910">
        <v>1</v>
      </c>
      <c r="H910" t="s">
        <v>286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300</v>
      </c>
      <c r="B911" t="s">
        <v>9</v>
      </c>
      <c r="C911">
        <v>9</v>
      </c>
      <c r="D911">
        <v>2564</v>
      </c>
      <c r="E911">
        <v>0</v>
      </c>
      <c r="F911" t="s">
        <v>265</v>
      </c>
      <c r="G911">
        <v>5</v>
      </c>
      <c r="H911" t="s">
        <v>285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300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300</v>
      </c>
      <c r="B913" t="s">
        <v>9</v>
      </c>
      <c r="C913">
        <v>9</v>
      </c>
      <c r="D913">
        <v>2779</v>
      </c>
      <c r="E913">
        <v>0</v>
      </c>
      <c r="F913" t="s">
        <v>279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267</v>
      </c>
      <c r="G914">
        <v>3</v>
      </c>
      <c r="H914" t="s">
        <v>307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300</v>
      </c>
      <c r="B915" t="s">
        <v>9</v>
      </c>
      <c r="C915">
        <v>9</v>
      </c>
      <c r="D915">
        <v>3032</v>
      </c>
      <c r="E915">
        <v>0</v>
      </c>
      <c r="F915" t="s">
        <v>265</v>
      </c>
      <c r="G915">
        <v>5</v>
      </c>
      <c r="H915" t="s">
        <v>285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300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300</v>
      </c>
      <c r="B917" t="s">
        <v>9</v>
      </c>
      <c r="C917">
        <v>9</v>
      </c>
      <c r="D917">
        <v>2891</v>
      </c>
      <c r="E917">
        <v>2</v>
      </c>
      <c r="F917" t="s">
        <v>265</v>
      </c>
      <c r="G917">
        <v>1</v>
      </c>
      <c r="H917" t="s">
        <v>307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300</v>
      </c>
      <c r="B918" t="s">
        <v>9</v>
      </c>
      <c r="C918">
        <v>9</v>
      </c>
      <c r="D918">
        <v>2799</v>
      </c>
      <c r="E918">
        <v>0</v>
      </c>
      <c r="F918" t="s">
        <v>265</v>
      </c>
      <c r="G918">
        <v>2</v>
      </c>
      <c r="H918" t="s">
        <v>307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300</v>
      </c>
      <c r="B919" t="s">
        <v>9</v>
      </c>
      <c r="C919">
        <v>9</v>
      </c>
      <c r="D919">
        <v>3197</v>
      </c>
      <c r="E919">
        <v>1</v>
      </c>
      <c r="F919" t="s">
        <v>265</v>
      </c>
      <c r="G919">
        <v>2</v>
      </c>
      <c r="H919" t="s">
        <v>307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300</v>
      </c>
      <c r="B920" t="s">
        <v>9</v>
      </c>
      <c r="C920">
        <v>9</v>
      </c>
      <c r="D920">
        <v>3013</v>
      </c>
      <c r="E920">
        <v>0</v>
      </c>
      <c r="F920" t="s">
        <v>265</v>
      </c>
      <c r="G920">
        <v>4</v>
      </c>
      <c r="H920" t="s">
        <v>285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300</v>
      </c>
      <c r="B921" t="s">
        <v>9</v>
      </c>
      <c r="C921">
        <v>9</v>
      </c>
      <c r="D921">
        <v>3393</v>
      </c>
      <c r="E921">
        <v>1</v>
      </c>
      <c r="F921" t="s">
        <v>265</v>
      </c>
      <c r="G921">
        <v>4</v>
      </c>
      <c r="H921" t="s">
        <v>285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300</v>
      </c>
      <c r="B922" t="s">
        <v>9</v>
      </c>
      <c r="C922">
        <v>9</v>
      </c>
      <c r="D922">
        <v>3290</v>
      </c>
      <c r="E922">
        <v>0</v>
      </c>
      <c r="F922" t="s">
        <v>303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301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300</v>
      </c>
      <c r="B924" t="s">
        <v>9</v>
      </c>
      <c r="C924">
        <v>9</v>
      </c>
      <c r="D924">
        <v>2551</v>
      </c>
      <c r="E924">
        <v>1</v>
      </c>
      <c r="F924" t="s">
        <v>230</v>
      </c>
      <c r="G924" t="s">
        <v>302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300</v>
      </c>
      <c r="B925" t="s">
        <v>9</v>
      </c>
      <c r="C925">
        <v>9</v>
      </c>
      <c r="D925">
        <v>2856</v>
      </c>
      <c r="E925">
        <v>0</v>
      </c>
      <c r="F925" t="s">
        <v>265</v>
      </c>
      <c r="G925">
        <v>1</v>
      </c>
      <c r="H925" t="s">
        <v>286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300</v>
      </c>
      <c r="B926" t="s">
        <v>9</v>
      </c>
      <c r="C926">
        <v>9</v>
      </c>
      <c r="D926">
        <v>2488</v>
      </c>
      <c r="E926">
        <v>1</v>
      </c>
      <c r="F926" t="s">
        <v>265</v>
      </c>
      <c r="G926">
        <v>3</v>
      </c>
      <c r="H926" t="s">
        <v>307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300</v>
      </c>
      <c r="B927" t="s">
        <v>9</v>
      </c>
      <c r="C927">
        <v>9</v>
      </c>
      <c r="D927">
        <v>2583</v>
      </c>
      <c r="E927">
        <v>0</v>
      </c>
      <c r="F927" t="s">
        <v>265</v>
      </c>
      <c r="G927">
        <v>5</v>
      </c>
      <c r="H927" t="s">
        <v>285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300</v>
      </c>
      <c r="B928" t="s">
        <v>9</v>
      </c>
      <c r="C928">
        <v>9</v>
      </c>
      <c r="D928">
        <v>2394</v>
      </c>
      <c r="E928">
        <v>0</v>
      </c>
      <c r="F928" t="s">
        <v>265</v>
      </c>
      <c r="G928">
        <v>4</v>
      </c>
      <c r="H928" t="s">
        <v>285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300</v>
      </c>
      <c r="B929" t="s">
        <v>9</v>
      </c>
      <c r="C929">
        <v>9</v>
      </c>
      <c r="D929">
        <v>2703</v>
      </c>
      <c r="E929">
        <v>0</v>
      </c>
      <c r="F929" t="s">
        <v>265</v>
      </c>
      <c r="G929">
        <v>1</v>
      </c>
      <c r="H929" t="s">
        <v>286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300</v>
      </c>
      <c r="B930" t="s">
        <v>9</v>
      </c>
      <c r="C930">
        <v>9</v>
      </c>
      <c r="D930">
        <v>2880</v>
      </c>
      <c r="E930">
        <v>1</v>
      </c>
      <c r="F930" t="s">
        <v>265</v>
      </c>
      <c r="G930">
        <v>4</v>
      </c>
      <c r="H930" t="s">
        <v>285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300</v>
      </c>
      <c r="B931" t="s">
        <v>9</v>
      </c>
      <c r="C931">
        <v>9</v>
      </c>
      <c r="D931">
        <v>2802</v>
      </c>
      <c r="E931">
        <v>0</v>
      </c>
      <c r="F931" t="s">
        <v>265</v>
      </c>
      <c r="G931">
        <v>3</v>
      </c>
      <c r="H931" t="s">
        <v>307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300</v>
      </c>
      <c r="B932" t="s">
        <v>9</v>
      </c>
      <c r="C932">
        <v>9</v>
      </c>
      <c r="D932">
        <v>2784</v>
      </c>
      <c r="E932">
        <v>2</v>
      </c>
      <c r="F932" t="s">
        <v>279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300</v>
      </c>
      <c r="B933" t="s">
        <v>9</v>
      </c>
      <c r="C933">
        <v>9</v>
      </c>
      <c r="D933">
        <v>2856</v>
      </c>
      <c r="E933">
        <v>0</v>
      </c>
      <c r="F933" t="s">
        <v>265</v>
      </c>
      <c r="G933">
        <v>3</v>
      </c>
      <c r="H933" t="s">
        <v>307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300</v>
      </c>
      <c r="B934" t="s">
        <v>9</v>
      </c>
      <c r="C934">
        <v>9</v>
      </c>
      <c r="D934">
        <v>3481</v>
      </c>
      <c r="E934">
        <v>0</v>
      </c>
      <c r="F934" t="s">
        <v>265</v>
      </c>
      <c r="G934">
        <v>4</v>
      </c>
      <c r="H934" t="s">
        <v>285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300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300</v>
      </c>
      <c r="B936" t="s">
        <v>9</v>
      </c>
      <c r="C936">
        <v>9</v>
      </c>
      <c r="D936">
        <v>2809</v>
      </c>
      <c r="E936">
        <v>1</v>
      </c>
      <c r="F936" t="s">
        <v>209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300</v>
      </c>
      <c r="B937" t="s">
        <v>9</v>
      </c>
      <c r="C937">
        <v>9</v>
      </c>
      <c r="D937">
        <v>2999</v>
      </c>
      <c r="E937">
        <v>0</v>
      </c>
      <c r="F937" t="s">
        <v>265</v>
      </c>
      <c r="G937">
        <v>5</v>
      </c>
      <c r="H937" t="s">
        <v>285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300</v>
      </c>
      <c r="B938" t="s">
        <v>9</v>
      </c>
      <c r="C938">
        <v>9</v>
      </c>
      <c r="D938">
        <v>2639</v>
      </c>
      <c r="E938">
        <v>1</v>
      </c>
      <c r="F938" t="s">
        <v>265</v>
      </c>
      <c r="G938">
        <v>2</v>
      </c>
      <c r="H938" t="s">
        <v>307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300</v>
      </c>
      <c r="B939" t="s">
        <v>9</v>
      </c>
      <c r="C939">
        <v>9</v>
      </c>
      <c r="D939">
        <v>2853</v>
      </c>
      <c r="E939">
        <v>0</v>
      </c>
      <c r="F939" t="s">
        <v>265</v>
      </c>
      <c r="G939">
        <v>2</v>
      </c>
      <c r="H939" t="s">
        <v>286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300</v>
      </c>
      <c r="B940" t="s">
        <v>9</v>
      </c>
      <c r="C940">
        <v>9</v>
      </c>
      <c r="D940">
        <v>3206</v>
      </c>
      <c r="E940">
        <v>1</v>
      </c>
      <c r="F940" t="s">
        <v>265</v>
      </c>
      <c r="G940">
        <v>4</v>
      </c>
      <c r="H940" t="s">
        <v>285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300</v>
      </c>
      <c r="B941" t="s">
        <v>9</v>
      </c>
      <c r="C941">
        <v>9</v>
      </c>
      <c r="D941">
        <v>3218</v>
      </c>
      <c r="E941">
        <v>0</v>
      </c>
      <c r="F941" t="s">
        <v>265</v>
      </c>
      <c r="G941">
        <v>3</v>
      </c>
      <c r="H941" t="s">
        <v>307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300</v>
      </c>
      <c r="B942" t="s">
        <v>9</v>
      </c>
      <c r="C942">
        <v>9</v>
      </c>
      <c r="D942">
        <v>2853</v>
      </c>
      <c r="E942">
        <v>2</v>
      </c>
      <c r="F942" t="s">
        <v>265</v>
      </c>
      <c r="G942">
        <v>3</v>
      </c>
      <c r="H942" t="s">
        <v>286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300</v>
      </c>
      <c r="B943" t="s">
        <v>9</v>
      </c>
      <c r="C943">
        <v>9</v>
      </c>
      <c r="D943">
        <v>2921</v>
      </c>
      <c r="E943">
        <v>0</v>
      </c>
      <c r="F943" t="s">
        <v>265</v>
      </c>
      <c r="G943">
        <v>1</v>
      </c>
      <c r="H943" t="s">
        <v>286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300</v>
      </c>
      <c r="B944" t="s">
        <v>9</v>
      </c>
      <c r="C944">
        <v>9</v>
      </c>
      <c r="D944">
        <v>2840</v>
      </c>
      <c r="E944">
        <v>0</v>
      </c>
      <c r="F944" t="s">
        <v>209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300</v>
      </c>
      <c r="B945" t="s">
        <v>9</v>
      </c>
      <c r="C945">
        <v>9</v>
      </c>
      <c r="D945">
        <v>3444</v>
      </c>
      <c r="E945">
        <v>0</v>
      </c>
      <c r="F945" t="s">
        <v>279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300</v>
      </c>
      <c r="B946" t="s">
        <v>9</v>
      </c>
      <c r="C946">
        <v>9</v>
      </c>
      <c r="D946">
        <v>2844</v>
      </c>
      <c r="E946">
        <v>0</v>
      </c>
      <c r="F946" t="s">
        <v>265</v>
      </c>
      <c r="G946">
        <v>2</v>
      </c>
      <c r="H946" t="s">
        <v>307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300</v>
      </c>
      <c r="B947" t="s">
        <v>9</v>
      </c>
      <c r="C947">
        <v>9</v>
      </c>
      <c r="D947">
        <v>2720</v>
      </c>
      <c r="E947">
        <v>0</v>
      </c>
      <c r="F947" t="s">
        <v>265</v>
      </c>
      <c r="G947">
        <v>4</v>
      </c>
      <c r="H947" t="s">
        <v>285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300</v>
      </c>
      <c r="B948" t="s">
        <v>9</v>
      </c>
      <c r="C948">
        <v>9</v>
      </c>
      <c r="D948">
        <v>2990</v>
      </c>
      <c r="E948">
        <v>1</v>
      </c>
      <c r="F948" t="s">
        <v>265</v>
      </c>
      <c r="G948">
        <v>4</v>
      </c>
      <c r="H948" t="s">
        <v>285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300</v>
      </c>
      <c r="B949" t="s">
        <v>9</v>
      </c>
      <c r="C949">
        <v>9</v>
      </c>
      <c r="D949">
        <v>2846</v>
      </c>
      <c r="E949">
        <v>4</v>
      </c>
      <c r="F949" t="s">
        <v>265</v>
      </c>
      <c r="G949">
        <v>1</v>
      </c>
      <c r="H949" t="s">
        <v>307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300</v>
      </c>
      <c r="B950" t="s">
        <v>9</v>
      </c>
      <c r="C950">
        <v>9</v>
      </c>
      <c r="D950">
        <v>2740</v>
      </c>
      <c r="E950">
        <v>1</v>
      </c>
      <c r="F950" t="s">
        <v>279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300</v>
      </c>
      <c r="B951" t="s">
        <v>9</v>
      </c>
      <c r="C951">
        <v>9</v>
      </c>
      <c r="D951">
        <v>2619</v>
      </c>
      <c r="E951">
        <v>2</v>
      </c>
      <c r="F951" t="s">
        <v>265</v>
      </c>
      <c r="G951">
        <v>1</v>
      </c>
      <c r="H951" t="s">
        <v>307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300</v>
      </c>
      <c r="B952" t="s">
        <v>9</v>
      </c>
      <c r="C952">
        <v>9</v>
      </c>
      <c r="D952">
        <v>3000</v>
      </c>
      <c r="E952">
        <v>1</v>
      </c>
      <c r="F952" t="s">
        <v>265</v>
      </c>
      <c r="G952">
        <v>2</v>
      </c>
      <c r="H952" t="s">
        <v>307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300</v>
      </c>
      <c r="B953" t="s">
        <v>9</v>
      </c>
      <c r="C953">
        <v>9</v>
      </c>
      <c r="D953">
        <v>2846</v>
      </c>
      <c r="E953">
        <v>3</v>
      </c>
      <c r="F953" t="s">
        <v>265</v>
      </c>
      <c r="G953">
        <v>4</v>
      </c>
      <c r="H953" t="s">
        <v>285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300</v>
      </c>
      <c r="B954" t="s">
        <v>9</v>
      </c>
      <c r="C954">
        <v>9</v>
      </c>
      <c r="D954">
        <v>2824</v>
      </c>
      <c r="E954">
        <v>2</v>
      </c>
      <c r="F954" t="s">
        <v>279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300</v>
      </c>
      <c r="B955" t="s">
        <v>9</v>
      </c>
      <c r="C955">
        <v>9</v>
      </c>
      <c r="D955">
        <v>3201</v>
      </c>
      <c r="E955">
        <v>0</v>
      </c>
      <c r="F955" t="s">
        <v>265</v>
      </c>
      <c r="G955">
        <v>5</v>
      </c>
      <c r="H955" t="s">
        <v>285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300</v>
      </c>
      <c r="B956" t="s">
        <v>9</v>
      </c>
      <c r="C956">
        <v>9</v>
      </c>
      <c r="D956">
        <v>2638</v>
      </c>
      <c r="E956">
        <v>0</v>
      </c>
      <c r="F956" t="s">
        <v>265</v>
      </c>
      <c r="G956">
        <v>3</v>
      </c>
      <c r="H956" t="s">
        <v>285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300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300</v>
      </c>
      <c r="B958" t="s">
        <v>9</v>
      </c>
      <c r="C958">
        <v>9</v>
      </c>
      <c r="D958">
        <v>2399</v>
      </c>
      <c r="E958">
        <v>0</v>
      </c>
      <c r="F958" t="s">
        <v>265</v>
      </c>
      <c r="G958">
        <v>3</v>
      </c>
      <c r="H958" t="s">
        <v>286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300</v>
      </c>
      <c r="B959" t="s">
        <v>9</v>
      </c>
      <c r="C959">
        <v>9</v>
      </c>
      <c r="D959">
        <v>3055</v>
      </c>
      <c r="E959">
        <v>1</v>
      </c>
      <c r="F959" t="s">
        <v>265</v>
      </c>
      <c r="G959">
        <v>1</v>
      </c>
      <c r="H959" t="s">
        <v>307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300</v>
      </c>
      <c r="B960" t="s">
        <v>9</v>
      </c>
      <c r="C960">
        <v>9</v>
      </c>
      <c r="D960">
        <v>2841</v>
      </c>
      <c r="E960">
        <v>0</v>
      </c>
      <c r="F960" t="s">
        <v>265</v>
      </c>
      <c r="G960">
        <v>5</v>
      </c>
      <c r="H960" t="s">
        <v>285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300</v>
      </c>
      <c r="B961" t="s">
        <v>9</v>
      </c>
      <c r="C961">
        <v>9</v>
      </c>
      <c r="D961">
        <v>2937</v>
      </c>
      <c r="E961">
        <v>0</v>
      </c>
      <c r="F961" t="s">
        <v>230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300</v>
      </c>
      <c r="B962" t="s">
        <v>9</v>
      </c>
      <c r="C962">
        <v>9</v>
      </c>
      <c r="D962">
        <v>2426</v>
      </c>
      <c r="E962">
        <v>0</v>
      </c>
      <c r="F962" t="s">
        <v>265</v>
      </c>
      <c r="G962">
        <v>1</v>
      </c>
      <c r="H962" t="s">
        <v>286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300</v>
      </c>
      <c r="B963" t="s">
        <v>9</v>
      </c>
      <c r="C963">
        <v>9</v>
      </c>
      <c r="D963">
        <v>2552</v>
      </c>
      <c r="E963">
        <v>1</v>
      </c>
      <c r="F963" t="s">
        <v>265</v>
      </c>
      <c r="G963">
        <v>3</v>
      </c>
      <c r="H963" t="s">
        <v>307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300</v>
      </c>
      <c r="B964" t="s">
        <v>9</v>
      </c>
      <c r="C964">
        <v>9</v>
      </c>
      <c r="D964">
        <v>2771</v>
      </c>
      <c r="E964">
        <v>2</v>
      </c>
      <c r="F964" t="s">
        <v>265</v>
      </c>
      <c r="G964">
        <v>1</v>
      </c>
      <c r="H964" t="s">
        <v>307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300</v>
      </c>
      <c r="B965" t="s">
        <v>9</v>
      </c>
      <c r="C965">
        <v>9</v>
      </c>
      <c r="D965">
        <v>2652</v>
      </c>
      <c r="E965">
        <v>2</v>
      </c>
      <c r="F965" t="s">
        <v>265</v>
      </c>
      <c r="G965">
        <v>4</v>
      </c>
      <c r="H965" t="s">
        <v>285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300</v>
      </c>
      <c r="B966" t="s">
        <v>9</v>
      </c>
      <c r="C966">
        <v>9</v>
      </c>
      <c r="D966">
        <v>2708</v>
      </c>
      <c r="E966">
        <v>0</v>
      </c>
      <c r="F966" t="s">
        <v>265</v>
      </c>
      <c r="G966">
        <v>1</v>
      </c>
      <c r="H966" t="s">
        <v>286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300</v>
      </c>
      <c r="B967" t="s">
        <v>9</v>
      </c>
      <c r="C967">
        <v>9</v>
      </c>
      <c r="D967">
        <v>2684</v>
      </c>
      <c r="E967">
        <v>1</v>
      </c>
      <c r="F967" t="s">
        <v>265</v>
      </c>
      <c r="G967">
        <v>1</v>
      </c>
      <c r="H967" t="s">
        <v>286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300</v>
      </c>
      <c r="B968" t="s">
        <v>9</v>
      </c>
      <c r="C968">
        <v>9</v>
      </c>
      <c r="D968">
        <v>3108</v>
      </c>
      <c r="E968">
        <v>3</v>
      </c>
      <c r="F968" t="s">
        <v>265</v>
      </c>
      <c r="G968">
        <v>4</v>
      </c>
      <c r="H968" t="s">
        <v>285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300</v>
      </c>
      <c r="B969" t="s">
        <v>9</v>
      </c>
      <c r="C969">
        <v>9</v>
      </c>
      <c r="D969">
        <v>2839</v>
      </c>
      <c r="E969">
        <v>1</v>
      </c>
      <c r="F969" t="s">
        <v>265</v>
      </c>
      <c r="G969">
        <v>1</v>
      </c>
      <c r="H969" t="s">
        <v>286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267</v>
      </c>
      <c r="G989">
        <v>5</v>
      </c>
      <c r="H989" t="s">
        <v>285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175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175</v>
      </c>
      <c r="B991" t="s">
        <v>9</v>
      </c>
      <c r="C991">
        <v>7</v>
      </c>
      <c r="D991">
        <v>3403</v>
      </c>
      <c r="E991">
        <v>3</v>
      </c>
      <c r="F991" t="s">
        <v>273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175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175</v>
      </c>
      <c r="B993" t="s">
        <v>9</v>
      </c>
      <c r="C993">
        <v>7</v>
      </c>
      <c r="D993">
        <v>2787</v>
      </c>
      <c r="E993">
        <v>1</v>
      </c>
      <c r="F993" t="s">
        <v>273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175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175</v>
      </c>
      <c r="B995" t="s">
        <v>9</v>
      </c>
      <c r="C995">
        <v>7</v>
      </c>
      <c r="D995">
        <v>3276</v>
      </c>
      <c r="E995">
        <v>4</v>
      </c>
      <c r="F995" t="s">
        <v>273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175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175</v>
      </c>
      <c r="B997" t="s">
        <v>9</v>
      </c>
      <c r="C997">
        <v>7</v>
      </c>
      <c r="D997">
        <v>3049</v>
      </c>
      <c r="E997">
        <v>1</v>
      </c>
      <c r="F997" t="s">
        <v>273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175</v>
      </c>
      <c r="B998" t="s">
        <v>9</v>
      </c>
      <c r="C998">
        <v>7</v>
      </c>
      <c r="D998">
        <v>2793</v>
      </c>
      <c r="E998">
        <v>0</v>
      </c>
      <c r="F998" t="s">
        <v>306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175</v>
      </c>
      <c r="B999" t="s">
        <v>9</v>
      </c>
      <c r="C999">
        <v>7</v>
      </c>
      <c r="D999">
        <v>3111</v>
      </c>
      <c r="E999">
        <v>1</v>
      </c>
      <c r="F999" t="s">
        <v>306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175</v>
      </c>
      <c r="B1000" t="s">
        <v>9</v>
      </c>
      <c r="C1000">
        <v>7</v>
      </c>
      <c r="D1000">
        <v>2990</v>
      </c>
      <c r="E1000">
        <v>0</v>
      </c>
      <c r="F1000" t="s">
        <v>273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175</v>
      </c>
      <c r="B1001" t="s">
        <v>9</v>
      </c>
      <c r="C1001">
        <v>7</v>
      </c>
      <c r="D1001">
        <v>3378</v>
      </c>
      <c r="E1001">
        <v>1</v>
      </c>
      <c r="F1001" t="s">
        <v>273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175</v>
      </c>
      <c r="B1002" t="s">
        <v>9</v>
      </c>
      <c r="C1002">
        <v>7</v>
      </c>
      <c r="D1002">
        <v>2940</v>
      </c>
      <c r="E1002">
        <v>3</v>
      </c>
      <c r="F1002" t="s">
        <v>306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175</v>
      </c>
      <c r="B1003" t="s">
        <v>9</v>
      </c>
      <c r="C1003">
        <v>7</v>
      </c>
      <c r="D1003">
        <v>3698</v>
      </c>
      <c r="E1003">
        <v>3</v>
      </c>
      <c r="F1003" t="s">
        <v>273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175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175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175</v>
      </c>
      <c r="B1006" t="s">
        <v>9</v>
      </c>
      <c r="C1006">
        <v>7</v>
      </c>
      <c r="D1006">
        <v>3535</v>
      </c>
      <c r="E1006">
        <v>2</v>
      </c>
      <c r="F1006" t="s">
        <v>273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175</v>
      </c>
      <c r="B1007" t="s">
        <v>9</v>
      </c>
      <c r="C1007">
        <v>7</v>
      </c>
      <c r="D1007">
        <v>3010</v>
      </c>
      <c r="E1007">
        <v>1</v>
      </c>
      <c r="F1007" t="s">
        <v>273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175</v>
      </c>
      <c r="B1008" t="s">
        <v>9</v>
      </c>
      <c r="C1008">
        <v>7</v>
      </c>
      <c r="D1008">
        <v>3005</v>
      </c>
      <c r="E1008">
        <v>2</v>
      </c>
      <c r="F1008" t="s">
        <v>273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175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175</v>
      </c>
      <c r="B1010" t="s">
        <v>9</v>
      </c>
      <c r="C1010">
        <v>7</v>
      </c>
      <c r="D1010">
        <v>3225</v>
      </c>
      <c r="E1010">
        <v>0</v>
      </c>
      <c r="F1010" t="s">
        <v>306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175</v>
      </c>
      <c r="B1011" t="s">
        <v>9</v>
      </c>
      <c r="C1011">
        <v>7</v>
      </c>
      <c r="D1011">
        <v>3020</v>
      </c>
      <c r="E1011">
        <v>1</v>
      </c>
      <c r="F1011" t="s">
        <v>273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175</v>
      </c>
      <c r="B1012" t="s">
        <v>9</v>
      </c>
      <c r="C1012">
        <v>7</v>
      </c>
      <c r="D1012">
        <v>2530</v>
      </c>
      <c r="E1012">
        <v>1</v>
      </c>
      <c r="F1012" t="s">
        <v>273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175</v>
      </c>
      <c r="B1013" t="s">
        <v>9</v>
      </c>
      <c r="C1013">
        <v>7</v>
      </c>
      <c r="D1013">
        <v>3259</v>
      </c>
      <c r="E1013">
        <v>1</v>
      </c>
      <c r="F1013" t="s">
        <v>306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175</v>
      </c>
      <c r="B1014" t="s">
        <v>9</v>
      </c>
      <c r="C1014">
        <v>7</v>
      </c>
      <c r="D1014">
        <v>2913</v>
      </c>
      <c r="E1014">
        <v>1</v>
      </c>
      <c r="F1014" t="s">
        <v>306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175</v>
      </c>
      <c r="B1015" t="s">
        <v>9</v>
      </c>
      <c r="C1015">
        <v>7</v>
      </c>
      <c r="D1015">
        <v>2901</v>
      </c>
      <c r="E1015">
        <v>0</v>
      </c>
      <c r="F1015" t="s">
        <v>306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175</v>
      </c>
      <c r="B1016" t="s">
        <v>9</v>
      </c>
      <c r="C1016">
        <v>7</v>
      </c>
      <c r="D1016">
        <v>3437</v>
      </c>
      <c r="E1016">
        <v>2</v>
      </c>
      <c r="F1016" t="s">
        <v>273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175</v>
      </c>
      <c r="B1017" t="s">
        <v>9</v>
      </c>
      <c r="C1017">
        <v>7</v>
      </c>
      <c r="D1017">
        <v>2966</v>
      </c>
      <c r="E1017">
        <v>2</v>
      </c>
      <c r="F1017" t="s">
        <v>208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175</v>
      </c>
      <c r="B1018" t="s">
        <v>9</v>
      </c>
      <c r="C1018">
        <v>7</v>
      </c>
      <c r="D1018">
        <v>3352</v>
      </c>
      <c r="E1018">
        <v>1</v>
      </c>
      <c r="F1018" t="s">
        <v>306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175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175</v>
      </c>
      <c r="B1020" t="s">
        <v>9</v>
      </c>
      <c r="C1020">
        <v>7</v>
      </c>
      <c r="D1020">
        <v>2535</v>
      </c>
      <c r="E1020">
        <v>1</v>
      </c>
      <c r="F1020" t="s">
        <v>273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175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175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175</v>
      </c>
      <c r="B1023" t="s">
        <v>9</v>
      </c>
      <c r="C1023">
        <v>7</v>
      </c>
      <c r="D1023">
        <v>3364</v>
      </c>
      <c r="E1023">
        <v>1</v>
      </c>
      <c r="F1023" t="s">
        <v>273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175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175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175</v>
      </c>
      <c r="B1026" t="s">
        <v>9</v>
      </c>
      <c r="C1026">
        <v>7</v>
      </c>
      <c r="D1026">
        <v>3416</v>
      </c>
      <c r="E1026">
        <v>0</v>
      </c>
      <c r="F1026" t="s">
        <v>273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175</v>
      </c>
      <c r="B1027" t="s">
        <v>9</v>
      </c>
      <c r="C1027">
        <v>7</v>
      </c>
      <c r="D1027">
        <v>2949</v>
      </c>
      <c r="E1027">
        <v>2</v>
      </c>
      <c r="F1027" t="s">
        <v>273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175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175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175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175</v>
      </c>
      <c r="B1031" t="s">
        <v>9</v>
      </c>
      <c r="C1031">
        <v>7</v>
      </c>
      <c r="D1031">
        <v>3045</v>
      </c>
      <c r="E1031">
        <v>0</v>
      </c>
      <c r="F1031" t="s">
        <v>273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175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175</v>
      </c>
      <c r="B1033" t="s">
        <v>9</v>
      </c>
      <c r="C1033">
        <v>7</v>
      </c>
      <c r="D1033">
        <v>2795</v>
      </c>
      <c r="E1033">
        <v>1</v>
      </c>
      <c r="F1033" t="s">
        <v>273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175</v>
      </c>
      <c r="B1034" t="s">
        <v>9</v>
      </c>
      <c r="C1034">
        <v>7</v>
      </c>
      <c r="D1034">
        <v>3324</v>
      </c>
      <c r="E1034">
        <v>0</v>
      </c>
      <c r="F1034" t="s">
        <v>273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175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175</v>
      </c>
      <c r="B1036" t="s">
        <v>9</v>
      </c>
      <c r="C1036">
        <v>7</v>
      </c>
      <c r="D1036">
        <v>2789</v>
      </c>
      <c r="E1036">
        <v>1</v>
      </c>
      <c r="F1036" t="s">
        <v>306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175</v>
      </c>
      <c r="B1037" t="s">
        <v>9</v>
      </c>
      <c r="C1037">
        <v>7</v>
      </c>
      <c r="D1037">
        <v>3263</v>
      </c>
      <c r="E1037">
        <v>1</v>
      </c>
      <c r="F1037" t="s">
        <v>306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175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175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207</v>
      </c>
    </row>
    <row r="1040" spans="1:13">
      <c r="A1040" t="s">
        <v>175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175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175</v>
      </c>
      <c r="B1042" t="s">
        <v>9</v>
      </c>
      <c r="C1042">
        <v>8</v>
      </c>
      <c r="D1042">
        <v>3251</v>
      </c>
      <c r="E1042">
        <v>1</v>
      </c>
      <c r="F1042" t="s">
        <v>306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175</v>
      </c>
      <c r="B1043" t="s">
        <v>9</v>
      </c>
      <c r="C1043">
        <v>8</v>
      </c>
      <c r="D1043">
        <v>3614</v>
      </c>
      <c r="E1043">
        <v>1</v>
      </c>
      <c r="F1043" t="s">
        <v>306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175</v>
      </c>
      <c r="B1044" t="s">
        <v>9</v>
      </c>
      <c r="C1044">
        <v>8</v>
      </c>
      <c r="D1044">
        <v>3238</v>
      </c>
      <c r="E1044">
        <v>1</v>
      </c>
      <c r="F1044" t="s">
        <v>273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175</v>
      </c>
      <c r="B1045" t="s">
        <v>9</v>
      </c>
      <c r="C1045">
        <v>8</v>
      </c>
      <c r="D1045">
        <v>3097</v>
      </c>
      <c r="E1045">
        <v>0</v>
      </c>
      <c r="F1045" t="s">
        <v>273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175</v>
      </c>
      <c r="B1046" t="s">
        <v>9</v>
      </c>
      <c r="C1046">
        <v>8</v>
      </c>
      <c r="D1046">
        <v>2801</v>
      </c>
      <c r="E1046">
        <v>0</v>
      </c>
      <c r="F1046" t="s">
        <v>273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175</v>
      </c>
      <c r="B1047" t="s">
        <v>9</v>
      </c>
      <c r="C1047">
        <v>8</v>
      </c>
      <c r="D1047">
        <v>3150</v>
      </c>
      <c r="E1047">
        <v>0</v>
      </c>
      <c r="F1047" t="s">
        <v>273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175</v>
      </c>
      <c r="B1048" t="s">
        <v>9</v>
      </c>
      <c r="C1048">
        <v>8</v>
      </c>
      <c r="D1048">
        <v>3588</v>
      </c>
      <c r="E1048">
        <v>1</v>
      </c>
      <c r="F1048" t="s">
        <v>273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175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175</v>
      </c>
      <c r="B1050" t="s">
        <v>9</v>
      </c>
      <c r="C1050">
        <v>8</v>
      </c>
      <c r="D1050">
        <v>3137</v>
      </c>
      <c r="E1050">
        <v>0</v>
      </c>
      <c r="F1050" t="s">
        <v>306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175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175</v>
      </c>
      <c r="B1052" t="s">
        <v>9</v>
      </c>
      <c r="C1052">
        <v>8</v>
      </c>
      <c r="D1052">
        <v>3479</v>
      </c>
      <c r="E1052">
        <v>1</v>
      </c>
      <c r="F1052" t="s">
        <v>273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175</v>
      </c>
      <c r="B1053" t="s">
        <v>9</v>
      </c>
      <c r="C1053">
        <v>8</v>
      </c>
      <c r="D1053">
        <v>3505</v>
      </c>
      <c r="E1053">
        <v>2</v>
      </c>
      <c r="F1053" t="s">
        <v>306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175</v>
      </c>
      <c r="B1054" t="s">
        <v>9</v>
      </c>
      <c r="C1054">
        <v>8</v>
      </c>
      <c r="D1054">
        <v>3378</v>
      </c>
      <c r="E1054">
        <v>1</v>
      </c>
      <c r="F1054" t="s">
        <v>273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175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175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175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175</v>
      </c>
      <c r="B1058" t="s">
        <v>9</v>
      </c>
      <c r="C1058">
        <v>8</v>
      </c>
      <c r="D1058">
        <v>3217</v>
      </c>
      <c r="E1058">
        <v>0</v>
      </c>
      <c r="F1058" t="s">
        <v>273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175</v>
      </c>
      <c r="B1059" t="s">
        <v>9</v>
      </c>
      <c r="C1059">
        <v>8</v>
      </c>
      <c r="D1059">
        <v>3453</v>
      </c>
      <c r="E1059">
        <v>0</v>
      </c>
      <c r="F1059" t="s">
        <v>273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175</v>
      </c>
      <c r="B1060" t="s">
        <v>9</v>
      </c>
      <c r="C1060">
        <v>8</v>
      </c>
      <c r="D1060">
        <v>3773</v>
      </c>
      <c r="E1060">
        <v>1</v>
      </c>
      <c r="F1060" t="s">
        <v>306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175</v>
      </c>
      <c r="B1061" t="s">
        <v>9</v>
      </c>
      <c r="C1061">
        <v>8</v>
      </c>
      <c r="D1061">
        <v>3152</v>
      </c>
      <c r="E1061">
        <v>2</v>
      </c>
      <c r="F1061" t="s">
        <v>273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175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175</v>
      </c>
      <c r="B1063" t="s">
        <v>9</v>
      </c>
      <c r="C1063">
        <v>8</v>
      </c>
      <c r="D1063">
        <v>3391</v>
      </c>
      <c r="E1063">
        <v>1</v>
      </c>
      <c r="F1063" t="s">
        <v>333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175</v>
      </c>
      <c r="B1064" t="s">
        <v>9</v>
      </c>
      <c r="C1064">
        <v>8</v>
      </c>
      <c r="D1064">
        <v>3826</v>
      </c>
      <c r="E1064">
        <v>0</v>
      </c>
      <c r="F1064" t="s">
        <v>273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301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301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301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301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301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301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301</v>
      </c>
      <c r="B1071" t="s">
        <v>32</v>
      </c>
      <c r="C1071">
        <v>5</v>
      </c>
      <c r="D1071">
        <v>1020</v>
      </c>
      <c r="E1071">
        <v>1</v>
      </c>
      <c r="F1071" t="s">
        <v>279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301</v>
      </c>
      <c r="B1072" t="s">
        <v>32</v>
      </c>
      <c r="C1072">
        <v>5</v>
      </c>
      <c r="D1072">
        <v>1937</v>
      </c>
      <c r="E1072">
        <v>1</v>
      </c>
      <c r="F1072" t="s">
        <v>279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301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301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301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301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334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334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334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334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334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334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334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334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301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301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301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301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301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301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301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301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301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301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301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301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301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8"/>
  <sheetViews>
    <sheetView topLeftCell="A19" zoomScale="85" zoomScaleNormal="85" workbookViewId="0">
      <selection activeCell="K39" sqref="K3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202" t="s">
        <v>235</v>
      </c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204"/>
    </row>
    <row r="3" spans="1:16" ht="15">
      <c r="A3" s="33" t="s">
        <v>213</v>
      </c>
      <c r="B3" s="32" t="s">
        <v>228</v>
      </c>
      <c r="C3" s="32" t="s">
        <v>234</v>
      </c>
      <c r="D3" s="32" t="s">
        <v>218</v>
      </c>
      <c r="E3" s="32" t="s">
        <v>228</v>
      </c>
      <c r="F3" s="32" t="s">
        <v>234</v>
      </c>
      <c r="G3" s="32" t="s">
        <v>223</v>
      </c>
      <c r="H3" s="32" t="s">
        <v>228</v>
      </c>
      <c r="I3" s="32" t="s">
        <v>234</v>
      </c>
      <c r="J3" s="51"/>
      <c r="K3" s="32" t="s">
        <v>228</v>
      </c>
      <c r="L3" s="52" t="s">
        <v>234</v>
      </c>
    </row>
    <row r="4" spans="1:16">
      <c r="A4" s="5" t="s">
        <v>216</v>
      </c>
      <c r="B4" s="6" t="s">
        <v>229</v>
      </c>
      <c r="C4" s="6" t="s">
        <v>207</v>
      </c>
      <c r="D4" s="6" t="s">
        <v>219</v>
      </c>
      <c r="E4" s="6" t="s">
        <v>229</v>
      </c>
      <c r="F4" s="6"/>
      <c r="G4" s="6" t="s">
        <v>224</v>
      </c>
      <c r="H4" s="6" t="s">
        <v>229</v>
      </c>
      <c r="I4" s="56" t="s">
        <v>207</v>
      </c>
      <c r="J4" s="53" t="s">
        <v>232</v>
      </c>
      <c r="K4" s="53" t="s">
        <v>34</v>
      </c>
      <c r="L4" s="54" t="s">
        <v>207</v>
      </c>
    </row>
    <row r="5" spans="1:16">
      <c r="A5" s="5" t="s">
        <v>215</v>
      </c>
      <c r="B5" s="6" t="s">
        <v>230</v>
      </c>
      <c r="C5" s="6" t="s">
        <v>207</v>
      </c>
      <c r="D5" s="6" t="s">
        <v>220</v>
      </c>
      <c r="E5" s="6" t="s">
        <v>230</v>
      </c>
      <c r="F5" s="56" t="s">
        <v>207</v>
      </c>
      <c r="G5" s="6" t="s">
        <v>225</v>
      </c>
      <c r="H5" s="6" t="s">
        <v>34</v>
      </c>
      <c r="I5" s="6" t="s">
        <v>207</v>
      </c>
      <c r="J5" s="6"/>
      <c r="K5" s="6"/>
      <c r="L5" s="55"/>
    </row>
    <row r="6" spans="1:16">
      <c r="A6" s="5" t="s">
        <v>214</v>
      </c>
      <c r="B6" s="6" t="s">
        <v>230</v>
      </c>
      <c r="C6" s="56" t="s">
        <v>207</v>
      </c>
      <c r="D6" s="6" t="s">
        <v>221</v>
      </c>
      <c r="E6" s="6" t="s">
        <v>230</v>
      </c>
      <c r="F6" s="6" t="s">
        <v>207</v>
      </c>
      <c r="G6" s="6" t="s">
        <v>226</v>
      </c>
      <c r="H6" s="6" t="s">
        <v>229</v>
      </c>
      <c r="I6" s="56" t="s">
        <v>207</v>
      </c>
      <c r="J6" s="6"/>
      <c r="K6" s="6"/>
      <c r="L6" s="55"/>
    </row>
    <row r="7" spans="1:16" ht="15" thickBot="1">
      <c r="A7" s="7" t="s">
        <v>217</v>
      </c>
      <c r="B7" s="8" t="s">
        <v>233</v>
      </c>
      <c r="C7" s="8" t="s">
        <v>207</v>
      </c>
      <c r="D7" s="8" t="s">
        <v>222</v>
      </c>
      <c r="E7" s="8" t="s">
        <v>231</v>
      </c>
      <c r="F7" s="8" t="s">
        <v>207</v>
      </c>
      <c r="G7" s="8" t="s">
        <v>227</v>
      </c>
      <c r="H7" s="8" t="s">
        <v>231</v>
      </c>
      <c r="I7" s="8" t="s">
        <v>207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205" t="s">
        <v>236</v>
      </c>
      <c r="E9" s="206"/>
      <c r="F9" s="206"/>
      <c r="G9" s="206"/>
      <c r="H9" s="206"/>
      <c r="I9" s="206"/>
      <c r="J9" s="206"/>
      <c r="K9" s="206"/>
      <c r="L9" s="206"/>
      <c r="M9" s="206"/>
      <c r="N9" s="206"/>
      <c r="O9" s="206"/>
      <c r="P9" s="207"/>
    </row>
    <row r="10" spans="1:16" ht="15">
      <c r="A10" s="33" t="s">
        <v>237</v>
      </c>
      <c r="B10" s="32" t="s">
        <v>228</v>
      </c>
      <c r="C10" s="32" t="s">
        <v>234</v>
      </c>
      <c r="D10" s="66" t="s">
        <v>238</v>
      </c>
      <c r="E10" s="65" t="s">
        <v>228</v>
      </c>
      <c r="F10" s="65" t="s">
        <v>234</v>
      </c>
      <c r="G10" s="65" t="s">
        <v>239</v>
      </c>
      <c r="H10" s="65" t="s">
        <v>228</v>
      </c>
      <c r="I10" s="65" t="s">
        <v>234</v>
      </c>
      <c r="J10" s="65" t="s">
        <v>187</v>
      </c>
      <c r="K10" s="65"/>
      <c r="L10" s="65" t="s">
        <v>228</v>
      </c>
      <c r="M10" s="65" t="s">
        <v>234</v>
      </c>
      <c r="N10" s="59"/>
      <c r="O10" s="65" t="s">
        <v>228</v>
      </c>
      <c r="P10" s="67" t="s">
        <v>234</v>
      </c>
    </row>
    <row r="11" spans="1:16">
      <c r="A11" s="5" t="s">
        <v>253</v>
      </c>
      <c r="B11" s="6" t="s">
        <v>230</v>
      </c>
      <c r="C11" s="68" t="s">
        <v>207</v>
      </c>
      <c r="D11" s="63" t="s">
        <v>240</v>
      </c>
      <c r="E11" s="59" t="s">
        <v>230</v>
      </c>
      <c r="F11" s="59" t="s">
        <v>207</v>
      </c>
      <c r="G11" s="59" t="s">
        <v>244</v>
      </c>
      <c r="H11" s="59" t="s">
        <v>34</v>
      </c>
      <c r="I11" s="59" t="s">
        <v>207</v>
      </c>
      <c r="J11" s="59" t="s">
        <v>248</v>
      </c>
      <c r="K11" s="59"/>
      <c r="L11" s="59" t="s">
        <v>34</v>
      </c>
      <c r="M11" s="59"/>
      <c r="N11" s="59" t="s">
        <v>252</v>
      </c>
      <c r="O11" s="59"/>
      <c r="P11" s="60" t="s">
        <v>207</v>
      </c>
    </row>
    <row r="12" spans="1:16">
      <c r="A12" s="5" t="s">
        <v>254</v>
      </c>
      <c r="B12" s="6" t="s">
        <v>34</v>
      </c>
      <c r="C12" s="68" t="s">
        <v>207</v>
      </c>
      <c r="D12" s="63" t="s">
        <v>241</v>
      </c>
      <c r="E12" s="59" t="s">
        <v>34</v>
      </c>
      <c r="F12" s="59" t="s">
        <v>207</v>
      </c>
      <c r="G12" s="59" t="s">
        <v>245</v>
      </c>
      <c r="H12" s="59" t="s">
        <v>229</v>
      </c>
      <c r="I12" s="59" t="s">
        <v>207</v>
      </c>
      <c r="J12" s="59" t="s">
        <v>249</v>
      </c>
      <c r="K12" s="59"/>
      <c r="L12" s="59" t="s">
        <v>229</v>
      </c>
      <c r="M12" s="59" t="s">
        <v>207</v>
      </c>
      <c r="N12" s="59"/>
      <c r="O12" s="59"/>
      <c r="P12" s="60"/>
    </row>
    <row r="13" spans="1:16">
      <c r="A13" s="5" t="s">
        <v>255</v>
      </c>
      <c r="B13" s="6" t="s">
        <v>230</v>
      </c>
      <c r="C13" s="68" t="s">
        <v>207</v>
      </c>
      <c r="D13" s="63" t="s">
        <v>242</v>
      </c>
      <c r="E13" s="59" t="s">
        <v>230</v>
      </c>
      <c r="F13" s="59" t="s">
        <v>207</v>
      </c>
      <c r="G13" s="59" t="s">
        <v>246</v>
      </c>
      <c r="H13" s="59" t="s">
        <v>230</v>
      </c>
      <c r="I13" s="59" t="s">
        <v>207</v>
      </c>
      <c r="J13" s="59" t="s">
        <v>250</v>
      </c>
      <c r="K13" s="59"/>
      <c r="L13" s="59" t="s">
        <v>229</v>
      </c>
      <c r="M13" s="59" t="s">
        <v>207</v>
      </c>
      <c r="N13" s="59"/>
      <c r="O13" s="59"/>
      <c r="P13" s="60"/>
    </row>
    <row r="14" spans="1:16" ht="15" thickBot="1">
      <c r="A14" s="7" t="s">
        <v>256</v>
      </c>
      <c r="B14" s="8" t="s">
        <v>229</v>
      </c>
      <c r="C14" s="69" t="s">
        <v>207</v>
      </c>
      <c r="D14" s="64" t="s">
        <v>243</v>
      </c>
      <c r="E14" s="61" t="s">
        <v>257</v>
      </c>
      <c r="F14" s="61" t="s">
        <v>207</v>
      </c>
      <c r="G14" s="61" t="s">
        <v>247</v>
      </c>
      <c r="H14" s="61" t="s">
        <v>257</v>
      </c>
      <c r="I14" s="61" t="s">
        <v>207</v>
      </c>
      <c r="J14" s="61" t="s">
        <v>251</v>
      </c>
      <c r="K14" s="61"/>
      <c r="L14" s="61" t="s">
        <v>257</v>
      </c>
      <c r="M14" s="61" t="s">
        <v>207</v>
      </c>
      <c r="N14" s="61"/>
      <c r="O14" s="61"/>
      <c r="P14" s="62"/>
    </row>
    <row r="17" spans="1:20" ht="15" thickBot="1"/>
    <row r="18" spans="1:20" ht="15" thickBot="1">
      <c r="F18" s="208" t="s">
        <v>264</v>
      </c>
      <c r="G18" s="209"/>
      <c r="H18" s="210"/>
      <c r="I18" s="211" t="s">
        <v>265</v>
      </c>
      <c r="J18" s="212"/>
      <c r="K18" s="213"/>
      <c r="L18" s="214" t="s">
        <v>18</v>
      </c>
      <c r="M18" s="215"/>
      <c r="N18" s="216"/>
      <c r="O18" s="217" t="s">
        <v>267</v>
      </c>
      <c r="P18" s="218"/>
      <c r="Q18" s="219"/>
      <c r="R18" s="199" t="s">
        <v>266</v>
      </c>
      <c r="S18" s="200"/>
      <c r="T18" s="201"/>
    </row>
    <row r="19" spans="1:20" ht="15.75" thickBot="1">
      <c r="C19" s="33" t="s">
        <v>260</v>
      </c>
      <c r="D19" s="32" t="s">
        <v>261</v>
      </c>
      <c r="E19" s="52" t="s">
        <v>262</v>
      </c>
      <c r="F19" s="85" t="s">
        <v>268</v>
      </c>
      <c r="G19" s="86" t="s">
        <v>308</v>
      </c>
      <c r="H19" s="87" t="s">
        <v>269</v>
      </c>
      <c r="I19" s="93" t="s">
        <v>268</v>
      </c>
      <c r="J19" s="94" t="s">
        <v>308</v>
      </c>
      <c r="K19" s="95" t="s">
        <v>269</v>
      </c>
      <c r="L19" s="101" t="s">
        <v>268</v>
      </c>
      <c r="M19" s="102" t="s">
        <v>308</v>
      </c>
      <c r="N19" s="103" t="s">
        <v>269</v>
      </c>
      <c r="O19" s="119" t="s">
        <v>268</v>
      </c>
      <c r="P19" s="120" t="s">
        <v>308</v>
      </c>
      <c r="Q19" s="121" t="s">
        <v>269</v>
      </c>
      <c r="R19" s="109" t="s">
        <v>268</v>
      </c>
      <c r="S19" s="110" t="s">
        <v>308</v>
      </c>
      <c r="T19" s="111" t="s">
        <v>269</v>
      </c>
    </row>
    <row r="20" spans="1:20" ht="15">
      <c r="A20" s="70" t="s">
        <v>263</v>
      </c>
      <c r="B20" s="75" t="s">
        <v>238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263</v>
      </c>
      <c r="B21" s="76" t="s">
        <v>240</v>
      </c>
      <c r="C21" s="5" t="s">
        <v>207</v>
      </c>
      <c r="D21" s="63" t="s">
        <v>342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263</v>
      </c>
      <c r="B22" s="76" t="s">
        <v>241</v>
      </c>
      <c r="C22" s="5" t="s">
        <v>207</v>
      </c>
      <c r="D22" s="63" t="s">
        <v>342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263</v>
      </c>
      <c r="B23" s="76" t="s">
        <v>242</v>
      </c>
      <c r="C23" s="5" t="s">
        <v>207</v>
      </c>
      <c r="D23" s="63" t="s">
        <v>342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263</v>
      </c>
      <c r="B24" s="77" t="s">
        <v>243</v>
      </c>
      <c r="C24" s="5" t="s">
        <v>207</v>
      </c>
      <c r="D24" s="63" t="s">
        <v>342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263</v>
      </c>
      <c r="B25" s="75" t="s">
        <v>239</v>
      </c>
      <c r="C25" s="5"/>
      <c r="D25" s="63" t="s">
        <v>345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263</v>
      </c>
      <c r="B26" s="76" t="s">
        <v>244</v>
      </c>
      <c r="C26" s="5" t="s">
        <v>207</v>
      </c>
      <c r="D26" s="63" t="s">
        <v>342</v>
      </c>
      <c r="E26" s="55"/>
      <c r="F26" s="88"/>
      <c r="G26" s="89"/>
      <c r="H26" s="90"/>
      <c r="I26" s="96"/>
      <c r="J26" s="97"/>
      <c r="K26" s="98"/>
      <c r="L26" s="104"/>
      <c r="M26" s="105"/>
      <c r="N26" s="106"/>
      <c r="O26" s="122"/>
      <c r="P26" s="123"/>
      <c r="Q26" s="124"/>
      <c r="R26" s="112"/>
      <c r="S26" s="113"/>
      <c r="T26" s="114"/>
    </row>
    <row r="27" spans="1:20">
      <c r="A27" s="71" t="s">
        <v>263</v>
      </c>
      <c r="B27" s="76" t="s">
        <v>245</v>
      </c>
      <c r="C27" s="5" t="s">
        <v>207</v>
      </c>
      <c r="D27" s="63" t="s">
        <v>342</v>
      </c>
      <c r="E27" s="55"/>
      <c r="F27" s="88"/>
      <c r="G27" s="89"/>
      <c r="H27" s="90"/>
      <c r="I27" s="96"/>
      <c r="J27" s="97"/>
      <c r="K27" s="98"/>
      <c r="L27" s="104"/>
      <c r="M27" s="105"/>
      <c r="N27" s="106"/>
      <c r="O27" s="122"/>
      <c r="P27" s="123"/>
      <c r="Q27" s="124"/>
      <c r="R27" s="112"/>
      <c r="S27" s="113"/>
      <c r="T27" s="114"/>
    </row>
    <row r="28" spans="1:20">
      <c r="A28" s="71" t="s">
        <v>263</v>
      </c>
      <c r="B28" s="76" t="s">
        <v>246</v>
      </c>
      <c r="C28" s="5" t="s">
        <v>207</v>
      </c>
      <c r="D28" s="63" t="s">
        <v>342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263</v>
      </c>
      <c r="B29" s="77" t="s">
        <v>247</v>
      </c>
      <c r="C29" s="5" t="s">
        <v>207</v>
      </c>
      <c r="D29" s="63" t="s">
        <v>342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263</v>
      </c>
      <c r="B30" s="75" t="s">
        <v>187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263</v>
      </c>
      <c r="B31" s="142" t="s">
        <v>248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263</v>
      </c>
      <c r="B32" s="76" t="s">
        <v>249</v>
      </c>
      <c r="C32" s="5" t="s">
        <v>207</v>
      </c>
      <c r="D32" s="63" t="s">
        <v>342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263</v>
      </c>
      <c r="B33" s="76" t="s">
        <v>250</v>
      </c>
      <c r="C33" s="5" t="s">
        <v>207</v>
      </c>
      <c r="D33" s="63" t="s">
        <v>342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263</v>
      </c>
      <c r="B34" s="77" t="s">
        <v>251</v>
      </c>
      <c r="C34" s="5" t="s">
        <v>207</v>
      </c>
      <c r="D34" s="63" t="s">
        <v>342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" thickBot="1">
      <c r="A35" s="71"/>
      <c r="B35" s="77" t="s">
        <v>236</v>
      </c>
      <c r="C35" s="5"/>
      <c r="D35" s="193"/>
      <c r="E35" s="55"/>
      <c r="F35" s="88"/>
      <c r="G35" s="89"/>
      <c r="H35" s="90"/>
      <c r="I35" s="96"/>
      <c r="J35" s="97"/>
      <c r="K35" s="98"/>
      <c r="L35" s="104"/>
      <c r="M35" s="105"/>
      <c r="N35" s="106"/>
      <c r="O35" s="122"/>
      <c r="P35" s="123">
        <v>5</v>
      </c>
      <c r="Q35" s="124">
        <v>15</v>
      </c>
      <c r="R35" s="112"/>
      <c r="S35" s="113">
        <v>10</v>
      </c>
      <c r="T35" s="114">
        <v>20</v>
      </c>
    </row>
    <row r="36" spans="1:21" ht="15.75" thickBot="1">
      <c r="A36" s="72" t="s">
        <v>263</v>
      </c>
      <c r="B36" s="78" t="s">
        <v>252</v>
      </c>
      <c r="C36" s="7" t="s">
        <v>207</v>
      </c>
      <c r="D36" s="64" t="s">
        <v>345</v>
      </c>
      <c r="E36" s="9"/>
      <c r="F36" s="88"/>
      <c r="G36" s="89"/>
      <c r="H36" s="90"/>
      <c r="I36" s="96"/>
      <c r="J36" s="97"/>
      <c r="K36" s="98"/>
      <c r="L36" s="104"/>
      <c r="M36" s="105"/>
      <c r="N36" s="106"/>
      <c r="O36" s="122">
        <v>20</v>
      </c>
      <c r="P36" s="123"/>
      <c r="Q36" s="124"/>
      <c r="R36" s="112"/>
      <c r="S36" s="113"/>
      <c r="T36" s="114"/>
    </row>
    <row r="37" spans="1:21">
      <c r="E37" s="71" t="s">
        <v>270</v>
      </c>
      <c r="F37" s="91">
        <f t="shared" ref="F37:T37" si="0">SUM(F$20:F$36)</f>
        <v>50</v>
      </c>
      <c r="G37" s="91">
        <f t="shared" si="0"/>
        <v>65</v>
      </c>
      <c r="H37" s="91">
        <f t="shared" si="0"/>
        <v>10</v>
      </c>
      <c r="I37" s="99">
        <f t="shared" si="0"/>
        <v>45</v>
      </c>
      <c r="J37" s="99">
        <f t="shared" si="0"/>
        <v>65</v>
      </c>
      <c r="K37" s="99">
        <f t="shared" si="0"/>
        <v>12</v>
      </c>
      <c r="L37" s="107">
        <f t="shared" si="0"/>
        <v>30</v>
      </c>
      <c r="M37" s="107">
        <f t="shared" si="0"/>
        <v>35</v>
      </c>
      <c r="N37" s="107">
        <f t="shared" si="0"/>
        <v>10</v>
      </c>
      <c r="O37" s="125">
        <f t="shared" si="0"/>
        <v>80</v>
      </c>
      <c r="P37" s="125">
        <f t="shared" si="0"/>
        <v>110</v>
      </c>
      <c r="Q37" s="125">
        <f t="shared" si="0"/>
        <v>35</v>
      </c>
      <c r="R37" s="115">
        <f t="shared" si="0"/>
        <v>0</v>
      </c>
      <c r="S37" s="115">
        <f t="shared" si="0"/>
        <v>10</v>
      </c>
      <c r="T37" s="117">
        <f t="shared" si="0"/>
        <v>20</v>
      </c>
    </row>
    <row r="38" spans="1:21">
      <c r="E38" s="71" t="s">
        <v>271</v>
      </c>
      <c r="F38" s="89">
        <v>261</v>
      </c>
      <c r="G38" s="89">
        <v>66</v>
      </c>
      <c r="H38" s="89">
        <v>36</v>
      </c>
      <c r="I38" s="97">
        <v>82</v>
      </c>
      <c r="J38" s="97">
        <v>49</v>
      </c>
      <c r="K38" s="97">
        <v>32</v>
      </c>
      <c r="L38" s="105">
        <v>90</v>
      </c>
      <c r="M38" s="105">
        <v>53</v>
      </c>
      <c r="N38" s="105">
        <v>31</v>
      </c>
      <c r="O38" s="123">
        <v>218</v>
      </c>
      <c r="P38" s="123">
        <v>76</v>
      </c>
      <c r="Q38" s="123">
        <v>59</v>
      </c>
      <c r="R38" s="113">
        <v>8</v>
      </c>
      <c r="S38" s="113">
        <v>19</v>
      </c>
      <c r="T38" s="114">
        <v>7</v>
      </c>
    </row>
    <row r="39" spans="1:21" ht="15.75" thickBot="1">
      <c r="E39" s="80" t="s">
        <v>119</v>
      </c>
      <c r="F39" s="92">
        <f>MAXA(F37-F38,0)</f>
        <v>0</v>
      </c>
      <c r="G39" s="92">
        <f t="shared" ref="G39:T39" si="1">MAXA(G37-G38,0)</f>
        <v>0</v>
      </c>
      <c r="H39" s="92">
        <f t="shared" si="1"/>
        <v>0</v>
      </c>
      <c r="I39" s="100">
        <f t="shared" si="1"/>
        <v>0</v>
      </c>
      <c r="J39" s="100">
        <f t="shared" si="1"/>
        <v>16</v>
      </c>
      <c r="K39" s="100">
        <f t="shared" si="1"/>
        <v>0</v>
      </c>
      <c r="L39" s="108">
        <f t="shared" si="1"/>
        <v>0</v>
      </c>
      <c r="M39" s="108">
        <f t="shared" si="1"/>
        <v>0</v>
      </c>
      <c r="N39" s="108">
        <f t="shared" si="1"/>
        <v>0</v>
      </c>
      <c r="O39" s="126">
        <f t="shared" si="1"/>
        <v>0</v>
      </c>
      <c r="P39" s="126">
        <f t="shared" si="1"/>
        <v>34</v>
      </c>
      <c r="Q39" s="126">
        <f t="shared" si="1"/>
        <v>0</v>
      </c>
      <c r="R39" s="116">
        <f t="shared" si="1"/>
        <v>0</v>
      </c>
      <c r="S39" s="116">
        <f t="shared" si="1"/>
        <v>0</v>
      </c>
      <c r="T39" s="118">
        <f t="shared" si="1"/>
        <v>13</v>
      </c>
    </row>
    <row r="40" spans="1:21">
      <c r="E40" s="73"/>
      <c r="F40" s="51"/>
      <c r="G40" s="197" t="s">
        <v>296</v>
      </c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8"/>
    </row>
    <row r="41" spans="1:21">
      <c r="E41" s="5">
        <v>9</v>
      </c>
      <c r="F41" s="6">
        <f>F$39/VLOOKUP(F$19,Tabela11[#All],6,FALSE)</f>
        <v>0</v>
      </c>
      <c r="G41" s="130">
        <f>G$39/VLOOKUP(G$19,Tabela11[#All],6,FALSE)</f>
        <v>0</v>
      </c>
      <c r="H41" s="130">
        <f>H$39/VLOOKUP(H$19,Tabela11[#All],6,FALSE)</f>
        <v>0</v>
      </c>
      <c r="I41" s="130">
        <f>I$39/VLOOKUP(I$19,Tabela11[#All],6,FALSE)</f>
        <v>0</v>
      </c>
      <c r="J41" s="130">
        <f>J$39/VLOOKUP(J$19,Tabela11[#All],6,FALSE)</f>
        <v>28.656716417910449</v>
      </c>
      <c r="K41" s="130">
        <f>K$39/VLOOKUP(K$19,Tabela11[#All],6,FALSE)</f>
        <v>0</v>
      </c>
      <c r="L41" s="130">
        <f>L$39/VLOOKUP(L$19,Tabela11[#All],6,FALSE)</f>
        <v>0</v>
      </c>
      <c r="M41" s="130">
        <f>M$39/VLOOKUP(M$19,Tabela11[#All],6,FALSE)</f>
        <v>0</v>
      </c>
      <c r="N41" s="130">
        <f>N$39/VLOOKUP(N$19,Tabela11[#All],6,FALSE)</f>
        <v>0</v>
      </c>
      <c r="O41" s="130">
        <f>O$39/VLOOKUP(O$19,Tabela11[#All],6,FALSE)</f>
        <v>0</v>
      </c>
      <c r="P41" s="130">
        <f>P$39/VLOOKUP(P$19,Tabela11[#All],6,FALSE)</f>
        <v>60.895522388059703</v>
      </c>
      <c r="Q41" s="130">
        <f>Q$39/VLOOKUP(Q$19,Tabela11[#All],6,FALSE)</f>
        <v>0</v>
      </c>
      <c r="R41" s="130">
        <f>R$39/VLOOKUP(R$19,Tabela11[#All],6,FALSE)</f>
        <v>0</v>
      </c>
      <c r="S41" s="130">
        <f>S$39/VLOOKUP(S$19,Tabela11[#All],6,FALSE)</f>
        <v>0</v>
      </c>
      <c r="T41" s="131">
        <f>T$39/VLOOKUP(T$19,Tabela11[#All],6,FALSE)</f>
        <v>48.75</v>
      </c>
    </row>
    <row r="42" spans="1:21">
      <c r="E42" s="5">
        <v>8</v>
      </c>
      <c r="F42" s="6">
        <f>F$39/VLOOKUP(F$19,Tabela11[#All],5,FALSE)</f>
        <v>0</v>
      </c>
      <c r="G42" s="130">
        <f>G$39/VLOOKUP(G$19,Tabela11[#All],5,FALSE)</f>
        <v>0</v>
      </c>
      <c r="H42" s="130">
        <f>H$39/VLOOKUP(H$19,Tabela11[#All],5,FALSE)</f>
        <v>0</v>
      </c>
      <c r="I42" s="130">
        <f>I$39/VLOOKUP(I$19,Tabela11[#All],5,FALSE)</f>
        <v>0</v>
      </c>
      <c r="J42" s="130">
        <f>J$39/VLOOKUP(J$19,Tabela11[#All],5,FALSE)</f>
        <v>73.142857142857139</v>
      </c>
      <c r="K42" s="130">
        <f>K$39/VLOOKUP(K$19,Tabela11[#All],5,FALSE)</f>
        <v>0</v>
      </c>
      <c r="L42" s="130">
        <f>L$39/VLOOKUP(L$19,Tabela11[#All],5,FALSE)</f>
        <v>0</v>
      </c>
      <c r="M42" s="130">
        <f>M$39/VLOOKUP(M$19,Tabela11[#All],5,FALSE)</f>
        <v>0</v>
      </c>
      <c r="N42" s="130">
        <f>N$39/VLOOKUP(N$19,Tabela11[#All],5,FALSE)</f>
        <v>0</v>
      </c>
      <c r="O42" s="130">
        <f>O$39/VLOOKUP(O$19,Tabela11[#All],5,FALSE)</f>
        <v>0</v>
      </c>
      <c r="P42" s="130">
        <f>P$39/VLOOKUP(P$19,Tabela11[#All],5,FALSE)</f>
        <v>155.42857142857142</v>
      </c>
      <c r="Q42" s="130">
        <f>Q$39/VLOOKUP(Q$19,Tabela11[#All],5,FALSE)</f>
        <v>0</v>
      </c>
      <c r="R42" s="130">
        <f>R$39/VLOOKUP(R$19,Tabela11[#All],5,FALSE)</f>
        <v>0</v>
      </c>
      <c r="S42" s="130">
        <f>S$39/VLOOKUP(S$19,Tabela11[#All],5,FALSE)</f>
        <v>0</v>
      </c>
      <c r="T42" s="131">
        <f>T$39/VLOOKUP(T$19,Tabela11[#All],5,FALSE)</f>
        <v>59.428571428571431</v>
      </c>
    </row>
    <row r="43" spans="1:21" ht="15" thickBot="1">
      <c r="E43" s="7">
        <v>7</v>
      </c>
      <c r="F43" s="8">
        <f>F$39/VLOOKUP(F$19,Tabela11[#All],4,FALSE)</f>
        <v>0</v>
      </c>
      <c r="G43" s="132">
        <f>G$39/VLOOKUP(G$19,Tabela11[#All],4,FALSE)</f>
        <v>0</v>
      </c>
      <c r="H43" s="132">
        <f>H$39/VLOOKUP(H$19,Tabela11[#All],4,FALSE)</f>
        <v>0</v>
      </c>
      <c r="I43" s="132">
        <f>I$39/VLOOKUP(I$19,Tabela11[#All],4,FALSE)</f>
        <v>0</v>
      </c>
      <c r="J43" s="132">
        <f>J$39/VLOOKUP(J$19,Tabela11[#All],4,FALSE)</f>
        <v>28.972972972972972</v>
      </c>
      <c r="K43" s="132">
        <f>K$39/VLOOKUP(K$19,Tabela11[#All],4,FALSE)</f>
        <v>0</v>
      </c>
      <c r="L43" s="132">
        <f>L$39/VLOOKUP(L$19,Tabela11[#All],4,FALSE)</f>
        <v>0</v>
      </c>
      <c r="M43" s="132">
        <f>M$39/VLOOKUP(M$19,Tabela11[#All],4,FALSE)</f>
        <v>0</v>
      </c>
      <c r="N43" s="132">
        <f>N$39/VLOOKUP(N$19,Tabela11[#All],4,FALSE)</f>
        <v>0</v>
      </c>
      <c r="O43" s="132">
        <f>O$39/VLOOKUP(O$19,Tabela11[#All],4,FALSE)</f>
        <v>0</v>
      </c>
      <c r="P43" s="132">
        <f>P$39/VLOOKUP(P$19,Tabela11[#All],4,FALSE)</f>
        <v>61.567567567567565</v>
      </c>
      <c r="Q43" s="132">
        <f>Q$39/VLOOKUP(Q$19,Tabela11[#All],4,FALSE)</f>
        <v>0</v>
      </c>
      <c r="R43" s="132">
        <f>R$39/VLOOKUP(R$19,Tabela11[#All],4,FALSE)</f>
        <v>0</v>
      </c>
      <c r="S43" s="132">
        <f>S$39/VLOOKUP(S$19,Tabela11[#All],4,FALSE)</f>
        <v>0</v>
      </c>
      <c r="T43" s="133">
        <f>T$39/VLOOKUP(T$19,Tabela11[#All],4,FALSE)</f>
        <v>96.777777777777771</v>
      </c>
    </row>
    <row r="44" spans="1:21" ht="15" thickBot="1"/>
    <row r="45" spans="1:21" ht="15.75" thickBot="1">
      <c r="E45" s="73"/>
      <c r="F45" s="51"/>
      <c r="G45" s="194" t="s">
        <v>295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6"/>
      <c r="U45" s="134" t="s">
        <v>297</v>
      </c>
    </row>
    <row r="46" spans="1:21">
      <c r="E46" s="5">
        <v>9</v>
      </c>
      <c r="F46" s="6">
        <f>F$39/VLOOKUP(F$19,Tabela11[#All],6,FALSE)*(7-12*0.065)</f>
        <v>0</v>
      </c>
      <c r="G46" s="138">
        <f>G$39/VLOOKUP(G$19,Tabela11[#All],6,FALSE)*(7-12*0.065)</f>
        <v>0</v>
      </c>
      <c r="H46" s="138">
        <f>H$39/VLOOKUP(H$19,Tabela11[#All],6,FALSE)*(7-12*0.065)</f>
        <v>0</v>
      </c>
      <c r="I46" s="138">
        <f>I$39/VLOOKUP(I$19,Tabela11[#All],6,FALSE)*(7-12*0.065)</f>
        <v>0</v>
      </c>
      <c r="J46" s="138">
        <f>J$39/VLOOKUP(J$19,Tabela11[#All],6,FALSE)*(7-12*0.065)</f>
        <v>178.24477611940299</v>
      </c>
      <c r="K46" s="138">
        <f>K$39/VLOOKUP(K$19,Tabela11[#All],6,FALSE)*(7-12*0.065)</f>
        <v>0</v>
      </c>
      <c r="L46" s="138">
        <f>L$39/VLOOKUP(L$19,Tabela11[#All],6,FALSE)*(7-12*0.065)</f>
        <v>0</v>
      </c>
      <c r="M46" s="138">
        <f>M$39/VLOOKUP(M$19,Tabela11[#All],6,FALSE)*(7-12*0.065)</f>
        <v>0</v>
      </c>
      <c r="N46" s="138">
        <f>N$39/VLOOKUP(N$19,Tabela11[#All],6,FALSE)*(7-12*0.065)</f>
        <v>0</v>
      </c>
      <c r="O46" s="138">
        <f>O$39/VLOOKUP(O$19,Tabela11[#All],6,FALSE)*(7-12*0.065)</f>
        <v>0</v>
      </c>
      <c r="P46" s="138">
        <f>P$39/VLOOKUP(P$19,Tabela11[#All],6,FALSE)*(7-12*0.065)</f>
        <v>378.77014925373135</v>
      </c>
      <c r="Q46" s="138">
        <f>Q$39/VLOOKUP(Q$19,Tabela11[#All],6,FALSE)*(7-12*0.065)</f>
        <v>0</v>
      </c>
      <c r="R46" s="138">
        <f>R$39/VLOOKUP(R$19,Tabela11[#All],6,FALSE)*(7-12*0.065)</f>
        <v>0</v>
      </c>
      <c r="S46" s="138">
        <f>S$39/VLOOKUP(S$19,Tabela11[#All],6,FALSE)*(7-12*0.065)</f>
        <v>0</v>
      </c>
      <c r="T46" s="139">
        <f>T$39/VLOOKUP(T$19,Tabela11[#All],6,FALSE)*(7-12*0.065)</f>
        <v>303.22499999999997</v>
      </c>
      <c r="U46" s="135">
        <f>MAX(F46:H46)+MAX(I46:K46)+MAX(L46:N46)+MAX(O46:Q46)+MAX(R46:T46)</f>
        <v>860.23992537313438</v>
      </c>
    </row>
    <row r="47" spans="1:21">
      <c r="E47" s="5">
        <v>8</v>
      </c>
      <c r="F47" s="6">
        <f>F$39/VLOOKUP(F$19,Tabela11[#All],5,FALSE)*(7-12*0.065)</f>
        <v>0</v>
      </c>
      <c r="G47" s="138">
        <f>G$39/VLOOKUP(G$19,Tabela11[#All],5,FALSE)*(7-12*0.065)</f>
        <v>0</v>
      </c>
      <c r="H47" s="138">
        <f>H$39/VLOOKUP(H$19,Tabela11[#All],5,FALSE)*(7-12*0.065)</f>
        <v>0</v>
      </c>
      <c r="I47" s="138">
        <f>I$39/VLOOKUP(I$19,Tabela11[#All],5,FALSE)*(7-12*0.065)</f>
        <v>0</v>
      </c>
      <c r="J47" s="138">
        <f>J$39/VLOOKUP(J$19,Tabela11[#All],5,FALSE)*(7-12*0.065)</f>
        <v>454.94857142857137</v>
      </c>
      <c r="K47" s="138">
        <f>K$39/VLOOKUP(K$19,Tabela11[#All],5,FALSE)*(7-12*0.065)</f>
        <v>0</v>
      </c>
      <c r="L47" s="138">
        <f>L$39/VLOOKUP(L$19,Tabela11[#All],5,FALSE)*(7-12*0.065)</f>
        <v>0</v>
      </c>
      <c r="M47" s="138">
        <f>M$39/VLOOKUP(M$19,Tabela11[#All],5,FALSE)*(7-12*0.065)</f>
        <v>0</v>
      </c>
      <c r="N47" s="138">
        <f>N$39/VLOOKUP(N$19,Tabela11[#All],5,FALSE)*(7-12*0.065)</f>
        <v>0</v>
      </c>
      <c r="O47" s="138">
        <f>O$39/VLOOKUP(O$19,Tabela11[#All],5,FALSE)*(7-12*0.065)</f>
        <v>0</v>
      </c>
      <c r="P47" s="138">
        <f>P$39/VLOOKUP(P$19,Tabela11[#All],5,FALSE)*(7-12*0.065)</f>
        <v>966.76571428571413</v>
      </c>
      <c r="Q47" s="138">
        <f>Q$39/VLOOKUP(Q$19,Tabela11[#All],5,FALSE)*(7-12*0.065)</f>
        <v>0</v>
      </c>
      <c r="R47" s="138">
        <f>R$39/VLOOKUP(R$19,Tabela11[#All],5,FALSE)*(7-12*0.065)</f>
        <v>0</v>
      </c>
      <c r="S47" s="138">
        <f>S$39/VLOOKUP(S$19,Tabela11[#All],5,FALSE)*(7-12*0.065)</f>
        <v>0</v>
      </c>
      <c r="T47" s="139">
        <f>T$39/VLOOKUP(T$19,Tabela11[#All],5,FALSE)*(7-12*0.065)</f>
        <v>369.64571428571429</v>
      </c>
      <c r="U47" s="136">
        <f>MAX(F47:H47)+MAX(I47:K47)+MAX(L47:N47)+MAX(O47:Q47)+MAX(R47:T47)</f>
        <v>1791.36</v>
      </c>
    </row>
    <row r="48" spans="1:21" ht="15" thickBot="1">
      <c r="E48" s="7">
        <v>7</v>
      </c>
      <c r="F48" s="8">
        <f>F$39/VLOOKUP(F$19,Tabela11[#All],4,FALSE)*(6-12*0.065)</f>
        <v>0</v>
      </c>
      <c r="G48" s="140">
        <f>G$39/VLOOKUP(G$19,Tabela11[#All],4,FALSE)*(6-12*0.065)</f>
        <v>0</v>
      </c>
      <c r="H48" s="140">
        <f>H$39/VLOOKUP(H$19,Tabela11[#All],4,FALSE)*(6-12*0.065)</f>
        <v>0</v>
      </c>
      <c r="I48" s="140">
        <f>I$39/VLOOKUP(I$19,Tabela11[#All],4,FALSE)*(6-12*0.065)</f>
        <v>0</v>
      </c>
      <c r="J48" s="140">
        <f>J$39/VLOOKUP(J$19,Tabela11[#All],4,FALSE)*(6-12*0.065)</f>
        <v>151.2389189189189</v>
      </c>
      <c r="K48" s="140">
        <f>K$39/VLOOKUP(K$19,Tabela11[#All],4,FALSE)*(6-12*0.065)</f>
        <v>0</v>
      </c>
      <c r="L48" s="140">
        <f>L$39/VLOOKUP(L$19,Tabela11[#All],4,FALSE)*(6-12*0.065)</f>
        <v>0</v>
      </c>
      <c r="M48" s="140">
        <f>M$39/VLOOKUP(M$19,Tabela11[#All],4,FALSE)*(6-12*0.065)</f>
        <v>0</v>
      </c>
      <c r="N48" s="140">
        <f>N$39/VLOOKUP(N$19,Tabela11[#All],4,FALSE)*(6-12*0.065)</f>
        <v>0</v>
      </c>
      <c r="O48" s="140">
        <f>O$39/VLOOKUP(O$19,Tabela11[#All],4,FALSE)*(6-12*0.065)</f>
        <v>0</v>
      </c>
      <c r="P48" s="140">
        <f>P$39/VLOOKUP(P$19,Tabela11[#All],4,FALSE)*(6-12*0.065)</f>
        <v>321.38270270270266</v>
      </c>
      <c r="Q48" s="140">
        <f>Q$39/VLOOKUP(Q$19,Tabela11[#All],4,FALSE)*(6-12*0.065)</f>
        <v>0</v>
      </c>
      <c r="R48" s="140">
        <f>R$39/VLOOKUP(R$19,Tabela11[#All],4,FALSE)*(6-12*0.065)</f>
        <v>0</v>
      </c>
      <c r="S48" s="140">
        <f>S$39/VLOOKUP(S$19,Tabela11[#All],4,FALSE)*(6-12*0.065)</f>
        <v>0</v>
      </c>
      <c r="T48" s="141">
        <f>T$39/VLOOKUP(T$19,Tabela11[#All],4,FALSE)*(6-12*0.065)</f>
        <v>505.17999999999995</v>
      </c>
      <c r="U48" s="137">
        <f>MAX(F48:H48)+MAX(I48:K48)+MAX(L48:N48)+MAX(O48:Q48)+MAX(R48:T48)</f>
        <v>977.80162162162151</v>
      </c>
    </row>
  </sheetData>
  <mergeCells count="9">
    <mergeCell ref="G45:T45"/>
    <mergeCell ref="G40:T40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179</v>
      </c>
      <c r="J1" s="79" t="s">
        <v>22</v>
      </c>
      <c r="K1" s="79" t="s">
        <v>56</v>
      </c>
      <c r="L1" s="79" t="s">
        <v>55</v>
      </c>
      <c r="M1" s="79" t="s">
        <v>183</v>
      </c>
      <c r="N1" s="79" t="s">
        <v>180</v>
      </c>
      <c r="O1" s="79" t="s">
        <v>185</v>
      </c>
      <c r="P1" s="79" t="s">
        <v>24</v>
      </c>
      <c r="Q1" s="79" t="s">
        <v>258</v>
      </c>
      <c r="R1" s="79" t="s">
        <v>272</v>
      </c>
      <c r="S1" s="79" t="s">
        <v>133</v>
      </c>
      <c r="T1" s="79" t="s">
        <v>132</v>
      </c>
      <c r="U1" t="s">
        <v>135</v>
      </c>
      <c r="V1" t="s">
        <v>136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334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259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175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230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301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175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259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300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210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277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210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284</v>
      </c>
    </row>
    <row r="2" spans="1:23">
      <c r="R2" s="220" t="s">
        <v>288</v>
      </c>
      <c r="S2" s="220"/>
      <c r="T2" s="220"/>
      <c r="U2" s="220"/>
      <c r="V2" s="220"/>
      <c r="W2" s="220"/>
    </row>
    <row r="3" spans="1:23" ht="15" thickBot="1">
      <c r="B3" s="11" t="s">
        <v>69</v>
      </c>
      <c r="G3" s="11" t="s">
        <v>274</v>
      </c>
      <c r="H3" s="11" t="s">
        <v>145</v>
      </c>
      <c r="Q3" s="6" t="s">
        <v>33</v>
      </c>
      <c r="R3" s="127" t="s">
        <v>289</v>
      </c>
      <c r="S3" s="128" t="s">
        <v>290</v>
      </c>
      <c r="T3" s="128" t="s">
        <v>291</v>
      </c>
      <c r="U3" s="128" t="s">
        <v>292</v>
      </c>
      <c r="V3" s="128" t="s">
        <v>293</v>
      </c>
      <c r="W3" s="129" t="s">
        <v>294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129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286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285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307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275</v>
      </c>
      <c r="H15" s="11" t="s">
        <v>145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176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142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210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277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N74"/>
  <sheetViews>
    <sheetView topLeftCell="A4" zoomScale="85" zoomScaleNormal="85" workbookViewId="0">
      <selection activeCell="A22" sqref="A22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115</v>
      </c>
      <c r="B1" s="147" t="s">
        <v>114</v>
      </c>
      <c r="C1" s="148" t="s">
        <v>315</v>
      </c>
      <c r="D1" s="148" t="s">
        <v>316</v>
      </c>
      <c r="E1" s="148" t="s">
        <v>317</v>
      </c>
      <c r="F1" s="147" t="s">
        <v>113</v>
      </c>
      <c r="G1" s="147" t="s">
        <v>112</v>
      </c>
      <c r="H1" s="147" t="s">
        <v>111</v>
      </c>
      <c r="I1" s="147" t="s">
        <v>110</v>
      </c>
      <c r="J1" s="147" t="s">
        <v>109</v>
      </c>
      <c r="K1" s="147" t="s">
        <v>108</v>
      </c>
      <c r="L1" s="147" t="s">
        <v>107</v>
      </c>
      <c r="M1" s="149" t="s">
        <v>106</v>
      </c>
      <c r="N1" s="147" t="s">
        <v>105</v>
      </c>
      <c r="O1" s="147" t="s">
        <v>104</v>
      </c>
      <c r="P1" s="147" t="s">
        <v>103</v>
      </c>
      <c r="Q1" s="147" t="s">
        <v>102</v>
      </c>
      <c r="R1" s="148" t="s">
        <v>318</v>
      </c>
      <c r="S1" s="147" t="s">
        <v>101</v>
      </c>
      <c r="T1" s="150" t="s">
        <v>100</v>
      </c>
      <c r="U1" s="149" t="s">
        <v>99</v>
      </c>
      <c r="V1" s="35"/>
      <c r="W1" s="35"/>
      <c r="X1" s="143" t="s">
        <v>312</v>
      </c>
      <c r="Y1" s="143" t="s">
        <v>309</v>
      </c>
      <c r="Z1" s="143" t="s">
        <v>310</v>
      </c>
      <c r="AA1" s="143" t="s">
        <v>311</v>
      </c>
      <c r="AB1" s="153" t="s">
        <v>357</v>
      </c>
      <c r="AC1" s="35"/>
      <c r="AD1" s="35"/>
      <c r="AE1" s="35" t="s">
        <v>5</v>
      </c>
      <c r="AF1" t="s">
        <v>98</v>
      </c>
      <c r="AG1" t="s">
        <v>97</v>
      </c>
      <c r="AH1" t="s">
        <v>84</v>
      </c>
      <c r="AJ1" s="143" t="s">
        <v>205</v>
      </c>
      <c r="AK1" s="143" t="s">
        <v>5</v>
      </c>
      <c r="AL1" t="s">
        <v>98</v>
      </c>
      <c r="AM1" t="s">
        <v>97</v>
      </c>
      <c r="AN1" t="s">
        <v>84</v>
      </c>
    </row>
    <row r="2" spans="1:40" ht="15" thickBot="1">
      <c r="A2" s="144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95</v>
      </c>
      <c r="B3" s="21"/>
      <c r="C3" s="21"/>
      <c r="D3" s="21"/>
      <c r="E3" s="21"/>
      <c r="F3" s="20">
        <f>$F$2+H3+K3*$AF$2+C3*0.35</f>
        <v>1.6400000000000001</v>
      </c>
      <c r="G3" s="20">
        <f>$G$2+I3+L3*$AG$2+D3*0.4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1207.0400000000002</v>
      </c>
      <c r="O3" s="37">
        <f t="shared" ref="O3:O28" si="3">O$2*$F3</f>
        <v>3444.0000000000005</v>
      </c>
      <c r="P3" s="37">
        <f t="shared" ref="P3" si="4">O3*G3</f>
        <v>5166.0000000000009</v>
      </c>
      <c r="Q3" s="20">
        <v>0.15</v>
      </c>
      <c r="R3" s="20">
        <f t="shared" ref="R3" si="5">MINA(Q3+M3*$AN$2+0.12*E3+J3, 1)</f>
        <v>0.35</v>
      </c>
      <c r="S3" s="37">
        <f t="shared" ref="S3" si="6">R3*P3+(1-R3)*O3</f>
        <v>4046.7000000000007</v>
      </c>
      <c r="T3" s="151">
        <v>5172.027000000001</v>
      </c>
      <c r="U3" s="152">
        <f t="shared" ref="U3" si="7">S3/T3-1</f>
        <v>-0.21757949059430659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95</v>
      </c>
      <c r="B4" s="21"/>
      <c r="C4" s="21"/>
      <c r="D4" s="21"/>
      <c r="E4" s="21"/>
      <c r="F4" s="20">
        <f t="shared" ref="F4:F28" si="8">$F$2+H4+K4*$AF$2+C4*0.35</f>
        <v>1.96</v>
      </c>
      <c r="G4" s="20">
        <f t="shared" ref="G4:G28" si="9">$G$2+I4+L4*$AG$2+D4*0.4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1442.56</v>
      </c>
      <c r="O4" s="37">
        <f t="shared" si="3"/>
        <v>4116</v>
      </c>
      <c r="P4" s="37">
        <f t="shared" si="0"/>
        <v>6174</v>
      </c>
      <c r="Q4" s="20">
        <v>0.15</v>
      </c>
      <c r="R4" s="20">
        <f t="shared" si="1"/>
        <v>0.35</v>
      </c>
      <c r="S4" s="37">
        <f t="shared" si="2"/>
        <v>4836.2999999999993</v>
      </c>
      <c r="T4" s="151">
        <v>5979.3678</v>
      </c>
      <c r="U4" s="152">
        <f t="shared" ref="U4:U17" si="10">S4/T4-1</f>
        <v>-0.19116867171141416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95</v>
      </c>
      <c r="B5" s="21"/>
      <c r="C5" s="21"/>
      <c r="D5" s="21"/>
      <c r="E5" s="21"/>
      <c r="F5" s="20">
        <f t="shared" si="8"/>
        <v>1.6400000000000001</v>
      </c>
      <c r="G5" s="20">
        <f t="shared" si="9"/>
        <v>1.92</v>
      </c>
      <c r="H5" s="20">
        <f>H4</f>
        <v>0</v>
      </c>
      <c r="I5" s="20">
        <f t="shared" ref="I5:J6" si="11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2">N$2*$F5</f>
        <v>1207.0400000000002</v>
      </c>
      <c r="O5" s="37">
        <f t="shared" si="3"/>
        <v>3444.0000000000005</v>
      </c>
      <c r="P5" s="37">
        <f t="shared" si="0"/>
        <v>6612.4800000000005</v>
      </c>
      <c r="Q5" s="20">
        <f>Q4</f>
        <v>0.15</v>
      </c>
      <c r="R5" s="20">
        <f t="shared" si="1"/>
        <v>0.35</v>
      </c>
      <c r="S5" s="37">
        <f t="shared" si="2"/>
        <v>4552.9680000000008</v>
      </c>
      <c r="T5" s="151">
        <v>5859.1050000000014</v>
      </c>
      <c r="U5" s="152">
        <f t="shared" si="10"/>
        <v>-0.22292432035268195</v>
      </c>
      <c r="V5" s="18"/>
      <c r="W5" s="18"/>
      <c r="X5" s="145" t="s">
        <v>357</v>
      </c>
      <c r="Y5" s="145"/>
      <c r="Z5" s="145"/>
      <c r="AA5" s="145"/>
      <c r="AB5" s="50">
        <v>29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95</v>
      </c>
      <c r="B6" s="21"/>
      <c r="C6" s="21"/>
      <c r="D6" s="21"/>
      <c r="E6" s="21"/>
      <c r="F6" s="20">
        <f t="shared" si="8"/>
        <v>1.6400000000000001</v>
      </c>
      <c r="G6" s="20">
        <f t="shared" si="9"/>
        <v>1.5</v>
      </c>
      <c r="H6" s="20">
        <f>H5</f>
        <v>0</v>
      </c>
      <c r="I6" s="20">
        <f t="shared" si="11"/>
        <v>0</v>
      </c>
      <c r="J6" s="20">
        <f t="shared" si="11"/>
        <v>0.2</v>
      </c>
      <c r="K6" s="22">
        <v>2</v>
      </c>
      <c r="L6" s="22"/>
      <c r="M6" s="22">
        <v>1</v>
      </c>
      <c r="N6" s="37">
        <f t="shared" si="12"/>
        <v>1207.0400000000002</v>
      </c>
      <c r="O6" s="37">
        <f t="shared" si="3"/>
        <v>3444.0000000000005</v>
      </c>
      <c r="P6" s="37">
        <f t="shared" si="0"/>
        <v>5166.0000000000009</v>
      </c>
      <c r="Q6" s="20">
        <f>Q5</f>
        <v>0.15</v>
      </c>
      <c r="R6" s="20">
        <f t="shared" si="1"/>
        <v>0.65999999999999992</v>
      </c>
      <c r="S6" s="37">
        <f t="shared" si="2"/>
        <v>4580.5200000000004</v>
      </c>
      <c r="T6" s="151">
        <v>5879.3385000000007</v>
      </c>
      <c r="U6" s="152">
        <f t="shared" si="10"/>
        <v>-0.22091235263967202</v>
      </c>
      <c r="V6" s="18"/>
      <c r="W6" s="18"/>
      <c r="X6" s="18"/>
      <c r="Y6" s="18"/>
      <c r="Z6" s="18"/>
      <c r="AA6" s="18"/>
      <c r="AB6" s="18"/>
      <c r="AC6" s="18"/>
      <c r="AD6" t="s">
        <v>205</v>
      </c>
      <c r="AE6" t="s">
        <v>196</v>
      </c>
      <c r="AF6" t="s">
        <v>105</v>
      </c>
      <c r="AG6" t="s">
        <v>83</v>
      </c>
      <c r="AH6" t="s">
        <v>84</v>
      </c>
    </row>
    <row r="7" spans="1:40" ht="15" thickBot="1">
      <c r="A7" s="144" t="s">
        <v>87</v>
      </c>
      <c r="B7" s="21"/>
      <c r="C7" s="21">
        <v>1</v>
      </c>
      <c r="D7" s="21"/>
      <c r="E7" s="21"/>
      <c r="F7" s="20">
        <f t="shared" si="8"/>
        <v>2.31</v>
      </c>
      <c r="G7" s="20">
        <f t="shared" si="9"/>
        <v>1.5</v>
      </c>
      <c r="H7" s="20">
        <f t="shared" ref="H7:J8" si="13">H6</f>
        <v>0</v>
      </c>
      <c r="I7" s="20">
        <f t="shared" si="13"/>
        <v>0</v>
      </c>
      <c r="J7" s="20">
        <f t="shared" si="13"/>
        <v>0.2</v>
      </c>
      <c r="K7" s="22">
        <v>3</v>
      </c>
      <c r="L7" s="22"/>
      <c r="M7" s="22"/>
      <c r="N7" s="37">
        <f t="shared" si="12"/>
        <v>1700.16</v>
      </c>
      <c r="O7" s="37">
        <f t="shared" si="3"/>
        <v>4851</v>
      </c>
      <c r="P7" s="37">
        <f t="shared" si="0"/>
        <v>7276.5</v>
      </c>
      <c r="Q7" s="20">
        <f>Q5</f>
        <v>0.15</v>
      </c>
      <c r="R7" s="20">
        <f t="shared" si="1"/>
        <v>0.35</v>
      </c>
      <c r="S7" s="37">
        <f t="shared" si="2"/>
        <v>5699.9249999999993</v>
      </c>
      <c r="T7" s="151">
        <v>6862.3968000000004</v>
      </c>
      <c r="U7" s="152">
        <f t="shared" si="10"/>
        <v>-0.16939734525406647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313</v>
      </c>
      <c r="AF7" s="1">
        <v>4</v>
      </c>
      <c r="AG7" s="1">
        <v>4</v>
      </c>
      <c r="AH7" s="1">
        <v>3</v>
      </c>
    </row>
    <row r="8" spans="1:40" ht="15" thickBot="1">
      <c r="A8" s="144" t="s">
        <v>86</v>
      </c>
      <c r="B8" s="21"/>
      <c r="C8" s="21"/>
      <c r="D8" s="21">
        <v>1</v>
      </c>
      <c r="E8" s="21"/>
      <c r="F8" s="20">
        <f t="shared" si="8"/>
        <v>1.96</v>
      </c>
      <c r="G8" s="20">
        <f t="shared" si="9"/>
        <v>1.9</v>
      </c>
      <c r="H8" s="20">
        <f t="shared" si="13"/>
        <v>0</v>
      </c>
      <c r="I8" s="20">
        <f t="shared" si="13"/>
        <v>0</v>
      </c>
      <c r="J8" s="20">
        <f t="shared" si="13"/>
        <v>0.2</v>
      </c>
      <c r="K8" s="22">
        <v>3</v>
      </c>
      <c r="L8" s="22"/>
      <c r="M8" s="22"/>
      <c r="N8" s="37">
        <f t="shared" si="12"/>
        <v>1442.56</v>
      </c>
      <c r="O8" s="37">
        <f t="shared" si="3"/>
        <v>4116</v>
      </c>
      <c r="P8" s="37">
        <f t="shared" si="0"/>
        <v>7820.4</v>
      </c>
      <c r="Q8" s="20">
        <f t="shared" ref="Q8:Q28" si="14">Q7</f>
        <v>0.15</v>
      </c>
      <c r="R8" s="20">
        <f t="shared" si="1"/>
        <v>0.35</v>
      </c>
      <c r="S8" s="37">
        <f t="shared" si="2"/>
        <v>5412.54</v>
      </c>
      <c r="T8" s="151">
        <v>6735.8717999999999</v>
      </c>
      <c r="U8" s="152">
        <f t="shared" si="10"/>
        <v>-0.19646036018678381</v>
      </c>
      <c r="V8" s="18"/>
      <c r="W8" s="18"/>
      <c r="X8" s="18"/>
      <c r="Y8" s="18"/>
      <c r="Z8" t="s">
        <v>94</v>
      </c>
      <c r="AD8" t="s">
        <v>26</v>
      </c>
      <c r="AE8" t="s">
        <v>314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89</v>
      </c>
      <c r="B9" s="21"/>
      <c r="C9" s="21"/>
      <c r="D9" s="21"/>
      <c r="E9" s="21">
        <v>3</v>
      </c>
      <c r="F9" s="20">
        <f t="shared" si="8"/>
        <v>1.96</v>
      </c>
      <c r="G9" s="20">
        <f t="shared" si="9"/>
        <v>1.5</v>
      </c>
      <c r="H9" s="20">
        <f t="shared" ref="H9:H28" si="15">H8</f>
        <v>0</v>
      </c>
      <c r="I9" s="20">
        <f t="shared" ref="I9:I18" si="16">I8</f>
        <v>0</v>
      </c>
      <c r="J9" s="20">
        <f t="shared" ref="J9:J18" si="17">J8</f>
        <v>0.2</v>
      </c>
      <c r="K9" s="22">
        <v>3</v>
      </c>
      <c r="L9" s="22"/>
      <c r="M9" s="22"/>
      <c r="N9" s="37">
        <f t="shared" si="12"/>
        <v>1442.56</v>
      </c>
      <c r="O9" s="37">
        <f t="shared" si="3"/>
        <v>4116</v>
      </c>
      <c r="P9" s="37">
        <f t="shared" si="0"/>
        <v>6174</v>
      </c>
      <c r="Q9" s="20">
        <f t="shared" si="14"/>
        <v>0.15</v>
      </c>
      <c r="R9" s="20">
        <f t="shared" ref="R9:R17" si="18">MINA(Q9+M9*$AN$2+0.12*E9+J9, 1)</f>
        <v>0.71</v>
      </c>
      <c r="S9" s="37">
        <f t="shared" ref="S9:S17" si="19">R9*P9+(1-R9)*O9</f>
        <v>5577.18</v>
      </c>
      <c r="T9" s="151">
        <v>6928.9794000000002</v>
      </c>
      <c r="U9" s="152">
        <f t="shared" si="10"/>
        <v>-0.19509358044851455</v>
      </c>
      <c r="V9" s="18"/>
      <c r="W9" s="18"/>
      <c r="X9" s="18" t="s">
        <v>117</v>
      </c>
      <c r="Y9" s="34" t="s">
        <v>93</v>
      </c>
      <c r="Z9" s="33" t="s">
        <v>92</v>
      </c>
      <c r="AA9" s="32" t="s">
        <v>91</v>
      </c>
      <c r="AB9" s="31" t="s">
        <v>90</v>
      </c>
    </row>
    <row r="10" spans="1:40" ht="15" thickBot="1">
      <c r="A10" s="144" t="s">
        <v>88</v>
      </c>
      <c r="B10" s="21"/>
      <c r="C10" s="21">
        <v>1</v>
      </c>
      <c r="D10" s="21"/>
      <c r="E10" s="21">
        <v>1</v>
      </c>
      <c r="F10" s="20">
        <f t="shared" si="8"/>
        <v>2.31</v>
      </c>
      <c r="G10" s="20">
        <f t="shared" si="9"/>
        <v>1.5</v>
      </c>
      <c r="H10" s="20">
        <f t="shared" si="15"/>
        <v>0</v>
      </c>
      <c r="I10" s="20">
        <f t="shared" si="16"/>
        <v>0</v>
      </c>
      <c r="J10" s="20">
        <f t="shared" si="17"/>
        <v>0.2</v>
      </c>
      <c r="K10" s="22">
        <v>3</v>
      </c>
      <c r="L10" s="22"/>
      <c r="M10" s="22"/>
      <c r="N10" s="37">
        <f t="shared" si="12"/>
        <v>1700.16</v>
      </c>
      <c r="O10" s="37">
        <f t="shared" si="3"/>
        <v>4851</v>
      </c>
      <c r="P10" s="37">
        <f t="shared" si="0"/>
        <v>7276.5</v>
      </c>
      <c r="Q10" s="20">
        <f t="shared" si="14"/>
        <v>0.15</v>
      </c>
      <c r="R10" s="20">
        <f t="shared" si="18"/>
        <v>0.47000000000000003</v>
      </c>
      <c r="S10" s="37">
        <f t="shared" si="19"/>
        <v>5990.9850000000006</v>
      </c>
      <c r="T10" s="151">
        <v>7225.68</v>
      </c>
      <c r="U10" s="152">
        <f t="shared" si="10"/>
        <v>-0.17087595907928388</v>
      </c>
      <c r="V10" s="18"/>
      <c r="W10" s="18"/>
      <c r="X10" s="18" t="s">
        <v>118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313</v>
      </c>
      <c r="AF10">
        <v>5</v>
      </c>
      <c r="AG10">
        <v>6</v>
      </c>
      <c r="AH10">
        <v>4</v>
      </c>
    </row>
    <row r="11" spans="1:40" ht="15" thickBot="1">
      <c r="A11" s="144" t="s">
        <v>116</v>
      </c>
      <c r="B11" s="21"/>
      <c r="C11" s="21"/>
      <c r="D11" s="21">
        <v>1</v>
      </c>
      <c r="E11" s="21">
        <v>1</v>
      </c>
      <c r="F11" s="20">
        <f t="shared" si="8"/>
        <v>1.96</v>
      </c>
      <c r="G11" s="20">
        <f t="shared" si="9"/>
        <v>1.9</v>
      </c>
      <c r="H11" s="20">
        <f t="shared" si="15"/>
        <v>0</v>
      </c>
      <c r="I11" s="20">
        <f t="shared" si="16"/>
        <v>0</v>
      </c>
      <c r="J11" s="20">
        <f t="shared" si="17"/>
        <v>0.2</v>
      </c>
      <c r="K11" s="22">
        <v>3</v>
      </c>
      <c r="L11" s="22"/>
      <c r="M11" s="22"/>
      <c r="N11" s="37">
        <f t="shared" si="12"/>
        <v>1442.56</v>
      </c>
      <c r="O11" s="37">
        <f t="shared" si="3"/>
        <v>4116</v>
      </c>
      <c r="P11" s="37">
        <f t="shared" si="0"/>
        <v>7820.4</v>
      </c>
      <c r="Q11" s="20">
        <f t="shared" si="14"/>
        <v>0.15</v>
      </c>
      <c r="R11" s="20">
        <f t="shared" si="18"/>
        <v>0.47000000000000003</v>
      </c>
      <c r="S11" s="37">
        <f t="shared" si="19"/>
        <v>5857.0680000000002</v>
      </c>
      <c r="T11" s="151">
        <v>7291.3050000000003</v>
      </c>
      <c r="U11" s="152">
        <f t="shared" si="10"/>
        <v>-0.19670511657378209</v>
      </c>
      <c r="V11" s="18"/>
      <c r="W11" s="18"/>
      <c r="X11" s="18" t="s">
        <v>118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314</v>
      </c>
      <c r="AF11">
        <v>2.25</v>
      </c>
      <c r="AG11">
        <v>3</v>
      </c>
      <c r="AH11">
        <v>2.25</v>
      </c>
    </row>
    <row r="12" spans="1:40" ht="15" thickBot="1">
      <c r="A12" s="144" t="s">
        <v>89</v>
      </c>
      <c r="B12" s="21"/>
      <c r="C12" s="21"/>
      <c r="D12" s="21"/>
      <c r="E12" s="21">
        <v>3</v>
      </c>
      <c r="F12" s="20">
        <f t="shared" si="8"/>
        <v>1.6400000000000001</v>
      </c>
      <c r="G12" s="20">
        <f t="shared" si="9"/>
        <v>1.92</v>
      </c>
      <c r="H12" s="20">
        <f t="shared" si="15"/>
        <v>0</v>
      </c>
      <c r="I12" s="20">
        <f t="shared" si="16"/>
        <v>0</v>
      </c>
      <c r="J12" s="20">
        <f t="shared" si="17"/>
        <v>0.2</v>
      </c>
      <c r="K12" s="22">
        <v>2</v>
      </c>
      <c r="L12" s="22">
        <v>1</v>
      </c>
      <c r="M12" s="22"/>
      <c r="N12" s="37">
        <f t="shared" si="12"/>
        <v>1207.0400000000002</v>
      </c>
      <c r="O12" s="37">
        <f t="shared" si="3"/>
        <v>3444.0000000000005</v>
      </c>
      <c r="P12" s="37">
        <f t="shared" si="0"/>
        <v>6612.4800000000005</v>
      </c>
      <c r="Q12" s="20">
        <f t="shared" si="14"/>
        <v>0.15</v>
      </c>
      <c r="R12" s="20">
        <f t="shared" si="18"/>
        <v>0.71</v>
      </c>
      <c r="S12" s="37">
        <f t="shared" si="19"/>
        <v>5693.6208000000006</v>
      </c>
      <c r="T12" s="151">
        <v>7331.4150000000018</v>
      </c>
      <c r="U12" s="152">
        <f t="shared" si="10"/>
        <v>-0.22339401056958319</v>
      </c>
      <c r="V12" s="18"/>
      <c r="W12" s="18"/>
      <c r="X12" s="18" t="s">
        <v>118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88</v>
      </c>
      <c r="B13" s="21"/>
      <c r="C13" s="21">
        <v>1</v>
      </c>
      <c r="D13" s="21"/>
      <c r="E13" s="21">
        <v>1</v>
      </c>
      <c r="F13" s="20">
        <f t="shared" si="8"/>
        <v>1.9900000000000002</v>
      </c>
      <c r="G13" s="20">
        <f t="shared" si="9"/>
        <v>1.92</v>
      </c>
      <c r="H13" s="20">
        <f t="shared" si="15"/>
        <v>0</v>
      </c>
      <c r="I13" s="20">
        <f t="shared" si="16"/>
        <v>0</v>
      </c>
      <c r="J13" s="20">
        <f t="shared" si="17"/>
        <v>0.2</v>
      </c>
      <c r="K13" s="22">
        <v>2</v>
      </c>
      <c r="L13" s="22">
        <v>1</v>
      </c>
      <c r="M13" s="22"/>
      <c r="N13" s="37">
        <f t="shared" si="12"/>
        <v>1464.64</v>
      </c>
      <c r="O13" s="37">
        <f t="shared" si="3"/>
        <v>4179</v>
      </c>
      <c r="P13" s="37">
        <f t="shared" si="0"/>
        <v>8023.6799999999994</v>
      </c>
      <c r="Q13" s="20">
        <f t="shared" si="14"/>
        <v>0.15</v>
      </c>
      <c r="R13" s="20">
        <f t="shared" si="18"/>
        <v>0.47000000000000003</v>
      </c>
      <c r="S13" s="37">
        <f t="shared" si="19"/>
        <v>5985.9995999999992</v>
      </c>
      <c r="T13" s="151">
        <v>7434.0000000000018</v>
      </c>
      <c r="U13" s="152">
        <f t="shared" si="10"/>
        <v>-0.19478079096045231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313</v>
      </c>
      <c r="AF13">
        <v>8</v>
      </c>
      <c r="AG13">
        <v>8</v>
      </c>
      <c r="AH13">
        <v>5</v>
      </c>
    </row>
    <row r="14" spans="1:40" ht="15" thickBot="1">
      <c r="A14" s="144" t="s">
        <v>116</v>
      </c>
      <c r="B14" s="21"/>
      <c r="C14" s="21"/>
      <c r="D14" s="21">
        <v>1</v>
      </c>
      <c r="E14" s="21">
        <v>1</v>
      </c>
      <c r="F14" s="20">
        <f t="shared" si="8"/>
        <v>1.6400000000000001</v>
      </c>
      <c r="G14" s="20">
        <f t="shared" si="9"/>
        <v>2.3199999999999998</v>
      </c>
      <c r="H14" s="20">
        <f t="shared" si="15"/>
        <v>0</v>
      </c>
      <c r="I14" s="20">
        <f t="shared" si="16"/>
        <v>0</v>
      </c>
      <c r="J14" s="20">
        <f t="shared" si="17"/>
        <v>0.2</v>
      </c>
      <c r="K14" s="22">
        <v>2</v>
      </c>
      <c r="L14" s="22">
        <v>1</v>
      </c>
      <c r="M14" s="22"/>
      <c r="N14" s="37">
        <f t="shared" si="12"/>
        <v>1207.0400000000002</v>
      </c>
      <c r="O14" s="37">
        <f t="shared" si="3"/>
        <v>3444.0000000000005</v>
      </c>
      <c r="P14" s="37">
        <f t="shared" si="0"/>
        <v>7990.0800000000008</v>
      </c>
      <c r="Q14" s="20">
        <f t="shared" si="14"/>
        <v>0.15</v>
      </c>
      <c r="R14" s="20">
        <f t="shared" si="18"/>
        <v>0.47000000000000003</v>
      </c>
      <c r="S14" s="37">
        <f t="shared" si="19"/>
        <v>5580.6576000000014</v>
      </c>
      <c r="T14" s="151">
        <v>7210.8750000000018</v>
      </c>
      <c r="U14" s="152">
        <f t="shared" si="10"/>
        <v>-0.22607761194029852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314</v>
      </c>
      <c r="AF14">
        <v>2.25</v>
      </c>
      <c r="AG14">
        <v>3.33</v>
      </c>
      <c r="AH14">
        <v>2.5</v>
      </c>
    </row>
    <row r="15" spans="1:40" ht="15" thickBot="1">
      <c r="A15" s="144" t="s">
        <v>89</v>
      </c>
      <c r="B15" s="21"/>
      <c r="C15" s="21"/>
      <c r="D15" s="21"/>
      <c r="E15" s="21">
        <v>3</v>
      </c>
      <c r="F15" s="20">
        <f t="shared" si="8"/>
        <v>1.6400000000000001</v>
      </c>
      <c r="G15" s="20">
        <f t="shared" si="9"/>
        <v>1.5</v>
      </c>
      <c r="H15" s="20">
        <f t="shared" si="15"/>
        <v>0</v>
      </c>
      <c r="I15" s="20">
        <f t="shared" si="16"/>
        <v>0</v>
      </c>
      <c r="J15" s="20">
        <f t="shared" si="17"/>
        <v>0.2</v>
      </c>
      <c r="K15" s="22">
        <v>2</v>
      </c>
      <c r="L15" s="22"/>
      <c r="M15" s="22">
        <v>1</v>
      </c>
      <c r="N15" s="37">
        <f t="shared" si="12"/>
        <v>1207.0400000000002</v>
      </c>
      <c r="O15" s="37">
        <f t="shared" si="3"/>
        <v>3444.0000000000005</v>
      </c>
      <c r="P15" s="37">
        <f t="shared" si="0"/>
        <v>5166.0000000000009</v>
      </c>
      <c r="Q15" s="20">
        <f t="shared" si="14"/>
        <v>0.15</v>
      </c>
      <c r="R15" s="20">
        <f t="shared" si="18"/>
        <v>1</v>
      </c>
      <c r="S15" s="37">
        <f t="shared" si="19"/>
        <v>5166.0000000000009</v>
      </c>
      <c r="T15" s="151">
        <v>6586.6500000000015</v>
      </c>
      <c r="U15" s="152">
        <f t="shared" si="10"/>
        <v>-0.21568627450980393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88</v>
      </c>
      <c r="B16" s="21"/>
      <c r="C16" s="21">
        <v>1</v>
      </c>
      <c r="D16" s="21"/>
      <c r="E16" s="21">
        <v>1</v>
      </c>
      <c r="F16" s="20">
        <f t="shared" si="8"/>
        <v>1.9900000000000002</v>
      </c>
      <c r="G16" s="20">
        <f t="shared" si="9"/>
        <v>1.5</v>
      </c>
      <c r="H16" s="20">
        <f t="shared" si="15"/>
        <v>0</v>
      </c>
      <c r="I16" s="20">
        <f t="shared" si="16"/>
        <v>0</v>
      </c>
      <c r="J16" s="20">
        <f t="shared" si="17"/>
        <v>0.2</v>
      </c>
      <c r="K16" s="22">
        <v>2</v>
      </c>
      <c r="L16" s="22"/>
      <c r="M16" s="22">
        <v>1</v>
      </c>
      <c r="N16" s="37">
        <f t="shared" si="12"/>
        <v>1464.64</v>
      </c>
      <c r="O16" s="37">
        <f t="shared" si="3"/>
        <v>4179</v>
      </c>
      <c r="P16" s="37">
        <f t="shared" si="0"/>
        <v>6268.5</v>
      </c>
      <c r="Q16" s="20">
        <f t="shared" si="14"/>
        <v>0.15</v>
      </c>
      <c r="R16" s="20">
        <f t="shared" si="18"/>
        <v>0.78</v>
      </c>
      <c r="S16" s="37">
        <f t="shared" si="19"/>
        <v>5808.81</v>
      </c>
      <c r="T16" s="151">
        <v>7203.6720000000014</v>
      </c>
      <c r="U16" s="152">
        <f t="shared" si="10"/>
        <v>-0.19363208097203766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313</v>
      </c>
      <c r="AF16">
        <v>11</v>
      </c>
      <c r="AG16">
        <v>11</v>
      </c>
      <c r="AH16">
        <v>7</v>
      </c>
    </row>
    <row r="17" spans="1:34" ht="15" thickBot="1">
      <c r="A17" s="144" t="s">
        <v>116</v>
      </c>
      <c r="B17" s="21"/>
      <c r="C17" s="21"/>
      <c r="D17" s="21">
        <v>1</v>
      </c>
      <c r="E17" s="21">
        <v>1</v>
      </c>
      <c r="F17" s="20">
        <f t="shared" si="8"/>
        <v>1.6400000000000001</v>
      </c>
      <c r="G17" s="20">
        <f t="shared" si="9"/>
        <v>1.9</v>
      </c>
      <c r="H17" s="20">
        <f t="shared" si="15"/>
        <v>0</v>
      </c>
      <c r="I17" s="20">
        <f t="shared" si="16"/>
        <v>0</v>
      </c>
      <c r="J17" s="20">
        <f t="shared" si="17"/>
        <v>0.2</v>
      </c>
      <c r="K17" s="22">
        <v>2</v>
      </c>
      <c r="L17" s="22"/>
      <c r="M17" s="22">
        <v>1</v>
      </c>
      <c r="N17" s="37">
        <f t="shared" si="12"/>
        <v>1207.0400000000002</v>
      </c>
      <c r="O17" s="37">
        <f t="shared" si="3"/>
        <v>3444.0000000000005</v>
      </c>
      <c r="P17" s="37">
        <f t="shared" si="0"/>
        <v>6543.6</v>
      </c>
      <c r="Q17" s="20">
        <f t="shared" si="14"/>
        <v>0.15</v>
      </c>
      <c r="R17" s="20">
        <f t="shared" si="18"/>
        <v>0.78</v>
      </c>
      <c r="S17" s="37">
        <f t="shared" si="19"/>
        <v>5861.688000000001</v>
      </c>
      <c r="T17" s="151">
        <v>7547.956500000003</v>
      </c>
      <c r="U17" s="152">
        <f t="shared" si="10"/>
        <v>-0.22340728911196051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314</v>
      </c>
      <c r="AF17">
        <v>3</v>
      </c>
      <c r="AG17">
        <v>4</v>
      </c>
      <c r="AH17">
        <v>3</v>
      </c>
    </row>
    <row r="18" spans="1:34" ht="15" thickBot="1">
      <c r="A18" s="144" t="s">
        <v>116</v>
      </c>
      <c r="B18" s="21"/>
      <c r="C18" s="21"/>
      <c r="D18" s="21">
        <v>1</v>
      </c>
      <c r="E18" s="21"/>
      <c r="F18" s="20">
        <f t="shared" si="8"/>
        <v>1.32</v>
      </c>
      <c r="G18" s="20">
        <f t="shared" si="9"/>
        <v>1.9</v>
      </c>
      <c r="H18" s="20">
        <f t="shared" si="15"/>
        <v>0</v>
      </c>
      <c r="I18" s="20">
        <f t="shared" si="16"/>
        <v>0</v>
      </c>
      <c r="J18" s="20">
        <f t="shared" si="17"/>
        <v>0.2</v>
      </c>
      <c r="K18" s="22">
        <v>1</v>
      </c>
      <c r="L18" s="22"/>
      <c r="M18" s="22">
        <v>1</v>
      </c>
      <c r="N18" s="37">
        <f t="shared" si="12"/>
        <v>971.5200000000001</v>
      </c>
      <c r="O18" s="37">
        <f t="shared" si="3"/>
        <v>2772</v>
      </c>
      <c r="P18" s="37">
        <f t="shared" ref="P18" si="20">O18*G18</f>
        <v>5266.8</v>
      </c>
      <c r="Q18" s="20">
        <f t="shared" si="14"/>
        <v>0.15</v>
      </c>
      <c r="R18" s="20">
        <f t="shared" ref="R18" si="21">MINA(Q18+M18*$AN$2+0.12*E18+J18, 1)</f>
        <v>0.65999999999999992</v>
      </c>
      <c r="S18" s="37">
        <f t="shared" ref="S18" si="22">R18*P18+(1-R18)*O18</f>
        <v>4418.5680000000002</v>
      </c>
      <c r="T18" s="151">
        <v>7547.956500000003</v>
      </c>
      <c r="U18" s="152">
        <f t="shared" ref="U18" si="23">S18/T18-1</f>
        <v>-0.4146007598215492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 t="s">
        <v>88</v>
      </c>
      <c r="B19" s="21"/>
      <c r="C19" s="21">
        <v>1</v>
      </c>
      <c r="D19" s="21"/>
      <c r="E19" s="21">
        <v>1</v>
      </c>
      <c r="F19" s="20">
        <f t="shared" si="8"/>
        <v>2.31</v>
      </c>
      <c r="G19" s="20">
        <f t="shared" si="9"/>
        <v>1.5</v>
      </c>
      <c r="H19" s="20">
        <f t="shared" si="15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2"/>
        <v>1700.16</v>
      </c>
      <c r="O19" s="37">
        <f t="shared" si="3"/>
        <v>4851</v>
      </c>
      <c r="P19" s="37">
        <f t="shared" ref="P19" si="24">O19*G19</f>
        <v>7276.5</v>
      </c>
      <c r="Q19" s="20">
        <f t="shared" si="14"/>
        <v>0.15</v>
      </c>
      <c r="R19" s="20">
        <f t="shared" ref="R19" si="25">MINA(Q19+M19*$AN$2+0.12*E19+J19, 1)</f>
        <v>0.47000000000000003</v>
      </c>
      <c r="S19" s="37">
        <f t="shared" ref="S19" si="26">R19*P19+(1-R19)*O19</f>
        <v>5990.9850000000006</v>
      </c>
      <c r="T19" s="151">
        <v>7547.956500000003</v>
      </c>
      <c r="U19" s="152">
        <f t="shared" ref="U19" si="27">S19/T19-1</f>
        <v>-0.20627722218589917</v>
      </c>
      <c r="V19" s="18"/>
      <c r="W19" s="221" t="s">
        <v>330</v>
      </c>
      <c r="X19" s="221"/>
      <c r="Y19" s="221"/>
      <c r="Z19" s="221"/>
      <c r="AA19" s="221"/>
      <c r="AB19" s="221"/>
      <c r="AC19" s="221"/>
      <c r="AD19" s="221"/>
      <c r="AE19" s="221"/>
      <c r="AF19" s="221"/>
    </row>
    <row r="20" spans="1:34" ht="15" thickBot="1">
      <c r="A20" s="144" t="s">
        <v>88</v>
      </c>
      <c r="B20" s="21"/>
      <c r="C20" s="21">
        <v>1</v>
      </c>
      <c r="D20" s="21"/>
      <c r="E20" s="21">
        <v>1</v>
      </c>
      <c r="F20" s="20">
        <f t="shared" si="8"/>
        <v>2.31</v>
      </c>
      <c r="G20" s="20">
        <f t="shared" si="9"/>
        <v>1.5</v>
      </c>
      <c r="H20" s="20">
        <f t="shared" si="15"/>
        <v>0</v>
      </c>
      <c r="I20" s="20">
        <f t="shared" ref="I20:I28" si="28">I19</f>
        <v>0</v>
      </c>
      <c r="J20" s="20">
        <f t="shared" ref="J20:J28" si="29">J19</f>
        <v>0.2</v>
      </c>
      <c r="K20" s="22">
        <v>3</v>
      </c>
      <c r="L20" s="22"/>
      <c r="M20" s="22"/>
      <c r="N20" s="37">
        <f t="shared" si="12"/>
        <v>1700.16</v>
      </c>
      <c r="O20" s="37">
        <f t="shared" si="3"/>
        <v>4851</v>
      </c>
      <c r="P20" s="37">
        <f t="shared" ref="P20" si="30">O20*G20</f>
        <v>7276.5</v>
      </c>
      <c r="Q20" s="20">
        <f t="shared" si="14"/>
        <v>0.15</v>
      </c>
      <c r="R20" s="20">
        <f t="shared" ref="R20" si="31">MINA(Q20+M20*$AN$2+0.12*E20+J20, 1)</f>
        <v>0.47000000000000003</v>
      </c>
      <c r="S20" s="37">
        <f t="shared" ref="S20" si="32">R20*P20+(1-R20)*O20</f>
        <v>5990.9850000000006</v>
      </c>
      <c r="T20" s="151">
        <v>7547.956500000003</v>
      </c>
      <c r="U20" s="152">
        <f t="shared" ref="U20" si="33">S20/T20-1</f>
        <v>-0.20627722218589917</v>
      </c>
      <c r="V20" s="18"/>
      <c r="W20" s="18" t="s">
        <v>84</v>
      </c>
      <c r="X20" s="18" t="s">
        <v>83</v>
      </c>
      <c r="Y20" s="18" t="s">
        <v>82</v>
      </c>
      <c r="Z20" s="18" t="s">
        <v>323</v>
      </c>
      <c r="AA20" s="18" t="s">
        <v>324</v>
      </c>
      <c r="AB20" s="18" t="s">
        <v>325</v>
      </c>
      <c r="AC20" s="18" t="s">
        <v>326</v>
      </c>
      <c r="AD20" s="18" t="s">
        <v>327</v>
      </c>
      <c r="AE20" s="18" t="s">
        <v>328</v>
      </c>
      <c r="AF20" t="s">
        <v>329</v>
      </c>
    </row>
    <row r="21" spans="1:34" ht="15" thickBot="1">
      <c r="A21" s="144" t="s">
        <v>88</v>
      </c>
      <c r="B21" s="21"/>
      <c r="C21" s="21">
        <v>1</v>
      </c>
      <c r="D21" s="21"/>
      <c r="E21" s="21">
        <v>1</v>
      </c>
      <c r="F21" s="20">
        <f t="shared" si="8"/>
        <v>1.9900000000000002</v>
      </c>
      <c r="G21" s="20">
        <f t="shared" si="9"/>
        <v>1.92</v>
      </c>
      <c r="H21" s="20">
        <f t="shared" si="15"/>
        <v>0</v>
      </c>
      <c r="I21" s="20">
        <f t="shared" si="28"/>
        <v>0</v>
      </c>
      <c r="J21" s="20">
        <f t="shared" si="29"/>
        <v>0.2</v>
      </c>
      <c r="K21" s="22">
        <v>2</v>
      </c>
      <c r="L21" s="22">
        <v>1</v>
      </c>
      <c r="M21" s="22"/>
      <c r="N21" s="37">
        <f t="shared" si="12"/>
        <v>1464.64</v>
      </c>
      <c r="O21" s="37">
        <f t="shared" si="3"/>
        <v>4179</v>
      </c>
      <c r="P21" s="37">
        <f t="shared" ref="P21:P22" si="34">O21*G21</f>
        <v>8023.6799999999994</v>
      </c>
      <c r="Q21" s="20">
        <f t="shared" si="14"/>
        <v>0.15</v>
      </c>
      <c r="R21" s="20">
        <f t="shared" ref="R21:R22" si="35">MINA(Q21+M21*$AN$2+0.12*E21+J21, 1)</f>
        <v>0.47000000000000003</v>
      </c>
      <c r="S21" s="37">
        <f t="shared" ref="S21:S22" si="36">R21*P21+(1-R21)*O21</f>
        <v>5985.9995999999992</v>
      </c>
      <c r="T21" s="151">
        <v>7547.956500000003</v>
      </c>
      <c r="U21" s="152">
        <f t="shared" ref="U21:U22" si="37">S21/T21-1</f>
        <v>-0.20693771883820522</v>
      </c>
      <c r="V21" s="18"/>
      <c r="W21" s="18" t="s">
        <v>320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319</v>
      </c>
      <c r="AC21">
        <v>2</v>
      </c>
      <c r="AD21" s="18" t="s">
        <v>83</v>
      </c>
      <c r="AE21">
        <v>1</v>
      </c>
      <c r="AF21">
        <v>1</v>
      </c>
    </row>
    <row r="22" spans="1:34" ht="15" thickBot="1">
      <c r="A22" s="144" t="s">
        <v>88</v>
      </c>
      <c r="B22" s="21"/>
      <c r="C22" s="21">
        <v>1</v>
      </c>
      <c r="D22" s="21"/>
      <c r="E22" s="21">
        <v>1</v>
      </c>
      <c r="F22" s="20">
        <f t="shared" si="8"/>
        <v>1.9900000000000002</v>
      </c>
      <c r="G22" s="20">
        <f t="shared" si="9"/>
        <v>1.5</v>
      </c>
      <c r="H22" s="20">
        <f t="shared" si="15"/>
        <v>0</v>
      </c>
      <c r="I22" s="20">
        <f t="shared" si="28"/>
        <v>0</v>
      </c>
      <c r="J22" s="20">
        <f t="shared" si="29"/>
        <v>0.2</v>
      </c>
      <c r="K22" s="22">
        <v>2</v>
      </c>
      <c r="L22" s="22"/>
      <c r="M22" s="22">
        <v>1</v>
      </c>
      <c r="N22" s="37">
        <f t="shared" si="12"/>
        <v>1464.64</v>
      </c>
      <c r="O22" s="37">
        <f t="shared" si="3"/>
        <v>4179</v>
      </c>
      <c r="P22" s="37">
        <f t="shared" si="34"/>
        <v>6268.5</v>
      </c>
      <c r="Q22" s="20">
        <f t="shared" si="14"/>
        <v>0.15</v>
      </c>
      <c r="R22" s="20">
        <f t="shared" si="35"/>
        <v>0.78</v>
      </c>
      <c r="S22" s="37">
        <f t="shared" si="36"/>
        <v>5808.81</v>
      </c>
      <c r="T22" s="151">
        <v>7547.956500000003</v>
      </c>
      <c r="U22" s="152">
        <f t="shared" si="37"/>
        <v>-0.23041289387399122</v>
      </c>
      <c r="V22" s="18"/>
      <c r="W22" s="18" t="s">
        <v>320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319</v>
      </c>
      <c r="AC22">
        <v>2</v>
      </c>
      <c r="AD22" s="18" t="s">
        <v>83</v>
      </c>
      <c r="AE22">
        <v>1</v>
      </c>
      <c r="AF22">
        <v>2</v>
      </c>
    </row>
    <row r="23" spans="1:34" ht="15" thickBot="1">
      <c r="A23" s="144" t="s">
        <v>116</v>
      </c>
      <c r="B23" s="21"/>
      <c r="C23" s="21"/>
      <c r="D23" s="21">
        <v>1</v>
      </c>
      <c r="E23" s="21">
        <v>1</v>
      </c>
      <c r="F23" s="20">
        <f t="shared" si="8"/>
        <v>1.96</v>
      </c>
      <c r="G23" s="20">
        <f t="shared" si="9"/>
        <v>1.9</v>
      </c>
      <c r="H23" s="20">
        <f t="shared" si="15"/>
        <v>0</v>
      </c>
      <c r="I23" s="20">
        <f t="shared" si="28"/>
        <v>0</v>
      </c>
      <c r="J23" s="20">
        <f t="shared" si="29"/>
        <v>0.2</v>
      </c>
      <c r="K23" s="22">
        <v>3</v>
      </c>
      <c r="L23" s="22"/>
      <c r="M23" s="22"/>
      <c r="N23" s="37">
        <f t="shared" si="12"/>
        <v>1442.56</v>
      </c>
      <c r="O23" s="37">
        <f t="shared" si="3"/>
        <v>4116</v>
      </c>
      <c r="P23" s="37">
        <f t="shared" ref="P23" si="38">O23*G23</f>
        <v>7820.4</v>
      </c>
      <c r="Q23" s="20">
        <f t="shared" si="14"/>
        <v>0.15</v>
      </c>
      <c r="R23" s="20">
        <f t="shared" ref="R23" si="39">MINA(Q23+M23*$AN$2+0.12*E23+J23, 1)</f>
        <v>0.47000000000000003</v>
      </c>
      <c r="S23" s="37">
        <f t="shared" ref="S23" si="40">R23*P23+(1-R23)*O23</f>
        <v>5857.0680000000002</v>
      </c>
      <c r="T23" s="151">
        <v>7547.956500000003</v>
      </c>
      <c r="U23" s="152">
        <f t="shared" ref="U23" si="41">S23/T23-1</f>
        <v>-0.22401937531039062</v>
      </c>
      <c r="V23" s="18"/>
      <c r="W23" s="18" t="s">
        <v>321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319</v>
      </c>
      <c r="AC23">
        <v>2</v>
      </c>
      <c r="AD23" s="18" t="s">
        <v>83</v>
      </c>
      <c r="AE23">
        <v>1</v>
      </c>
      <c r="AF23">
        <v>1</v>
      </c>
    </row>
    <row r="24" spans="1:34" ht="15" thickBot="1">
      <c r="A24" s="144" t="s">
        <v>116</v>
      </c>
      <c r="B24" s="21"/>
      <c r="C24" s="21"/>
      <c r="D24" s="21">
        <v>1</v>
      </c>
      <c r="E24" s="21">
        <v>1</v>
      </c>
      <c r="F24" s="20">
        <f t="shared" si="8"/>
        <v>1.6400000000000001</v>
      </c>
      <c r="G24" s="20">
        <f t="shared" si="9"/>
        <v>2.3199999999999998</v>
      </c>
      <c r="H24" s="20">
        <f t="shared" si="15"/>
        <v>0</v>
      </c>
      <c r="I24" s="20">
        <f t="shared" si="28"/>
        <v>0</v>
      </c>
      <c r="J24" s="20">
        <f t="shared" si="29"/>
        <v>0.2</v>
      </c>
      <c r="K24" s="22">
        <v>2</v>
      </c>
      <c r="L24" s="22">
        <v>1</v>
      </c>
      <c r="M24" s="22"/>
      <c r="N24" s="37">
        <f t="shared" si="12"/>
        <v>1207.0400000000002</v>
      </c>
      <c r="O24" s="37">
        <f t="shared" si="3"/>
        <v>3444.0000000000005</v>
      </c>
      <c r="P24" s="37">
        <f t="shared" ref="P24:P26" si="42">O24*G24</f>
        <v>7990.0800000000008</v>
      </c>
      <c r="Q24" s="20">
        <f t="shared" si="14"/>
        <v>0.15</v>
      </c>
      <c r="R24" s="20">
        <f t="shared" ref="R24:R26" si="43">MINA(Q24+M24*$AN$2+0.12*E24+J24, 1)</f>
        <v>0.47000000000000003</v>
      </c>
      <c r="S24" s="37">
        <f t="shared" ref="S24:S26" si="44">R24*P24+(1-R24)*O24</f>
        <v>5580.6576000000014</v>
      </c>
      <c r="T24" s="151">
        <v>7547.956500000003</v>
      </c>
      <c r="U24" s="152">
        <f t="shared" ref="U24:U26" si="45">S24/T24-1</f>
        <v>-0.26063993612045866</v>
      </c>
      <c r="V24" s="18"/>
      <c r="W24" s="18" t="s">
        <v>322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319</v>
      </c>
      <c r="AC24">
        <v>3</v>
      </c>
      <c r="AD24" s="18"/>
      <c r="AF24">
        <v>3</v>
      </c>
    </row>
    <row r="25" spans="1:34" ht="15" thickBot="1">
      <c r="A25" s="144" t="s">
        <v>116</v>
      </c>
      <c r="B25" s="21"/>
      <c r="C25" s="21"/>
      <c r="D25" s="21">
        <v>1</v>
      </c>
      <c r="E25" s="21">
        <v>1</v>
      </c>
      <c r="F25" s="20">
        <f t="shared" si="8"/>
        <v>1.6400000000000001</v>
      </c>
      <c r="G25" s="20">
        <f t="shared" si="9"/>
        <v>1.9</v>
      </c>
      <c r="H25" s="20">
        <f t="shared" si="15"/>
        <v>0</v>
      </c>
      <c r="I25" s="20">
        <f t="shared" si="28"/>
        <v>0</v>
      </c>
      <c r="J25" s="20">
        <f t="shared" si="29"/>
        <v>0.2</v>
      </c>
      <c r="K25" s="22">
        <v>2</v>
      </c>
      <c r="L25" s="22"/>
      <c r="M25" s="22">
        <v>1</v>
      </c>
      <c r="N25" s="37">
        <f t="shared" si="12"/>
        <v>1207.0400000000002</v>
      </c>
      <c r="O25" s="37">
        <f t="shared" si="3"/>
        <v>3444.0000000000005</v>
      </c>
      <c r="P25" s="37">
        <f t="shared" si="42"/>
        <v>6543.6</v>
      </c>
      <c r="Q25" s="20">
        <f t="shared" si="14"/>
        <v>0.15</v>
      </c>
      <c r="R25" s="20">
        <f t="shared" si="43"/>
        <v>0.78</v>
      </c>
      <c r="S25" s="37">
        <f t="shared" si="44"/>
        <v>5861.688000000001</v>
      </c>
      <c r="T25" s="151">
        <v>7547.956500000003</v>
      </c>
      <c r="U25" s="152">
        <f t="shared" si="45"/>
        <v>-0.22340728911196051</v>
      </c>
      <c r="V25" s="18"/>
      <c r="W25" s="18" t="s">
        <v>322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319</v>
      </c>
      <c r="AC25">
        <v>3</v>
      </c>
      <c r="AD25" s="18"/>
      <c r="AF25">
        <v>2</v>
      </c>
    </row>
    <row r="26" spans="1:34" ht="15" thickBot="1">
      <c r="A26" s="144" t="s">
        <v>89</v>
      </c>
      <c r="B26" s="21"/>
      <c r="C26" s="21"/>
      <c r="D26" s="21"/>
      <c r="E26" s="21">
        <v>3</v>
      </c>
      <c r="F26" s="20">
        <f t="shared" si="8"/>
        <v>1.96</v>
      </c>
      <c r="G26" s="20">
        <f t="shared" si="9"/>
        <v>1.5</v>
      </c>
      <c r="H26" s="20">
        <f t="shared" si="15"/>
        <v>0</v>
      </c>
      <c r="I26" s="20">
        <f t="shared" si="28"/>
        <v>0</v>
      </c>
      <c r="J26" s="20">
        <f t="shared" si="29"/>
        <v>0.2</v>
      </c>
      <c r="K26" s="22">
        <v>3</v>
      </c>
      <c r="L26" s="22"/>
      <c r="M26" s="22"/>
      <c r="N26" s="37">
        <f t="shared" si="12"/>
        <v>1442.56</v>
      </c>
      <c r="O26" s="37">
        <f t="shared" si="3"/>
        <v>4116</v>
      </c>
      <c r="P26" s="37">
        <f t="shared" si="42"/>
        <v>6174</v>
      </c>
      <c r="Q26" s="20">
        <f t="shared" si="14"/>
        <v>0.15</v>
      </c>
      <c r="R26" s="20">
        <f t="shared" si="43"/>
        <v>0.71</v>
      </c>
      <c r="S26" s="37">
        <f t="shared" si="44"/>
        <v>5577.18</v>
      </c>
      <c r="T26" s="151">
        <v>7547.956500000003</v>
      </c>
      <c r="U26" s="152">
        <f t="shared" si="45"/>
        <v>-0.26110067009527704</v>
      </c>
      <c r="V26" s="18"/>
      <c r="W26" s="18" t="s">
        <v>322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319</v>
      </c>
      <c r="AC26">
        <v>2</v>
      </c>
      <c r="AD26" s="18" t="s">
        <v>83</v>
      </c>
      <c r="AE26">
        <v>1</v>
      </c>
      <c r="AF26">
        <v>1</v>
      </c>
    </row>
    <row r="27" spans="1:34" ht="15" thickBot="1">
      <c r="A27" s="144" t="s">
        <v>89</v>
      </c>
      <c r="B27" s="21"/>
      <c r="C27" s="21"/>
      <c r="D27" s="21"/>
      <c r="E27" s="21">
        <v>3</v>
      </c>
      <c r="F27" s="20">
        <f t="shared" si="8"/>
        <v>1.6400000000000001</v>
      </c>
      <c r="G27" s="20">
        <f t="shared" si="9"/>
        <v>1.92</v>
      </c>
      <c r="H27" s="20">
        <f t="shared" si="15"/>
        <v>0</v>
      </c>
      <c r="I27" s="20">
        <f t="shared" si="28"/>
        <v>0</v>
      </c>
      <c r="J27" s="20">
        <f t="shared" si="29"/>
        <v>0.2</v>
      </c>
      <c r="K27" s="22">
        <v>2</v>
      </c>
      <c r="L27" s="22">
        <v>1</v>
      </c>
      <c r="M27" s="22"/>
      <c r="N27" s="37">
        <f t="shared" si="12"/>
        <v>1207.0400000000002</v>
      </c>
      <c r="O27" s="37">
        <f t="shared" si="3"/>
        <v>3444.0000000000005</v>
      </c>
      <c r="P27" s="37">
        <f t="shared" ref="P27:P28" si="46">O27*G27</f>
        <v>6612.4800000000005</v>
      </c>
      <c r="Q27" s="20">
        <f t="shared" si="14"/>
        <v>0.15</v>
      </c>
      <c r="R27" s="20">
        <f t="shared" ref="R27:R28" si="47">MINA(Q27+M27*$AN$2+0.12*E27+J27, 1)</f>
        <v>0.71</v>
      </c>
      <c r="S27" s="37">
        <f t="shared" ref="S27:S28" si="48">R27*P27+(1-R27)*O27</f>
        <v>5693.6208000000006</v>
      </c>
      <c r="T27" s="151">
        <v>7547.956500000003</v>
      </c>
      <c r="U27" s="152">
        <f t="shared" ref="U27:U28" si="49">S27/T27-1</f>
        <v>-0.24567387212684677</v>
      </c>
      <c r="V27" s="18"/>
      <c r="W27" s="18" t="s">
        <v>320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319</v>
      </c>
      <c r="AC27">
        <v>2</v>
      </c>
      <c r="AD27" s="18" t="s">
        <v>84</v>
      </c>
      <c r="AE27">
        <v>1</v>
      </c>
      <c r="AF27">
        <v>1</v>
      </c>
    </row>
    <row r="28" spans="1:34" ht="15" thickBot="1">
      <c r="A28" s="144" t="s">
        <v>89</v>
      </c>
      <c r="B28" s="21"/>
      <c r="C28" s="21"/>
      <c r="D28" s="21"/>
      <c r="E28" s="21">
        <v>3</v>
      </c>
      <c r="F28" s="20">
        <f t="shared" si="8"/>
        <v>1.6400000000000001</v>
      </c>
      <c r="G28" s="20">
        <f t="shared" si="9"/>
        <v>1.5</v>
      </c>
      <c r="H28" s="20">
        <f t="shared" si="15"/>
        <v>0</v>
      </c>
      <c r="I28" s="20">
        <f t="shared" si="28"/>
        <v>0</v>
      </c>
      <c r="J28" s="20">
        <f t="shared" si="29"/>
        <v>0.2</v>
      </c>
      <c r="K28" s="22">
        <v>2</v>
      </c>
      <c r="L28" s="22"/>
      <c r="M28" s="22">
        <v>1</v>
      </c>
      <c r="N28" s="37">
        <f t="shared" si="12"/>
        <v>1207.0400000000002</v>
      </c>
      <c r="O28" s="37">
        <f t="shared" si="3"/>
        <v>3444.0000000000005</v>
      </c>
      <c r="P28" s="37">
        <f t="shared" si="46"/>
        <v>5166.0000000000009</v>
      </c>
      <c r="Q28" s="20">
        <f t="shared" si="14"/>
        <v>0.15</v>
      </c>
      <c r="R28" s="20">
        <f t="shared" si="47"/>
        <v>1</v>
      </c>
      <c r="S28" s="37">
        <f t="shared" si="48"/>
        <v>5166.0000000000009</v>
      </c>
      <c r="T28" s="151">
        <v>7547.956500000003</v>
      </c>
      <c r="U28" s="152">
        <f t="shared" si="49"/>
        <v>-0.31557634175554683</v>
      </c>
      <c r="V28" s="18"/>
      <c r="W28" s="18" t="s">
        <v>321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319</v>
      </c>
      <c r="AC28">
        <v>3</v>
      </c>
      <c r="AD28" s="18"/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321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319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321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319</v>
      </c>
      <c r="AC30">
        <v>2</v>
      </c>
      <c r="AD30" s="18" t="s">
        <v>84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8" t="s">
        <v>322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319</v>
      </c>
      <c r="AC31">
        <v>2</v>
      </c>
      <c r="AD31" s="18" t="s">
        <v>83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320</v>
      </c>
      <c r="X32" s="145">
        <v>0.2</v>
      </c>
      <c r="Y32" s="145">
        <v>0.2</v>
      </c>
      <c r="Z32" s="18" t="s">
        <v>87</v>
      </c>
      <c r="AA32" s="18" t="s">
        <v>85</v>
      </c>
      <c r="AB32" s="18" t="s">
        <v>319</v>
      </c>
      <c r="AC32">
        <v>2</v>
      </c>
      <c r="AD32" s="18" t="s">
        <v>84</v>
      </c>
      <c r="AE32">
        <v>1</v>
      </c>
      <c r="AF32">
        <v>1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45" t="s">
        <v>320</v>
      </c>
      <c r="X33" s="145">
        <v>0.2</v>
      </c>
      <c r="Y33" s="145">
        <v>0.2</v>
      </c>
      <c r="Z33" s="18" t="s">
        <v>86</v>
      </c>
      <c r="AA33" s="18" t="s">
        <v>85</v>
      </c>
      <c r="AB33" s="18" t="s">
        <v>319</v>
      </c>
      <c r="AC33">
        <v>3</v>
      </c>
      <c r="AD33" s="18" t="s">
        <v>84</v>
      </c>
      <c r="AE33">
        <v>1</v>
      </c>
      <c r="AF33">
        <v>2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331</v>
      </c>
      <c r="X34" s="145">
        <v>0.2</v>
      </c>
      <c r="Y34" s="145">
        <v>0.2</v>
      </c>
      <c r="Z34" s="18" t="s">
        <v>86</v>
      </c>
      <c r="AA34" s="18" t="s">
        <v>85</v>
      </c>
      <c r="AB34" s="18" t="s">
        <v>319</v>
      </c>
      <c r="AC34">
        <v>3</v>
      </c>
      <c r="AD34" s="18" t="s">
        <v>84</v>
      </c>
      <c r="AE34">
        <v>1</v>
      </c>
      <c r="AF34">
        <v>1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331</v>
      </c>
      <c r="X35" s="145">
        <v>0.2</v>
      </c>
      <c r="Y35" s="145">
        <v>0.2</v>
      </c>
      <c r="Z35" s="18" t="s">
        <v>87</v>
      </c>
      <c r="AA35" s="18" t="s">
        <v>85</v>
      </c>
      <c r="AB35" s="18" t="s">
        <v>319</v>
      </c>
      <c r="AC35">
        <v>2</v>
      </c>
      <c r="AD35" s="18" t="s">
        <v>83</v>
      </c>
      <c r="AE35">
        <v>1</v>
      </c>
      <c r="AF35">
        <v>2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 t="s">
        <v>332</v>
      </c>
      <c r="X36" s="145">
        <v>0.2</v>
      </c>
      <c r="Y36" s="145">
        <v>0.2</v>
      </c>
      <c r="Z36" s="18" t="s">
        <v>87</v>
      </c>
      <c r="AA36" s="18" t="s">
        <v>85</v>
      </c>
      <c r="AB36" s="18" t="s">
        <v>319</v>
      </c>
      <c r="AC36">
        <v>2</v>
      </c>
      <c r="AD36" s="18" t="s">
        <v>83</v>
      </c>
      <c r="AE36">
        <v>1</v>
      </c>
      <c r="AF36">
        <v>1</v>
      </c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8"/>
      <c r="X38" s="18"/>
      <c r="Y38" s="18"/>
      <c r="Z38" s="18"/>
      <c r="AA38" s="18"/>
      <c r="AB38" s="18"/>
      <c r="AC38" s="18"/>
      <c r="AD38" s="18"/>
    </row>
    <row r="39" spans="1:32" ht="15" thickBot="1">
      <c r="A39" s="144"/>
      <c r="B39" s="21" t="s">
        <v>381</v>
      </c>
      <c r="C39" s="21" t="s">
        <v>389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45"/>
      <c r="X39" s="145"/>
      <c r="Y39" s="145"/>
      <c r="Z39" s="145"/>
      <c r="AA39" s="145"/>
      <c r="AB39" s="145"/>
      <c r="AC39" s="145"/>
      <c r="AD39" s="145"/>
      <c r="AE39" s="6"/>
      <c r="AF39" s="6"/>
    </row>
    <row r="40" spans="1:32" ht="15" thickBot="1">
      <c r="A40" s="170"/>
      <c r="B40" s="21" t="s">
        <v>383</v>
      </c>
      <c r="C40" s="21" t="s">
        <v>388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51"/>
      <c r="U40" s="152"/>
      <c r="V40" s="18"/>
      <c r="W40" s="18"/>
      <c r="X40" s="18"/>
      <c r="Y40" s="18"/>
      <c r="Z40" s="18"/>
      <c r="AA40" s="18"/>
      <c r="AB40" s="18"/>
      <c r="AC40" s="18"/>
      <c r="AD40" s="18"/>
    </row>
    <row r="41" spans="1:32" ht="15" thickBot="1">
      <c r="A41" s="170"/>
      <c r="B41" s="21" t="s">
        <v>384</v>
      </c>
      <c r="C41" s="21" t="s">
        <v>389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51"/>
      <c r="U41" s="152"/>
      <c r="V41" s="18"/>
      <c r="W41" s="18"/>
      <c r="X41" s="18"/>
      <c r="Y41" s="18"/>
      <c r="Z41" s="18"/>
      <c r="AA41" s="18"/>
      <c r="AB41" s="18"/>
      <c r="AC41" s="18"/>
      <c r="AD41" s="18"/>
    </row>
    <row r="42" spans="1:32" ht="15" thickBot="1">
      <c r="A42" s="170"/>
      <c r="B42" s="21" t="s">
        <v>385</v>
      </c>
      <c r="C42" s="21" t="s">
        <v>388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51"/>
      <c r="U42" s="152"/>
      <c r="V42" s="18"/>
      <c r="W42" s="18"/>
      <c r="X42" s="18"/>
      <c r="Y42" s="18"/>
      <c r="Z42" s="18"/>
      <c r="AA42" s="18"/>
      <c r="AB42" s="18"/>
      <c r="AC42" s="18"/>
      <c r="AD42" s="18"/>
    </row>
    <row r="43" spans="1:32" ht="15" thickBot="1">
      <c r="A43" s="170"/>
      <c r="B43" s="21" t="s">
        <v>386</v>
      </c>
      <c r="C43" s="21" t="s">
        <v>388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51"/>
      <c r="U43" s="152"/>
      <c r="V43" s="18"/>
      <c r="W43" s="145"/>
      <c r="X43" s="145"/>
      <c r="Y43" s="145"/>
      <c r="Z43" s="145"/>
      <c r="AA43" s="145"/>
      <c r="AB43" s="145"/>
      <c r="AC43" s="145"/>
      <c r="AD43" s="145"/>
      <c r="AE43" s="6"/>
      <c r="AF43" s="6"/>
    </row>
    <row r="44" spans="1:32" ht="15" thickBot="1">
      <c r="A44" s="170"/>
      <c r="B44" s="21" t="s">
        <v>387</v>
      </c>
      <c r="C44" s="21" t="s">
        <v>388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51"/>
      <c r="U44" s="152"/>
      <c r="V44" s="18"/>
      <c r="W44" s="18"/>
      <c r="X44" s="18"/>
      <c r="Y44" s="18"/>
      <c r="Z44" s="18"/>
      <c r="AA44" s="18"/>
      <c r="AB44" s="18"/>
      <c r="AC44" s="18"/>
      <c r="AD44" s="18"/>
    </row>
    <row r="45" spans="1:32" ht="15" thickBot="1">
      <c r="A45" s="170"/>
      <c r="B45" s="21" t="s">
        <v>382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51"/>
      <c r="U45" s="152"/>
      <c r="V45" s="18"/>
      <c r="W45" s="18"/>
      <c r="X45" s="18"/>
      <c r="Y45" s="18"/>
      <c r="Z45" s="18"/>
      <c r="AA45" s="18"/>
      <c r="AB45" s="18"/>
      <c r="AC45" s="18"/>
      <c r="AD45" s="18"/>
    </row>
    <row r="46" spans="1:32" ht="15" thickBot="1">
      <c r="A46" s="170"/>
      <c r="B46" s="21"/>
      <c r="C46" s="21"/>
      <c r="D46" s="21"/>
      <c r="E46" s="21"/>
      <c r="F46" s="20">
        <f t="shared" ref="F46" si="50">$F$2+H46+K46*$AF$2+IF(OR(A46 = "Fatal", A46 = "Fatal+Blade"), 0.35,0)</f>
        <v>2.27</v>
      </c>
      <c r="G46" s="20">
        <f t="shared" ref="G46" si="51">$G$2+I46+L46*$AG$2+IF(OR(A46 = "Rage", A46 = "Rage+Blade"), 0.4, 0)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2">N$2*$F46</f>
        <v>1670.72</v>
      </c>
      <c r="O46" s="37">
        <f t="shared" si="52"/>
        <v>4767</v>
      </c>
      <c r="P46" s="37">
        <f t="shared" ref="P46" si="53">O46*G46</f>
        <v>9629.34</v>
      </c>
      <c r="Q46" s="20">
        <v>0.15</v>
      </c>
      <c r="R46" s="20">
        <f t="shared" ref="R46" si="54">MINA(Q46+M46*$AN$2+0.12*E46+J46, 1)</f>
        <v>0.97000000000000008</v>
      </c>
      <c r="S46" s="37">
        <f t="shared" ref="S46" si="55">R46*P46+(1-R46)*O46</f>
        <v>9483.4698000000008</v>
      </c>
      <c r="T46" s="151">
        <v>7547.956500000003</v>
      </c>
      <c r="U46" s="152">
        <f t="shared" ref="U46" si="56">S46/T46-1</f>
        <v>0.25642878307525985</v>
      </c>
      <c r="W46" s="18"/>
      <c r="X46" s="18"/>
      <c r="Y46" s="18"/>
      <c r="Z46" s="18"/>
      <c r="AA46" s="18"/>
      <c r="AB46" s="18"/>
      <c r="AC46" s="18"/>
      <c r="AD46" s="18"/>
    </row>
    <row r="47" spans="1:32" ht="15" thickBot="1">
      <c r="A47" s="170"/>
      <c r="B47" s="171"/>
      <c r="C47" s="171"/>
      <c r="D47" s="171"/>
      <c r="E47" s="171"/>
      <c r="F47" s="172"/>
      <c r="G47" s="172"/>
      <c r="H47" s="172"/>
      <c r="I47" s="172"/>
      <c r="J47" s="172"/>
      <c r="K47" s="173"/>
      <c r="L47" s="173"/>
      <c r="M47" s="56"/>
      <c r="N47" s="171"/>
      <c r="O47" s="171"/>
      <c r="P47" s="171"/>
      <c r="Q47" s="172"/>
      <c r="R47" s="172"/>
      <c r="S47" s="174"/>
      <c r="T47" s="180"/>
      <c r="U47" s="181"/>
    </row>
    <row r="48" spans="1:32" ht="15" thickBot="1">
      <c r="A48" s="170"/>
      <c r="B48" s="21" t="s">
        <v>381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51"/>
      <c r="U48" s="152"/>
    </row>
    <row r="49" spans="1:21" ht="15" thickBot="1">
      <c r="A49" s="170"/>
      <c r="B49" s="21" t="s">
        <v>383</v>
      </c>
      <c r="C49" s="21" t="s">
        <v>388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51"/>
      <c r="U49" s="152"/>
    </row>
    <row r="50" spans="1:21" ht="15" thickBot="1">
      <c r="A50" s="170"/>
      <c r="B50" s="21" t="s">
        <v>384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51"/>
      <c r="U50" s="152"/>
    </row>
    <row r="51" spans="1:21" ht="15" thickBot="1">
      <c r="A51" s="170"/>
      <c r="B51" s="21" t="s">
        <v>385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51"/>
      <c r="U51" s="152"/>
    </row>
    <row r="52" spans="1:21" ht="15" thickBot="1">
      <c r="A52" s="170"/>
      <c r="B52" s="21" t="s">
        <v>386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51"/>
      <c r="U52" s="152"/>
    </row>
    <row r="53" spans="1:21" ht="15" thickBot="1">
      <c r="A53" s="170"/>
      <c r="B53" s="21" t="s">
        <v>387</v>
      </c>
      <c r="C53" s="21" t="s">
        <v>388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51"/>
      <c r="U53" s="152"/>
    </row>
    <row r="54" spans="1:21" ht="15" thickBot="1">
      <c r="A54" s="170"/>
      <c r="B54" s="21" t="s">
        <v>382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51"/>
      <c r="U54" s="152"/>
    </row>
    <row r="55" spans="1:21" ht="15" thickBot="1">
      <c r="A55" s="170"/>
      <c r="B55" s="21"/>
      <c r="C55" s="21"/>
      <c r="D55" s="21"/>
      <c r="E55" s="21"/>
      <c r="F55" s="20">
        <f t="shared" ref="F55" si="57">$F$2+H55+K55*$AF$2+IF(OR(A55 = "Fatal", A55 = "Fatal+Blade"), 0.35,0)</f>
        <v>2.37</v>
      </c>
      <c r="G55" s="20">
        <f t="shared" ref="G55" si="58">$G$2+I55+L55*$AG$2+IF(OR(A55 = "Rage", A55 = "Rage+Blade"), 0.4, 0)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9">N$2*$F55</f>
        <v>1744.3200000000002</v>
      </c>
      <c r="O55" s="37">
        <f t="shared" si="59"/>
        <v>4977</v>
      </c>
      <c r="P55" s="37">
        <f t="shared" ref="P55" si="60">O55*G55</f>
        <v>8460.9</v>
      </c>
      <c r="Q55" s="20">
        <v>0.15</v>
      </c>
      <c r="R55" s="20">
        <f t="shared" ref="R55" si="61">MINA(Q55+M55*$AN$2+0.12*E55+J55, 1)</f>
        <v>0.92</v>
      </c>
      <c r="S55" s="37">
        <f t="shared" ref="S55" si="62">R55*P55+(1-R55)*O55</f>
        <v>8182.1880000000001</v>
      </c>
      <c r="T55" s="151">
        <v>7547.956500000003</v>
      </c>
      <c r="U55" s="152">
        <f t="shared" ref="U55" si="63">S55/T55-1</f>
        <v>8.4026915099470578E-2</v>
      </c>
    </row>
    <row r="56" spans="1:21" ht="15" thickBot="1">
      <c r="A56" s="170"/>
      <c r="B56" s="171"/>
      <c r="C56" s="171"/>
      <c r="D56" s="171"/>
      <c r="E56" s="171"/>
      <c r="F56" s="172"/>
      <c r="G56" s="172"/>
      <c r="H56" s="172"/>
      <c r="I56" s="172"/>
      <c r="J56" s="172"/>
      <c r="K56" s="173"/>
      <c r="L56" s="173"/>
      <c r="M56" s="56"/>
      <c r="N56" s="171"/>
      <c r="O56" s="171"/>
      <c r="P56" s="171"/>
      <c r="Q56" s="172"/>
      <c r="R56" s="172"/>
      <c r="S56" s="174"/>
      <c r="T56" s="180"/>
      <c r="U56" s="181"/>
    </row>
    <row r="57" spans="1:21" ht="15" thickBot="1">
      <c r="A57" s="170"/>
      <c r="B57" s="171"/>
      <c r="C57" s="171"/>
      <c r="D57" s="171"/>
      <c r="E57" s="171"/>
      <c r="F57" s="172"/>
      <c r="G57" s="172"/>
      <c r="H57" s="172"/>
      <c r="I57" s="172"/>
      <c r="J57" s="172"/>
      <c r="K57" s="173"/>
      <c r="L57" s="173"/>
      <c r="M57" s="56"/>
      <c r="N57" s="171"/>
      <c r="O57" s="171"/>
      <c r="P57" s="171"/>
      <c r="Q57" s="172"/>
      <c r="R57" s="172"/>
      <c r="S57" s="174"/>
      <c r="T57" s="180"/>
      <c r="U57" s="181"/>
    </row>
    <row r="58" spans="1:21" ht="15" thickBot="1">
      <c r="A58" s="170"/>
      <c r="B58" s="171"/>
      <c r="C58" s="171"/>
      <c r="D58" s="171"/>
      <c r="E58" s="171"/>
      <c r="F58" s="172"/>
      <c r="G58" s="172"/>
      <c r="H58" s="172"/>
      <c r="I58" s="172"/>
      <c r="J58" s="172"/>
      <c r="K58" s="173"/>
      <c r="L58" s="173"/>
      <c r="M58" s="56"/>
      <c r="N58" s="171"/>
      <c r="O58" s="171"/>
      <c r="P58" s="171"/>
      <c r="Q58" s="172"/>
      <c r="R58" s="172"/>
      <c r="S58" s="174"/>
      <c r="T58" s="180"/>
      <c r="U58" s="181"/>
    </row>
    <row r="59" spans="1:21" ht="15" thickBot="1">
      <c r="A59" s="170"/>
      <c r="B59" s="171"/>
      <c r="C59" s="171"/>
      <c r="D59" s="171"/>
      <c r="E59" s="171"/>
      <c r="F59" s="172"/>
      <c r="G59" s="172"/>
      <c r="H59" s="172"/>
      <c r="I59" s="172"/>
      <c r="J59" s="172"/>
      <c r="K59" s="173"/>
      <c r="L59" s="173"/>
      <c r="M59" s="56"/>
      <c r="N59" s="171"/>
      <c r="O59" s="171"/>
      <c r="P59" s="171"/>
      <c r="Q59" s="172"/>
      <c r="R59" s="172"/>
      <c r="S59" s="174"/>
      <c r="T59" s="180"/>
      <c r="U59" s="181"/>
    </row>
    <row r="60" spans="1:21" ht="15" thickBot="1">
      <c r="A60" s="170"/>
      <c r="B60" s="171"/>
      <c r="C60" s="171"/>
      <c r="D60" s="171"/>
      <c r="E60" s="171"/>
      <c r="F60" s="172"/>
      <c r="G60" s="172"/>
      <c r="H60" s="172"/>
      <c r="I60" s="172"/>
      <c r="J60" s="172"/>
      <c r="K60" s="173"/>
      <c r="L60" s="173"/>
      <c r="M60" s="56"/>
      <c r="N60" s="171"/>
      <c r="O60" s="171"/>
      <c r="P60" s="171"/>
      <c r="Q60" s="172"/>
      <c r="R60" s="172"/>
      <c r="S60" s="174"/>
      <c r="T60" s="180"/>
      <c r="U60" s="181"/>
    </row>
    <row r="61" spans="1:21" ht="15" thickBot="1">
      <c r="A61" s="170"/>
      <c r="B61" s="171"/>
      <c r="C61" s="171"/>
      <c r="D61" s="171"/>
      <c r="E61" s="171"/>
      <c r="F61" s="172"/>
      <c r="G61" s="172"/>
      <c r="H61" s="172"/>
      <c r="I61" s="172"/>
      <c r="J61" s="172"/>
      <c r="K61" s="173"/>
      <c r="L61" s="173"/>
      <c r="M61" s="56"/>
      <c r="N61" s="171"/>
      <c r="O61" s="171"/>
      <c r="P61" s="171"/>
      <c r="Q61" s="172"/>
      <c r="R61" s="172"/>
      <c r="S61" s="174"/>
      <c r="T61" s="180"/>
      <c r="U61" s="181"/>
    </row>
    <row r="62" spans="1:21" ht="15" thickBot="1">
      <c r="A62" s="170"/>
      <c r="B62" s="171"/>
      <c r="C62" s="171"/>
      <c r="D62" s="171"/>
      <c r="E62" s="171"/>
      <c r="F62" s="172"/>
      <c r="G62" s="172"/>
      <c r="H62" s="172"/>
      <c r="I62" s="172"/>
      <c r="J62" s="172"/>
      <c r="K62" s="173"/>
      <c r="L62" s="173"/>
      <c r="M62" s="56"/>
      <c r="N62" s="171"/>
      <c r="O62" s="171"/>
      <c r="P62" s="171"/>
      <c r="Q62" s="172"/>
      <c r="R62" s="172"/>
      <c r="S62" s="174"/>
      <c r="T62" s="180"/>
      <c r="U62" s="181"/>
    </row>
    <row r="63" spans="1:21" ht="15" thickBot="1">
      <c r="A63" s="170"/>
      <c r="B63" s="171"/>
      <c r="C63" s="171"/>
      <c r="D63" s="171"/>
      <c r="E63" s="171"/>
      <c r="F63" s="172"/>
      <c r="G63" s="172"/>
      <c r="H63" s="172"/>
      <c r="I63" s="172"/>
      <c r="J63" s="172"/>
      <c r="K63" s="173"/>
      <c r="L63" s="173"/>
      <c r="M63" s="56"/>
      <c r="N63" s="171"/>
      <c r="O63" s="171"/>
      <c r="P63" s="171"/>
      <c r="Q63" s="172"/>
      <c r="R63" s="172"/>
      <c r="S63" s="174"/>
      <c r="T63" s="180"/>
      <c r="U63" s="181"/>
    </row>
    <row r="64" spans="1:21" ht="15" thickBot="1">
      <c r="A64" s="170"/>
      <c r="B64" s="171"/>
      <c r="C64" s="171"/>
      <c r="D64" s="171"/>
      <c r="E64" s="171"/>
      <c r="F64" s="172"/>
      <c r="G64" s="172"/>
      <c r="H64" s="172"/>
      <c r="I64" s="172"/>
      <c r="J64" s="172"/>
      <c r="K64" s="173"/>
      <c r="L64" s="173"/>
      <c r="M64" s="56"/>
      <c r="N64" s="171"/>
      <c r="O64" s="171"/>
      <c r="P64" s="171"/>
      <c r="Q64" s="172"/>
      <c r="R64" s="172"/>
      <c r="S64" s="174"/>
      <c r="T64" s="180"/>
      <c r="U64" s="181"/>
    </row>
    <row r="65" spans="1:21" ht="15" thickBot="1">
      <c r="A65" s="170"/>
      <c r="B65" s="171"/>
      <c r="C65" s="171"/>
      <c r="D65" s="171"/>
      <c r="E65" s="171"/>
      <c r="F65" s="172"/>
      <c r="G65" s="172"/>
      <c r="H65" s="172"/>
      <c r="I65" s="172"/>
      <c r="J65" s="172"/>
      <c r="K65" s="173"/>
      <c r="L65" s="173"/>
      <c r="M65" s="56"/>
      <c r="N65" s="171"/>
      <c r="O65" s="171"/>
      <c r="P65" s="171"/>
      <c r="Q65" s="172"/>
      <c r="R65" s="172"/>
      <c r="S65" s="174"/>
      <c r="T65" s="180"/>
      <c r="U65" s="181"/>
    </row>
    <row r="66" spans="1:21" ht="15" thickBot="1">
      <c r="A66" s="170"/>
      <c r="B66" s="171"/>
      <c r="C66" s="171"/>
      <c r="D66" s="171"/>
      <c r="E66" s="171"/>
      <c r="F66" s="172"/>
      <c r="G66" s="172"/>
      <c r="H66" s="172"/>
      <c r="I66" s="172"/>
      <c r="J66" s="172"/>
      <c r="K66" s="173"/>
      <c r="L66" s="173"/>
      <c r="M66" s="56"/>
      <c r="N66" s="171"/>
      <c r="O66" s="171"/>
      <c r="P66" s="171"/>
      <c r="Q66" s="172"/>
      <c r="R66" s="172"/>
      <c r="S66" s="174"/>
      <c r="T66" s="180"/>
      <c r="U66" s="181"/>
    </row>
    <row r="67" spans="1:21" ht="15" thickBot="1">
      <c r="A67" s="170"/>
      <c r="B67" s="171"/>
      <c r="C67" s="171"/>
      <c r="D67" s="171"/>
      <c r="E67" s="171"/>
      <c r="F67" s="172"/>
      <c r="G67" s="172"/>
      <c r="H67" s="172"/>
      <c r="I67" s="172"/>
      <c r="J67" s="172"/>
      <c r="K67" s="173"/>
      <c r="L67" s="173"/>
      <c r="M67" s="56"/>
      <c r="N67" s="171"/>
      <c r="O67" s="171"/>
      <c r="P67" s="171"/>
      <c r="Q67" s="172"/>
      <c r="R67" s="172"/>
      <c r="S67" s="174"/>
      <c r="T67" s="180"/>
      <c r="U67" s="181"/>
    </row>
    <row r="68" spans="1:21" ht="15" thickBot="1">
      <c r="A68" s="170"/>
      <c r="B68" s="171"/>
      <c r="C68" s="171"/>
      <c r="D68" s="171"/>
      <c r="E68" s="171"/>
      <c r="F68" s="172"/>
      <c r="G68" s="172"/>
      <c r="H68" s="172"/>
      <c r="I68" s="172"/>
      <c r="J68" s="172"/>
      <c r="K68" s="173"/>
      <c r="L68" s="173"/>
      <c r="M68" s="56"/>
      <c r="N68" s="171"/>
      <c r="O68" s="171"/>
      <c r="P68" s="171"/>
      <c r="Q68" s="172"/>
      <c r="R68" s="172"/>
      <c r="S68" s="174"/>
      <c r="T68" s="180"/>
      <c r="U68" s="181"/>
    </row>
    <row r="69" spans="1:21" ht="15" thickBot="1">
      <c r="A69" s="170"/>
      <c r="B69" s="171"/>
      <c r="C69" s="171"/>
      <c r="D69" s="171"/>
      <c r="E69" s="171"/>
      <c r="F69" s="172"/>
      <c r="G69" s="172"/>
      <c r="H69" s="172"/>
      <c r="I69" s="172"/>
      <c r="J69" s="172"/>
      <c r="K69" s="173"/>
      <c r="L69" s="173"/>
      <c r="M69" s="56"/>
      <c r="N69" s="171"/>
      <c r="O69" s="171"/>
      <c r="P69" s="171"/>
      <c r="Q69" s="172"/>
      <c r="R69" s="172"/>
      <c r="S69" s="174"/>
      <c r="T69" s="180"/>
      <c r="U69" s="181"/>
    </row>
    <row r="70" spans="1:21" ht="15" thickBot="1">
      <c r="A70" s="170"/>
      <c r="B70" s="171"/>
      <c r="C70" s="171"/>
      <c r="D70" s="171"/>
      <c r="E70" s="171"/>
      <c r="F70" s="172"/>
      <c r="G70" s="172"/>
      <c r="H70" s="172"/>
      <c r="I70" s="172"/>
      <c r="J70" s="172"/>
      <c r="K70" s="173"/>
      <c r="L70" s="173"/>
      <c r="M70" s="56"/>
      <c r="N70" s="171"/>
      <c r="O70" s="171"/>
      <c r="P70" s="171"/>
      <c r="Q70" s="172"/>
      <c r="R70" s="172"/>
      <c r="S70" s="174"/>
      <c r="T70" s="180"/>
      <c r="U70" s="181"/>
    </row>
    <row r="71" spans="1:21" ht="15" thickBot="1">
      <c r="A71" s="170"/>
      <c r="B71" s="171"/>
      <c r="C71" s="171"/>
      <c r="D71" s="171"/>
      <c r="E71" s="171"/>
      <c r="F71" s="172"/>
      <c r="G71" s="172"/>
      <c r="H71" s="172"/>
      <c r="I71" s="172"/>
      <c r="J71" s="172"/>
      <c r="K71" s="173"/>
      <c r="L71" s="173"/>
      <c r="M71" s="56"/>
      <c r="N71" s="171"/>
      <c r="O71" s="171"/>
      <c r="P71" s="171"/>
      <c r="Q71" s="172"/>
      <c r="R71" s="172"/>
      <c r="S71" s="174"/>
      <c r="T71" s="180"/>
      <c r="U71" s="181"/>
    </row>
    <row r="72" spans="1:21" ht="15" thickBot="1">
      <c r="A72" s="170"/>
      <c r="B72" s="171"/>
      <c r="C72" s="171"/>
      <c r="D72" s="171"/>
      <c r="E72" s="171"/>
      <c r="F72" s="172"/>
      <c r="G72" s="172"/>
      <c r="H72" s="172"/>
      <c r="I72" s="172"/>
      <c r="J72" s="172"/>
      <c r="K72" s="173"/>
      <c r="L72" s="173"/>
      <c r="M72" s="56"/>
      <c r="N72" s="171"/>
      <c r="O72" s="171"/>
      <c r="P72" s="171"/>
      <c r="Q72" s="172"/>
      <c r="R72" s="172"/>
      <c r="S72" s="174"/>
      <c r="T72" s="180"/>
      <c r="U72" s="181"/>
    </row>
    <row r="73" spans="1:21" ht="15" thickBot="1">
      <c r="A73" s="170"/>
      <c r="B73" s="171"/>
      <c r="C73" s="171"/>
      <c r="D73" s="171"/>
      <c r="E73" s="171"/>
      <c r="F73" s="172"/>
      <c r="G73" s="172"/>
      <c r="H73" s="172"/>
      <c r="I73" s="172"/>
      <c r="J73" s="172"/>
      <c r="K73" s="173"/>
      <c r="L73" s="173"/>
      <c r="M73" s="56"/>
      <c r="N73" s="171"/>
      <c r="O73" s="171"/>
      <c r="P73" s="171"/>
      <c r="Q73" s="172"/>
      <c r="R73" s="172"/>
      <c r="S73" s="174"/>
      <c r="T73" s="180"/>
      <c r="U73" s="181"/>
    </row>
    <row r="74" spans="1:21">
      <c r="A74" s="175"/>
      <c r="B74" s="176"/>
      <c r="C74" s="176"/>
      <c r="D74" s="176"/>
      <c r="E74" s="176"/>
      <c r="F74" s="177"/>
      <c r="G74" s="177"/>
      <c r="H74" s="177"/>
      <c r="I74" s="177"/>
      <c r="J74" s="177"/>
      <c r="K74" s="178"/>
      <c r="L74" s="178"/>
      <c r="M74" s="56"/>
      <c r="N74" s="176"/>
      <c r="O74" s="176"/>
      <c r="P74" s="176"/>
      <c r="Q74" s="177"/>
      <c r="R74" s="177"/>
      <c r="S74" s="179"/>
      <c r="T74" s="180"/>
      <c r="U74" s="181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205</v>
      </c>
      <c r="B1" t="s">
        <v>196</v>
      </c>
      <c r="C1" t="s">
        <v>355</v>
      </c>
      <c r="D1" t="s">
        <v>351</v>
      </c>
      <c r="E1" t="s">
        <v>352</v>
      </c>
      <c r="F1" t="s">
        <v>353</v>
      </c>
      <c r="G1" t="s">
        <v>354</v>
      </c>
      <c r="H1" t="s">
        <v>356</v>
      </c>
      <c r="I1" t="s">
        <v>162</v>
      </c>
      <c r="J1" t="s">
        <v>199</v>
      </c>
      <c r="K1" t="s">
        <v>319</v>
      </c>
      <c r="L1" t="s">
        <v>346</v>
      </c>
    </row>
    <row r="2" spans="1:12">
      <c r="A2" t="s">
        <v>26</v>
      </c>
      <c r="B2" t="s">
        <v>313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314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313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314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313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314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313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314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347</v>
      </c>
      <c r="B1" t="s">
        <v>377</v>
      </c>
      <c r="C1" t="s">
        <v>196</v>
      </c>
      <c r="D1" t="s">
        <v>197</v>
      </c>
      <c r="E1" t="s">
        <v>349</v>
      </c>
      <c r="F1" t="s">
        <v>205</v>
      </c>
      <c r="G1" t="s">
        <v>198</v>
      </c>
      <c r="H1" t="s">
        <v>199</v>
      </c>
      <c r="I1" t="s">
        <v>200</v>
      </c>
      <c r="J1" t="s">
        <v>162</v>
      </c>
      <c r="K1" t="s">
        <v>201</v>
      </c>
      <c r="L1" t="s">
        <v>202</v>
      </c>
      <c r="M1" t="s">
        <v>203</v>
      </c>
      <c r="N1" t="s">
        <v>319</v>
      </c>
      <c r="O1" t="s">
        <v>204</v>
      </c>
      <c r="P1" t="s">
        <v>346</v>
      </c>
      <c r="Q1" t="s">
        <v>206</v>
      </c>
      <c r="R1" t="s">
        <v>375</v>
      </c>
      <c r="S1" t="s">
        <v>376</v>
      </c>
    </row>
    <row r="2" spans="1:19" hidden="1">
      <c r="A2" t="s">
        <v>350</v>
      </c>
      <c r="B2" t="s">
        <v>350</v>
      </c>
      <c r="C2" t="s">
        <v>348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350</v>
      </c>
      <c r="B3" t="s">
        <v>350</v>
      </c>
      <c r="C3" t="s">
        <v>187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350</v>
      </c>
      <c r="B4" t="s">
        <v>350</v>
      </c>
      <c r="C4" t="s">
        <v>187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350</v>
      </c>
      <c r="B5" t="s">
        <v>350</v>
      </c>
      <c r="C5" t="s">
        <v>187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350</v>
      </c>
      <c r="B6" t="s">
        <v>350</v>
      </c>
      <c r="C6" t="s">
        <v>348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350</v>
      </c>
      <c r="B7" t="s">
        <v>350</v>
      </c>
      <c r="C7" t="s">
        <v>187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358</v>
      </c>
      <c r="B8" t="s">
        <v>358</v>
      </c>
      <c r="C8" t="s">
        <v>156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358</v>
      </c>
      <c r="B9" t="s">
        <v>358</v>
      </c>
      <c r="C9" t="s">
        <v>193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358</v>
      </c>
      <c r="B10" t="s">
        <v>358</v>
      </c>
      <c r="C10" t="s">
        <v>156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358</v>
      </c>
      <c r="B11" t="s">
        <v>358</v>
      </c>
      <c r="C11" t="s">
        <v>156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358</v>
      </c>
      <c r="B12" s="155" t="s">
        <v>358</v>
      </c>
      <c r="C12" s="155" t="s">
        <v>193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358</v>
      </c>
      <c r="B13" t="s">
        <v>358</v>
      </c>
      <c r="C13" t="s">
        <v>156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359</v>
      </c>
      <c r="B14" t="s">
        <v>359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359</v>
      </c>
      <c r="B15" t="s">
        <v>359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359</v>
      </c>
      <c r="B16" t="s">
        <v>359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359</v>
      </c>
      <c r="B17" t="s">
        <v>359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359</v>
      </c>
      <c r="B18" t="s">
        <v>359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359</v>
      </c>
      <c r="B19" t="s">
        <v>359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153</v>
      </c>
      <c r="B20" t="s">
        <v>153</v>
      </c>
      <c r="C20" t="s">
        <v>154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153</v>
      </c>
      <c r="B21" t="s">
        <v>153</v>
      </c>
      <c r="C21" t="s">
        <v>193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153</v>
      </c>
      <c r="B22" t="s">
        <v>153</v>
      </c>
      <c r="C22" t="s">
        <v>154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153</v>
      </c>
      <c r="B23" t="s">
        <v>153</v>
      </c>
      <c r="C23" t="s">
        <v>193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153</v>
      </c>
      <c r="B24" t="s">
        <v>153</v>
      </c>
      <c r="C24" t="s">
        <v>154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153</v>
      </c>
      <c r="B25" t="s">
        <v>153</v>
      </c>
      <c r="C25" t="s">
        <v>154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189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378</v>
      </c>
    </row>
    <row r="27" spans="1:19" hidden="1">
      <c r="A27" t="s">
        <v>189</v>
      </c>
      <c r="B27" t="s">
        <v>189</v>
      </c>
      <c r="C27" t="s">
        <v>150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189</v>
      </c>
    </row>
    <row r="28" spans="1:19" hidden="1">
      <c r="A28" t="s">
        <v>189</v>
      </c>
      <c r="B28" t="s">
        <v>189</v>
      </c>
      <c r="C28" t="s">
        <v>154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189</v>
      </c>
    </row>
    <row r="29" spans="1:19">
      <c r="A29" t="s">
        <v>189</v>
      </c>
      <c r="B29" t="s">
        <v>189</v>
      </c>
      <c r="C29" t="s">
        <v>193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189</v>
      </c>
    </row>
    <row r="30" spans="1:19" hidden="1">
      <c r="A30" t="s">
        <v>189</v>
      </c>
      <c r="B30" t="s">
        <v>189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189</v>
      </c>
    </row>
    <row r="31" spans="1:19" hidden="1">
      <c r="A31" s="155" t="s">
        <v>189</v>
      </c>
      <c r="B31" s="155"/>
      <c r="C31" s="155" t="s">
        <v>150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189</v>
      </c>
    </row>
    <row r="32" spans="1:19">
      <c r="A32" t="s">
        <v>147</v>
      </c>
      <c r="B32" t="s">
        <v>147</v>
      </c>
      <c r="C32" t="s">
        <v>151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147</v>
      </c>
      <c r="B33" t="s">
        <v>147</v>
      </c>
      <c r="C33" t="s">
        <v>193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147</v>
      </c>
      <c r="B34" t="s">
        <v>147</v>
      </c>
      <c r="C34" t="s">
        <v>193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147</v>
      </c>
      <c r="B35" t="s">
        <v>147</v>
      </c>
      <c r="C35" t="s">
        <v>151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147</v>
      </c>
      <c r="B36" t="s">
        <v>147</v>
      </c>
      <c r="C36" t="s">
        <v>151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147</v>
      </c>
      <c r="B37" t="s">
        <v>147</v>
      </c>
      <c r="C37" t="s">
        <v>151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360</v>
      </c>
      <c r="B38" s="159" t="s">
        <v>360</v>
      </c>
      <c r="C38" s="159" t="s">
        <v>151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360</v>
      </c>
      <c r="B39" t="s">
        <v>360</v>
      </c>
      <c r="C39" t="s">
        <v>151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360</v>
      </c>
      <c r="B40" t="s">
        <v>360</v>
      </c>
      <c r="C40" t="s">
        <v>151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360</v>
      </c>
      <c r="B41" t="s">
        <v>360</v>
      </c>
      <c r="C41" t="s">
        <v>150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360</v>
      </c>
      <c r="B42" t="s">
        <v>360</v>
      </c>
      <c r="C42" t="s">
        <v>151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360</v>
      </c>
      <c r="B43" t="s">
        <v>189</v>
      </c>
      <c r="C43" t="s">
        <v>150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379</v>
      </c>
    </row>
    <row r="44" spans="1:19" hidden="1">
      <c r="A44" t="s">
        <v>361</v>
      </c>
      <c r="B44" t="s">
        <v>361</v>
      </c>
      <c r="C44" t="s">
        <v>156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361</v>
      </c>
      <c r="B45" t="s">
        <v>361</v>
      </c>
      <c r="C45" t="s">
        <v>156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361</v>
      </c>
      <c r="B46" t="s">
        <v>361</v>
      </c>
      <c r="C46" t="s">
        <v>156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361</v>
      </c>
      <c r="B47" s="2" t="s">
        <v>361</v>
      </c>
      <c r="C47" s="2" t="s">
        <v>150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207</v>
      </c>
    </row>
    <row r="48" spans="1:19" hidden="1">
      <c r="A48" t="s">
        <v>361</v>
      </c>
      <c r="B48" t="s">
        <v>361</v>
      </c>
      <c r="C48" t="s">
        <v>156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361</v>
      </c>
      <c r="B49" s="2" t="s">
        <v>361</v>
      </c>
      <c r="C49" s="2" t="s">
        <v>150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207</v>
      </c>
    </row>
    <row r="50" spans="1:19" hidden="1">
      <c r="A50" t="s">
        <v>137</v>
      </c>
      <c r="B50" t="s">
        <v>137</v>
      </c>
      <c r="C50" t="s">
        <v>150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137</v>
      </c>
      <c r="B51" t="s">
        <v>137</v>
      </c>
      <c r="C51" t="s">
        <v>150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137</v>
      </c>
      <c r="B52" t="s">
        <v>137</v>
      </c>
      <c r="C52" t="s">
        <v>150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137</v>
      </c>
      <c r="B53" s="162" t="s">
        <v>137</v>
      </c>
      <c r="C53" s="162" t="s">
        <v>154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137</v>
      </c>
      <c r="B54" t="s">
        <v>137</v>
      </c>
      <c r="C54" t="s">
        <v>150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137</v>
      </c>
      <c r="B55" s="162" t="s">
        <v>137</v>
      </c>
      <c r="C55" s="162" t="s">
        <v>193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152</v>
      </c>
      <c r="B56" t="s">
        <v>152</v>
      </c>
      <c r="C56" t="s">
        <v>151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152</v>
      </c>
      <c r="B57" t="s">
        <v>152</v>
      </c>
      <c r="C57" t="s">
        <v>151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152</v>
      </c>
      <c r="B58" t="s">
        <v>152</v>
      </c>
      <c r="C58" t="s">
        <v>193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152</v>
      </c>
      <c r="B59" t="s">
        <v>152</v>
      </c>
      <c r="C59" t="s">
        <v>151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152</v>
      </c>
      <c r="B60" t="s">
        <v>152</v>
      </c>
      <c r="C60" t="s">
        <v>151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152</v>
      </c>
      <c r="B61" s="155" t="s">
        <v>152</v>
      </c>
      <c r="C61" s="155" t="s">
        <v>193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148</v>
      </c>
      <c r="B62" t="s">
        <v>148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148</v>
      </c>
    </row>
    <row r="63" spans="1:19" hidden="1">
      <c r="A63" s="10"/>
      <c r="B63" s="10"/>
      <c r="C63" s="10" t="s">
        <v>150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378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378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378</v>
      </c>
    </row>
    <row r="66" spans="1:19">
      <c r="C66" t="s">
        <v>193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378</v>
      </c>
    </row>
    <row r="67" spans="1:19" hidden="1">
      <c r="A67" t="s">
        <v>148</v>
      </c>
      <c r="B67" t="s">
        <v>148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148</v>
      </c>
    </row>
    <row r="68" spans="1:19" hidden="1">
      <c r="A68" t="s">
        <v>371</v>
      </c>
      <c r="B68" t="s">
        <v>371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371</v>
      </c>
      <c r="B69" t="s">
        <v>371</v>
      </c>
      <c r="C69" t="s">
        <v>85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371</v>
      </c>
      <c r="B70" t="s">
        <v>371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371</v>
      </c>
      <c r="B71" t="s">
        <v>371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371</v>
      </c>
      <c r="B72" t="s">
        <v>371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371</v>
      </c>
      <c r="B73" t="s">
        <v>371</v>
      </c>
      <c r="C73" t="s">
        <v>85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372</v>
      </c>
      <c r="B74" t="s">
        <v>372</v>
      </c>
      <c r="C74" t="s">
        <v>150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372</v>
      </c>
      <c r="B75" t="s">
        <v>372</v>
      </c>
      <c r="C75" t="s">
        <v>150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372</v>
      </c>
      <c r="B76" t="s">
        <v>372</v>
      </c>
      <c r="C76" t="s">
        <v>150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372</v>
      </c>
      <c r="B77" t="s">
        <v>372</v>
      </c>
      <c r="C77" t="s">
        <v>150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372</v>
      </c>
      <c r="B78" t="s">
        <v>372</v>
      </c>
      <c r="C78" t="s">
        <v>150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372</v>
      </c>
      <c r="B79" t="s">
        <v>372</v>
      </c>
      <c r="C79" t="s">
        <v>150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373</v>
      </c>
      <c r="B80" t="s">
        <v>373</v>
      </c>
      <c r="C80" t="s">
        <v>87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373</v>
      </c>
      <c r="B81" t="s">
        <v>373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373</v>
      </c>
      <c r="B82" t="s">
        <v>373</v>
      </c>
      <c r="C82" t="s">
        <v>87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373</v>
      </c>
      <c r="B83" t="s">
        <v>373</v>
      </c>
      <c r="C83" t="s">
        <v>85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373</v>
      </c>
      <c r="B84" t="s">
        <v>373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373</v>
      </c>
      <c r="B85" t="s">
        <v>373</v>
      </c>
      <c r="C85" t="s">
        <v>87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150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150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150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150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150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189</v>
      </c>
      <c r="C91" s="2" t="s">
        <v>150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207</v>
      </c>
      <c r="S91" s="2" t="s">
        <v>379</v>
      </c>
    </row>
    <row r="92" spans="1:19" hidden="1">
      <c r="C92" t="s">
        <v>150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193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378</v>
      </c>
    </row>
    <row r="94" spans="1:19" hidden="1">
      <c r="C94" t="s">
        <v>150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150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150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150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150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148</v>
      </c>
      <c r="C99" t="s">
        <v>150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148</v>
      </c>
    </row>
    <row r="100" spans="1:19" hidden="1">
      <c r="C100" t="s">
        <v>150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150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150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150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150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150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150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150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150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150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150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150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150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150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150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150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150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150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150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150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148</v>
      </c>
      <c r="C122" s="2" t="s">
        <v>150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207</v>
      </c>
      <c r="S122" s="2" t="s">
        <v>378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378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148</v>
      </c>
      <c r="B125" t="s">
        <v>148</v>
      </c>
      <c r="C125" t="s">
        <v>193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148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378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148</v>
      </c>
      <c r="B131" t="s">
        <v>148</v>
      </c>
      <c r="C131" t="s">
        <v>193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148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378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378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151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151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151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151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151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207</v>
      </c>
      <c r="S143" t="s">
        <v>152</v>
      </c>
    </row>
    <row r="144" spans="1:19">
      <c r="C144" t="s">
        <v>151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151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207</v>
      </c>
    </row>
    <row r="146" spans="1:18">
      <c r="C146" t="s">
        <v>151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151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151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151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151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151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151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151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151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151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151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151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151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151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151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151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151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151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151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151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151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193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193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193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378</v>
      </c>
    </row>
    <row r="170" spans="1:19" hidden="1">
      <c r="A170" t="s">
        <v>148</v>
      </c>
      <c r="B170" t="s">
        <v>148</v>
      </c>
      <c r="C170" t="s">
        <v>150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148</v>
      </c>
    </row>
    <row r="171" spans="1:19">
      <c r="C171" t="s">
        <v>193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378</v>
      </c>
    </row>
    <row r="173" spans="1:19">
      <c r="C173" t="s">
        <v>193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193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362</v>
      </c>
      <c r="C4" t="s">
        <v>363</v>
      </c>
      <c r="D4" t="s">
        <v>364</v>
      </c>
      <c r="E4" t="s">
        <v>365</v>
      </c>
      <c r="F4" t="s">
        <v>366</v>
      </c>
      <c r="G4" t="s">
        <v>367</v>
      </c>
      <c r="H4" t="s">
        <v>368</v>
      </c>
      <c r="I4" t="s">
        <v>369</v>
      </c>
      <c r="J4" t="s">
        <v>370</v>
      </c>
    </row>
    <row r="5" spans="1:10">
      <c r="A5" s="12" t="s">
        <v>189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358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147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360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361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350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359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137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153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152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148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371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372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373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362</v>
      </c>
      <c r="C22" t="s">
        <v>363</v>
      </c>
      <c r="D22" t="s">
        <v>364</v>
      </c>
      <c r="E22" t="s">
        <v>365</v>
      </c>
      <c r="F22" t="s">
        <v>366</v>
      </c>
      <c r="G22" t="s">
        <v>367</v>
      </c>
      <c r="H22" t="s">
        <v>368</v>
      </c>
      <c r="I22" t="s">
        <v>369</v>
      </c>
      <c r="J22" t="s">
        <v>370</v>
      </c>
    </row>
    <row r="23" spans="1:10">
      <c r="A23" s="12" t="s">
        <v>189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358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147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152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148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372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373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360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361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350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371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359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137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153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126</v>
      </c>
      <c r="C1" s="41" t="s">
        <v>127</v>
      </c>
      <c r="D1" s="42" t="s">
        <v>128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341</v>
      </c>
      <c r="B6" t="s">
        <v>3</v>
      </c>
      <c r="C6" t="s">
        <v>2</v>
      </c>
      <c r="D6" t="s">
        <v>338</v>
      </c>
      <c r="E6" t="s">
        <v>337</v>
      </c>
      <c r="F6" t="s">
        <v>339</v>
      </c>
      <c r="G6" t="s">
        <v>340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134</v>
      </c>
      <c r="T6" s="4" t="s">
        <v>138</v>
      </c>
      <c r="U6" s="4" t="s">
        <v>139</v>
      </c>
      <c r="V6" s="4" t="s">
        <v>140</v>
      </c>
      <c r="W6" s="4" t="s">
        <v>141</v>
      </c>
      <c r="X6" s="4" t="s">
        <v>139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130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131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130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130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336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336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335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157</v>
      </c>
      <c r="B1" t="s">
        <v>158</v>
      </c>
      <c r="C1" t="s">
        <v>159</v>
      </c>
      <c r="D1" t="s">
        <v>163</v>
      </c>
      <c r="E1" t="s">
        <v>160</v>
      </c>
      <c r="F1" t="s">
        <v>10</v>
      </c>
    </row>
    <row r="2" spans="1:6">
      <c r="A2" t="s">
        <v>147</v>
      </c>
      <c r="B2" t="s">
        <v>191</v>
      </c>
      <c r="C2" t="s">
        <v>167</v>
      </c>
      <c r="D2" t="s">
        <v>172</v>
      </c>
      <c r="E2" t="s">
        <v>173</v>
      </c>
      <c r="F2" t="s">
        <v>194</v>
      </c>
    </row>
    <row r="3" spans="1:6">
      <c r="A3" t="s">
        <v>148</v>
      </c>
      <c r="B3" t="s">
        <v>191</v>
      </c>
      <c r="C3" t="s">
        <v>171</v>
      </c>
      <c r="D3" t="s">
        <v>169</v>
      </c>
      <c r="E3" t="s">
        <v>170</v>
      </c>
      <c r="F3" t="s">
        <v>194</v>
      </c>
    </row>
    <row r="4" spans="1:6">
      <c r="A4" t="s">
        <v>149</v>
      </c>
      <c r="B4" t="s">
        <v>191</v>
      </c>
      <c r="C4" t="s">
        <v>150</v>
      </c>
      <c r="D4" t="s">
        <v>172</v>
      </c>
      <c r="E4" t="s">
        <v>174</v>
      </c>
      <c r="F4" t="s">
        <v>374</v>
      </c>
    </row>
    <row r="5" spans="1:6">
      <c r="A5" t="s">
        <v>152</v>
      </c>
      <c r="B5" t="s">
        <v>151</v>
      </c>
      <c r="C5" t="s">
        <v>167</v>
      </c>
      <c r="D5" t="s">
        <v>186</v>
      </c>
      <c r="E5" t="s">
        <v>168</v>
      </c>
      <c r="F5" t="s">
        <v>195</v>
      </c>
    </row>
    <row r="6" spans="1:6">
      <c r="A6" t="s">
        <v>153</v>
      </c>
      <c r="B6" t="s">
        <v>154</v>
      </c>
      <c r="C6" t="s">
        <v>155</v>
      </c>
      <c r="D6" t="s">
        <v>166</v>
      </c>
      <c r="E6" t="s">
        <v>161</v>
      </c>
      <c r="F6" t="s">
        <v>195</v>
      </c>
    </row>
    <row r="7" spans="1:6">
      <c r="A7" t="s">
        <v>137</v>
      </c>
      <c r="B7" t="s">
        <v>187</v>
      </c>
      <c r="C7" t="s">
        <v>188</v>
      </c>
    </row>
    <row r="8" spans="1:6">
      <c r="A8" t="s">
        <v>189</v>
      </c>
      <c r="B8" t="s">
        <v>156</v>
      </c>
      <c r="C8" t="s">
        <v>85</v>
      </c>
      <c r="D8" t="s">
        <v>190</v>
      </c>
      <c r="F8" t="s">
        <v>374</v>
      </c>
    </row>
    <row r="9" spans="1:6">
      <c r="A9" t="s">
        <v>192</v>
      </c>
      <c r="B9" t="s">
        <v>154</v>
      </c>
      <c r="C9" t="s">
        <v>193</v>
      </c>
      <c r="D9" t="s">
        <v>172</v>
      </c>
      <c r="F9" t="s">
        <v>374</v>
      </c>
    </row>
    <row r="10" spans="1:6">
      <c r="A10" t="s">
        <v>211</v>
      </c>
      <c r="B10" t="s">
        <v>156</v>
      </c>
      <c r="C10" t="s">
        <v>85</v>
      </c>
    </row>
    <row r="11" spans="1:6">
      <c r="A11" t="s">
        <v>212</v>
      </c>
      <c r="B11" t="s">
        <v>151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D15" sqref="D15"/>
    </sheetView>
  </sheetViews>
  <sheetFormatPr defaultRowHeight="14.25"/>
  <cols>
    <col min="1" max="1" width="9.875" bestFit="1" customWidth="1"/>
    <col min="2" max="2" width="3.875" bestFit="1" customWidth="1"/>
  </cols>
  <sheetData>
    <row r="1" spans="1:4">
      <c r="A1" t="s">
        <v>205</v>
      </c>
      <c r="B1" t="s">
        <v>801</v>
      </c>
      <c r="C1" t="s">
        <v>790</v>
      </c>
      <c r="D1" t="s">
        <v>805</v>
      </c>
    </row>
    <row r="2" spans="1:4">
      <c r="A2">
        <v>1</v>
      </c>
      <c r="B2">
        <v>12</v>
      </c>
      <c r="C2">
        <v>2</v>
      </c>
      <c r="D2">
        <v>4</v>
      </c>
    </row>
    <row r="3" spans="1:4">
      <c r="A3">
        <v>2</v>
      </c>
      <c r="B3">
        <v>15</v>
      </c>
      <c r="C3">
        <v>2</v>
      </c>
      <c r="D3">
        <v>2</v>
      </c>
    </row>
    <row r="4" spans="1:4">
      <c r="A4">
        <v>3</v>
      </c>
      <c r="B4">
        <v>24</v>
      </c>
      <c r="C4">
        <v>2</v>
      </c>
      <c r="D4">
        <v>2</v>
      </c>
    </row>
    <row r="5" spans="1:4">
      <c r="A5">
        <v>4</v>
      </c>
      <c r="B5">
        <v>18</v>
      </c>
      <c r="C5">
        <v>2</v>
      </c>
      <c r="D5">
        <v>2</v>
      </c>
    </row>
    <row r="6" spans="1:4">
      <c r="A6">
        <v>5</v>
      </c>
      <c r="C6">
        <v>2</v>
      </c>
    </row>
    <row r="7" spans="1:4">
      <c r="A7">
        <v>6</v>
      </c>
      <c r="C7">
        <v>2</v>
      </c>
    </row>
    <row r="8" spans="1:4">
      <c r="A8">
        <v>7</v>
      </c>
      <c r="C8">
        <v>2</v>
      </c>
    </row>
    <row r="9" spans="1:4">
      <c r="A9">
        <v>8</v>
      </c>
      <c r="C9">
        <v>2</v>
      </c>
    </row>
    <row r="10" spans="1:4">
      <c r="A10">
        <v>9</v>
      </c>
      <c r="C10">
        <v>3</v>
      </c>
    </row>
    <row r="11" spans="1:4">
      <c r="A11">
        <v>10</v>
      </c>
      <c r="C11">
        <v>3</v>
      </c>
    </row>
    <row r="13" spans="1:4">
      <c r="A13" t="s">
        <v>800</v>
      </c>
      <c r="B13">
        <v>24</v>
      </c>
      <c r="C13">
        <v>10</v>
      </c>
    </row>
    <row r="14" spans="1:4">
      <c r="A14" t="s">
        <v>802</v>
      </c>
      <c r="B14">
        <f>24*30</f>
        <v>720</v>
      </c>
      <c r="C14">
        <v>100</v>
      </c>
    </row>
    <row r="15" spans="1:4">
      <c r="A15" t="s">
        <v>803</v>
      </c>
      <c r="B15">
        <f>B14</f>
        <v>720</v>
      </c>
      <c r="C15">
        <v>100</v>
      </c>
    </row>
    <row r="16" spans="1:4">
      <c r="A16" t="s">
        <v>804</v>
      </c>
      <c r="B16">
        <f>24*7</f>
        <v>168</v>
      </c>
      <c r="C16">
        <v>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327"/>
  <sheetViews>
    <sheetView tabSelected="1" workbookViewId="0">
      <pane ySplit="1" topLeftCell="A2" activePane="bottomLeft" state="frozen"/>
      <selection pane="bottomLeft" activeCell="M14" sqref="M14"/>
    </sheetView>
  </sheetViews>
  <sheetFormatPr defaultRowHeight="15"/>
  <cols>
    <col min="1" max="2" width="11" style="182" customWidth="1"/>
    <col min="3" max="3" width="9" style="182"/>
    <col min="4" max="4" width="6.625" style="182" bestFit="1" customWidth="1"/>
    <col min="5" max="5" width="10" style="182" bestFit="1" customWidth="1"/>
    <col min="6" max="7" width="4" style="182" bestFit="1" customWidth="1"/>
    <col min="8" max="8" width="4.125" style="182" bestFit="1" customWidth="1"/>
    <col min="9" max="9" width="5.25" style="182" bestFit="1" customWidth="1"/>
    <col min="10" max="10" width="5.125" style="182" bestFit="1" customWidth="1"/>
    <col min="11" max="11" width="5.5" style="182" bestFit="1" customWidth="1"/>
    <col min="12" max="12" width="7" style="182" customWidth="1"/>
    <col min="13" max="13" width="6.875" style="182" customWidth="1"/>
    <col min="14" max="15" width="9" style="182"/>
    <col min="16" max="16" width="10.5" style="182" bestFit="1" customWidth="1"/>
    <col min="17" max="17" width="10.625" style="182" bestFit="1" customWidth="1"/>
    <col min="18" max="18" width="10.5" style="182" bestFit="1" customWidth="1"/>
    <col min="19" max="16384" width="9" style="182"/>
  </cols>
  <sheetData>
    <row r="1" spans="1:19">
      <c r="A1" s="183" t="s">
        <v>792</v>
      </c>
      <c r="B1" s="183" t="s">
        <v>793</v>
      </c>
      <c r="C1" s="183" t="s">
        <v>157</v>
      </c>
      <c r="D1" s="183" t="s">
        <v>789</v>
      </c>
      <c r="E1" s="183" t="s">
        <v>788</v>
      </c>
      <c r="F1" s="183" t="s">
        <v>787</v>
      </c>
      <c r="G1" s="183" t="s">
        <v>380</v>
      </c>
      <c r="H1" s="183" t="s">
        <v>786</v>
      </c>
      <c r="I1" s="183" t="s">
        <v>785</v>
      </c>
      <c r="J1" s="183" t="s">
        <v>784</v>
      </c>
      <c r="K1" s="183" t="s">
        <v>783</v>
      </c>
      <c r="L1" s="183" t="s">
        <v>782</v>
      </c>
      <c r="M1" s="183" t="s">
        <v>781</v>
      </c>
      <c r="N1" s="183" t="s">
        <v>780</v>
      </c>
      <c r="O1" s="183" t="s">
        <v>791</v>
      </c>
      <c r="P1" s="183" t="s">
        <v>795</v>
      </c>
      <c r="Q1" s="183" t="s">
        <v>796</v>
      </c>
      <c r="R1" s="183" t="s">
        <v>797</v>
      </c>
      <c r="S1" s="183" t="s">
        <v>794</v>
      </c>
    </row>
    <row r="2" spans="1:19" ht="30">
      <c r="A2" s="225">
        <v>52</v>
      </c>
      <c r="B2" s="188" t="s">
        <v>714</v>
      </c>
      <c r="C2" s="188" t="s">
        <v>583</v>
      </c>
      <c r="D2" s="188">
        <v>3</v>
      </c>
      <c r="E2" s="188" t="s">
        <v>18</v>
      </c>
      <c r="F2" s="188">
        <v>1</v>
      </c>
      <c r="G2" s="188">
        <v>3</v>
      </c>
      <c r="H2" s="188">
        <v>5</v>
      </c>
      <c r="I2" s="188">
        <v>4</v>
      </c>
      <c r="J2" s="188">
        <v>2</v>
      </c>
      <c r="K2" s="188">
        <v>1</v>
      </c>
      <c r="L2" s="188">
        <v>5</v>
      </c>
      <c r="M2" s="188">
        <v>2</v>
      </c>
      <c r="N2" s="183"/>
      <c r="O2" s="183" t="s">
        <v>799</v>
      </c>
      <c r="P2" s="222">
        <f>SUM(Tabela2[[#This Row],[G]]+Tabela2[[#This Row],[D]]+Tabela2[[#This Row],[N]]+Tabela2[[#This Row],[HM]])</f>
        <v>10</v>
      </c>
      <c r="Q2" s="222">
        <f>SUM(Tabela2[[#This Row],[AO]]+Tabela2[[#This Row],[AD]]+Tabela2[[#This Row],[GWO]]+Tabela2[[#This Row],[GWD]])</f>
        <v>13</v>
      </c>
      <c r="R2" s="222">
        <f>Tabela2[[#This Row],[GWO]]+Tabela2[[#This Row],[GWD]]</f>
        <v>7</v>
      </c>
      <c r="S2" s="222">
        <f>SUM(Tabela2[[#This Row],[G]:[GWD]])</f>
        <v>23</v>
      </c>
    </row>
    <row r="3" spans="1:19" ht="30">
      <c r="A3" s="225">
        <v>213</v>
      </c>
      <c r="B3" s="188" t="s">
        <v>522</v>
      </c>
      <c r="C3" s="188" t="s">
        <v>407</v>
      </c>
      <c r="D3" s="188">
        <v>4</v>
      </c>
      <c r="E3" s="188" t="s">
        <v>18</v>
      </c>
      <c r="F3" s="188">
        <v>1</v>
      </c>
      <c r="G3" s="188">
        <v>1</v>
      </c>
      <c r="H3" s="188">
        <v>5</v>
      </c>
      <c r="I3" s="188">
        <v>3</v>
      </c>
      <c r="J3" s="188">
        <v>1</v>
      </c>
      <c r="K3" s="188">
        <v>1</v>
      </c>
      <c r="L3" s="188">
        <v>3</v>
      </c>
      <c r="M3" s="188">
        <v>1</v>
      </c>
      <c r="N3" s="186"/>
      <c r="O3" s="186"/>
      <c r="P3" s="223">
        <f>SUM(Tabela2[[#This Row],[G]]+Tabela2[[#This Row],[D]]+Tabela2[[#This Row],[N]]+Tabela2[[#This Row],[HM]])</f>
        <v>8</v>
      </c>
      <c r="Q3" s="223">
        <f>SUM(Tabela2[[#This Row],[AO]]+Tabela2[[#This Row],[AD]]+Tabela2[[#This Row],[GWO]]+Tabela2[[#This Row],[GWD]])</f>
        <v>8</v>
      </c>
      <c r="R3" s="223">
        <f>Tabela2[[#This Row],[GWO]]+Tabela2[[#This Row],[GWD]]</f>
        <v>4</v>
      </c>
      <c r="S3" s="223">
        <f>SUM(Tabela2[[#This Row],[G]:[GWD]])</f>
        <v>16</v>
      </c>
    </row>
    <row r="4" spans="1:19" ht="30">
      <c r="A4" s="225">
        <v>220</v>
      </c>
      <c r="B4" s="188" t="s">
        <v>515</v>
      </c>
      <c r="C4" s="188" t="s">
        <v>466</v>
      </c>
      <c r="D4" s="188">
        <v>4</v>
      </c>
      <c r="E4" s="188" t="s">
        <v>18</v>
      </c>
      <c r="F4" s="188">
        <v>1</v>
      </c>
      <c r="G4" s="188">
        <v>1</v>
      </c>
      <c r="H4" s="188">
        <v>5</v>
      </c>
      <c r="I4" s="188">
        <v>3</v>
      </c>
      <c r="J4" s="188">
        <v>1</v>
      </c>
      <c r="K4" s="188">
        <v>1</v>
      </c>
      <c r="L4" s="188">
        <v>3</v>
      </c>
      <c r="M4" s="188">
        <v>1</v>
      </c>
      <c r="N4" s="183"/>
      <c r="O4" s="183"/>
      <c r="P4" s="222">
        <f>SUM(Tabela2[[#This Row],[G]]+Tabela2[[#This Row],[D]]+Tabela2[[#This Row],[N]]+Tabela2[[#This Row],[HM]])</f>
        <v>8</v>
      </c>
      <c r="Q4" s="222">
        <f>SUM(Tabela2[[#This Row],[AO]]+Tabela2[[#This Row],[AD]]+Tabela2[[#This Row],[GWO]]+Tabela2[[#This Row],[GWD]])</f>
        <v>8</v>
      </c>
      <c r="R4" s="222">
        <f>Tabela2[[#This Row],[GWO]]+Tabela2[[#This Row],[GWD]]</f>
        <v>4</v>
      </c>
      <c r="S4" s="222">
        <f>SUM(Tabela2[[#This Row],[G]:[GWD]])</f>
        <v>16</v>
      </c>
    </row>
    <row r="5" spans="1:19">
      <c r="A5" s="225">
        <v>265</v>
      </c>
      <c r="B5" s="185" t="s">
        <v>371</v>
      </c>
      <c r="C5" s="185" t="s">
        <v>218</v>
      </c>
      <c r="D5" s="185">
        <v>4</v>
      </c>
      <c r="E5" s="185" t="s">
        <v>265</v>
      </c>
      <c r="F5" s="185">
        <v>5</v>
      </c>
      <c r="G5" s="185">
        <v>1</v>
      </c>
      <c r="H5" s="185">
        <v>5</v>
      </c>
      <c r="I5" s="185">
        <v>1</v>
      </c>
      <c r="J5" s="185">
        <v>1</v>
      </c>
      <c r="K5" s="185">
        <v>1</v>
      </c>
      <c r="L5" s="185">
        <v>3</v>
      </c>
      <c r="M5" s="185">
        <v>1</v>
      </c>
      <c r="N5" s="186"/>
      <c r="O5" s="186" t="s">
        <v>207</v>
      </c>
      <c r="P5" s="223">
        <f>SUM(Tabela2[[#This Row],[G]]+Tabela2[[#This Row],[D]]+Tabela2[[#This Row],[N]]+Tabela2[[#This Row],[HM]])</f>
        <v>12</v>
      </c>
      <c r="Q5" s="223">
        <f>SUM(Tabela2[[#This Row],[AO]]+Tabela2[[#This Row],[AD]]+Tabela2[[#This Row],[GWO]]+Tabela2[[#This Row],[GWD]])</f>
        <v>6</v>
      </c>
      <c r="R5" s="223">
        <f>Tabela2[[#This Row],[GWO]]+Tabela2[[#This Row],[GWD]]</f>
        <v>4</v>
      </c>
      <c r="S5" s="223">
        <f>SUM(Tabela2[[#This Row],[G]:[GWD]])</f>
        <v>18</v>
      </c>
    </row>
    <row r="6" spans="1:19">
      <c r="A6" s="225">
        <v>320</v>
      </c>
      <c r="B6" s="183" t="s">
        <v>400</v>
      </c>
      <c r="C6" s="183" t="s">
        <v>399</v>
      </c>
      <c r="D6" s="183">
        <v>4</v>
      </c>
      <c r="E6" s="183" t="s">
        <v>287</v>
      </c>
      <c r="F6" s="183">
        <v>3</v>
      </c>
      <c r="G6" s="183">
        <v>1</v>
      </c>
      <c r="H6" s="183">
        <v>5</v>
      </c>
      <c r="I6" s="183">
        <v>3</v>
      </c>
      <c r="J6" s="183">
        <v>1</v>
      </c>
      <c r="K6" s="183">
        <v>1</v>
      </c>
      <c r="L6" s="183">
        <v>4</v>
      </c>
      <c r="M6" s="183">
        <v>1</v>
      </c>
      <c r="N6" s="183"/>
      <c r="O6" s="183"/>
      <c r="P6" s="222">
        <f>SUM(Tabela2[[#This Row],[G]]+Tabela2[[#This Row],[D]]+Tabela2[[#This Row],[N]]+Tabela2[[#This Row],[HM]])</f>
        <v>10</v>
      </c>
      <c r="Q6" s="222">
        <f>SUM(Tabela2[[#This Row],[AO]]+Tabela2[[#This Row],[AD]]+Tabela2[[#This Row],[GWO]]+Tabela2[[#This Row],[GWD]])</f>
        <v>9</v>
      </c>
      <c r="R6" s="222">
        <f>Tabela2[[#This Row],[GWO]]+Tabela2[[#This Row],[GWD]]</f>
        <v>5</v>
      </c>
      <c r="S6" s="222">
        <f>SUM(Tabela2[[#This Row],[G]:[GWD]])</f>
        <v>19</v>
      </c>
    </row>
    <row r="7" spans="1:19">
      <c r="A7" s="225">
        <v>1</v>
      </c>
      <c r="B7" s="188" t="s">
        <v>779</v>
      </c>
      <c r="C7" s="188" t="s">
        <v>778</v>
      </c>
      <c r="D7" s="188">
        <v>2</v>
      </c>
      <c r="E7" s="188" t="s">
        <v>18</v>
      </c>
      <c r="F7" s="188">
        <v>1</v>
      </c>
      <c r="G7" s="188">
        <v>2</v>
      </c>
      <c r="H7" s="188">
        <v>4</v>
      </c>
      <c r="I7" s="188">
        <v>1</v>
      </c>
      <c r="J7" s="188">
        <v>1</v>
      </c>
      <c r="K7" s="188">
        <v>1</v>
      </c>
      <c r="L7" s="188">
        <v>1</v>
      </c>
      <c r="M7" s="188">
        <v>1</v>
      </c>
      <c r="N7" s="188" t="s">
        <v>460</v>
      </c>
      <c r="O7" s="188"/>
      <c r="P7" s="226">
        <f>SUM(Tabela2[[#This Row],[G]]+Tabela2[[#This Row],[D]]+Tabela2[[#This Row],[N]]+Tabela2[[#This Row],[HM]])</f>
        <v>8</v>
      </c>
      <c r="Q7" s="226">
        <f>SUM(Tabela2[[#This Row],[AO]]+Tabela2[[#This Row],[AD]]+Tabela2[[#This Row],[GWO]]+Tabela2[[#This Row],[GWD]])</f>
        <v>4</v>
      </c>
      <c r="R7" s="226">
        <f>Tabela2[[#This Row],[GWO]]+Tabela2[[#This Row],[GWD]]</f>
        <v>2</v>
      </c>
      <c r="S7" s="222">
        <f>SUM(Tabela2[[#This Row],[G]:[GWD]])</f>
        <v>12</v>
      </c>
    </row>
    <row r="8" spans="1:19">
      <c r="A8" s="225">
        <v>8</v>
      </c>
      <c r="B8" s="188" t="s">
        <v>770</v>
      </c>
      <c r="C8" s="188" t="s">
        <v>563</v>
      </c>
      <c r="D8" s="188">
        <v>2</v>
      </c>
      <c r="E8" s="188" t="s">
        <v>18</v>
      </c>
      <c r="F8" s="188">
        <v>1</v>
      </c>
      <c r="G8" s="188">
        <v>1</v>
      </c>
      <c r="H8" s="188">
        <v>4</v>
      </c>
      <c r="I8" s="188">
        <v>1</v>
      </c>
      <c r="J8" s="188">
        <v>1</v>
      </c>
      <c r="K8" s="188">
        <v>1</v>
      </c>
      <c r="L8" s="188">
        <v>1</v>
      </c>
      <c r="M8" s="188">
        <v>1</v>
      </c>
      <c r="N8" s="183"/>
      <c r="O8" s="183"/>
      <c r="P8" s="222">
        <f>SUM(Tabela2[[#This Row],[G]]+Tabela2[[#This Row],[D]]+Tabela2[[#This Row],[N]]+Tabela2[[#This Row],[HM]])</f>
        <v>7</v>
      </c>
      <c r="Q8" s="222">
        <f>SUM(Tabela2[[#This Row],[AO]]+Tabela2[[#This Row],[AD]]+Tabela2[[#This Row],[GWO]]+Tabela2[[#This Row],[GWD]])</f>
        <v>4</v>
      </c>
      <c r="R8" s="222">
        <f>Tabela2[[#This Row],[GWO]]+Tabela2[[#This Row],[GWD]]</f>
        <v>2</v>
      </c>
      <c r="S8" s="222">
        <f>SUM(Tabela2[[#This Row],[G]:[GWD]])</f>
        <v>11</v>
      </c>
    </row>
    <row r="9" spans="1:19">
      <c r="A9" s="225">
        <v>27</v>
      </c>
      <c r="B9" s="185" t="s">
        <v>749</v>
      </c>
      <c r="C9" s="185" t="s">
        <v>723</v>
      </c>
      <c r="D9" s="185">
        <v>2</v>
      </c>
      <c r="E9" s="185" t="s">
        <v>265</v>
      </c>
      <c r="F9" s="185">
        <v>1</v>
      </c>
      <c r="G9" s="185">
        <v>1</v>
      </c>
      <c r="H9" s="185">
        <v>4</v>
      </c>
      <c r="I9" s="185">
        <v>1</v>
      </c>
      <c r="J9" s="185">
        <v>1</v>
      </c>
      <c r="K9" s="185">
        <v>1</v>
      </c>
      <c r="L9" s="185">
        <v>1</v>
      </c>
      <c r="M9" s="185">
        <v>1</v>
      </c>
      <c r="N9" s="183"/>
      <c r="O9" s="183"/>
      <c r="P9" s="222">
        <f>SUM(Tabela2[[#This Row],[G]]+Tabela2[[#This Row],[D]]+Tabela2[[#This Row],[N]]+Tabela2[[#This Row],[HM]])</f>
        <v>7</v>
      </c>
      <c r="Q9" s="222">
        <f>SUM(Tabela2[[#This Row],[AO]]+Tabela2[[#This Row],[AD]]+Tabela2[[#This Row],[GWO]]+Tabela2[[#This Row],[GWD]])</f>
        <v>4</v>
      </c>
      <c r="R9" s="222">
        <f>Tabela2[[#This Row],[GWO]]+Tabela2[[#This Row],[GWD]]</f>
        <v>2</v>
      </c>
      <c r="S9" s="222">
        <f>SUM(Tabela2[[#This Row],[G]:[GWD]])</f>
        <v>11</v>
      </c>
    </row>
    <row r="10" spans="1:19">
      <c r="A10" s="225">
        <v>64</v>
      </c>
      <c r="B10" s="188" t="s">
        <v>211</v>
      </c>
      <c r="C10" s="188" t="s">
        <v>373</v>
      </c>
      <c r="D10" s="188">
        <v>3</v>
      </c>
      <c r="E10" s="188" t="s">
        <v>18</v>
      </c>
      <c r="F10" s="188">
        <v>1</v>
      </c>
      <c r="G10" s="188">
        <v>1</v>
      </c>
      <c r="H10" s="188">
        <v>4</v>
      </c>
      <c r="I10" s="188">
        <v>3</v>
      </c>
      <c r="J10" s="188">
        <v>2</v>
      </c>
      <c r="K10" s="188">
        <v>1</v>
      </c>
      <c r="L10" s="188">
        <v>4</v>
      </c>
      <c r="M10" s="188">
        <v>2</v>
      </c>
      <c r="N10" s="183"/>
      <c r="O10" s="183" t="s">
        <v>207</v>
      </c>
      <c r="P10" s="222">
        <f>SUM(Tabela2[[#This Row],[G]]+Tabela2[[#This Row],[D]]+Tabela2[[#This Row],[N]]+Tabela2[[#This Row],[HM]])</f>
        <v>7</v>
      </c>
      <c r="Q10" s="222">
        <f>SUM(Tabela2[[#This Row],[AO]]+Tabela2[[#This Row],[AD]]+Tabela2[[#This Row],[GWO]]+Tabela2[[#This Row],[GWD]])</f>
        <v>11</v>
      </c>
      <c r="R10" s="222">
        <f>Tabela2[[#This Row],[GWO]]+Tabela2[[#This Row],[GWD]]</f>
        <v>6</v>
      </c>
      <c r="S10" s="222">
        <f>SUM(Tabela2[[#This Row],[G]:[GWD]])</f>
        <v>18</v>
      </c>
    </row>
    <row r="11" spans="1:19">
      <c r="A11" s="225">
        <v>84</v>
      </c>
      <c r="B11" s="187" t="s">
        <v>675</v>
      </c>
      <c r="C11" s="187" t="s">
        <v>580</v>
      </c>
      <c r="D11" s="187">
        <v>3</v>
      </c>
      <c r="E11" s="187" t="s">
        <v>264</v>
      </c>
      <c r="F11" s="187">
        <v>1</v>
      </c>
      <c r="G11" s="187">
        <v>1</v>
      </c>
      <c r="H11" s="187">
        <v>4</v>
      </c>
      <c r="I11" s="187">
        <v>2</v>
      </c>
      <c r="J11" s="187">
        <v>1</v>
      </c>
      <c r="K11" s="187">
        <v>1</v>
      </c>
      <c r="L11" s="187">
        <v>3</v>
      </c>
      <c r="M11" s="187">
        <v>1</v>
      </c>
      <c r="N11" s="183"/>
      <c r="O11" s="183"/>
      <c r="P11" s="222">
        <f>SUM(Tabela2[[#This Row],[G]]+Tabela2[[#This Row],[D]]+Tabela2[[#This Row],[N]]+Tabela2[[#This Row],[HM]])</f>
        <v>7</v>
      </c>
      <c r="Q11" s="222">
        <f>SUM(Tabela2[[#This Row],[AO]]+Tabela2[[#This Row],[AD]]+Tabela2[[#This Row],[GWO]]+Tabela2[[#This Row],[GWD]])</f>
        <v>7</v>
      </c>
      <c r="R11" s="222">
        <f>Tabela2[[#This Row],[GWO]]+Tabela2[[#This Row],[GWD]]</f>
        <v>4</v>
      </c>
      <c r="S11" s="222">
        <f>SUM(Tabela2[[#This Row],[G]:[GWD]])</f>
        <v>14</v>
      </c>
    </row>
    <row r="12" spans="1:19">
      <c r="A12" s="225">
        <v>188</v>
      </c>
      <c r="B12" s="183" t="s">
        <v>147</v>
      </c>
      <c r="C12" s="183" t="s">
        <v>373</v>
      </c>
      <c r="D12" s="183">
        <v>3</v>
      </c>
      <c r="E12" s="183" t="s">
        <v>287</v>
      </c>
      <c r="F12" s="183">
        <v>5</v>
      </c>
      <c r="G12" s="183">
        <v>5</v>
      </c>
      <c r="H12" s="183">
        <v>4</v>
      </c>
      <c r="I12" s="183">
        <v>3</v>
      </c>
      <c r="J12" s="183">
        <v>5</v>
      </c>
      <c r="K12" s="183">
        <v>4</v>
      </c>
      <c r="L12" s="183">
        <v>5</v>
      </c>
      <c r="M12" s="183">
        <v>4</v>
      </c>
      <c r="N12" s="183"/>
      <c r="O12" s="183" t="s">
        <v>207</v>
      </c>
      <c r="P12" s="222">
        <f>SUM(Tabela2[[#This Row],[G]]+Tabela2[[#This Row],[D]]+Tabela2[[#This Row],[N]]+Tabela2[[#This Row],[HM]])</f>
        <v>18</v>
      </c>
      <c r="Q12" s="222">
        <f>SUM(Tabela2[[#This Row],[AO]]+Tabela2[[#This Row],[AD]]+Tabela2[[#This Row],[GWO]]+Tabela2[[#This Row],[GWD]])</f>
        <v>17</v>
      </c>
      <c r="R12" s="222">
        <f>Tabela2[[#This Row],[GWO]]+Tabela2[[#This Row],[GWD]]</f>
        <v>9</v>
      </c>
      <c r="S12" s="222">
        <f>SUM(Tabela2[[#This Row],[G]:[GWD]])</f>
        <v>35</v>
      </c>
    </row>
    <row r="13" spans="1:19">
      <c r="A13" s="225">
        <v>199</v>
      </c>
      <c r="B13" s="183" t="s">
        <v>537</v>
      </c>
      <c r="C13" s="183" t="s">
        <v>536</v>
      </c>
      <c r="D13" s="183">
        <v>3</v>
      </c>
      <c r="E13" s="183" t="s">
        <v>287</v>
      </c>
      <c r="F13" s="183">
        <v>1</v>
      </c>
      <c r="G13" s="183">
        <v>2</v>
      </c>
      <c r="H13" s="183">
        <v>4</v>
      </c>
      <c r="I13" s="183">
        <v>3</v>
      </c>
      <c r="J13" s="183">
        <v>4</v>
      </c>
      <c r="K13" s="183">
        <v>1</v>
      </c>
      <c r="L13" s="183">
        <v>4</v>
      </c>
      <c r="M13" s="183">
        <v>3</v>
      </c>
      <c r="N13" s="183"/>
      <c r="O13" s="183"/>
      <c r="P13" s="222">
        <f>SUM(Tabela2[[#This Row],[G]]+Tabela2[[#This Row],[D]]+Tabela2[[#This Row],[N]]+Tabela2[[#This Row],[HM]])</f>
        <v>8</v>
      </c>
      <c r="Q13" s="222">
        <f>SUM(Tabela2[[#This Row],[AO]]+Tabela2[[#This Row],[AD]]+Tabela2[[#This Row],[GWO]]+Tabela2[[#This Row],[GWD]])</f>
        <v>14</v>
      </c>
      <c r="R13" s="222">
        <f>Tabela2[[#This Row],[GWO]]+Tabela2[[#This Row],[GWD]]</f>
        <v>7</v>
      </c>
      <c r="S13" s="222">
        <f>SUM(Tabela2[[#This Row],[G]:[GWD]])</f>
        <v>22</v>
      </c>
    </row>
    <row r="14" spans="1:19" ht="30">
      <c r="A14" s="225">
        <v>206</v>
      </c>
      <c r="B14" s="188" t="s">
        <v>529</v>
      </c>
      <c r="C14" s="188" t="s">
        <v>424</v>
      </c>
      <c r="D14" s="188">
        <v>4</v>
      </c>
      <c r="E14" s="188" t="s">
        <v>18</v>
      </c>
      <c r="F14" s="188">
        <v>1</v>
      </c>
      <c r="G14" s="188">
        <v>1</v>
      </c>
      <c r="H14" s="188">
        <v>4</v>
      </c>
      <c r="I14" s="188">
        <v>1</v>
      </c>
      <c r="J14" s="188">
        <v>1</v>
      </c>
      <c r="K14" s="188">
        <v>1</v>
      </c>
      <c r="L14" s="188">
        <v>1</v>
      </c>
      <c r="M14" s="188">
        <v>1</v>
      </c>
      <c r="N14" s="183"/>
      <c r="O14" s="183"/>
      <c r="P14" s="222">
        <f>SUM(Tabela2[[#This Row],[G]]+Tabela2[[#This Row],[D]]+Tabela2[[#This Row],[N]]+Tabela2[[#This Row],[HM]])</f>
        <v>7</v>
      </c>
      <c r="Q14" s="222">
        <f>SUM(Tabela2[[#This Row],[AO]]+Tabela2[[#This Row],[AD]]+Tabela2[[#This Row],[GWO]]+Tabela2[[#This Row],[GWD]])</f>
        <v>4</v>
      </c>
      <c r="R14" s="222">
        <f>Tabela2[[#This Row],[GWO]]+Tabela2[[#This Row],[GWD]]</f>
        <v>2</v>
      </c>
      <c r="S14" s="222">
        <f>SUM(Tabela2[[#This Row],[G]:[GWD]])</f>
        <v>11</v>
      </c>
    </row>
    <row r="15" spans="1:19" ht="30">
      <c r="A15" s="225">
        <v>236</v>
      </c>
      <c r="B15" s="187" t="s">
        <v>501</v>
      </c>
      <c r="C15" s="187" t="s">
        <v>411</v>
      </c>
      <c r="D15" s="187">
        <v>4</v>
      </c>
      <c r="E15" s="187" t="s">
        <v>264</v>
      </c>
      <c r="F15" s="187">
        <v>2</v>
      </c>
      <c r="G15" s="187">
        <v>2</v>
      </c>
      <c r="H15" s="187">
        <v>4</v>
      </c>
      <c r="I15" s="187">
        <v>1</v>
      </c>
      <c r="J15" s="187">
        <v>1</v>
      </c>
      <c r="K15" s="187">
        <v>3</v>
      </c>
      <c r="L15" s="187">
        <v>1</v>
      </c>
      <c r="M15" s="187">
        <v>2</v>
      </c>
      <c r="N15" s="183"/>
      <c r="O15" s="183"/>
      <c r="P15" s="222">
        <f>SUM(Tabela2[[#This Row],[G]]+Tabela2[[#This Row],[D]]+Tabela2[[#This Row],[N]]+Tabela2[[#This Row],[HM]])</f>
        <v>11</v>
      </c>
      <c r="Q15" s="222">
        <f>SUM(Tabela2[[#This Row],[AO]]+Tabela2[[#This Row],[AD]]+Tabela2[[#This Row],[GWO]]+Tabela2[[#This Row],[GWD]])</f>
        <v>5</v>
      </c>
      <c r="R15" s="222">
        <f>Tabela2[[#This Row],[GWO]]+Tabela2[[#This Row],[GWD]]</f>
        <v>3</v>
      </c>
      <c r="S15" s="222">
        <f>SUM(Tabela2[[#This Row],[G]:[GWD]])</f>
        <v>16</v>
      </c>
    </row>
    <row r="16" spans="1:19" ht="30">
      <c r="A16" s="225">
        <v>264</v>
      </c>
      <c r="B16" s="185" t="s">
        <v>473</v>
      </c>
      <c r="C16" s="185" t="s">
        <v>407</v>
      </c>
      <c r="D16" s="185">
        <v>4</v>
      </c>
      <c r="E16" s="185" t="s">
        <v>265</v>
      </c>
      <c r="F16" s="185">
        <v>4</v>
      </c>
      <c r="G16" s="185">
        <v>1</v>
      </c>
      <c r="H16" s="185">
        <v>4</v>
      </c>
      <c r="I16" s="185">
        <v>1</v>
      </c>
      <c r="J16" s="185">
        <v>1</v>
      </c>
      <c r="K16" s="185">
        <v>1</v>
      </c>
      <c r="L16" s="185">
        <v>3</v>
      </c>
      <c r="M16" s="185">
        <v>1</v>
      </c>
      <c r="N16" s="185" t="s">
        <v>460</v>
      </c>
      <c r="O16" s="185"/>
      <c r="P16" s="228">
        <f>SUM(Tabela2[[#This Row],[G]]+Tabela2[[#This Row],[D]]+Tabela2[[#This Row],[N]]+Tabela2[[#This Row],[HM]])</f>
        <v>10</v>
      </c>
      <c r="Q16" s="228">
        <f>SUM(Tabela2[[#This Row],[AO]]+Tabela2[[#This Row],[AD]]+Tabela2[[#This Row],[GWO]]+Tabela2[[#This Row],[GWD]])</f>
        <v>6</v>
      </c>
      <c r="R16" s="228">
        <f>Tabela2[[#This Row],[GWO]]+Tabela2[[#This Row],[GWD]]</f>
        <v>4</v>
      </c>
      <c r="S16" s="222">
        <f>SUM(Tabela2[[#This Row],[G]:[GWD]])</f>
        <v>16</v>
      </c>
    </row>
    <row r="17" spans="1:19">
      <c r="A17" s="225">
        <v>269</v>
      </c>
      <c r="B17" s="185" t="s">
        <v>469</v>
      </c>
      <c r="C17" s="185" t="s">
        <v>399</v>
      </c>
      <c r="D17" s="185">
        <v>4</v>
      </c>
      <c r="E17" s="185" t="s">
        <v>265</v>
      </c>
      <c r="F17" s="185">
        <v>3</v>
      </c>
      <c r="G17" s="185">
        <v>1</v>
      </c>
      <c r="H17" s="185">
        <v>4</v>
      </c>
      <c r="I17" s="185">
        <v>2</v>
      </c>
      <c r="J17" s="185">
        <v>1</v>
      </c>
      <c r="K17" s="185">
        <v>1</v>
      </c>
      <c r="L17" s="185">
        <v>3</v>
      </c>
      <c r="M17" s="185">
        <v>1</v>
      </c>
      <c r="N17" s="183"/>
      <c r="O17" s="183"/>
      <c r="P17" s="222">
        <f>SUM(Tabela2[[#This Row],[G]]+Tabela2[[#This Row],[D]]+Tabela2[[#This Row],[N]]+Tabela2[[#This Row],[HM]])</f>
        <v>9</v>
      </c>
      <c r="Q17" s="222">
        <f>SUM(Tabela2[[#This Row],[AO]]+Tabela2[[#This Row],[AD]]+Tabela2[[#This Row],[GWO]]+Tabela2[[#This Row],[GWD]])</f>
        <v>7</v>
      </c>
      <c r="R17" s="222">
        <f>Tabela2[[#This Row],[GWO]]+Tabela2[[#This Row],[GWD]]</f>
        <v>4</v>
      </c>
      <c r="S17" s="222">
        <f>SUM(Tabela2[[#This Row],[G]:[GWD]])</f>
        <v>16</v>
      </c>
    </row>
    <row r="18" spans="1:19">
      <c r="A18" s="225">
        <v>272</v>
      </c>
      <c r="B18" s="185" t="s">
        <v>465</v>
      </c>
      <c r="C18" s="185" t="s">
        <v>239</v>
      </c>
      <c r="D18" s="185">
        <v>4</v>
      </c>
      <c r="E18" s="185" t="s">
        <v>265</v>
      </c>
      <c r="F18" s="185">
        <v>2</v>
      </c>
      <c r="G18" s="185">
        <v>1</v>
      </c>
      <c r="H18" s="185">
        <v>4</v>
      </c>
      <c r="I18" s="185">
        <v>1</v>
      </c>
      <c r="J18" s="185">
        <v>1</v>
      </c>
      <c r="K18" s="185">
        <v>1</v>
      </c>
      <c r="L18" s="185">
        <v>3</v>
      </c>
      <c r="M18" s="185">
        <v>1</v>
      </c>
      <c r="N18" s="183"/>
      <c r="O18" s="183"/>
      <c r="P18" s="222">
        <f>SUM(Tabela2[[#This Row],[G]]+Tabela2[[#This Row],[D]]+Tabela2[[#This Row],[N]]+Tabela2[[#This Row],[HM]])</f>
        <v>8</v>
      </c>
      <c r="Q18" s="222">
        <f>SUM(Tabela2[[#This Row],[AO]]+Tabela2[[#This Row],[AD]]+Tabela2[[#This Row],[GWO]]+Tabela2[[#This Row],[GWD]])</f>
        <v>6</v>
      </c>
      <c r="R18" s="222">
        <f>Tabela2[[#This Row],[GWO]]+Tabela2[[#This Row],[GWD]]</f>
        <v>4</v>
      </c>
      <c r="S18" s="222">
        <f>SUM(Tabela2[[#This Row],[G]:[GWD]])</f>
        <v>14</v>
      </c>
    </row>
    <row r="19" spans="1:19" ht="30">
      <c r="A19" s="225">
        <v>284</v>
      </c>
      <c r="B19" s="184" t="s">
        <v>451</v>
      </c>
      <c r="C19" s="184" t="s">
        <v>422</v>
      </c>
      <c r="D19" s="184">
        <v>4</v>
      </c>
      <c r="E19" s="184" t="s">
        <v>266</v>
      </c>
      <c r="F19" s="184">
        <v>2</v>
      </c>
      <c r="G19" s="184">
        <v>2</v>
      </c>
      <c r="H19" s="184">
        <v>4</v>
      </c>
      <c r="I19" s="184">
        <v>4</v>
      </c>
      <c r="J19" s="184">
        <v>4</v>
      </c>
      <c r="K19" s="184">
        <v>1</v>
      </c>
      <c r="L19" s="184">
        <v>5</v>
      </c>
      <c r="M19" s="184">
        <v>4</v>
      </c>
      <c r="N19" s="183"/>
      <c r="O19" s="183"/>
      <c r="P19" s="222">
        <f>SUM(Tabela2[[#This Row],[G]]+Tabela2[[#This Row],[D]]+Tabela2[[#This Row],[N]]+Tabela2[[#This Row],[HM]])</f>
        <v>9</v>
      </c>
      <c r="Q19" s="222">
        <f>SUM(Tabela2[[#This Row],[AO]]+Tabela2[[#This Row],[AD]]+Tabela2[[#This Row],[GWO]]+Tabela2[[#This Row],[GWD]])</f>
        <v>17</v>
      </c>
      <c r="R19" s="222">
        <f>Tabela2[[#This Row],[GWO]]+Tabela2[[#This Row],[GWD]]</f>
        <v>9</v>
      </c>
      <c r="S19" s="222">
        <f>SUM(Tabela2[[#This Row],[G]:[GWD]])</f>
        <v>26</v>
      </c>
    </row>
    <row r="20" spans="1:19" ht="30">
      <c r="A20" s="225">
        <v>286</v>
      </c>
      <c r="B20" s="184" t="s">
        <v>449</v>
      </c>
      <c r="C20" s="184" t="s">
        <v>418</v>
      </c>
      <c r="D20" s="184">
        <v>4</v>
      </c>
      <c r="E20" s="184" t="s">
        <v>266</v>
      </c>
      <c r="F20" s="184">
        <v>3</v>
      </c>
      <c r="G20" s="184">
        <v>3</v>
      </c>
      <c r="H20" s="184">
        <v>4</v>
      </c>
      <c r="I20" s="184">
        <v>2</v>
      </c>
      <c r="J20" s="184">
        <v>2</v>
      </c>
      <c r="K20" s="184">
        <v>2</v>
      </c>
      <c r="L20" s="184">
        <v>3</v>
      </c>
      <c r="M20" s="184">
        <v>2</v>
      </c>
      <c r="N20" s="183"/>
      <c r="O20" s="183"/>
      <c r="P20" s="222">
        <f>SUM(Tabela2[[#This Row],[G]]+Tabela2[[#This Row],[D]]+Tabela2[[#This Row],[N]]+Tabela2[[#This Row],[HM]])</f>
        <v>12</v>
      </c>
      <c r="Q20" s="222">
        <f>SUM(Tabela2[[#This Row],[AO]]+Tabela2[[#This Row],[AD]]+Tabela2[[#This Row],[GWO]]+Tabela2[[#This Row],[GWD]])</f>
        <v>9</v>
      </c>
      <c r="R20" s="222">
        <f>Tabela2[[#This Row],[GWO]]+Tabela2[[#This Row],[GWD]]</f>
        <v>5</v>
      </c>
      <c r="S20" s="222">
        <f>SUM(Tabela2[[#This Row],[G]:[GWD]])</f>
        <v>21</v>
      </c>
    </row>
    <row r="21" spans="1:19">
      <c r="A21" s="225">
        <v>47</v>
      </c>
      <c r="B21" s="183" t="s">
        <v>722</v>
      </c>
      <c r="C21" s="183" t="s">
        <v>721</v>
      </c>
      <c r="D21" s="183">
        <v>2</v>
      </c>
      <c r="E21" s="183" t="s">
        <v>287</v>
      </c>
      <c r="F21" s="183">
        <v>1</v>
      </c>
      <c r="G21" s="183">
        <v>1</v>
      </c>
      <c r="H21" s="183">
        <v>3</v>
      </c>
      <c r="I21" s="183">
        <v>1</v>
      </c>
      <c r="J21" s="183">
        <v>1</v>
      </c>
      <c r="K21" s="183">
        <v>1</v>
      </c>
      <c r="L21" s="183">
        <v>1</v>
      </c>
      <c r="M21" s="183">
        <v>1</v>
      </c>
      <c r="N21" s="183"/>
      <c r="O21" s="183"/>
      <c r="P21" s="222">
        <f>SUM(Tabela2[[#This Row],[G]]+Tabela2[[#This Row],[D]]+Tabela2[[#This Row],[N]]+Tabela2[[#This Row],[HM]])</f>
        <v>6</v>
      </c>
      <c r="Q21" s="222">
        <f>SUM(Tabela2[[#This Row],[AO]]+Tabela2[[#This Row],[AD]]+Tabela2[[#This Row],[GWO]]+Tabela2[[#This Row],[GWD]])</f>
        <v>4</v>
      </c>
      <c r="R21" s="222">
        <f>Tabela2[[#This Row],[GWO]]+Tabela2[[#This Row],[GWD]]</f>
        <v>2</v>
      </c>
      <c r="S21" s="222">
        <f>SUM(Tabela2[[#This Row],[G]:[GWD]])</f>
        <v>10</v>
      </c>
    </row>
    <row r="22" spans="1:19">
      <c r="A22" s="225">
        <v>60</v>
      </c>
      <c r="B22" s="188" t="s">
        <v>702</v>
      </c>
      <c r="C22" s="188" t="s">
        <v>561</v>
      </c>
      <c r="D22" s="188">
        <v>3</v>
      </c>
      <c r="E22" s="188" t="s">
        <v>18</v>
      </c>
      <c r="F22" s="188">
        <v>1</v>
      </c>
      <c r="G22" s="188">
        <v>1</v>
      </c>
      <c r="H22" s="188">
        <v>3</v>
      </c>
      <c r="I22" s="188">
        <v>1</v>
      </c>
      <c r="J22" s="188">
        <v>1</v>
      </c>
      <c r="K22" s="188">
        <v>1</v>
      </c>
      <c r="L22" s="188">
        <v>1</v>
      </c>
      <c r="M22" s="188">
        <v>1</v>
      </c>
      <c r="N22" s="183"/>
      <c r="O22" s="183"/>
      <c r="P22" s="222">
        <f>SUM(Tabela2[[#This Row],[G]]+Tabela2[[#This Row],[D]]+Tabela2[[#This Row],[N]]+Tabela2[[#This Row],[HM]])</f>
        <v>6</v>
      </c>
      <c r="Q22" s="222">
        <f>SUM(Tabela2[[#This Row],[AO]]+Tabela2[[#This Row],[AD]]+Tabela2[[#This Row],[GWO]]+Tabela2[[#This Row],[GWD]])</f>
        <v>4</v>
      </c>
      <c r="R22" s="222">
        <f>Tabela2[[#This Row],[GWO]]+Tabela2[[#This Row],[GWD]]</f>
        <v>2</v>
      </c>
      <c r="S22" s="222">
        <f>SUM(Tabela2[[#This Row],[G]:[GWD]])</f>
        <v>10</v>
      </c>
    </row>
    <row r="23" spans="1:19">
      <c r="A23" s="225">
        <v>79</v>
      </c>
      <c r="B23" s="187" t="s">
        <v>680</v>
      </c>
      <c r="C23" s="187" t="s">
        <v>589</v>
      </c>
      <c r="D23" s="187">
        <v>3</v>
      </c>
      <c r="E23" s="187" t="s">
        <v>264</v>
      </c>
      <c r="F23" s="187">
        <v>2</v>
      </c>
      <c r="G23" s="187">
        <v>2</v>
      </c>
      <c r="H23" s="187">
        <v>3</v>
      </c>
      <c r="I23" s="187">
        <v>3</v>
      </c>
      <c r="J23" s="187">
        <v>1</v>
      </c>
      <c r="K23" s="187">
        <v>2</v>
      </c>
      <c r="L23" s="187">
        <v>2</v>
      </c>
      <c r="M23" s="187">
        <v>1</v>
      </c>
      <c r="N23" s="183"/>
      <c r="O23" s="183"/>
      <c r="P23" s="222">
        <f>SUM(Tabela2[[#This Row],[G]]+Tabela2[[#This Row],[D]]+Tabela2[[#This Row],[N]]+Tabela2[[#This Row],[HM]])</f>
        <v>9</v>
      </c>
      <c r="Q23" s="222">
        <f>SUM(Tabela2[[#This Row],[AO]]+Tabela2[[#This Row],[AD]]+Tabela2[[#This Row],[GWO]]+Tabela2[[#This Row],[GWD]])</f>
        <v>7</v>
      </c>
      <c r="R23" s="222">
        <f>Tabela2[[#This Row],[GWO]]+Tabela2[[#This Row],[GWD]]</f>
        <v>3</v>
      </c>
      <c r="S23" s="222">
        <f>SUM(Tabela2[[#This Row],[G]:[GWD]])</f>
        <v>16</v>
      </c>
    </row>
    <row r="24" spans="1:19">
      <c r="A24" s="225">
        <v>107</v>
      </c>
      <c r="B24" s="187" t="s">
        <v>652</v>
      </c>
      <c r="C24" s="187" t="s">
        <v>536</v>
      </c>
      <c r="D24" s="187">
        <v>3</v>
      </c>
      <c r="E24" s="187" t="s">
        <v>264</v>
      </c>
      <c r="F24" s="187">
        <v>2</v>
      </c>
      <c r="G24" s="187">
        <v>3</v>
      </c>
      <c r="H24" s="187">
        <v>3</v>
      </c>
      <c r="I24" s="187">
        <v>3</v>
      </c>
      <c r="J24" s="187">
        <v>3</v>
      </c>
      <c r="K24" s="187">
        <v>1</v>
      </c>
      <c r="L24" s="187">
        <v>4</v>
      </c>
      <c r="M24" s="187">
        <v>3</v>
      </c>
      <c r="N24" s="183"/>
      <c r="O24" s="183"/>
      <c r="P24" s="222">
        <f>SUM(Tabela2[[#This Row],[G]]+Tabela2[[#This Row],[D]]+Tabela2[[#This Row],[N]]+Tabela2[[#This Row],[HM]])</f>
        <v>9</v>
      </c>
      <c r="Q24" s="222">
        <f>SUM(Tabela2[[#This Row],[AO]]+Tabela2[[#This Row],[AD]]+Tabela2[[#This Row],[GWO]]+Tabela2[[#This Row],[GWD]])</f>
        <v>13</v>
      </c>
      <c r="R24" s="222">
        <f>Tabela2[[#This Row],[GWO]]+Tabela2[[#This Row],[GWD]]</f>
        <v>7</v>
      </c>
      <c r="S24" s="222">
        <f>SUM(Tabela2[[#This Row],[G]:[GWD]])</f>
        <v>22</v>
      </c>
    </row>
    <row r="25" spans="1:19">
      <c r="A25" s="225">
        <v>118</v>
      </c>
      <c r="B25" s="185" t="s">
        <v>152</v>
      </c>
      <c r="C25" s="185" t="s">
        <v>567</v>
      </c>
      <c r="D25" s="185">
        <v>3</v>
      </c>
      <c r="E25" s="185" t="s">
        <v>265</v>
      </c>
      <c r="F25" s="185">
        <v>5</v>
      </c>
      <c r="G25" s="185">
        <v>4</v>
      </c>
      <c r="H25" s="185">
        <v>3</v>
      </c>
      <c r="I25" s="185">
        <v>5</v>
      </c>
      <c r="J25" s="185">
        <v>5</v>
      </c>
      <c r="K25" s="185">
        <v>5</v>
      </c>
      <c r="L25" s="185">
        <v>4</v>
      </c>
      <c r="M25" s="185">
        <v>3</v>
      </c>
      <c r="N25" s="183"/>
      <c r="O25" s="183" t="s">
        <v>207</v>
      </c>
      <c r="P25" s="222">
        <f>SUM(Tabela2[[#This Row],[G]]+Tabela2[[#This Row],[D]]+Tabela2[[#This Row],[N]]+Tabela2[[#This Row],[HM]])</f>
        <v>17</v>
      </c>
      <c r="Q25" s="222">
        <f>SUM(Tabela2[[#This Row],[AO]]+Tabela2[[#This Row],[AD]]+Tabela2[[#This Row],[GWO]]+Tabela2[[#This Row],[GWD]])</f>
        <v>17</v>
      </c>
      <c r="R25" s="222">
        <f>Tabela2[[#This Row],[GWO]]+Tabela2[[#This Row],[GWD]]</f>
        <v>7</v>
      </c>
      <c r="S25" s="222">
        <f>SUM(Tabela2[[#This Row],[G]:[GWD]])</f>
        <v>34</v>
      </c>
    </row>
    <row r="26" spans="1:19">
      <c r="A26" s="225">
        <v>133</v>
      </c>
      <c r="B26" s="185" t="s">
        <v>627</v>
      </c>
      <c r="C26" s="185" t="s">
        <v>299</v>
      </c>
      <c r="D26" s="185">
        <v>3</v>
      </c>
      <c r="E26" s="185" t="s">
        <v>265</v>
      </c>
      <c r="F26" s="185">
        <v>2</v>
      </c>
      <c r="G26" s="185">
        <v>1</v>
      </c>
      <c r="H26" s="185">
        <v>3</v>
      </c>
      <c r="I26" s="185">
        <v>2</v>
      </c>
      <c r="J26" s="185">
        <v>1</v>
      </c>
      <c r="K26" s="185">
        <v>1</v>
      </c>
      <c r="L26" s="185">
        <v>3</v>
      </c>
      <c r="M26" s="185">
        <v>1</v>
      </c>
      <c r="N26" s="183"/>
      <c r="O26" s="183"/>
      <c r="P26" s="222">
        <f>SUM(Tabela2[[#This Row],[G]]+Tabela2[[#This Row],[D]]+Tabela2[[#This Row],[N]]+Tabela2[[#This Row],[HM]])</f>
        <v>7</v>
      </c>
      <c r="Q26" s="222">
        <f>SUM(Tabela2[[#This Row],[AO]]+Tabela2[[#This Row],[AD]]+Tabela2[[#This Row],[GWO]]+Tabela2[[#This Row],[GWD]])</f>
        <v>7</v>
      </c>
      <c r="R26" s="222">
        <f>Tabela2[[#This Row],[GWO]]+Tabela2[[#This Row],[GWD]]</f>
        <v>4</v>
      </c>
      <c r="S26" s="222">
        <f>SUM(Tabela2[[#This Row],[G]:[GWD]])</f>
        <v>14</v>
      </c>
    </row>
    <row r="27" spans="1:19" ht="30">
      <c r="A27" s="225">
        <v>147</v>
      </c>
      <c r="B27" s="184" t="s">
        <v>613</v>
      </c>
      <c r="C27" s="184" t="s">
        <v>565</v>
      </c>
      <c r="D27" s="184">
        <v>3</v>
      </c>
      <c r="E27" s="184" t="s">
        <v>266</v>
      </c>
      <c r="F27" s="184">
        <v>1</v>
      </c>
      <c r="G27" s="184">
        <v>1</v>
      </c>
      <c r="H27" s="184">
        <v>3</v>
      </c>
      <c r="I27" s="184">
        <v>2</v>
      </c>
      <c r="J27" s="184">
        <v>1</v>
      </c>
      <c r="K27" s="184">
        <v>5</v>
      </c>
      <c r="L27" s="184">
        <v>2</v>
      </c>
      <c r="M27" s="184">
        <v>1</v>
      </c>
      <c r="N27" s="183"/>
      <c r="O27" s="183"/>
      <c r="P27" s="222">
        <f>SUM(Tabela2[[#This Row],[G]]+Tabela2[[#This Row],[D]]+Tabela2[[#This Row],[N]]+Tabela2[[#This Row],[HM]])</f>
        <v>10</v>
      </c>
      <c r="Q27" s="222">
        <f>SUM(Tabela2[[#This Row],[AO]]+Tabela2[[#This Row],[AD]]+Tabela2[[#This Row],[GWO]]+Tabela2[[#This Row],[GWD]])</f>
        <v>6</v>
      </c>
      <c r="R27" s="222">
        <f>Tabela2[[#This Row],[GWO]]+Tabela2[[#This Row],[GWD]]</f>
        <v>3</v>
      </c>
      <c r="S27" s="222">
        <f>SUM(Tabela2[[#This Row],[G]:[GWD]])</f>
        <v>16</v>
      </c>
    </row>
    <row r="28" spans="1:19">
      <c r="A28" s="225">
        <v>148</v>
      </c>
      <c r="B28" s="184" t="s">
        <v>612</v>
      </c>
      <c r="C28" s="184" t="s">
        <v>563</v>
      </c>
      <c r="D28" s="184">
        <v>3</v>
      </c>
      <c r="E28" s="184" t="s">
        <v>266</v>
      </c>
      <c r="F28" s="184">
        <v>1</v>
      </c>
      <c r="G28" s="184">
        <v>1</v>
      </c>
      <c r="H28" s="184">
        <v>3</v>
      </c>
      <c r="I28" s="184">
        <v>1</v>
      </c>
      <c r="J28" s="184">
        <v>1</v>
      </c>
      <c r="K28" s="184">
        <v>1</v>
      </c>
      <c r="L28" s="184">
        <v>1</v>
      </c>
      <c r="M28" s="184">
        <v>1</v>
      </c>
      <c r="N28" s="183"/>
      <c r="O28" s="183"/>
      <c r="P28" s="222">
        <f>SUM(Tabela2[[#This Row],[G]]+Tabela2[[#This Row],[D]]+Tabela2[[#This Row],[N]]+Tabela2[[#This Row],[HM]])</f>
        <v>6</v>
      </c>
      <c r="Q28" s="222">
        <f>SUM(Tabela2[[#This Row],[AO]]+Tabela2[[#This Row],[AD]]+Tabela2[[#This Row],[GWO]]+Tabela2[[#This Row],[GWD]])</f>
        <v>4</v>
      </c>
      <c r="R28" s="222">
        <f>Tabela2[[#This Row],[GWO]]+Tabela2[[#This Row],[GWD]]</f>
        <v>2</v>
      </c>
      <c r="S28" s="222">
        <f>SUM(Tabela2[[#This Row],[G]:[GWD]])</f>
        <v>10</v>
      </c>
    </row>
    <row r="29" spans="1:19" ht="30">
      <c r="A29" s="225">
        <v>171</v>
      </c>
      <c r="B29" s="183" t="s">
        <v>586</v>
      </c>
      <c r="C29" s="183" t="s">
        <v>585</v>
      </c>
      <c r="D29" s="183">
        <v>3</v>
      </c>
      <c r="E29" s="183" t="s">
        <v>287</v>
      </c>
      <c r="F29" s="183">
        <v>1</v>
      </c>
      <c r="G29" s="183">
        <v>2</v>
      </c>
      <c r="H29" s="183">
        <v>3</v>
      </c>
      <c r="I29" s="183">
        <v>1</v>
      </c>
      <c r="J29" s="183">
        <v>1</v>
      </c>
      <c r="K29" s="183">
        <v>2</v>
      </c>
      <c r="L29" s="183">
        <v>1</v>
      </c>
      <c r="M29" s="183">
        <v>1</v>
      </c>
      <c r="N29" s="183"/>
      <c r="O29" s="183"/>
      <c r="P29" s="222">
        <f>SUM(Tabela2[[#This Row],[G]]+Tabela2[[#This Row],[D]]+Tabela2[[#This Row],[N]]+Tabela2[[#This Row],[HM]])</f>
        <v>8</v>
      </c>
      <c r="Q29" s="222">
        <f>SUM(Tabela2[[#This Row],[AO]]+Tabela2[[#This Row],[AD]]+Tabela2[[#This Row],[GWO]]+Tabela2[[#This Row],[GWD]])</f>
        <v>4</v>
      </c>
      <c r="R29" s="222">
        <f>Tabela2[[#This Row],[GWO]]+Tabela2[[#This Row],[GWD]]</f>
        <v>2</v>
      </c>
      <c r="S29" s="222">
        <f>SUM(Tabela2[[#This Row],[G]:[GWD]])</f>
        <v>12</v>
      </c>
    </row>
    <row r="30" spans="1:19">
      <c r="A30" s="225">
        <v>183</v>
      </c>
      <c r="B30" s="183" t="s">
        <v>564</v>
      </c>
      <c r="C30" s="183" t="s">
        <v>563</v>
      </c>
      <c r="D30" s="183">
        <v>3</v>
      </c>
      <c r="E30" s="183" t="s">
        <v>287</v>
      </c>
      <c r="F30" s="183">
        <v>1</v>
      </c>
      <c r="G30" s="183">
        <v>1</v>
      </c>
      <c r="H30" s="183">
        <v>3</v>
      </c>
      <c r="I30" s="183">
        <v>1</v>
      </c>
      <c r="J30" s="183">
        <v>1</v>
      </c>
      <c r="K30" s="183">
        <v>1</v>
      </c>
      <c r="L30" s="183">
        <v>1</v>
      </c>
      <c r="M30" s="183">
        <v>1</v>
      </c>
      <c r="N30" s="183"/>
      <c r="O30" s="183"/>
      <c r="P30" s="222">
        <f>SUM(Tabela2[[#This Row],[G]]+Tabela2[[#This Row],[D]]+Tabela2[[#This Row],[N]]+Tabela2[[#This Row],[HM]])</f>
        <v>6</v>
      </c>
      <c r="Q30" s="222">
        <f>SUM(Tabela2[[#This Row],[AO]]+Tabela2[[#This Row],[AD]]+Tabela2[[#This Row],[GWO]]+Tabela2[[#This Row],[GWD]])</f>
        <v>4</v>
      </c>
      <c r="R30" s="222">
        <f>Tabela2[[#This Row],[GWO]]+Tabela2[[#This Row],[GWD]]</f>
        <v>2</v>
      </c>
      <c r="S30" s="222">
        <f>SUM(Tabela2[[#This Row],[G]:[GWD]])</f>
        <v>10</v>
      </c>
    </row>
    <row r="31" spans="1:19">
      <c r="A31" s="225">
        <v>200</v>
      </c>
      <c r="B31" s="189" t="s">
        <v>535</v>
      </c>
      <c r="C31" s="188" t="s">
        <v>434</v>
      </c>
      <c r="D31" s="188">
        <v>4</v>
      </c>
      <c r="E31" s="188" t="s">
        <v>18</v>
      </c>
      <c r="F31" s="188">
        <v>1</v>
      </c>
      <c r="G31" s="188">
        <v>3</v>
      </c>
      <c r="H31" s="188">
        <v>3</v>
      </c>
      <c r="I31" s="188">
        <v>3</v>
      </c>
      <c r="J31" s="188">
        <v>1</v>
      </c>
      <c r="K31" s="188">
        <v>1</v>
      </c>
      <c r="L31" s="188">
        <v>3</v>
      </c>
      <c r="M31" s="188">
        <v>1</v>
      </c>
      <c r="N31" s="183"/>
      <c r="O31" s="183"/>
      <c r="P31" s="222">
        <f>SUM(Tabela2[[#This Row],[G]]+Tabela2[[#This Row],[D]]+Tabela2[[#This Row],[N]]+Tabela2[[#This Row],[HM]])</f>
        <v>8</v>
      </c>
      <c r="Q31" s="222">
        <f>SUM(Tabela2[[#This Row],[AO]]+Tabela2[[#This Row],[AD]]+Tabela2[[#This Row],[GWO]]+Tabela2[[#This Row],[GWD]])</f>
        <v>8</v>
      </c>
      <c r="R31" s="222">
        <f>Tabela2[[#This Row],[GWO]]+Tabela2[[#This Row],[GWD]]</f>
        <v>4</v>
      </c>
      <c r="S31" s="222">
        <f>SUM(Tabela2[[#This Row],[G]:[GWD]])</f>
        <v>16</v>
      </c>
    </row>
    <row r="32" spans="1:19" ht="30">
      <c r="A32" s="225">
        <v>207</v>
      </c>
      <c r="B32" s="188" t="s">
        <v>528</v>
      </c>
      <c r="C32" s="188" t="s">
        <v>422</v>
      </c>
      <c r="D32" s="188">
        <v>4</v>
      </c>
      <c r="E32" s="188" t="s">
        <v>18</v>
      </c>
      <c r="F32" s="188">
        <v>1</v>
      </c>
      <c r="G32" s="188">
        <v>1</v>
      </c>
      <c r="H32" s="188">
        <v>3</v>
      </c>
      <c r="I32" s="188">
        <v>1</v>
      </c>
      <c r="J32" s="188">
        <v>1</v>
      </c>
      <c r="K32" s="188">
        <v>1</v>
      </c>
      <c r="L32" s="188">
        <v>1</v>
      </c>
      <c r="M32" s="188">
        <v>1</v>
      </c>
      <c r="N32" s="183"/>
      <c r="O32" s="183"/>
      <c r="P32" s="222">
        <f>SUM(Tabela2[[#This Row],[G]]+Tabela2[[#This Row],[D]]+Tabela2[[#This Row],[N]]+Tabela2[[#This Row],[HM]])</f>
        <v>6</v>
      </c>
      <c r="Q32" s="222">
        <f>SUM(Tabela2[[#This Row],[AO]]+Tabela2[[#This Row],[AD]]+Tabela2[[#This Row],[GWO]]+Tabela2[[#This Row],[GWD]])</f>
        <v>4</v>
      </c>
      <c r="R32" s="222">
        <f>Tabela2[[#This Row],[GWO]]+Tabela2[[#This Row],[GWD]]</f>
        <v>2</v>
      </c>
      <c r="S32" s="222">
        <f>SUM(Tabela2[[#This Row],[G]:[GWD]])</f>
        <v>10</v>
      </c>
    </row>
    <row r="33" spans="1:19" ht="30">
      <c r="A33" s="225">
        <v>211</v>
      </c>
      <c r="B33" s="188" t="s">
        <v>524</v>
      </c>
      <c r="C33" s="188" t="s">
        <v>411</v>
      </c>
      <c r="D33" s="188">
        <v>4</v>
      </c>
      <c r="E33" s="188" t="s">
        <v>18</v>
      </c>
      <c r="F33" s="188">
        <v>1</v>
      </c>
      <c r="G33" s="188">
        <v>4</v>
      </c>
      <c r="H33" s="188">
        <v>3</v>
      </c>
      <c r="I33" s="188">
        <v>3</v>
      </c>
      <c r="J33" s="188">
        <v>2</v>
      </c>
      <c r="K33" s="188">
        <v>1</v>
      </c>
      <c r="L33" s="188">
        <v>3</v>
      </c>
      <c r="M33" s="188">
        <v>2</v>
      </c>
      <c r="N33" s="183"/>
      <c r="O33" s="183"/>
      <c r="P33" s="222">
        <f>SUM(Tabela2[[#This Row],[G]]+Tabela2[[#This Row],[D]]+Tabela2[[#This Row],[N]]+Tabela2[[#This Row],[HM]])</f>
        <v>9</v>
      </c>
      <c r="Q33" s="222">
        <f>SUM(Tabela2[[#This Row],[AO]]+Tabela2[[#This Row],[AD]]+Tabela2[[#This Row],[GWO]]+Tabela2[[#This Row],[GWD]])</f>
        <v>10</v>
      </c>
      <c r="R33" s="222">
        <f>Tabela2[[#This Row],[GWO]]+Tabela2[[#This Row],[GWD]]</f>
        <v>5</v>
      </c>
      <c r="S33" s="222">
        <f>SUM(Tabela2[[#This Row],[G]:[GWD]])</f>
        <v>19</v>
      </c>
    </row>
    <row r="34" spans="1:19" ht="30">
      <c r="A34" s="225">
        <v>212</v>
      </c>
      <c r="B34" s="188" t="s">
        <v>523</v>
      </c>
      <c r="C34" s="188" t="s">
        <v>409</v>
      </c>
      <c r="D34" s="188">
        <v>4</v>
      </c>
      <c r="E34" s="188" t="s">
        <v>18</v>
      </c>
      <c r="F34" s="188">
        <v>1</v>
      </c>
      <c r="G34" s="188">
        <v>3</v>
      </c>
      <c r="H34" s="188">
        <v>3</v>
      </c>
      <c r="I34" s="188">
        <v>3</v>
      </c>
      <c r="J34" s="188">
        <v>1</v>
      </c>
      <c r="K34" s="188">
        <v>1</v>
      </c>
      <c r="L34" s="188">
        <v>3</v>
      </c>
      <c r="M34" s="188">
        <v>1</v>
      </c>
      <c r="N34" s="183"/>
      <c r="O34" s="183"/>
      <c r="P34" s="222">
        <f>SUM(Tabela2[[#This Row],[G]]+Tabela2[[#This Row],[D]]+Tabela2[[#This Row],[N]]+Tabela2[[#This Row],[HM]])</f>
        <v>8</v>
      </c>
      <c r="Q34" s="222">
        <f>SUM(Tabela2[[#This Row],[AO]]+Tabela2[[#This Row],[AD]]+Tabela2[[#This Row],[GWO]]+Tabela2[[#This Row],[GWD]])</f>
        <v>8</v>
      </c>
      <c r="R34" s="222">
        <f>Tabela2[[#This Row],[GWO]]+Tabela2[[#This Row],[GWD]]</f>
        <v>4</v>
      </c>
      <c r="S34" s="222">
        <f>SUM(Tabela2[[#This Row],[G]:[GWD]])</f>
        <v>16</v>
      </c>
    </row>
    <row r="35" spans="1:19">
      <c r="A35" s="225">
        <v>216</v>
      </c>
      <c r="B35" s="188" t="s">
        <v>519</v>
      </c>
      <c r="C35" s="188" t="s">
        <v>403</v>
      </c>
      <c r="D35" s="188">
        <v>4</v>
      </c>
      <c r="E35" s="188" t="s">
        <v>18</v>
      </c>
      <c r="F35" s="188">
        <v>1</v>
      </c>
      <c r="G35" s="188">
        <v>3</v>
      </c>
      <c r="H35" s="188">
        <v>3</v>
      </c>
      <c r="I35" s="188">
        <v>3</v>
      </c>
      <c r="J35" s="188">
        <v>1</v>
      </c>
      <c r="K35" s="188">
        <v>2</v>
      </c>
      <c r="L35" s="188">
        <v>2</v>
      </c>
      <c r="M35" s="188">
        <v>1</v>
      </c>
      <c r="N35" s="183"/>
      <c r="O35" s="183"/>
      <c r="P35" s="222">
        <f>SUM(Tabela2[[#This Row],[G]]+Tabela2[[#This Row],[D]]+Tabela2[[#This Row],[N]]+Tabela2[[#This Row],[HM]])</f>
        <v>9</v>
      </c>
      <c r="Q35" s="222">
        <f>SUM(Tabela2[[#This Row],[AO]]+Tabela2[[#This Row],[AD]]+Tabela2[[#This Row],[GWO]]+Tabela2[[#This Row],[GWD]])</f>
        <v>7</v>
      </c>
      <c r="R35" s="222">
        <f>Tabela2[[#This Row],[GWO]]+Tabela2[[#This Row],[GWD]]</f>
        <v>3</v>
      </c>
      <c r="S35" s="222">
        <f>SUM(Tabela2[[#This Row],[G]:[GWD]])</f>
        <v>16</v>
      </c>
    </row>
    <row r="36" spans="1:19">
      <c r="A36" s="225">
        <v>225</v>
      </c>
      <c r="B36" s="188" t="s">
        <v>511</v>
      </c>
      <c r="C36" s="188" t="s">
        <v>187</v>
      </c>
      <c r="D36" s="188">
        <v>4</v>
      </c>
      <c r="E36" s="188" t="s">
        <v>18</v>
      </c>
      <c r="F36" s="188">
        <v>3</v>
      </c>
      <c r="G36" s="188">
        <v>5</v>
      </c>
      <c r="H36" s="188">
        <v>3</v>
      </c>
      <c r="I36" s="188">
        <v>5</v>
      </c>
      <c r="J36" s="188">
        <v>5</v>
      </c>
      <c r="K36" s="188">
        <v>5</v>
      </c>
      <c r="L36" s="188">
        <v>4</v>
      </c>
      <c r="M36" s="188">
        <v>5</v>
      </c>
      <c r="N36" s="183"/>
      <c r="O36" s="183"/>
      <c r="P36" s="222">
        <f>SUM(Tabela2[[#This Row],[G]]+Tabela2[[#This Row],[D]]+Tabela2[[#This Row],[N]]+Tabela2[[#This Row],[HM]])</f>
        <v>16</v>
      </c>
      <c r="Q36" s="222">
        <f>SUM(Tabela2[[#This Row],[AO]]+Tabela2[[#This Row],[AD]]+Tabela2[[#This Row],[GWO]]+Tabela2[[#This Row],[GWD]])</f>
        <v>19</v>
      </c>
      <c r="R36" s="222">
        <f>Tabela2[[#This Row],[GWO]]+Tabela2[[#This Row],[GWD]]</f>
        <v>9</v>
      </c>
      <c r="S36" s="222">
        <f>SUM(Tabela2[[#This Row],[G]:[GWD]])</f>
        <v>35</v>
      </c>
    </row>
    <row r="37" spans="1:19" ht="30">
      <c r="A37" s="225">
        <v>227</v>
      </c>
      <c r="B37" s="187" t="s">
        <v>509</v>
      </c>
      <c r="C37" s="187" t="s">
        <v>456</v>
      </c>
      <c r="D37" s="187">
        <v>4</v>
      </c>
      <c r="E37" s="187" t="s">
        <v>264</v>
      </c>
      <c r="F37" s="187">
        <v>1</v>
      </c>
      <c r="G37" s="187">
        <v>3</v>
      </c>
      <c r="H37" s="187">
        <v>3</v>
      </c>
      <c r="I37" s="187">
        <v>2</v>
      </c>
      <c r="J37" s="187">
        <v>1</v>
      </c>
      <c r="K37" s="187">
        <v>1</v>
      </c>
      <c r="L37" s="187">
        <v>2</v>
      </c>
      <c r="M37" s="187">
        <v>1</v>
      </c>
      <c r="N37" s="183"/>
      <c r="O37" s="183"/>
      <c r="P37" s="222">
        <f>SUM(Tabela2[[#This Row],[G]]+Tabela2[[#This Row],[D]]+Tabela2[[#This Row],[N]]+Tabela2[[#This Row],[HM]])</f>
        <v>8</v>
      </c>
      <c r="Q37" s="222">
        <f>SUM(Tabela2[[#This Row],[AO]]+Tabela2[[#This Row],[AD]]+Tabela2[[#This Row],[GWO]]+Tabela2[[#This Row],[GWD]])</f>
        <v>6</v>
      </c>
      <c r="R37" s="222">
        <f>Tabela2[[#This Row],[GWO]]+Tabela2[[#This Row],[GWD]]</f>
        <v>3</v>
      </c>
      <c r="S37" s="222">
        <f>SUM(Tabela2[[#This Row],[G]:[GWD]])</f>
        <v>14</v>
      </c>
    </row>
    <row r="38" spans="1:19" ht="30">
      <c r="A38" s="225">
        <v>231</v>
      </c>
      <c r="B38" s="187" t="s">
        <v>505</v>
      </c>
      <c r="C38" s="187" t="s">
        <v>424</v>
      </c>
      <c r="D38" s="187">
        <v>4</v>
      </c>
      <c r="E38" s="187" t="s">
        <v>264</v>
      </c>
      <c r="F38" s="187">
        <v>1</v>
      </c>
      <c r="G38" s="187">
        <v>1</v>
      </c>
      <c r="H38" s="187">
        <v>3</v>
      </c>
      <c r="I38" s="187">
        <v>4</v>
      </c>
      <c r="J38" s="187">
        <v>1</v>
      </c>
      <c r="K38" s="187">
        <v>3</v>
      </c>
      <c r="L38" s="187">
        <v>3</v>
      </c>
      <c r="M38" s="187">
        <v>1</v>
      </c>
      <c r="N38" s="183"/>
      <c r="O38" s="183"/>
      <c r="P38" s="222">
        <f>SUM(Tabela2[[#This Row],[G]]+Tabela2[[#This Row],[D]]+Tabela2[[#This Row],[N]]+Tabela2[[#This Row],[HM]])</f>
        <v>8</v>
      </c>
      <c r="Q38" s="222">
        <f>SUM(Tabela2[[#This Row],[AO]]+Tabela2[[#This Row],[AD]]+Tabela2[[#This Row],[GWO]]+Tabela2[[#This Row],[GWD]])</f>
        <v>9</v>
      </c>
      <c r="R38" s="222">
        <f>Tabela2[[#This Row],[GWO]]+Tabela2[[#This Row],[GWD]]</f>
        <v>4</v>
      </c>
      <c r="S38" s="222">
        <f>SUM(Tabela2[[#This Row],[G]:[GWD]])</f>
        <v>17</v>
      </c>
    </row>
    <row r="39" spans="1:19" ht="30">
      <c r="A39" s="225">
        <v>232</v>
      </c>
      <c r="B39" s="187" t="s">
        <v>504</v>
      </c>
      <c r="C39" s="187" t="s">
        <v>422</v>
      </c>
      <c r="D39" s="187">
        <v>4</v>
      </c>
      <c r="E39" s="187" t="s">
        <v>264</v>
      </c>
      <c r="F39" s="187">
        <v>1</v>
      </c>
      <c r="G39" s="187">
        <v>1</v>
      </c>
      <c r="H39" s="187">
        <v>3</v>
      </c>
      <c r="I39" s="187">
        <v>2</v>
      </c>
      <c r="J39" s="187">
        <v>1</v>
      </c>
      <c r="K39" s="187">
        <v>1</v>
      </c>
      <c r="L39" s="187">
        <v>2</v>
      </c>
      <c r="M39" s="187">
        <v>1</v>
      </c>
      <c r="N39" s="183"/>
      <c r="O39" s="183"/>
      <c r="P39" s="222">
        <f>SUM(Tabela2[[#This Row],[G]]+Tabela2[[#This Row],[D]]+Tabela2[[#This Row],[N]]+Tabela2[[#This Row],[HM]])</f>
        <v>6</v>
      </c>
      <c r="Q39" s="222">
        <f>SUM(Tabela2[[#This Row],[AO]]+Tabela2[[#This Row],[AD]]+Tabela2[[#This Row],[GWO]]+Tabela2[[#This Row],[GWD]])</f>
        <v>6</v>
      </c>
      <c r="R39" s="222">
        <f>Tabela2[[#This Row],[GWO]]+Tabela2[[#This Row],[GWD]]</f>
        <v>3</v>
      </c>
      <c r="S39" s="222">
        <f>SUM(Tabela2[[#This Row],[G]:[GWD]])</f>
        <v>12</v>
      </c>
    </row>
    <row r="40" spans="1:19" ht="30">
      <c r="A40" s="225">
        <v>234</v>
      </c>
      <c r="B40" s="187" t="s">
        <v>259</v>
      </c>
      <c r="C40" s="187" t="s">
        <v>418</v>
      </c>
      <c r="D40" s="187">
        <v>4</v>
      </c>
      <c r="E40" s="187" t="s">
        <v>264</v>
      </c>
      <c r="F40" s="187">
        <v>1</v>
      </c>
      <c r="G40" s="187">
        <v>1</v>
      </c>
      <c r="H40" s="187">
        <v>3</v>
      </c>
      <c r="I40" s="187">
        <v>2</v>
      </c>
      <c r="J40" s="187">
        <v>1</v>
      </c>
      <c r="K40" s="187">
        <v>1</v>
      </c>
      <c r="L40" s="187">
        <v>1</v>
      </c>
      <c r="M40" s="187">
        <v>1</v>
      </c>
      <c r="N40" s="183"/>
      <c r="O40" s="183"/>
      <c r="P40" s="222">
        <f>SUM(Tabela2[[#This Row],[G]]+Tabela2[[#This Row],[D]]+Tabela2[[#This Row],[N]]+Tabela2[[#This Row],[HM]])</f>
        <v>6</v>
      </c>
      <c r="Q40" s="222">
        <f>SUM(Tabela2[[#This Row],[AO]]+Tabela2[[#This Row],[AD]]+Tabela2[[#This Row],[GWO]]+Tabela2[[#This Row],[GWD]])</f>
        <v>5</v>
      </c>
      <c r="R40" s="222">
        <f>Tabela2[[#This Row],[GWO]]+Tabela2[[#This Row],[GWD]]</f>
        <v>2</v>
      </c>
      <c r="S40" s="222">
        <f>SUM(Tabela2[[#This Row],[G]:[GWD]])</f>
        <v>11</v>
      </c>
    </row>
    <row r="41" spans="1:19" ht="30">
      <c r="A41" s="225">
        <v>238</v>
      </c>
      <c r="B41" s="187" t="s">
        <v>499</v>
      </c>
      <c r="C41" s="187" t="s">
        <v>407</v>
      </c>
      <c r="D41" s="187">
        <v>4</v>
      </c>
      <c r="E41" s="187" t="s">
        <v>264</v>
      </c>
      <c r="F41" s="187">
        <v>1</v>
      </c>
      <c r="G41" s="187">
        <v>1</v>
      </c>
      <c r="H41" s="187">
        <v>3</v>
      </c>
      <c r="I41" s="187">
        <v>3</v>
      </c>
      <c r="J41" s="187">
        <v>1</v>
      </c>
      <c r="K41" s="187">
        <v>1</v>
      </c>
      <c r="L41" s="187">
        <v>2</v>
      </c>
      <c r="M41" s="187">
        <v>1</v>
      </c>
      <c r="N41" s="183"/>
      <c r="O41" s="183"/>
      <c r="P41" s="222">
        <f>SUM(Tabela2[[#This Row],[G]]+Tabela2[[#This Row],[D]]+Tabela2[[#This Row],[N]]+Tabela2[[#This Row],[HM]])</f>
        <v>6</v>
      </c>
      <c r="Q41" s="222">
        <f>SUM(Tabela2[[#This Row],[AO]]+Tabela2[[#This Row],[AD]]+Tabela2[[#This Row],[GWO]]+Tabela2[[#This Row],[GWD]])</f>
        <v>7</v>
      </c>
      <c r="R41" s="222">
        <f>Tabela2[[#This Row],[GWO]]+Tabela2[[#This Row],[GWD]]</f>
        <v>3</v>
      </c>
      <c r="S41" s="222">
        <f>SUM(Tabela2[[#This Row],[G]:[GWD]])</f>
        <v>13</v>
      </c>
    </row>
    <row r="42" spans="1:19">
      <c r="A42" s="225">
        <v>241</v>
      </c>
      <c r="B42" s="187" t="s">
        <v>496</v>
      </c>
      <c r="C42" s="187" t="s">
        <v>403</v>
      </c>
      <c r="D42" s="187">
        <v>4</v>
      </c>
      <c r="E42" s="187" t="s">
        <v>264</v>
      </c>
      <c r="F42" s="187">
        <v>1</v>
      </c>
      <c r="G42" s="187">
        <v>1</v>
      </c>
      <c r="H42" s="187">
        <v>3</v>
      </c>
      <c r="I42" s="187">
        <v>4</v>
      </c>
      <c r="J42" s="187">
        <v>1</v>
      </c>
      <c r="K42" s="187">
        <v>1</v>
      </c>
      <c r="L42" s="187">
        <v>4</v>
      </c>
      <c r="M42" s="187">
        <v>1</v>
      </c>
      <c r="N42" s="183"/>
      <c r="O42" s="183"/>
      <c r="P42" s="222">
        <f>SUM(Tabela2[[#This Row],[G]]+Tabela2[[#This Row],[D]]+Tabela2[[#This Row],[N]]+Tabela2[[#This Row],[HM]])</f>
        <v>6</v>
      </c>
      <c r="Q42" s="222">
        <f>SUM(Tabela2[[#This Row],[AO]]+Tabela2[[#This Row],[AD]]+Tabela2[[#This Row],[GWO]]+Tabela2[[#This Row],[GWD]])</f>
        <v>10</v>
      </c>
      <c r="R42" s="222">
        <f>Tabela2[[#This Row],[GWO]]+Tabela2[[#This Row],[GWD]]</f>
        <v>5</v>
      </c>
      <c r="S42" s="222">
        <f>SUM(Tabela2[[#This Row],[G]:[GWD]])</f>
        <v>16</v>
      </c>
    </row>
    <row r="43" spans="1:19">
      <c r="A43" s="225">
        <v>267</v>
      </c>
      <c r="B43" s="185" t="s">
        <v>471</v>
      </c>
      <c r="C43" s="185" t="s">
        <v>403</v>
      </c>
      <c r="D43" s="185">
        <v>4</v>
      </c>
      <c r="E43" s="185" t="s">
        <v>265</v>
      </c>
      <c r="F43" s="185">
        <v>2</v>
      </c>
      <c r="G43" s="185">
        <v>1</v>
      </c>
      <c r="H43" s="185">
        <v>3</v>
      </c>
      <c r="I43" s="185">
        <v>1</v>
      </c>
      <c r="J43" s="185">
        <v>1</v>
      </c>
      <c r="K43" s="185">
        <v>1</v>
      </c>
      <c r="L43" s="185">
        <v>3</v>
      </c>
      <c r="M43" s="185">
        <v>1</v>
      </c>
      <c r="N43" s="183"/>
      <c r="O43" s="183"/>
      <c r="P43" s="222">
        <f>SUM(Tabela2[[#This Row],[G]]+Tabela2[[#This Row],[D]]+Tabela2[[#This Row],[N]]+Tabela2[[#This Row],[HM]])</f>
        <v>7</v>
      </c>
      <c r="Q43" s="222">
        <f>SUM(Tabela2[[#This Row],[AO]]+Tabela2[[#This Row],[AD]]+Tabela2[[#This Row],[GWO]]+Tabela2[[#This Row],[GWD]])</f>
        <v>6</v>
      </c>
      <c r="R43" s="222">
        <f>Tabela2[[#This Row],[GWO]]+Tabela2[[#This Row],[GWD]]</f>
        <v>4</v>
      </c>
      <c r="S43" s="222">
        <f>SUM(Tabela2[[#This Row],[G]:[GWD]])</f>
        <v>13</v>
      </c>
    </row>
    <row r="44" spans="1:19" ht="30">
      <c r="A44" s="225">
        <v>271</v>
      </c>
      <c r="B44" s="185" t="s">
        <v>467</v>
      </c>
      <c r="C44" s="185" t="s">
        <v>466</v>
      </c>
      <c r="D44" s="185">
        <v>4</v>
      </c>
      <c r="E44" s="185" t="s">
        <v>265</v>
      </c>
      <c r="F44" s="185">
        <v>5</v>
      </c>
      <c r="G44" s="185">
        <v>3</v>
      </c>
      <c r="H44" s="185">
        <v>3</v>
      </c>
      <c r="I44" s="185">
        <v>4</v>
      </c>
      <c r="J44" s="185">
        <v>5</v>
      </c>
      <c r="K44" s="185">
        <v>5</v>
      </c>
      <c r="L44" s="185">
        <v>5</v>
      </c>
      <c r="M44" s="185">
        <v>5</v>
      </c>
      <c r="N44" s="183"/>
      <c r="O44" s="183"/>
      <c r="P44" s="222">
        <f>SUM(Tabela2[[#This Row],[G]]+Tabela2[[#This Row],[D]]+Tabela2[[#This Row],[N]]+Tabela2[[#This Row],[HM]])</f>
        <v>16</v>
      </c>
      <c r="Q44" s="222">
        <f>SUM(Tabela2[[#This Row],[AO]]+Tabela2[[#This Row],[AD]]+Tabela2[[#This Row],[GWO]]+Tabela2[[#This Row],[GWD]])</f>
        <v>19</v>
      </c>
      <c r="R44" s="222">
        <f>Tabela2[[#This Row],[GWO]]+Tabela2[[#This Row],[GWD]]</f>
        <v>10</v>
      </c>
      <c r="S44" s="222">
        <f>SUM(Tabela2[[#This Row],[G]:[GWD]])</f>
        <v>35</v>
      </c>
    </row>
    <row r="45" spans="1:19">
      <c r="A45" s="225">
        <v>292</v>
      </c>
      <c r="B45" s="184" t="s">
        <v>443</v>
      </c>
      <c r="C45" s="184" t="s">
        <v>403</v>
      </c>
      <c r="D45" s="184">
        <v>4</v>
      </c>
      <c r="E45" s="184" t="s">
        <v>266</v>
      </c>
      <c r="F45" s="184">
        <v>1</v>
      </c>
      <c r="G45" s="184">
        <v>4</v>
      </c>
      <c r="H45" s="184">
        <v>3</v>
      </c>
      <c r="I45" s="184">
        <v>1</v>
      </c>
      <c r="J45" s="184">
        <v>1</v>
      </c>
      <c r="K45" s="184">
        <v>1</v>
      </c>
      <c r="L45" s="184">
        <v>3</v>
      </c>
      <c r="M45" s="184">
        <v>1</v>
      </c>
      <c r="N45" s="183"/>
      <c r="O45" s="183"/>
      <c r="P45" s="222">
        <f>SUM(Tabela2[[#This Row],[G]]+Tabela2[[#This Row],[D]]+Tabela2[[#This Row],[N]]+Tabela2[[#This Row],[HM]])</f>
        <v>9</v>
      </c>
      <c r="Q45" s="222">
        <f>SUM(Tabela2[[#This Row],[AO]]+Tabela2[[#This Row],[AD]]+Tabela2[[#This Row],[GWO]]+Tabela2[[#This Row],[GWD]])</f>
        <v>6</v>
      </c>
      <c r="R45" s="222">
        <f>Tabela2[[#This Row],[GWO]]+Tabela2[[#This Row],[GWD]]</f>
        <v>4</v>
      </c>
      <c r="S45" s="222">
        <f>SUM(Tabela2[[#This Row],[G]:[GWD]])</f>
        <v>15</v>
      </c>
    </row>
    <row r="46" spans="1:19">
      <c r="A46" s="225">
        <v>294</v>
      </c>
      <c r="B46" s="184" t="s">
        <v>441</v>
      </c>
      <c r="C46" s="184" t="s">
        <v>399</v>
      </c>
      <c r="D46" s="184">
        <v>4</v>
      </c>
      <c r="E46" s="184" t="s">
        <v>266</v>
      </c>
      <c r="F46" s="184">
        <v>3</v>
      </c>
      <c r="G46" s="184">
        <v>1</v>
      </c>
      <c r="H46" s="184">
        <v>3</v>
      </c>
      <c r="I46" s="184">
        <v>2</v>
      </c>
      <c r="J46" s="184">
        <v>1</v>
      </c>
      <c r="K46" s="184">
        <v>1</v>
      </c>
      <c r="L46" s="184">
        <v>3</v>
      </c>
      <c r="M46" s="184">
        <v>1</v>
      </c>
      <c r="N46" s="183"/>
      <c r="O46" s="183"/>
      <c r="P46" s="222">
        <f>SUM(Tabela2[[#This Row],[G]]+Tabela2[[#This Row],[D]]+Tabela2[[#This Row],[N]]+Tabela2[[#This Row],[HM]])</f>
        <v>8</v>
      </c>
      <c r="Q46" s="222">
        <f>SUM(Tabela2[[#This Row],[AO]]+Tabela2[[#This Row],[AD]]+Tabela2[[#This Row],[GWO]]+Tabela2[[#This Row],[GWD]])</f>
        <v>7</v>
      </c>
      <c r="R46" s="222">
        <f>Tabela2[[#This Row],[GWO]]+Tabela2[[#This Row],[GWD]]</f>
        <v>4</v>
      </c>
      <c r="S46" s="222">
        <f>SUM(Tabela2[[#This Row],[G]:[GWD]])</f>
        <v>15</v>
      </c>
    </row>
    <row r="47" spans="1:19" ht="30">
      <c r="A47" s="225">
        <v>307</v>
      </c>
      <c r="B47" s="183" t="s">
        <v>423</v>
      </c>
      <c r="C47" s="183" t="s">
        <v>422</v>
      </c>
      <c r="D47" s="183">
        <v>4</v>
      </c>
      <c r="E47" s="183" t="s">
        <v>287</v>
      </c>
      <c r="F47" s="183">
        <v>1</v>
      </c>
      <c r="G47" s="183">
        <v>1</v>
      </c>
      <c r="H47" s="183">
        <v>3</v>
      </c>
      <c r="I47" s="183">
        <v>2</v>
      </c>
      <c r="J47" s="183">
        <v>1</v>
      </c>
      <c r="K47" s="183">
        <v>1</v>
      </c>
      <c r="L47" s="183">
        <v>3</v>
      </c>
      <c r="M47" s="183">
        <v>1</v>
      </c>
      <c r="N47" s="183"/>
      <c r="O47" s="183"/>
      <c r="P47" s="222">
        <f>SUM(Tabela2[[#This Row],[G]]+Tabela2[[#This Row],[D]]+Tabela2[[#This Row],[N]]+Tabela2[[#This Row],[HM]])</f>
        <v>6</v>
      </c>
      <c r="Q47" s="222">
        <f>SUM(Tabela2[[#This Row],[AO]]+Tabela2[[#This Row],[AD]]+Tabela2[[#This Row],[GWO]]+Tabela2[[#This Row],[GWD]])</f>
        <v>7</v>
      </c>
      <c r="R47" s="222">
        <f>Tabela2[[#This Row],[GWO]]+Tabela2[[#This Row],[GWD]]</f>
        <v>4</v>
      </c>
      <c r="S47" s="222">
        <f>SUM(Tabela2[[#This Row],[G]:[GWD]])</f>
        <v>13</v>
      </c>
    </row>
    <row r="48" spans="1:19" ht="30">
      <c r="A48" s="225">
        <v>309</v>
      </c>
      <c r="B48" s="183" t="s">
        <v>419</v>
      </c>
      <c r="C48" s="183" t="s">
        <v>418</v>
      </c>
      <c r="D48" s="183">
        <v>4</v>
      </c>
      <c r="E48" s="183" t="s">
        <v>287</v>
      </c>
      <c r="F48" s="183">
        <v>1</v>
      </c>
      <c r="G48" s="183">
        <v>1</v>
      </c>
      <c r="H48" s="183">
        <v>3</v>
      </c>
      <c r="I48" s="183">
        <v>1</v>
      </c>
      <c r="J48" s="183">
        <v>1</v>
      </c>
      <c r="K48" s="183">
        <v>1</v>
      </c>
      <c r="L48" s="183">
        <v>2</v>
      </c>
      <c r="M48" s="183">
        <v>1</v>
      </c>
      <c r="N48" s="183"/>
      <c r="O48" s="183"/>
      <c r="P48" s="222">
        <f>SUM(Tabela2[[#This Row],[G]]+Tabela2[[#This Row],[D]]+Tabela2[[#This Row],[N]]+Tabela2[[#This Row],[HM]])</f>
        <v>6</v>
      </c>
      <c r="Q48" s="222">
        <f>SUM(Tabela2[[#This Row],[AO]]+Tabela2[[#This Row],[AD]]+Tabela2[[#This Row],[GWO]]+Tabela2[[#This Row],[GWD]])</f>
        <v>5</v>
      </c>
      <c r="R48" s="222">
        <f>Tabela2[[#This Row],[GWO]]+Tabela2[[#This Row],[GWD]]</f>
        <v>3</v>
      </c>
      <c r="S48" s="222">
        <f>SUM(Tabela2[[#This Row],[G]:[GWD]])</f>
        <v>11</v>
      </c>
    </row>
    <row r="49" spans="1:19" ht="30">
      <c r="A49" s="225">
        <v>315</v>
      </c>
      <c r="B49" s="183" t="s">
        <v>408</v>
      </c>
      <c r="C49" s="183" t="s">
        <v>407</v>
      </c>
      <c r="D49" s="183">
        <v>4</v>
      </c>
      <c r="E49" s="183" t="s">
        <v>287</v>
      </c>
      <c r="F49" s="183">
        <v>1</v>
      </c>
      <c r="G49" s="183">
        <v>1</v>
      </c>
      <c r="H49" s="183">
        <v>3</v>
      </c>
      <c r="I49" s="183">
        <v>1</v>
      </c>
      <c r="J49" s="183">
        <v>1</v>
      </c>
      <c r="K49" s="183">
        <v>1</v>
      </c>
      <c r="L49" s="183">
        <v>3</v>
      </c>
      <c r="M49" s="183">
        <v>1</v>
      </c>
      <c r="N49" s="183"/>
      <c r="O49" s="183"/>
      <c r="P49" s="222">
        <f>SUM(Tabela2[[#This Row],[G]]+Tabela2[[#This Row],[D]]+Tabela2[[#This Row],[N]]+Tabela2[[#This Row],[HM]])</f>
        <v>6</v>
      </c>
      <c r="Q49" s="222">
        <f>SUM(Tabela2[[#This Row],[AO]]+Tabela2[[#This Row],[AD]]+Tabela2[[#This Row],[GWO]]+Tabela2[[#This Row],[GWD]])</f>
        <v>6</v>
      </c>
      <c r="R49" s="222">
        <f>Tabela2[[#This Row],[GWO]]+Tabela2[[#This Row],[GWD]]</f>
        <v>4</v>
      </c>
      <c r="S49" s="222">
        <f>SUM(Tabela2[[#This Row],[G]:[GWD]])</f>
        <v>12</v>
      </c>
    </row>
    <row r="50" spans="1:19">
      <c r="A50" s="225">
        <v>318</v>
      </c>
      <c r="B50" s="183" t="s">
        <v>404</v>
      </c>
      <c r="C50" s="183" t="s">
        <v>403</v>
      </c>
      <c r="D50" s="183">
        <v>4</v>
      </c>
      <c r="E50" s="183" t="s">
        <v>287</v>
      </c>
      <c r="F50" s="183">
        <v>1</v>
      </c>
      <c r="G50" s="183">
        <v>1</v>
      </c>
      <c r="H50" s="183">
        <v>3</v>
      </c>
      <c r="I50" s="183">
        <v>2</v>
      </c>
      <c r="J50" s="183">
        <v>1</v>
      </c>
      <c r="K50" s="183">
        <v>1</v>
      </c>
      <c r="L50" s="183">
        <v>4</v>
      </c>
      <c r="M50" s="183">
        <v>1</v>
      </c>
      <c r="N50" s="183"/>
      <c r="O50" s="183"/>
      <c r="P50" s="222">
        <f>SUM(Tabela2[[#This Row],[G]]+Tabela2[[#This Row],[D]]+Tabela2[[#This Row],[N]]+Tabela2[[#This Row],[HM]])</f>
        <v>6</v>
      </c>
      <c r="Q50" s="222">
        <f>SUM(Tabela2[[#This Row],[AO]]+Tabela2[[#This Row],[AD]]+Tabela2[[#This Row],[GWO]]+Tabela2[[#This Row],[GWD]])</f>
        <v>8</v>
      </c>
      <c r="R50" s="222">
        <f>Tabela2[[#This Row],[GWO]]+Tabela2[[#This Row],[GWD]]</f>
        <v>5</v>
      </c>
      <c r="S50" s="222">
        <f>SUM(Tabela2[[#This Row],[G]:[GWD]])</f>
        <v>14</v>
      </c>
    </row>
    <row r="51" spans="1:19">
      <c r="A51" s="225">
        <v>325</v>
      </c>
      <c r="B51" s="183" t="s">
        <v>392</v>
      </c>
      <c r="C51" s="183" t="s">
        <v>391</v>
      </c>
      <c r="D51" s="183">
        <v>4</v>
      </c>
      <c r="E51" s="183" t="s">
        <v>287</v>
      </c>
      <c r="F51" s="183">
        <v>3</v>
      </c>
      <c r="G51" s="183">
        <v>3</v>
      </c>
      <c r="H51" s="183">
        <v>3</v>
      </c>
      <c r="I51" s="183">
        <v>5</v>
      </c>
      <c r="J51" s="183">
        <v>5</v>
      </c>
      <c r="K51" s="183">
        <v>5</v>
      </c>
      <c r="L51" s="183">
        <v>5</v>
      </c>
      <c r="M51" s="183">
        <v>4</v>
      </c>
      <c r="N51" s="183"/>
      <c r="O51" s="183"/>
      <c r="P51" s="222">
        <f>SUM(Tabela2[[#This Row],[G]]+Tabela2[[#This Row],[D]]+Tabela2[[#This Row],[N]]+Tabela2[[#This Row],[HM]])</f>
        <v>14</v>
      </c>
      <c r="Q51" s="222">
        <f>SUM(Tabela2[[#This Row],[AO]]+Tabela2[[#This Row],[AD]]+Tabela2[[#This Row],[GWO]]+Tabela2[[#This Row],[GWD]])</f>
        <v>19</v>
      </c>
      <c r="R51" s="222">
        <f>Tabela2[[#This Row],[GWO]]+Tabela2[[#This Row],[GWD]]</f>
        <v>9</v>
      </c>
      <c r="S51" s="222">
        <f>SUM(Tabela2[[#This Row],[G]:[GWD]])</f>
        <v>33</v>
      </c>
    </row>
    <row r="52" spans="1:19">
      <c r="A52" s="225">
        <v>10</v>
      </c>
      <c r="B52" s="187" t="s">
        <v>767</v>
      </c>
      <c r="C52" s="187" t="s">
        <v>729</v>
      </c>
      <c r="D52" s="187">
        <v>2</v>
      </c>
      <c r="E52" s="187" t="s">
        <v>264</v>
      </c>
      <c r="F52" s="187">
        <v>2</v>
      </c>
      <c r="G52" s="187">
        <v>1</v>
      </c>
      <c r="H52" s="187">
        <v>2</v>
      </c>
      <c r="I52" s="187">
        <v>1</v>
      </c>
      <c r="J52" s="187">
        <v>1</v>
      </c>
      <c r="K52" s="187">
        <v>1</v>
      </c>
      <c r="L52" s="187">
        <v>1</v>
      </c>
      <c r="M52" s="187">
        <v>1</v>
      </c>
      <c r="N52" s="183"/>
      <c r="O52" s="183"/>
      <c r="P52" s="222">
        <f>SUM(Tabela2[[#This Row],[G]]+Tabela2[[#This Row],[D]]+Tabela2[[#This Row],[N]]+Tabela2[[#This Row],[HM]])</f>
        <v>6</v>
      </c>
      <c r="Q52" s="222">
        <f>SUM(Tabela2[[#This Row],[AO]]+Tabela2[[#This Row],[AD]]+Tabela2[[#This Row],[GWO]]+Tabela2[[#This Row],[GWD]])</f>
        <v>4</v>
      </c>
      <c r="R52" s="222">
        <f>Tabela2[[#This Row],[GWO]]+Tabela2[[#This Row],[GWD]]</f>
        <v>2</v>
      </c>
      <c r="S52" s="222">
        <f>SUM(Tabela2[[#This Row],[G]:[GWD]])</f>
        <v>10</v>
      </c>
    </row>
    <row r="53" spans="1:19">
      <c r="A53" s="225">
        <v>23</v>
      </c>
      <c r="B53" s="185" t="s">
        <v>755</v>
      </c>
      <c r="C53" s="185" t="s">
        <v>721</v>
      </c>
      <c r="D53" s="185">
        <v>2</v>
      </c>
      <c r="E53" s="185" t="s">
        <v>265</v>
      </c>
      <c r="F53" s="185">
        <v>2</v>
      </c>
      <c r="G53" s="185">
        <v>1</v>
      </c>
      <c r="H53" s="185">
        <v>2</v>
      </c>
      <c r="I53" s="185">
        <v>1</v>
      </c>
      <c r="J53" s="185">
        <v>1</v>
      </c>
      <c r="K53" s="185">
        <v>1</v>
      </c>
      <c r="L53" s="185">
        <v>1</v>
      </c>
      <c r="M53" s="185">
        <v>1</v>
      </c>
      <c r="N53" s="183"/>
      <c r="O53" s="183"/>
      <c r="P53" s="222">
        <f>SUM(Tabela2[[#This Row],[G]]+Tabela2[[#This Row],[D]]+Tabela2[[#This Row],[N]]+Tabela2[[#This Row],[HM]])</f>
        <v>6</v>
      </c>
      <c r="Q53" s="222">
        <f>SUM(Tabela2[[#This Row],[AO]]+Tabela2[[#This Row],[AD]]+Tabela2[[#This Row],[GWO]]+Tabela2[[#This Row],[GWD]])</f>
        <v>4</v>
      </c>
      <c r="R53" s="222">
        <f>Tabela2[[#This Row],[GWO]]+Tabela2[[#This Row],[GWD]]</f>
        <v>2</v>
      </c>
      <c r="S53" s="222">
        <f>SUM(Tabela2[[#This Row],[G]:[GWD]])</f>
        <v>10</v>
      </c>
    </row>
    <row r="54" spans="1:19">
      <c r="A54" s="225">
        <v>50</v>
      </c>
      <c r="B54" s="188" t="s">
        <v>717</v>
      </c>
      <c r="C54" s="188" t="s">
        <v>716</v>
      </c>
      <c r="D54" s="188">
        <v>3</v>
      </c>
      <c r="E54" s="188" t="s">
        <v>18</v>
      </c>
      <c r="F54" s="188">
        <v>1</v>
      </c>
      <c r="G54" s="188">
        <v>1</v>
      </c>
      <c r="H54" s="188">
        <v>2</v>
      </c>
      <c r="I54" s="188">
        <v>2</v>
      </c>
      <c r="J54" s="188">
        <v>2</v>
      </c>
      <c r="K54" s="188">
        <v>1</v>
      </c>
      <c r="L54" s="188">
        <v>2</v>
      </c>
      <c r="M54" s="188">
        <v>2</v>
      </c>
      <c r="N54" s="183"/>
      <c r="O54" s="183"/>
      <c r="P54" s="222">
        <f>SUM(Tabela2[[#This Row],[G]]+Tabela2[[#This Row],[D]]+Tabela2[[#This Row],[N]]+Tabela2[[#This Row],[HM]])</f>
        <v>5</v>
      </c>
      <c r="Q54" s="222">
        <f>SUM(Tabela2[[#This Row],[AO]]+Tabela2[[#This Row],[AD]]+Tabela2[[#This Row],[GWO]]+Tabela2[[#This Row],[GWD]])</f>
        <v>8</v>
      </c>
      <c r="R54" s="222">
        <f>Tabela2[[#This Row],[GWO]]+Tabela2[[#This Row],[GWD]]</f>
        <v>4</v>
      </c>
      <c r="S54" s="222">
        <f>SUM(Tabela2[[#This Row],[G]:[GWD]])</f>
        <v>13</v>
      </c>
    </row>
    <row r="55" spans="1:19">
      <c r="A55" s="225">
        <v>54</v>
      </c>
      <c r="B55" s="188" t="s">
        <v>712</v>
      </c>
      <c r="C55" s="188" t="s">
        <v>580</v>
      </c>
      <c r="D55" s="188">
        <v>3</v>
      </c>
      <c r="E55" s="188" t="s">
        <v>18</v>
      </c>
      <c r="F55" s="188">
        <v>1</v>
      </c>
      <c r="G55" s="188">
        <v>1</v>
      </c>
      <c r="H55" s="188">
        <v>2</v>
      </c>
      <c r="I55" s="188">
        <v>1</v>
      </c>
      <c r="J55" s="188">
        <v>1</v>
      </c>
      <c r="K55" s="188">
        <v>1</v>
      </c>
      <c r="L55" s="188">
        <v>3</v>
      </c>
      <c r="M55" s="188">
        <v>1</v>
      </c>
      <c r="N55" s="183"/>
      <c r="O55" s="183"/>
      <c r="P55" s="222">
        <f>SUM(Tabela2[[#This Row],[G]]+Tabela2[[#This Row],[D]]+Tabela2[[#This Row],[N]]+Tabela2[[#This Row],[HM]])</f>
        <v>5</v>
      </c>
      <c r="Q55" s="222">
        <f>SUM(Tabela2[[#This Row],[AO]]+Tabela2[[#This Row],[AD]]+Tabela2[[#This Row],[GWO]]+Tabela2[[#This Row],[GWD]])</f>
        <v>6</v>
      </c>
      <c r="R55" s="222">
        <f>Tabela2[[#This Row],[GWO]]+Tabela2[[#This Row],[GWD]]</f>
        <v>4</v>
      </c>
      <c r="S55" s="222">
        <f>SUM(Tabela2[[#This Row],[G]:[GWD]])</f>
        <v>11</v>
      </c>
    </row>
    <row r="56" spans="1:19" ht="30">
      <c r="A56" s="225">
        <v>62</v>
      </c>
      <c r="B56" s="188" t="s">
        <v>699</v>
      </c>
      <c r="C56" s="188" t="s">
        <v>557</v>
      </c>
      <c r="D56" s="188">
        <v>3</v>
      </c>
      <c r="E56" s="188" t="s">
        <v>18</v>
      </c>
      <c r="F56" s="188">
        <v>1</v>
      </c>
      <c r="G56" s="188">
        <v>1</v>
      </c>
      <c r="H56" s="188">
        <v>2</v>
      </c>
      <c r="I56" s="188">
        <v>1</v>
      </c>
      <c r="J56" s="188">
        <v>1</v>
      </c>
      <c r="K56" s="188">
        <v>1</v>
      </c>
      <c r="L56" s="188">
        <v>1</v>
      </c>
      <c r="M56" s="188">
        <v>1</v>
      </c>
      <c r="N56" s="183"/>
      <c r="O56" s="183"/>
      <c r="P56" s="222">
        <f>SUM(Tabela2[[#This Row],[G]]+Tabela2[[#This Row],[D]]+Tabela2[[#This Row],[N]]+Tabela2[[#This Row],[HM]])</f>
        <v>5</v>
      </c>
      <c r="Q56" s="222">
        <f>SUM(Tabela2[[#This Row],[AO]]+Tabela2[[#This Row],[AD]]+Tabela2[[#This Row],[GWO]]+Tabela2[[#This Row],[GWD]])</f>
        <v>4</v>
      </c>
      <c r="R56" s="222">
        <f>Tabela2[[#This Row],[GWO]]+Tabela2[[#This Row],[GWD]]</f>
        <v>2</v>
      </c>
      <c r="S56" s="222">
        <f>SUM(Tabela2[[#This Row],[G]:[GWD]])</f>
        <v>9</v>
      </c>
    </row>
    <row r="57" spans="1:19">
      <c r="A57" s="225">
        <v>78</v>
      </c>
      <c r="B57" s="188" t="s">
        <v>681</v>
      </c>
      <c r="C57" s="188" t="s">
        <v>593</v>
      </c>
      <c r="D57" s="188">
        <v>3</v>
      </c>
      <c r="E57" s="188" t="s">
        <v>18</v>
      </c>
      <c r="F57" s="188">
        <v>1</v>
      </c>
      <c r="G57" s="188">
        <v>1</v>
      </c>
      <c r="H57" s="188">
        <v>2</v>
      </c>
      <c r="I57" s="188">
        <v>1</v>
      </c>
      <c r="J57" s="188">
        <v>1</v>
      </c>
      <c r="K57" s="188">
        <v>1</v>
      </c>
      <c r="L57" s="188">
        <v>1</v>
      </c>
      <c r="M57" s="188">
        <v>1</v>
      </c>
      <c r="N57" s="183"/>
      <c r="O57" s="183"/>
      <c r="P57" s="222">
        <f>SUM(Tabela2[[#This Row],[G]]+Tabela2[[#This Row],[D]]+Tabela2[[#This Row],[N]]+Tabela2[[#This Row],[HM]])</f>
        <v>5</v>
      </c>
      <c r="Q57" s="222">
        <f>SUM(Tabela2[[#This Row],[AO]]+Tabela2[[#This Row],[AD]]+Tabela2[[#This Row],[GWO]]+Tabela2[[#This Row],[GWD]])</f>
        <v>4</v>
      </c>
      <c r="R57" s="222">
        <f>Tabela2[[#This Row],[GWO]]+Tabela2[[#This Row],[GWD]]</f>
        <v>2</v>
      </c>
      <c r="S57" s="222">
        <f>SUM(Tabela2[[#This Row],[G]:[GWD]])</f>
        <v>9</v>
      </c>
    </row>
    <row r="58" spans="1:19" ht="30">
      <c r="A58" s="225">
        <v>82</v>
      </c>
      <c r="B58" s="187" t="s">
        <v>677</v>
      </c>
      <c r="C58" s="187" t="s">
        <v>583</v>
      </c>
      <c r="D58" s="187">
        <v>3</v>
      </c>
      <c r="E58" s="187" t="s">
        <v>264</v>
      </c>
      <c r="F58" s="187">
        <v>1</v>
      </c>
      <c r="G58" s="187">
        <v>1</v>
      </c>
      <c r="H58" s="187">
        <v>2</v>
      </c>
      <c r="I58" s="187">
        <v>3</v>
      </c>
      <c r="J58" s="187">
        <v>3</v>
      </c>
      <c r="K58" s="187">
        <v>1</v>
      </c>
      <c r="L58" s="187">
        <v>2</v>
      </c>
      <c r="M58" s="187">
        <v>1</v>
      </c>
      <c r="N58" s="183"/>
      <c r="O58" s="183"/>
      <c r="P58" s="222">
        <f>SUM(Tabela2[[#This Row],[G]]+Tabela2[[#This Row],[D]]+Tabela2[[#This Row],[N]]+Tabela2[[#This Row],[HM]])</f>
        <v>5</v>
      </c>
      <c r="Q58" s="222">
        <f>SUM(Tabela2[[#This Row],[AO]]+Tabela2[[#This Row],[AD]]+Tabela2[[#This Row],[GWO]]+Tabela2[[#This Row],[GWD]])</f>
        <v>9</v>
      </c>
      <c r="R58" s="222">
        <f>Tabela2[[#This Row],[GWO]]+Tabela2[[#This Row],[GWD]]</f>
        <v>3</v>
      </c>
      <c r="S58" s="222">
        <f>SUM(Tabela2[[#This Row],[G]:[GWD]])</f>
        <v>14</v>
      </c>
    </row>
    <row r="59" spans="1:19">
      <c r="A59" s="225">
        <v>108</v>
      </c>
      <c r="B59" s="185" t="s">
        <v>651</v>
      </c>
      <c r="C59" s="185" t="s">
        <v>589</v>
      </c>
      <c r="D59" s="185">
        <v>3</v>
      </c>
      <c r="E59" s="185" t="s">
        <v>265</v>
      </c>
      <c r="F59" s="185">
        <v>1</v>
      </c>
      <c r="G59" s="185">
        <v>1</v>
      </c>
      <c r="H59" s="185">
        <v>2</v>
      </c>
      <c r="I59" s="185">
        <v>1</v>
      </c>
      <c r="J59" s="185">
        <v>1</v>
      </c>
      <c r="K59" s="185">
        <v>1</v>
      </c>
      <c r="L59" s="185">
        <v>1</v>
      </c>
      <c r="M59" s="185">
        <v>1</v>
      </c>
      <c r="N59" s="185" t="s">
        <v>460</v>
      </c>
      <c r="O59" s="185"/>
      <c r="P59" s="228">
        <f>SUM(Tabela2[[#This Row],[G]]+Tabela2[[#This Row],[D]]+Tabela2[[#This Row],[N]]+Tabela2[[#This Row],[HM]])</f>
        <v>5</v>
      </c>
      <c r="Q59" s="228">
        <f>SUM(Tabela2[[#This Row],[AO]]+Tabela2[[#This Row],[AD]]+Tabela2[[#This Row],[GWO]]+Tabela2[[#This Row],[GWD]])</f>
        <v>4</v>
      </c>
      <c r="R59" s="228">
        <f>Tabela2[[#This Row],[GWO]]+Tabela2[[#This Row],[GWD]]</f>
        <v>2</v>
      </c>
      <c r="S59" s="222">
        <f>SUM(Tabela2[[#This Row],[G]:[GWD]])</f>
        <v>9</v>
      </c>
    </row>
    <row r="60" spans="1:19" ht="30">
      <c r="A60" s="225">
        <v>112</v>
      </c>
      <c r="B60" s="185" t="s">
        <v>647</v>
      </c>
      <c r="C60" s="185" t="s">
        <v>583</v>
      </c>
      <c r="D60" s="185">
        <v>3</v>
      </c>
      <c r="E60" s="185" t="s">
        <v>265</v>
      </c>
      <c r="F60" s="185">
        <v>1</v>
      </c>
      <c r="G60" s="185">
        <v>1</v>
      </c>
      <c r="H60" s="185">
        <v>2</v>
      </c>
      <c r="I60" s="185">
        <v>2</v>
      </c>
      <c r="J60" s="185">
        <v>1</v>
      </c>
      <c r="K60" s="185">
        <v>1</v>
      </c>
      <c r="L60" s="185">
        <v>2</v>
      </c>
      <c r="M60" s="185">
        <v>1</v>
      </c>
      <c r="N60" s="183"/>
      <c r="O60" s="183"/>
      <c r="P60" s="222">
        <f>SUM(Tabela2[[#This Row],[G]]+Tabela2[[#This Row],[D]]+Tabela2[[#This Row],[N]]+Tabela2[[#This Row],[HM]])</f>
        <v>5</v>
      </c>
      <c r="Q60" s="222">
        <f>SUM(Tabela2[[#This Row],[AO]]+Tabela2[[#This Row],[AD]]+Tabela2[[#This Row],[GWO]]+Tabela2[[#This Row],[GWD]])</f>
        <v>6</v>
      </c>
      <c r="R60" s="222">
        <f>Tabela2[[#This Row],[GWO]]+Tabela2[[#This Row],[GWD]]</f>
        <v>3</v>
      </c>
      <c r="S60" s="222">
        <f>SUM(Tabela2[[#This Row],[G]:[GWD]])</f>
        <v>11</v>
      </c>
    </row>
    <row r="61" spans="1:19">
      <c r="A61" s="225">
        <v>114</v>
      </c>
      <c r="B61" s="185" t="s">
        <v>645</v>
      </c>
      <c r="C61" s="185" t="s">
        <v>580</v>
      </c>
      <c r="D61" s="185">
        <v>3</v>
      </c>
      <c r="E61" s="185" t="s">
        <v>265</v>
      </c>
      <c r="F61" s="185">
        <v>1</v>
      </c>
      <c r="G61" s="185">
        <v>1</v>
      </c>
      <c r="H61" s="185">
        <v>2</v>
      </c>
      <c r="I61" s="185">
        <v>2</v>
      </c>
      <c r="J61" s="185">
        <v>1</v>
      </c>
      <c r="K61" s="185">
        <v>1</v>
      </c>
      <c r="L61" s="185">
        <v>2</v>
      </c>
      <c r="M61" s="185">
        <v>1</v>
      </c>
      <c r="N61" s="183"/>
      <c r="O61" s="183"/>
      <c r="P61" s="222">
        <f>SUM(Tabela2[[#This Row],[G]]+Tabela2[[#This Row],[D]]+Tabela2[[#This Row],[N]]+Tabela2[[#This Row],[HM]])</f>
        <v>5</v>
      </c>
      <c r="Q61" s="222">
        <f>SUM(Tabela2[[#This Row],[AO]]+Tabela2[[#This Row],[AD]]+Tabela2[[#This Row],[GWO]]+Tabela2[[#This Row],[GWD]])</f>
        <v>6</v>
      </c>
      <c r="R61" s="222">
        <f>Tabela2[[#This Row],[GWO]]+Tabela2[[#This Row],[GWD]]</f>
        <v>3</v>
      </c>
      <c r="S61" s="222">
        <f>SUM(Tabela2[[#This Row],[G]:[GWD]])</f>
        <v>11</v>
      </c>
    </row>
    <row r="62" spans="1:19">
      <c r="A62" s="225">
        <v>168</v>
      </c>
      <c r="B62" s="183" t="s">
        <v>590</v>
      </c>
      <c r="C62" s="183" t="s">
        <v>589</v>
      </c>
      <c r="D62" s="183">
        <v>3</v>
      </c>
      <c r="E62" s="183" t="s">
        <v>287</v>
      </c>
      <c r="F62" s="183">
        <v>1</v>
      </c>
      <c r="G62" s="183">
        <v>1</v>
      </c>
      <c r="H62" s="183">
        <v>2</v>
      </c>
      <c r="I62" s="183">
        <v>1</v>
      </c>
      <c r="J62" s="183">
        <v>1</v>
      </c>
      <c r="K62" s="183">
        <v>1</v>
      </c>
      <c r="L62" s="183">
        <v>1</v>
      </c>
      <c r="M62" s="183">
        <v>1</v>
      </c>
      <c r="N62" s="183"/>
      <c r="O62" s="183"/>
      <c r="P62" s="222">
        <f>SUM(Tabela2[[#This Row],[G]]+Tabela2[[#This Row],[D]]+Tabela2[[#This Row],[N]]+Tabela2[[#This Row],[HM]])</f>
        <v>5</v>
      </c>
      <c r="Q62" s="222">
        <f>SUM(Tabela2[[#This Row],[AO]]+Tabela2[[#This Row],[AD]]+Tabela2[[#This Row],[GWO]]+Tabela2[[#This Row],[GWD]])</f>
        <v>4</v>
      </c>
      <c r="R62" s="222">
        <f>Tabela2[[#This Row],[GWO]]+Tabela2[[#This Row],[GWD]]</f>
        <v>2</v>
      </c>
      <c r="S62" s="222">
        <f>SUM(Tabela2[[#This Row],[G]:[GWD]])</f>
        <v>9</v>
      </c>
    </row>
    <row r="63" spans="1:19">
      <c r="A63" s="225">
        <v>184</v>
      </c>
      <c r="B63" s="183" t="s">
        <v>562</v>
      </c>
      <c r="C63" s="183" t="s">
        <v>561</v>
      </c>
      <c r="D63" s="183">
        <v>3</v>
      </c>
      <c r="E63" s="183" t="s">
        <v>287</v>
      </c>
      <c r="F63" s="183">
        <v>2</v>
      </c>
      <c r="G63" s="183">
        <v>2</v>
      </c>
      <c r="H63" s="183">
        <v>2</v>
      </c>
      <c r="I63" s="183">
        <v>2</v>
      </c>
      <c r="J63" s="183">
        <v>2</v>
      </c>
      <c r="K63" s="183">
        <v>1</v>
      </c>
      <c r="L63" s="183">
        <v>2</v>
      </c>
      <c r="M63" s="183">
        <v>1</v>
      </c>
      <c r="N63" s="183"/>
      <c r="O63" s="183"/>
      <c r="P63" s="222">
        <f>SUM(Tabela2[[#This Row],[G]]+Tabela2[[#This Row],[D]]+Tabela2[[#This Row],[N]]+Tabela2[[#This Row],[HM]])</f>
        <v>7</v>
      </c>
      <c r="Q63" s="222">
        <f>SUM(Tabela2[[#This Row],[AO]]+Tabela2[[#This Row],[AD]]+Tabela2[[#This Row],[GWO]]+Tabela2[[#This Row],[GWD]])</f>
        <v>7</v>
      </c>
      <c r="R63" s="222">
        <f>Tabela2[[#This Row],[GWO]]+Tabela2[[#This Row],[GWD]]</f>
        <v>3</v>
      </c>
      <c r="S63" s="222">
        <f>SUM(Tabela2[[#This Row],[G]:[GWD]])</f>
        <v>14</v>
      </c>
    </row>
    <row r="64" spans="1:19">
      <c r="A64" s="225">
        <v>190</v>
      </c>
      <c r="B64" s="183" t="s">
        <v>552</v>
      </c>
      <c r="C64" s="183" t="s">
        <v>551</v>
      </c>
      <c r="D64" s="183">
        <v>3</v>
      </c>
      <c r="E64" s="183" t="s">
        <v>287</v>
      </c>
      <c r="F64" s="183">
        <v>1</v>
      </c>
      <c r="G64" s="183">
        <v>1</v>
      </c>
      <c r="H64" s="183">
        <v>2</v>
      </c>
      <c r="I64" s="183">
        <v>1</v>
      </c>
      <c r="J64" s="183">
        <v>1</v>
      </c>
      <c r="K64" s="183">
        <v>1</v>
      </c>
      <c r="L64" s="183">
        <v>2</v>
      </c>
      <c r="M64" s="183">
        <v>1</v>
      </c>
      <c r="N64" s="183"/>
      <c r="O64" s="183"/>
      <c r="P64" s="222">
        <f>SUM(Tabela2[[#This Row],[G]]+Tabela2[[#This Row],[D]]+Tabela2[[#This Row],[N]]+Tabela2[[#This Row],[HM]])</f>
        <v>5</v>
      </c>
      <c r="Q64" s="222">
        <f>SUM(Tabela2[[#This Row],[AO]]+Tabela2[[#This Row],[AD]]+Tabela2[[#This Row],[GWO]]+Tabela2[[#This Row],[GWD]])</f>
        <v>5</v>
      </c>
      <c r="R64" s="222">
        <f>Tabela2[[#This Row],[GWO]]+Tabela2[[#This Row],[GWD]]</f>
        <v>3</v>
      </c>
      <c r="S64" s="222">
        <f>SUM(Tabela2[[#This Row],[G]:[GWD]])</f>
        <v>10</v>
      </c>
    </row>
    <row r="65" spans="1:19" ht="30">
      <c r="A65" s="225">
        <v>201</v>
      </c>
      <c r="B65" s="189" t="s">
        <v>534</v>
      </c>
      <c r="C65" s="188" t="s">
        <v>456</v>
      </c>
      <c r="D65" s="188">
        <v>4</v>
      </c>
      <c r="E65" s="188" t="s">
        <v>18</v>
      </c>
      <c r="F65" s="188">
        <v>1</v>
      </c>
      <c r="G65" s="188">
        <v>1</v>
      </c>
      <c r="H65" s="188">
        <v>2</v>
      </c>
      <c r="I65" s="188">
        <v>3</v>
      </c>
      <c r="J65" s="188">
        <v>1</v>
      </c>
      <c r="K65" s="188">
        <v>1</v>
      </c>
      <c r="L65" s="188">
        <v>3</v>
      </c>
      <c r="M65" s="188">
        <v>1</v>
      </c>
      <c r="N65" s="183"/>
      <c r="O65" s="183"/>
      <c r="P65" s="222">
        <f>SUM(Tabela2[[#This Row],[G]]+Tabela2[[#This Row],[D]]+Tabela2[[#This Row],[N]]+Tabela2[[#This Row],[HM]])</f>
        <v>5</v>
      </c>
      <c r="Q65" s="222">
        <f>SUM(Tabela2[[#This Row],[AO]]+Tabela2[[#This Row],[AD]]+Tabela2[[#This Row],[GWO]]+Tabela2[[#This Row],[GWD]])</f>
        <v>8</v>
      </c>
      <c r="R65" s="222">
        <f>Tabela2[[#This Row],[GWO]]+Tabela2[[#This Row],[GWD]]</f>
        <v>4</v>
      </c>
      <c r="S65" s="222">
        <f>SUM(Tabela2[[#This Row],[G]:[GWD]])</f>
        <v>13</v>
      </c>
    </row>
    <row r="66" spans="1:19" ht="30">
      <c r="A66" s="225">
        <v>209</v>
      </c>
      <c r="B66" s="188" t="s">
        <v>526</v>
      </c>
      <c r="C66" s="188" t="s">
        <v>418</v>
      </c>
      <c r="D66" s="188">
        <v>4</v>
      </c>
      <c r="E66" s="188" t="s">
        <v>18</v>
      </c>
      <c r="F66" s="188">
        <v>1</v>
      </c>
      <c r="G66" s="188">
        <v>2</v>
      </c>
      <c r="H66" s="188">
        <v>2</v>
      </c>
      <c r="I66" s="188">
        <v>3</v>
      </c>
      <c r="J66" s="188">
        <v>1</v>
      </c>
      <c r="K66" s="188">
        <v>1</v>
      </c>
      <c r="L66" s="188">
        <v>3</v>
      </c>
      <c r="M66" s="188">
        <v>1</v>
      </c>
      <c r="N66" s="183"/>
      <c r="O66" s="183"/>
      <c r="P66" s="222">
        <f>SUM(Tabela2[[#This Row],[G]]+Tabela2[[#This Row],[D]]+Tabela2[[#This Row],[N]]+Tabela2[[#This Row],[HM]])</f>
        <v>6</v>
      </c>
      <c r="Q66" s="222">
        <f>SUM(Tabela2[[#This Row],[AO]]+Tabela2[[#This Row],[AD]]+Tabela2[[#This Row],[GWO]]+Tabela2[[#This Row],[GWD]])</f>
        <v>8</v>
      </c>
      <c r="R66" s="222">
        <f>Tabela2[[#This Row],[GWO]]+Tabela2[[#This Row],[GWD]]</f>
        <v>4</v>
      </c>
      <c r="S66" s="222">
        <f>SUM(Tabela2[[#This Row],[G]:[GWD]])</f>
        <v>14</v>
      </c>
    </row>
    <row r="67" spans="1:19">
      <c r="A67" s="225">
        <v>218</v>
      </c>
      <c r="B67" s="188" t="s">
        <v>517</v>
      </c>
      <c r="C67" s="188" t="s">
        <v>399</v>
      </c>
      <c r="D67" s="188">
        <v>4</v>
      </c>
      <c r="E67" s="188" t="s">
        <v>18</v>
      </c>
      <c r="F67" s="188">
        <v>2</v>
      </c>
      <c r="G67" s="188">
        <v>5</v>
      </c>
      <c r="H67" s="188">
        <v>2</v>
      </c>
      <c r="I67" s="188">
        <v>3</v>
      </c>
      <c r="J67" s="188">
        <v>2</v>
      </c>
      <c r="K67" s="188">
        <v>4</v>
      </c>
      <c r="L67" s="188">
        <v>4</v>
      </c>
      <c r="M67" s="188">
        <v>2</v>
      </c>
      <c r="N67" s="183"/>
      <c r="O67" s="183"/>
      <c r="P67" s="222">
        <f>SUM(Tabela2[[#This Row],[G]]+Tabela2[[#This Row],[D]]+Tabela2[[#This Row],[N]]+Tabela2[[#This Row],[HM]])</f>
        <v>13</v>
      </c>
      <c r="Q67" s="222">
        <f>SUM(Tabela2[[#This Row],[AO]]+Tabela2[[#This Row],[AD]]+Tabela2[[#This Row],[GWO]]+Tabela2[[#This Row],[GWD]])</f>
        <v>11</v>
      </c>
      <c r="R67" s="222">
        <f>Tabela2[[#This Row],[GWO]]+Tabela2[[#This Row],[GWD]]</f>
        <v>6</v>
      </c>
      <c r="S67" s="222">
        <f>SUM(Tabela2[[#This Row],[G]:[GWD]])</f>
        <v>24</v>
      </c>
    </row>
    <row r="68" spans="1:19">
      <c r="A68" s="225">
        <v>246</v>
      </c>
      <c r="B68" s="187" t="s">
        <v>491</v>
      </c>
      <c r="C68" s="187" t="s">
        <v>239</v>
      </c>
      <c r="D68" s="187">
        <v>4</v>
      </c>
      <c r="E68" s="187" t="s">
        <v>264</v>
      </c>
      <c r="F68" s="187">
        <v>1</v>
      </c>
      <c r="G68" s="187">
        <v>1</v>
      </c>
      <c r="H68" s="187">
        <v>2</v>
      </c>
      <c r="I68" s="187">
        <v>3</v>
      </c>
      <c r="J68" s="187">
        <v>3</v>
      </c>
      <c r="K68" s="187">
        <v>1</v>
      </c>
      <c r="L68" s="187">
        <v>1</v>
      </c>
      <c r="M68" s="187">
        <v>1</v>
      </c>
      <c r="N68" s="183"/>
      <c r="O68" s="183"/>
      <c r="P68" s="222">
        <f>SUM(Tabela2[[#This Row],[G]]+Tabela2[[#This Row],[D]]+Tabela2[[#This Row],[N]]+Tabela2[[#This Row],[HM]])</f>
        <v>5</v>
      </c>
      <c r="Q68" s="222">
        <f>SUM(Tabela2[[#This Row],[AO]]+Tabela2[[#This Row],[AD]]+Tabela2[[#This Row],[GWO]]+Tabela2[[#This Row],[GWD]])</f>
        <v>8</v>
      </c>
      <c r="R68" s="222">
        <f>Tabela2[[#This Row],[GWO]]+Tabela2[[#This Row],[GWD]]</f>
        <v>2</v>
      </c>
      <c r="S68" s="222">
        <f>SUM(Tabela2[[#This Row],[G]:[GWD]])</f>
        <v>13</v>
      </c>
    </row>
    <row r="69" spans="1:19">
      <c r="A69" s="225">
        <v>256</v>
      </c>
      <c r="B69" s="185" t="s">
        <v>481</v>
      </c>
      <c r="C69" s="185" t="s">
        <v>213</v>
      </c>
      <c r="D69" s="185">
        <v>4</v>
      </c>
      <c r="E69" s="185" t="s">
        <v>265</v>
      </c>
      <c r="F69" s="185">
        <v>5</v>
      </c>
      <c r="G69" s="185">
        <v>1</v>
      </c>
      <c r="H69" s="185">
        <v>2</v>
      </c>
      <c r="I69" s="185">
        <v>5</v>
      </c>
      <c r="J69" s="185">
        <v>1</v>
      </c>
      <c r="K69" s="185">
        <v>1</v>
      </c>
      <c r="L69" s="185">
        <v>5</v>
      </c>
      <c r="M69" s="185">
        <v>1</v>
      </c>
      <c r="N69" s="183"/>
      <c r="O69" s="183"/>
      <c r="P69" s="222">
        <f>SUM(Tabela2[[#This Row],[G]]+Tabela2[[#This Row],[D]]+Tabela2[[#This Row],[N]]+Tabela2[[#This Row],[HM]])</f>
        <v>9</v>
      </c>
      <c r="Q69" s="222">
        <f>SUM(Tabela2[[#This Row],[AO]]+Tabela2[[#This Row],[AD]]+Tabela2[[#This Row],[GWO]]+Tabela2[[#This Row],[GWD]])</f>
        <v>12</v>
      </c>
      <c r="R69" s="222">
        <f>Tabela2[[#This Row],[GWO]]+Tabela2[[#This Row],[GWD]]</f>
        <v>6</v>
      </c>
      <c r="S69" s="222">
        <f>SUM(Tabela2[[#This Row],[G]:[GWD]])</f>
        <v>21</v>
      </c>
    </row>
    <row r="70" spans="1:19" ht="30">
      <c r="A70" s="225">
        <v>257</v>
      </c>
      <c r="B70" s="185" t="s">
        <v>480</v>
      </c>
      <c r="C70" s="185" t="s">
        <v>424</v>
      </c>
      <c r="D70" s="185">
        <v>4</v>
      </c>
      <c r="E70" s="185" t="s">
        <v>265</v>
      </c>
      <c r="F70" s="185">
        <v>3</v>
      </c>
      <c r="G70" s="185">
        <v>1</v>
      </c>
      <c r="H70" s="185">
        <v>2</v>
      </c>
      <c r="I70" s="185">
        <v>4</v>
      </c>
      <c r="J70" s="185">
        <v>1</v>
      </c>
      <c r="K70" s="185">
        <v>1</v>
      </c>
      <c r="L70" s="185">
        <v>4</v>
      </c>
      <c r="M70" s="185">
        <v>1</v>
      </c>
      <c r="N70" s="183"/>
      <c r="O70" s="183"/>
      <c r="P70" s="222">
        <f>SUM(Tabela2[[#This Row],[G]]+Tabela2[[#This Row],[D]]+Tabela2[[#This Row],[N]]+Tabela2[[#This Row],[HM]])</f>
        <v>7</v>
      </c>
      <c r="Q70" s="222">
        <f>SUM(Tabela2[[#This Row],[AO]]+Tabela2[[#This Row],[AD]]+Tabela2[[#This Row],[GWO]]+Tabela2[[#This Row],[GWD]])</f>
        <v>10</v>
      </c>
      <c r="R70" s="222">
        <f>Tabela2[[#This Row],[GWO]]+Tabela2[[#This Row],[GWD]]</f>
        <v>5</v>
      </c>
      <c r="S70" s="222">
        <f>SUM(Tabela2[[#This Row],[G]:[GWD]])</f>
        <v>17</v>
      </c>
    </row>
    <row r="71" spans="1:19" ht="30">
      <c r="A71" s="225">
        <v>260</v>
      </c>
      <c r="B71" s="185" t="s">
        <v>477</v>
      </c>
      <c r="C71" s="185" t="s">
        <v>418</v>
      </c>
      <c r="D71" s="185">
        <v>4</v>
      </c>
      <c r="E71" s="185" t="s">
        <v>265</v>
      </c>
      <c r="F71" s="185">
        <v>3</v>
      </c>
      <c r="G71" s="185">
        <v>1</v>
      </c>
      <c r="H71" s="185">
        <v>2</v>
      </c>
      <c r="I71" s="185">
        <v>1</v>
      </c>
      <c r="J71" s="185">
        <v>1</v>
      </c>
      <c r="K71" s="185">
        <v>1</v>
      </c>
      <c r="L71" s="185">
        <v>1</v>
      </c>
      <c r="M71" s="185">
        <v>1</v>
      </c>
      <c r="N71" s="183"/>
      <c r="O71" s="183"/>
      <c r="P71" s="222">
        <f>SUM(Tabela2[[#This Row],[G]]+Tabela2[[#This Row],[D]]+Tabela2[[#This Row],[N]]+Tabela2[[#This Row],[HM]])</f>
        <v>7</v>
      </c>
      <c r="Q71" s="222">
        <f>SUM(Tabela2[[#This Row],[AO]]+Tabela2[[#This Row],[AD]]+Tabela2[[#This Row],[GWO]]+Tabela2[[#This Row],[GWD]])</f>
        <v>4</v>
      </c>
      <c r="R71" s="222">
        <f>Tabela2[[#This Row],[GWO]]+Tabela2[[#This Row],[GWD]]</f>
        <v>2</v>
      </c>
      <c r="S71" s="222">
        <f>SUM(Tabela2[[#This Row],[G]:[GWD]])</f>
        <v>11</v>
      </c>
    </row>
    <row r="72" spans="1:19" ht="30">
      <c r="A72" s="225">
        <v>279</v>
      </c>
      <c r="B72" s="184" t="s">
        <v>457</v>
      </c>
      <c r="C72" s="184" t="s">
        <v>456</v>
      </c>
      <c r="D72" s="184">
        <v>4</v>
      </c>
      <c r="E72" s="184" t="s">
        <v>266</v>
      </c>
      <c r="F72" s="184">
        <v>2</v>
      </c>
      <c r="G72" s="184">
        <v>2</v>
      </c>
      <c r="H72" s="184">
        <v>2</v>
      </c>
      <c r="I72" s="184">
        <v>3</v>
      </c>
      <c r="J72" s="184">
        <v>1</v>
      </c>
      <c r="K72" s="184">
        <v>1</v>
      </c>
      <c r="L72" s="184">
        <v>4</v>
      </c>
      <c r="M72" s="184">
        <v>1</v>
      </c>
      <c r="N72" s="183"/>
      <c r="O72" s="183"/>
      <c r="P72" s="222">
        <f>SUM(Tabela2[[#This Row],[G]]+Tabela2[[#This Row],[D]]+Tabela2[[#This Row],[N]]+Tabela2[[#This Row],[HM]])</f>
        <v>7</v>
      </c>
      <c r="Q72" s="222">
        <f>SUM(Tabela2[[#This Row],[AO]]+Tabela2[[#This Row],[AD]]+Tabela2[[#This Row],[GWO]]+Tabela2[[#This Row],[GWD]])</f>
        <v>9</v>
      </c>
      <c r="R72" s="222">
        <f>Tabela2[[#This Row],[GWO]]+Tabela2[[#This Row],[GWD]]</f>
        <v>5</v>
      </c>
      <c r="S72" s="222">
        <f>SUM(Tabela2[[#This Row],[G]:[GWD]])</f>
        <v>16</v>
      </c>
    </row>
    <row r="73" spans="1:19" ht="30">
      <c r="A73" s="225">
        <v>283</v>
      </c>
      <c r="B73" s="184" t="s">
        <v>452</v>
      </c>
      <c r="C73" s="184" t="s">
        <v>424</v>
      </c>
      <c r="D73" s="184">
        <v>4</v>
      </c>
      <c r="E73" s="184" t="s">
        <v>266</v>
      </c>
      <c r="F73" s="184">
        <v>1</v>
      </c>
      <c r="G73" s="184">
        <v>1</v>
      </c>
      <c r="H73" s="184">
        <v>2</v>
      </c>
      <c r="I73" s="184">
        <v>4</v>
      </c>
      <c r="J73" s="184">
        <v>2</v>
      </c>
      <c r="K73" s="184">
        <v>1</v>
      </c>
      <c r="L73" s="184">
        <v>3</v>
      </c>
      <c r="M73" s="184">
        <v>1</v>
      </c>
      <c r="N73" s="183"/>
      <c r="O73" s="183"/>
      <c r="P73" s="222">
        <f>SUM(Tabela2[[#This Row],[G]]+Tabela2[[#This Row],[D]]+Tabela2[[#This Row],[N]]+Tabela2[[#This Row],[HM]])</f>
        <v>5</v>
      </c>
      <c r="Q73" s="222">
        <f>SUM(Tabela2[[#This Row],[AO]]+Tabela2[[#This Row],[AD]]+Tabela2[[#This Row],[GWO]]+Tabela2[[#This Row],[GWD]])</f>
        <v>10</v>
      </c>
      <c r="R73" s="222">
        <f>Tabela2[[#This Row],[GWO]]+Tabela2[[#This Row],[GWD]]</f>
        <v>4</v>
      </c>
      <c r="S73" s="222">
        <f>SUM(Tabela2[[#This Row],[G]:[GWD]])</f>
        <v>15</v>
      </c>
    </row>
    <row r="74" spans="1:19">
      <c r="A74" s="225">
        <v>295</v>
      </c>
      <c r="B74" s="184" t="s">
        <v>440</v>
      </c>
      <c r="C74" s="184" t="s">
        <v>397</v>
      </c>
      <c r="D74" s="184">
        <v>4</v>
      </c>
      <c r="E74" s="184" t="s">
        <v>266</v>
      </c>
      <c r="F74" s="184">
        <v>2</v>
      </c>
      <c r="G74" s="184">
        <v>1</v>
      </c>
      <c r="H74" s="184">
        <v>2</v>
      </c>
      <c r="I74" s="184">
        <v>5</v>
      </c>
      <c r="J74" s="184">
        <v>1</v>
      </c>
      <c r="K74" s="184">
        <v>1</v>
      </c>
      <c r="L74" s="184">
        <v>4</v>
      </c>
      <c r="M74" s="184">
        <v>1</v>
      </c>
      <c r="N74" s="183"/>
      <c r="O74" s="183"/>
      <c r="P74" s="222">
        <f>SUM(Tabela2[[#This Row],[G]]+Tabela2[[#This Row],[D]]+Tabela2[[#This Row],[N]]+Tabela2[[#This Row],[HM]])</f>
        <v>6</v>
      </c>
      <c r="Q74" s="222">
        <f>SUM(Tabela2[[#This Row],[AO]]+Tabela2[[#This Row],[AD]]+Tabela2[[#This Row],[GWO]]+Tabela2[[#This Row],[GWD]])</f>
        <v>11</v>
      </c>
      <c r="R74" s="222">
        <f>Tabela2[[#This Row],[GWO]]+Tabela2[[#This Row],[GWD]]</f>
        <v>5</v>
      </c>
      <c r="S74" s="222">
        <f>SUM(Tabela2[[#This Row],[G]:[GWD]])</f>
        <v>17</v>
      </c>
    </row>
    <row r="75" spans="1:19">
      <c r="A75" s="225">
        <v>2</v>
      </c>
      <c r="B75" s="188" t="s">
        <v>777</v>
      </c>
      <c r="C75" s="188" t="s">
        <v>727</v>
      </c>
      <c r="D75" s="188">
        <v>2</v>
      </c>
      <c r="E75" s="188" t="s">
        <v>18</v>
      </c>
      <c r="F75" s="188">
        <v>1</v>
      </c>
      <c r="G75" s="188">
        <v>1</v>
      </c>
      <c r="H75" s="188">
        <v>1</v>
      </c>
      <c r="I75" s="188">
        <v>1</v>
      </c>
      <c r="J75" s="188">
        <v>1</v>
      </c>
      <c r="K75" s="188">
        <v>1</v>
      </c>
      <c r="L75" s="188">
        <v>1</v>
      </c>
      <c r="M75" s="188">
        <v>1</v>
      </c>
      <c r="N75" s="183"/>
      <c r="O75" s="183"/>
      <c r="P75" s="222">
        <f>SUM(Tabela2[[#This Row],[G]]+Tabela2[[#This Row],[D]]+Tabela2[[#This Row],[N]]+Tabela2[[#This Row],[HM]])</f>
        <v>4</v>
      </c>
      <c r="Q75" s="222">
        <f>SUM(Tabela2[[#This Row],[AO]]+Tabela2[[#This Row],[AD]]+Tabela2[[#This Row],[GWO]]+Tabela2[[#This Row],[GWD]])</f>
        <v>4</v>
      </c>
      <c r="R75" s="222">
        <f>Tabela2[[#This Row],[GWO]]+Tabela2[[#This Row],[GWD]]</f>
        <v>2</v>
      </c>
      <c r="S75" s="222">
        <f>SUM(Tabela2[[#This Row],[G]:[GWD]])</f>
        <v>8</v>
      </c>
    </row>
    <row r="76" spans="1:19">
      <c r="A76" s="225">
        <v>3</v>
      </c>
      <c r="B76" s="188" t="s">
        <v>776</v>
      </c>
      <c r="C76" s="188" t="s">
        <v>302</v>
      </c>
      <c r="D76" s="188">
        <v>2</v>
      </c>
      <c r="E76" s="188" t="s">
        <v>18</v>
      </c>
      <c r="F76" s="188">
        <v>1</v>
      </c>
      <c r="G76" s="188">
        <v>1</v>
      </c>
      <c r="H76" s="188">
        <v>1</v>
      </c>
      <c r="I76" s="188">
        <v>1</v>
      </c>
      <c r="J76" s="188">
        <v>1</v>
      </c>
      <c r="K76" s="188">
        <v>1</v>
      </c>
      <c r="L76" s="188">
        <v>1</v>
      </c>
      <c r="M76" s="188">
        <v>1</v>
      </c>
      <c r="N76" s="188" t="s">
        <v>460</v>
      </c>
      <c r="O76" s="188"/>
      <c r="P76" s="226">
        <f>SUM(Tabela2[[#This Row],[G]]+Tabela2[[#This Row],[D]]+Tabela2[[#This Row],[N]]+Tabela2[[#This Row],[HM]])</f>
        <v>4</v>
      </c>
      <c r="Q76" s="226">
        <f>SUM(Tabela2[[#This Row],[AO]]+Tabela2[[#This Row],[AD]]+Tabela2[[#This Row],[GWO]]+Tabela2[[#This Row],[GWD]])</f>
        <v>4</v>
      </c>
      <c r="R76" s="226">
        <f>Tabela2[[#This Row],[GWO]]+Tabela2[[#This Row],[GWD]]</f>
        <v>2</v>
      </c>
      <c r="S76" s="223">
        <f>SUM(Tabela2[[#This Row],[G]:[GWD]])</f>
        <v>8</v>
      </c>
    </row>
    <row r="77" spans="1:19">
      <c r="A77" s="225">
        <v>4</v>
      </c>
      <c r="B77" s="188" t="s">
        <v>212</v>
      </c>
      <c r="C77" s="188" t="s">
        <v>775</v>
      </c>
      <c r="D77" s="188">
        <v>2</v>
      </c>
      <c r="E77" s="188" t="s">
        <v>18</v>
      </c>
      <c r="F77" s="188">
        <v>1</v>
      </c>
      <c r="G77" s="188">
        <v>4</v>
      </c>
      <c r="H77" s="188">
        <v>1</v>
      </c>
      <c r="I77" s="188">
        <v>5</v>
      </c>
      <c r="J77" s="188">
        <v>1</v>
      </c>
      <c r="K77" s="188">
        <v>1</v>
      </c>
      <c r="L77" s="188">
        <v>4</v>
      </c>
      <c r="M77" s="188">
        <v>1</v>
      </c>
      <c r="N77" s="183"/>
      <c r="O77" s="183" t="s">
        <v>207</v>
      </c>
      <c r="P77" s="222">
        <f>SUM(Tabela2[[#This Row],[G]]+Tabela2[[#This Row],[D]]+Tabela2[[#This Row],[N]]+Tabela2[[#This Row],[HM]])</f>
        <v>7</v>
      </c>
      <c r="Q77" s="222">
        <f>SUM(Tabela2[[#This Row],[AO]]+Tabela2[[#This Row],[AD]]+Tabela2[[#This Row],[GWO]]+Tabela2[[#This Row],[GWD]])</f>
        <v>11</v>
      </c>
      <c r="R77" s="222">
        <f>Tabela2[[#This Row],[GWO]]+Tabela2[[#This Row],[GWD]]</f>
        <v>5</v>
      </c>
      <c r="S77" s="222">
        <f>SUM(Tabela2[[#This Row],[G]:[GWD]])</f>
        <v>18</v>
      </c>
    </row>
    <row r="78" spans="1:19">
      <c r="A78" s="225">
        <v>5</v>
      </c>
      <c r="B78" s="188" t="s">
        <v>774</v>
      </c>
      <c r="C78" s="188" t="s">
        <v>736</v>
      </c>
      <c r="D78" s="188">
        <v>2</v>
      </c>
      <c r="E78" s="188" t="s">
        <v>18</v>
      </c>
      <c r="F78" s="188">
        <v>1</v>
      </c>
      <c r="G78" s="188">
        <v>1</v>
      </c>
      <c r="H78" s="188">
        <v>1</v>
      </c>
      <c r="I78" s="188">
        <v>1</v>
      </c>
      <c r="J78" s="188">
        <v>1</v>
      </c>
      <c r="K78" s="188">
        <v>1</v>
      </c>
      <c r="L78" s="188">
        <v>1</v>
      </c>
      <c r="M78" s="188">
        <v>1</v>
      </c>
      <c r="N78" s="183"/>
      <c r="O78" s="183"/>
      <c r="P78" s="222">
        <f>SUM(Tabela2[[#This Row],[G]]+Tabela2[[#This Row],[D]]+Tabela2[[#This Row],[N]]+Tabela2[[#This Row],[HM]])</f>
        <v>4</v>
      </c>
      <c r="Q78" s="222">
        <f>SUM(Tabela2[[#This Row],[AO]]+Tabela2[[#This Row],[AD]]+Tabela2[[#This Row],[GWO]]+Tabela2[[#This Row],[GWD]])</f>
        <v>4</v>
      </c>
      <c r="R78" s="222">
        <f>Tabela2[[#This Row],[GWO]]+Tabela2[[#This Row],[GWD]]</f>
        <v>2</v>
      </c>
      <c r="S78" s="222">
        <f>SUM(Tabela2[[#This Row],[G]:[GWD]])</f>
        <v>8</v>
      </c>
    </row>
    <row r="79" spans="1:19">
      <c r="A79" s="225">
        <v>6</v>
      </c>
      <c r="B79" s="188" t="s">
        <v>773</v>
      </c>
      <c r="C79" s="188" t="s">
        <v>772</v>
      </c>
      <c r="D79" s="188">
        <v>2</v>
      </c>
      <c r="E79" s="188" t="s">
        <v>18</v>
      </c>
      <c r="F79" s="188">
        <v>1</v>
      </c>
      <c r="G79" s="188">
        <v>1</v>
      </c>
      <c r="H79" s="188">
        <v>1</v>
      </c>
      <c r="I79" s="188">
        <v>1</v>
      </c>
      <c r="J79" s="188">
        <v>1</v>
      </c>
      <c r="K79" s="188">
        <v>1</v>
      </c>
      <c r="L79" s="188">
        <v>1</v>
      </c>
      <c r="M79" s="188">
        <v>1</v>
      </c>
      <c r="N79" s="183"/>
      <c r="O79" s="183"/>
      <c r="P79" s="222">
        <f>SUM(Tabela2[[#This Row],[G]]+Tabela2[[#This Row],[D]]+Tabela2[[#This Row],[N]]+Tabela2[[#This Row],[HM]])</f>
        <v>4</v>
      </c>
      <c r="Q79" s="222">
        <f>SUM(Tabela2[[#This Row],[AO]]+Tabela2[[#This Row],[AD]]+Tabela2[[#This Row],[GWO]]+Tabela2[[#This Row],[GWD]])</f>
        <v>4</v>
      </c>
      <c r="R79" s="222">
        <f>Tabela2[[#This Row],[GWO]]+Tabela2[[#This Row],[GWD]]</f>
        <v>2</v>
      </c>
      <c r="S79" s="222">
        <f>SUM(Tabela2[[#This Row],[G]:[GWD]])</f>
        <v>8</v>
      </c>
    </row>
    <row r="80" spans="1:19">
      <c r="A80" s="225">
        <v>7</v>
      </c>
      <c r="B80" s="188" t="s">
        <v>771</v>
      </c>
      <c r="C80" s="188" t="s">
        <v>570</v>
      </c>
      <c r="D80" s="188">
        <v>2</v>
      </c>
      <c r="E80" s="188" t="s">
        <v>18</v>
      </c>
      <c r="F80" s="188">
        <v>1</v>
      </c>
      <c r="G80" s="188">
        <v>1</v>
      </c>
      <c r="H80" s="188">
        <v>1</v>
      </c>
      <c r="I80" s="188">
        <v>1</v>
      </c>
      <c r="J80" s="188">
        <v>1</v>
      </c>
      <c r="K80" s="188">
        <v>1</v>
      </c>
      <c r="L80" s="188">
        <v>1</v>
      </c>
      <c r="M80" s="188">
        <v>1</v>
      </c>
      <c r="N80" s="183"/>
      <c r="O80" s="183"/>
      <c r="P80" s="222">
        <f>SUM(Tabela2[[#This Row],[G]]+Tabela2[[#This Row],[D]]+Tabela2[[#This Row],[N]]+Tabela2[[#This Row],[HM]])</f>
        <v>4</v>
      </c>
      <c r="Q80" s="222">
        <f>SUM(Tabela2[[#This Row],[AO]]+Tabela2[[#This Row],[AD]]+Tabela2[[#This Row],[GWO]]+Tabela2[[#This Row],[GWD]])</f>
        <v>4</v>
      </c>
      <c r="R80" s="222">
        <f>Tabela2[[#This Row],[GWO]]+Tabela2[[#This Row],[GWD]]</f>
        <v>2</v>
      </c>
      <c r="S80" s="222">
        <f>SUM(Tabela2[[#This Row],[G]:[GWD]])</f>
        <v>8</v>
      </c>
    </row>
    <row r="81" spans="1:19">
      <c r="A81" s="225">
        <v>9</v>
      </c>
      <c r="B81" s="188" t="s">
        <v>769</v>
      </c>
      <c r="C81" s="188" t="s">
        <v>768</v>
      </c>
      <c r="D81" s="188">
        <v>2</v>
      </c>
      <c r="E81" s="188" t="s">
        <v>18</v>
      </c>
      <c r="F81" s="188">
        <v>1</v>
      </c>
      <c r="G81" s="188">
        <v>1</v>
      </c>
      <c r="H81" s="188">
        <v>1</v>
      </c>
      <c r="I81" s="188">
        <v>1</v>
      </c>
      <c r="J81" s="188">
        <v>1</v>
      </c>
      <c r="K81" s="188">
        <v>1</v>
      </c>
      <c r="L81" s="188">
        <v>1</v>
      </c>
      <c r="M81" s="188">
        <v>1</v>
      </c>
      <c r="N81" s="183"/>
      <c r="O81" s="183"/>
      <c r="P81" s="222">
        <f>SUM(Tabela2[[#This Row],[G]]+Tabela2[[#This Row],[D]]+Tabela2[[#This Row],[N]]+Tabela2[[#This Row],[HM]])</f>
        <v>4</v>
      </c>
      <c r="Q81" s="222">
        <f>SUM(Tabela2[[#This Row],[AO]]+Tabela2[[#This Row],[AD]]+Tabela2[[#This Row],[GWO]]+Tabela2[[#This Row],[GWD]])</f>
        <v>4</v>
      </c>
      <c r="R81" s="222">
        <f>Tabela2[[#This Row],[GWO]]+Tabela2[[#This Row],[GWD]]</f>
        <v>2</v>
      </c>
      <c r="S81" s="222">
        <f>SUM(Tabela2[[#This Row],[G]:[GWD]])</f>
        <v>8</v>
      </c>
    </row>
    <row r="82" spans="1:19">
      <c r="A82" s="225">
        <v>11</v>
      </c>
      <c r="B82" s="187" t="s">
        <v>766</v>
      </c>
      <c r="C82" s="187" t="s">
        <v>727</v>
      </c>
      <c r="D82" s="187">
        <v>2</v>
      </c>
      <c r="E82" s="187" t="s">
        <v>264</v>
      </c>
      <c r="F82" s="187">
        <v>1</v>
      </c>
      <c r="G82" s="187">
        <v>1</v>
      </c>
      <c r="H82" s="187">
        <v>1</v>
      </c>
      <c r="I82" s="187">
        <v>1</v>
      </c>
      <c r="J82" s="187">
        <v>1</v>
      </c>
      <c r="K82" s="187">
        <v>1</v>
      </c>
      <c r="L82" s="187">
        <v>1</v>
      </c>
      <c r="M82" s="187">
        <v>1</v>
      </c>
      <c r="N82" s="187" t="s">
        <v>460</v>
      </c>
      <c r="O82" s="187"/>
      <c r="P82" s="227">
        <f>SUM(Tabela2[[#This Row],[G]]+Tabela2[[#This Row],[D]]+Tabela2[[#This Row],[N]]+Tabela2[[#This Row],[HM]])</f>
        <v>4</v>
      </c>
      <c r="Q82" s="227">
        <f>SUM(Tabela2[[#This Row],[AO]]+Tabela2[[#This Row],[AD]]+Tabela2[[#This Row],[GWO]]+Tabela2[[#This Row],[GWD]])</f>
        <v>4</v>
      </c>
      <c r="R82" s="227">
        <f>Tabela2[[#This Row],[GWO]]+Tabela2[[#This Row],[GWD]]</f>
        <v>2</v>
      </c>
      <c r="S82" s="222">
        <f>SUM(Tabela2[[#This Row],[G]:[GWD]])</f>
        <v>8</v>
      </c>
    </row>
    <row r="83" spans="1:19">
      <c r="A83" s="225">
        <v>12</v>
      </c>
      <c r="B83" s="187" t="s">
        <v>765</v>
      </c>
      <c r="C83" s="187" t="s">
        <v>721</v>
      </c>
      <c r="D83" s="187">
        <v>2</v>
      </c>
      <c r="E83" s="187" t="s">
        <v>264</v>
      </c>
      <c r="F83" s="187">
        <v>1</v>
      </c>
      <c r="G83" s="187">
        <v>1</v>
      </c>
      <c r="H83" s="187">
        <v>1</v>
      </c>
      <c r="I83" s="187">
        <v>1</v>
      </c>
      <c r="J83" s="187">
        <v>1</v>
      </c>
      <c r="K83" s="187">
        <v>1</v>
      </c>
      <c r="L83" s="187">
        <v>1</v>
      </c>
      <c r="M83" s="187">
        <v>1</v>
      </c>
      <c r="N83" s="183"/>
      <c r="O83" s="183"/>
      <c r="P83" s="222">
        <f>SUM(Tabela2[[#This Row],[G]]+Tabela2[[#This Row],[D]]+Tabela2[[#This Row],[N]]+Tabela2[[#This Row],[HM]])</f>
        <v>4</v>
      </c>
      <c r="Q83" s="222">
        <f>SUM(Tabela2[[#This Row],[AO]]+Tabela2[[#This Row],[AD]]+Tabela2[[#This Row],[GWO]]+Tabela2[[#This Row],[GWD]])</f>
        <v>4</v>
      </c>
      <c r="R83" s="222">
        <f>Tabela2[[#This Row],[GWO]]+Tabela2[[#This Row],[GWD]]</f>
        <v>2</v>
      </c>
      <c r="S83" s="222">
        <f>SUM(Tabela2[[#This Row],[G]:[GWD]])</f>
        <v>8</v>
      </c>
    </row>
    <row r="84" spans="1:19">
      <c r="A84" s="225">
        <v>13</v>
      </c>
      <c r="B84" s="187" t="s">
        <v>764</v>
      </c>
      <c r="C84" s="187" t="s">
        <v>609</v>
      </c>
      <c r="D84" s="187">
        <v>2</v>
      </c>
      <c r="E84" s="187" t="s">
        <v>264</v>
      </c>
      <c r="F84" s="187">
        <v>1</v>
      </c>
      <c r="G84" s="187">
        <v>2</v>
      </c>
      <c r="H84" s="187">
        <v>1</v>
      </c>
      <c r="I84" s="187">
        <v>1</v>
      </c>
      <c r="J84" s="187">
        <v>1</v>
      </c>
      <c r="K84" s="187">
        <v>1</v>
      </c>
      <c r="L84" s="187">
        <v>1</v>
      </c>
      <c r="M84" s="187">
        <v>1</v>
      </c>
      <c r="N84" s="183"/>
      <c r="O84" s="183"/>
      <c r="P84" s="222">
        <f>SUM(Tabela2[[#This Row],[G]]+Tabela2[[#This Row],[D]]+Tabela2[[#This Row],[N]]+Tabela2[[#This Row],[HM]])</f>
        <v>5</v>
      </c>
      <c r="Q84" s="222">
        <f>SUM(Tabela2[[#This Row],[AO]]+Tabela2[[#This Row],[AD]]+Tabela2[[#This Row],[GWO]]+Tabela2[[#This Row],[GWD]])</f>
        <v>4</v>
      </c>
      <c r="R84" s="222">
        <f>Tabela2[[#This Row],[GWO]]+Tabela2[[#This Row],[GWD]]</f>
        <v>2</v>
      </c>
      <c r="S84" s="222">
        <f>SUM(Tabela2[[#This Row],[G]:[GWD]])</f>
        <v>9</v>
      </c>
    </row>
    <row r="85" spans="1:19">
      <c r="A85" s="225">
        <v>14</v>
      </c>
      <c r="B85" s="187" t="s">
        <v>763</v>
      </c>
      <c r="C85" s="187" t="s">
        <v>762</v>
      </c>
      <c r="D85" s="187">
        <v>2</v>
      </c>
      <c r="E85" s="187" t="s">
        <v>264</v>
      </c>
      <c r="F85" s="187">
        <v>1</v>
      </c>
      <c r="G85" s="187">
        <v>1</v>
      </c>
      <c r="H85" s="187">
        <v>1</v>
      </c>
      <c r="I85" s="187">
        <v>1</v>
      </c>
      <c r="J85" s="187">
        <v>1</v>
      </c>
      <c r="K85" s="187">
        <v>1</v>
      </c>
      <c r="L85" s="187">
        <v>1</v>
      </c>
      <c r="M85" s="187">
        <v>1</v>
      </c>
      <c r="N85" s="183"/>
      <c r="O85" s="183"/>
      <c r="P85" s="222">
        <f>SUM(Tabela2[[#This Row],[G]]+Tabela2[[#This Row],[D]]+Tabela2[[#This Row],[N]]+Tabela2[[#This Row],[HM]])</f>
        <v>4</v>
      </c>
      <c r="Q85" s="222">
        <f>SUM(Tabela2[[#This Row],[AO]]+Tabela2[[#This Row],[AD]]+Tabela2[[#This Row],[GWO]]+Tabela2[[#This Row],[GWD]])</f>
        <v>4</v>
      </c>
      <c r="R85" s="222">
        <f>Tabela2[[#This Row],[GWO]]+Tabela2[[#This Row],[GWD]]</f>
        <v>2</v>
      </c>
      <c r="S85" s="222">
        <f>SUM(Tabela2[[#This Row],[G]:[GWD]])</f>
        <v>8</v>
      </c>
    </row>
    <row r="86" spans="1:19">
      <c r="A86" s="225">
        <v>15</v>
      </c>
      <c r="B86" s="187" t="s">
        <v>761</v>
      </c>
      <c r="C86" s="187" t="s">
        <v>750</v>
      </c>
      <c r="D86" s="187">
        <v>2</v>
      </c>
      <c r="E86" s="187" t="s">
        <v>264</v>
      </c>
      <c r="F86" s="187">
        <v>1</v>
      </c>
      <c r="G86" s="187">
        <v>1</v>
      </c>
      <c r="H86" s="187">
        <v>1</v>
      </c>
      <c r="I86" s="187">
        <v>1</v>
      </c>
      <c r="J86" s="187">
        <v>1</v>
      </c>
      <c r="K86" s="187">
        <v>1</v>
      </c>
      <c r="L86" s="187">
        <v>1</v>
      </c>
      <c r="M86" s="187">
        <v>1</v>
      </c>
      <c r="N86" s="183"/>
      <c r="O86" s="183"/>
      <c r="P86" s="222">
        <f>SUM(Tabela2[[#This Row],[G]]+Tabela2[[#This Row],[D]]+Tabela2[[#This Row],[N]]+Tabela2[[#This Row],[HM]])</f>
        <v>4</v>
      </c>
      <c r="Q86" s="222">
        <f>SUM(Tabela2[[#This Row],[AO]]+Tabela2[[#This Row],[AD]]+Tabela2[[#This Row],[GWO]]+Tabela2[[#This Row],[GWD]])</f>
        <v>4</v>
      </c>
      <c r="R86" s="222">
        <f>Tabela2[[#This Row],[GWO]]+Tabela2[[#This Row],[GWD]]</f>
        <v>2</v>
      </c>
      <c r="S86" s="222">
        <f>SUM(Tabela2[[#This Row],[G]:[GWD]])</f>
        <v>8</v>
      </c>
    </row>
    <row r="87" spans="1:19">
      <c r="A87" s="225">
        <v>16</v>
      </c>
      <c r="B87" s="187" t="s">
        <v>760</v>
      </c>
      <c r="C87" s="187" t="s">
        <v>725</v>
      </c>
      <c r="D87" s="187">
        <v>2</v>
      </c>
      <c r="E87" s="187" t="s">
        <v>264</v>
      </c>
      <c r="F87" s="187">
        <v>1</v>
      </c>
      <c r="G87" s="187">
        <v>1</v>
      </c>
      <c r="H87" s="187">
        <v>1</v>
      </c>
      <c r="I87" s="187">
        <v>1</v>
      </c>
      <c r="J87" s="187">
        <v>1</v>
      </c>
      <c r="K87" s="187">
        <v>1</v>
      </c>
      <c r="L87" s="187">
        <v>1</v>
      </c>
      <c r="M87" s="187">
        <v>1</v>
      </c>
      <c r="N87" s="183"/>
      <c r="O87" s="183"/>
      <c r="P87" s="222">
        <f>SUM(Tabela2[[#This Row],[G]]+Tabela2[[#This Row],[D]]+Tabela2[[#This Row],[N]]+Tabela2[[#This Row],[HM]])</f>
        <v>4</v>
      </c>
      <c r="Q87" s="222">
        <f>SUM(Tabela2[[#This Row],[AO]]+Tabela2[[#This Row],[AD]]+Tabela2[[#This Row],[GWO]]+Tabela2[[#This Row],[GWD]])</f>
        <v>4</v>
      </c>
      <c r="R87" s="222">
        <f>Tabela2[[#This Row],[GWO]]+Tabela2[[#This Row],[GWD]]</f>
        <v>2</v>
      </c>
      <c r="S87" s="222">
        <f>SUM(Tabela2[[#This Row],[G]:[GWD]])</f>
        <v>8</v>
      </c>
    </row>
    <row r="88" spans="1:19">
      <c r="A88" s="225">
        <v>17</v>
      </c>
      <c r="B88" s="187" t="s">
        <v>759</v>
      </c>
      <c r="C88" s="187" t="s">
        <v>723</v>
      </c>
      <c r="D88" s="187">
        <v>2</v>
      </c>
      <c r="E88" s="187" t="s">
        <v>264</v>
      </c>
      <c r="F88" s="187">
        <v>1</v>
      </c>
      <c r="G88" s="187">
        <v>1</v>
      </c>
      <c r="H88" s="187">
        <v>1</v>
      </c>
      <c r="I88" s="187">
        <v>1</v>
      </c>
      <c r="J88" s="187">
        <v>1</v>
      </c>
      <c r="K88" s="187">
        <v>1</v>
      </c>
      <c r="L88" s="187">
        <v>1</v>
      </c>
      <c r="M88" s="187">
        <v>1</v>
      </c>
      <c r="N88" s="183"/>
      <c r="O88" s="183"/>
      <c r="P88" s="222">
        <f>SUM(Tabela2[[#This Row],[G]]+Tabela2[[#This Row],[D]]+Tabela2[[#This Row],[N]]+Tabela2[[#This Row],[HM]])</f>
        <v>4</v>
      </c>
      <c r="Q88" s="222">
        <f>SUM(Tabela2[[#This Row],[AO]]+Tabela2[[#This Row],[AD]]+Tabela2[[#This Row],[GWO]]+Tabela2[[#This Row],[GWD]])</f>
        <v>4</v>
      </c>
      <c r="R88" s="222">
        <f>Tabela2[[#This Row],[GWO]]+Tabela2[[#This Row],[GWD]]</f>
        <v>2</v>
      </c>
      <c r="S88" s="222">
        <f>SUM(Tabela2[[#This Row],[G]:[GWD]])</f>
        <v>8</v>
      </c>
    </row>
    <row r="89" spans="1:19">
      <c r="A89" s="225">
        <v>18</v>
      </c>
      <c r="B89" s="187" t="s">
        <v>758</v>
      </c>
      <c r="C89" s="187" t="s">
        <v>731</v>
      </c>
      <c r="D89" s="187">
        <v>2</v>
      </c>
      <c r="E89" s="187" t="s">
        <v>264</v>
      </c>
      <c r="F89" s="187">
        <v>1</v>
      </c>
      <c r="G89" s="187">
        <v>2</v>
      </c>
      <c r="H89" s="187">
        <v>1</v>
      </c>
      <c r="I89" s="187">
        <v>1</v>
      </c>
      <c r="J89" s="187">
        <v>1</v>
      </c>
      <c r="K89" s="187">
        <v>1</v>
      </c>
      <c r="L89" s="187">
        <v>2</v>
      </c>
      <c r="M89" s="187">
        <v>2</v>
      </c>
      <c r="N89" s="183"/>
      <c r="O89" s="183"/>
      <c r="P89" s="222">
        <f>SUM(Tabela2[[#This Row],[G]]+Tabela2[[#This Row],[D]]+Tabela2[[#This Row],[N]]+Tabela2[[#This Row],[HM]])</f>
        <v>5</v>
      </c>
      <c r="Q89" s="222">
        <f>SUM(Tabela2[[#This Row],[AO]]+Tabela2[[#This Row],[AD]]+Tabela2[[#This Row],[GWO]]+Tabela2[[#This Row],[GWD]])</f>
        <v>6</v>
      </c>
      <c r="R89" s="222">
        <f>Tabela2[[#This Row],[GWO]]+Tabela2[[#This Row],[GWD]]</f>
        <v>4</v>
      </c>
      <c r="S89" s="222">
        <f>SUM(Tabela2[[#This Row],[G]:[GWD]])</f>
        <v>11</v>
      </c>
    </row>
    <row r="90" spans="1:19">
      <c r="A90" s="225">
        <v>19</v>
      </c>
      <c r="B90" s="187" t="s">
        <v>149</v>
      </c>
      <c r="C90" s="187" t="s">
        <v>740</v>
      </c>
      <c r="D90" s="187">
        <v>2</v>
      </c>
      <c r="E90" s="187" t="s">
        <v>264</v>
      </c>
      <c r="F90" s="187">
        <v>3</v>
      </c>
      <c r="G90" s="187">
        <v>4</v>
      </c>
      <c r="H90" s="187">
        <v>1</v>
      </c>
      <c r="I90" s="187">
        <v>3</v>
      </c>
      <c r="J90" s="187">
        <v>3</v>
      </c>
      <c r="K90" s="187">
        <v>3</v>
      </c>
      <c r="L90" s="187">
        <v>3</v>
      </c>
      <c r="M90" s="187">
        <v>3</v>
      </c>
      <c r="N90" s="187" t="s">
        <v>460</v>
      </c>
      <c r="O90" s="187" t="s">
        <v>207</v>
      </c>
      <c r="P90" s="227">
        <f>SUM(Tabela2[[#This Row],[G]]+Tabela2[[#This Row],[D]]+Tabela2[[#This Row],[N]]+Tabela2[[#This Row],[HM]])</f>
        <v>11</v>
      </c>
      <c r="Q90" s="227">
        <f>SUM(Tabela2[[#This Row],[AO]]+Tabela2[[#This Row],[AD]]+Tabela2[[#This Row],[GWO]]+Tabela2[[#This Row],[GWD]])</f>
        <v>12</v>
      </c>
      <c r="R90" s="227">
        <f>Tabela2[[#This Row],[GWO]]+Tabela2[[#This Row],[GWD]]</f>
        <v>6</v>
      </c>
      <c r="S90" s="222">
        <f>SUM(Tabela2[[#This Row],[G]:[GWD]])</f>
        <v>23</v>
      </c>
    </row>
    <row r="91" spans="1:19">
      <c r="A91" s="225">
        <v>20</v>
      </c>
      <c r="B91" s="187" t="s">
        <v>757</v>
      </c>
      <c r="C91" s="187" t="s">
        <v>744</v>
      </c>
      <c r="D91" s="187">
        <v>2</v>
      </c>
      <c r="E91" s="187" t="s">
        <v>264</v>
      </c>
      <c r="F91" s="187">
        <v>1</v>
      </c>
      <c r="G91" s="187">
        <v>1</v>
      </c>
      <c r="H91" s="187">
        <v>1</v>
      </c>
      <c r="I91" s="187">
        <v>1</v>
      </c>
      <c r="J91" s="187">
        <v>1</v>
      </c>
      <c r="K91" s="187">
        <v>1</v>
      </c>
      <c r="L91" s="187">
        <v>1</v>
      </c>
      <c r="M91" s="187">
        <v>1</v>
      </c>
      <c r="N91" s="183"/>
      <c r="O91" s="183"/>
      <c r="P91" s="222">
        <f>SUM(Tabela2[[#This Row],[G]]+Tabela2[[#This Row],[D]]+Tabela2[[#This Row],[N]]+Tabela2[[#This Row],[HM]])</f>
        <v>4</v>
      </c>
      <c r="Q91" s="222">
        <f>SUM(Tabela2[[#This Row],[AO]]+Tabela2[[#This Row],[AD]]+Tabela2[[#This Row],[GWO]]+Tabela2[[#This Row],[GWD]])</f>
        <v>4</v>
      </c>
      <c r="R91" s="222">
        <f>Tabela2[[#This Row],[GWO]]+Tabela2[[#This Row],[GWD]]</f>
        <v>2</v>
      </c>
      <c r="S91" s="222">
        <f>SUM(Tabela2[[#This Row],[G]:[GWD]])</f>
        <v>8</v>
      </c>
    </row>
    <row r="92" spans="1:19">
      <c r="A92" s="225">
        <v>21</v>
      </c>
      <c r="B92" s="185" t="s">
        <v>756</v>
      </c>
      <c r="C92" s="185" t="s">
        <v>729</v>
      </c>
      <c r="D92" s="185">
        <v>2</v>
      </c>
      <c r="E92" s="185" t="s">
        <v>265</v>
      </c>
      <c r="F92" s="185">
        <v>1</v>
      </c>
      <c r="G92" s="185">
        <v>1</v>
      </c>
      <c r="H92" s="185">
        <v>1</v>
      </c>
      <c r="I92" s="185">
        <v>1</v>
      </c>
      <c r="J92" s="185">
        <v>1</v>
      </c>
      <c r="K92" s="185">
        <v>1</v>
      </c>
      <c r="L92" s="185">
        <v>1</v>
      </c>
      <c r="M92" s="185">
        <v>1</v>
      </c>
      <c r="N92" s="183"/>
      <c r="O92" s="183"/>
      <c r="P92" s="222">
        <f>SUM(Tabela2[[#This Row],[G]]+Tabela2[[#This Row],[D]]+Tabela2[[#This Row],[N]]+Tabela2[[#This Row],[HM]])</f>
        <v>4</v>
      </c>
      <c r="Q92" s="222">
        <f>SUM(Tabela2[[#This Row],[AO]]+Tabela2[[#This Row],[AD]]+Tabela2[[#This Row],[GWO]]+Tabela2[[#This Row],[GWD]])</f>
        <v>4</v>
      </c>
      <c r="R92" s="222">
        <f>Tabela2[[#This Row],[GWO]]+Tabela2[[#This Row],[GWD]]</f>
        <v>2</v>
      </c>
      <c r="S92" s="222">
        <f>SUM(Tabela2[[#This Row],[G]:[GWD]])</f>
        <v>8</v>
      </c>
    </row>
    <row r="93" spans="1:19">
      <c r="A93" s="225">
        <v>22</v>
      </c>
      <c r="B93" s="185" t="s">
        <v>153</v>
      </c>
      <c r="C93" s="185" t="s">
        <v>727</v>
      </c>
      <c r="D93" s="185">
        <v>2</v>
      </c>
      <c r="E93" s="185" t="s">
        <v>265</v>
      </c>
      <c r="F93" s="185">
        <v>5</v>
      </c>
      <c r="G93" s="185">
        <v>1</v>
      </c>
      <c r="H93" s="185">
        <v>1</v>
      </c>
      <c r="I93" s="185">
        <v>1</v>
      </c>
      <c r="J93" s="185">
        <v>1</v>
      </c>
      <c r="K93" s="185">
        <v>1</v>
      </c>
      <c r="L93" s="185">
        <v>1</v>
      </c>
      <c r="M93" s="185">
        <v>1</v>
      </c>
      <c r="N93" s="183"/>
      <c r="O93" s="183"/>
      <c r="P93" s="222">
        <f>SUM(Tabela2[[#This Row],[G]]+Tabela2[[#This Row],[D]]+Tabela2[[#This Row],[N]]+Tabela2[[#This Row],[HM]])</f>
        <v>8</v>
      </c>
      <c r="Q93" s="222">
        <f>SUM(Tabela2[[#This Row],[AO]]+Tabela2[[#This Row],[AD]]+Tabela2[[#This Row],[GWO]]+Tabela2[[#This Row],[GWD]])</f>
        <v>4</v>
      </c>
      <c r="R93" s="222">
        <f>Tabela2[[#This Row],[GWO]]+Tabela2[[#This Row],[GWD]]</f>
        <v>2</v>
      </c>
      <c r="S93" s="222">
        <f>SUM(Tabela2[[#This Row],[G]:[GWD]])</f>
        <v>12</v>
      </c>
    </row>
    <row r="94" spans="1:19">
      <c r="A94" s="225">
        <v>24</v>
      </c>
      <c r="B94" s="185" t="s">
        <v>754</v>
      </c>
      <c r="C94" s="185" t="s">
        <v>609</v>
      </c>
      <c r="D94" s="185">
        <v>2</v>
      </c>
      <c r="E94" s="185" t="s">
        <v>265</v>
      </c>
      <c r="F94" s="185">
        <v>1</v>
      </c>
      <c r="G94" s="185">
        <v>1</v>
      </c>
      <c r="H94" s="185">
        <v>1</v>
      </c>
      <c r="I94" s="185">
        <v>1</v>
      </c>
      <c r="J94" s="185">
        <v>1</v>
      </c>
      <c r="K94" s="185">
        <v>1</v>
      </c>
      <c r="L94" s="185">
        <v>1</v>
      </c>
      <c r="M94" s="185">
        <v>1</v>
      </c>
      <c r="N94" s="183"/>
      <c r="O94" s="183"/>
      <c r="P94" s="222">
        <f>SUM(Tabela2[[#This Row],[G]]+Tabela2[[#This Row],[D]]+Tabela2[[#This Row],[N]]+Tabela2[[#This Row],[HM]])</f>
        <v>4</v>
      </c>
      <c r="Q94" s="222">
        <f>SUM(Tabela2[[#This Row],[AO]]+Tabela2[[#This Row],[AD]]+Tabela2[[#This Row],[GWO]]+Tabela2[[#This Row],[GWD]])</f>
        <v>4</v>
      </c>
      <c r="R94" s="222">
        <f>Tabela2[[#This Row],[GWO]]+Tabela2[[#This Row],[GWD]]</f>
        <v>2</v>
      </c>
      <c r="S94" s="222">
        <f>SUM(Tabela2[[#This Row],[G]:[GWD]])</f>
        <v>8</v>
      </c>
    </row>
    <row r="95" spans="1:19">
      <c r="A95" s="225">
        <v>25</v>
      </c>
      <c r="B95" s="185" t="s">
        <v>753</v>
      </c>
      <c r="C95" s="185" t="s">
        <v>752</v>
      </c>
      <c r="D95" s="185">
        <v>2</v>
      </c>
      <c r="E95" s="185" t="s">
        <v>265</v>
      </c>
      <c r="F95" s="185">
        <v>1</v>
      </c>
      <c r="G95" s="185">
        <v>1</v>
      </c>
      <c r="H95" s="185">
        <v>1</v>
      </c>
      <c r="I95" s="185">
        <v>1</v>
      </c>
      <c r="J95" s="185">
        <v>1</v>
      </c>
      <c r="K95" s="185">
        <v>1</v>
      </c>
      <c r="L95" s="185">
        <v>1</v>
      </c>
      <c r="M95" s="185">
        <v>1</v>
      </c>
      <c r="N95" s="183"/>
      <c r="O95" s="183"/>
      <c r="P95" s="222">
        <f>SUM(Tabela2[[#This Row],[G]]+Tabela2[[#This Row],[D]]+Tabela2[[#This Row],[N]]+Tabela2[[#This Row],[HM]])</f>
        <v>4</v>
      </c>
      <c r="Q95" s="222">
        <f>SUM(Tabela2[[#This Row],[AO]]+Tabela2[[#This Row],[AD]]+Tabela2[[#This Row],[GWO]]+Tabela2[[#This Row],[GWD]])</f>
        <v>4</v>
      </c>
      <c r="R95" s="222">
        <f>Tabela2[[#This Row],[GWO]]+Tabela2[[#This Row],[GWD]]</f>
        <v>2</v>
      </c>
      <c r="S95" s="222">
        <f>SUM(Tabela2[[#This Row],[G]:[GWD]])</f>
        <v>8</v>
      </c>
    </row>
    <row r="96" spans="1:19">
      <c r="A96" s="225">
        <v>26</v>
      </c>
      <c r="B96" s="185" t="s">
        <v>751</v>
      </c>
      <c r="C96" s="185" t="s">
        <v>750</v>
      </c>
      <c r="D96" s="185">
        <v>2</v>
      </c>
      <c r="E96" s="185" t="s">
        <v>265</v>
      </c>
      <c r="F96" s="185">
        <v>1</v>
      </c>
      <c r="G96" s="185">
        <v>1</v>
      </c>
      <c r="H96" s="185">
        <v>1</v>
      </c>
      <c r="I96" s="185">
        <v>1</v>
      </c>
      <c r="J96" s="185">
        <v>1</v>
      </c>
      <c r="K96" s="185">
        <v>1</v>
      </c>
      <c r="L96" s="185">
        <v>1</v>
      </c>
      <c r="M96" s="185">
        <v>1</v>
      </c>
      <c r="N96" s="185" t="s">
        <v>460</v>
      </c>
      <c r="O96" s="185"/>
      <c r="P96" s="228">
        <f>SUM(Tabela2[[#This Row],[G]]+Tabela2[[#This Row],[D]]+Tabela2[[#This Row],[N]]+Tabela2[[#This Row],[HM]])</f>
        <v>4</v>
      </c>
      <c r="Q96" s="228">
        <f>SUM(Tabela2[[#This Row],[AO]]+Tabela2[[#This Row],[AD]]+Tabela2[[#This Row],[GWO]]+Tabela2[[#This Row],[GWD]])</f>
        <v>4</v>
      </c>
      <c r="R96" s="228">
        <f>Tabela2[[#This Row],[GWO]]+Tabela2[[#This Row],[GWD]]</f>
        <v>2</v>
      </c>
      <c r="S96" s="222">
        <f>SUM(Tabela2[[#This Row],[G]:[GWD]])</f>
        <v>8</v>
      </c>
    </row>
    <row r="97" spans="1:19">
      <c r="A97" s="225">
        <v>28</v>
      </c>
      <c r="B97" s="185" t="s">
        <v>748</v>
      </c>
      <c r="C97" s="185" t="s">
        <v>731</v>
      </c>
      <c r="D97" s="185">
        <v>2</v>
      </c>
      <c r="E97" s="185" t="s">
        <v>265</v>
      </c>
      <c r="F97" s="185">
        <v>1</v>
      </c>
      <c r="G97" s="185">
        <v>1</v>
      </c>
      <c r="H97" s="185">
        <v>1</v>
      </c>
      <c r="I97" s="185">
        <v>1</v>
      </c>
      <c r="J97" s="185">
        <v>1</v>
      </c>
      <c r="K97" s="185">
        <v>1</v>
      </c>
      <c r="L97" s="185">
        <v>1</v>
      </c>
      <c r="M97" s="185">
        <v>1</v>
      </c>
      <c r="N97" s="185" t="s">
        <v>460</v>
      </c>
      <c r="O97" s="185"/>
      <c r="P97" s="228">
        <f>SUM(Tabela2[[#This Row],[G]]+Tabela2[[#This Row],[D]]+Tabela2[[#This Row],[N]]+Tabela2[[#This Row],[HM]])</f>
        <v>4</v>
      </c>
      <c r="Q97" s="228">
        <f>SUM(Tabela2[[#This Row],[AO]]+Tabela2[[#This Row],[AD]]+Tabela2[[#This Row],[GWO]]+Tabela2[[#This Row],[GWD]])</f>
        <v>4</v>
      </c>
      <c r="R97" s="228">
        <f>Tabela2[[#This Row],[GWO]]+Tabela2[[#This Row],[GWD]]</f>
        <v>2</v>
      </c>
      <c r="S97" s="222">
        <f>SUM(Tabela2[[#This Row],[G]:[GWD]])</f>
        <v>8</v>
      </c>
    </row>
    <row r="98" spans="1:19">
      <c r="A98" s="225">
        <v>29</v>
      </c>
      <c r="B98" s="185" t="s">
        <v>747</v>
      </c>
      <c r="C98" s="185" t="s">
        <v>740</v>
      </c>
      <c r="D98" s="185">
        <v>2</v>
      </c>
      <c r="E98" s="185" t="s">
        <v>265</v>
      </c>
      <c r="F98" s="185">
        <v>1</v>
      </c>
      <c r="G98" s="185">
        <v>1</v>
      </c>
      <c r="H98" s="185">
        <v>1</v>
      </c>
      <c r="I98" s="185">
        <v>1</v>
      </c>
      <c r="J98" s="185">
        <v>1</v>
      </c>
      <c r="K98" s="185">
        <v>1</v>
      </c>
      <c r="L98" s="185">
        <v>1</v>
      </c>
      <c r="M98" s="185">
        <v>1</v>
      </c>
      <c r="N98" s="183"/>
      <c r="O98" s="183"/>
      <c r="P98" s="222">
        <f>SUM(Tabela2[[#This Row],[G]]+Tabela2[[#This Row],[D]]+Tabela2[[#This Row],[N]]+Tabela2[[#This Row],[HM]])</f>
        <v>4</v>
      </c>
      <c r="Q98" s="222">
        <f>SUM(Tabela2[[#This Row],[AO]]+Tabela2[[#This Row],[AD]]+Tabela2[[#This Row],[GWO]]+Tabela2[[#This Row],[GWD]])</f>
        <v>4</v>
      </c>
      <c r="R98" s="222">
        <f>Tabela2[[#This Row],[GWO]]+Tabela2[[#This Row],[GWD]]</f>
        <v>2</v>
      </c>
      <c r="S98" s="222">
        <f>SUM(Tabela2[[#This Row],[G]:[GWD]])</f>
        <v>8</v>
      </c>
    </row>
    <row r="99" spans="1:19" ht="30">
      <c r="A99" s="225">
        <v>30</v>
      </c>
      <c r="B99" s="185" t="s">
        <v>746</v>
      </c>
      <c r="C99" s="185" t="s">
        <v>686</v>
      </c>
      <c r="D99" s="185">
        <v>2</v>
      </c>
      <c r="E99" s="185" t="s">
        <v>265</v>
      </c>
      <c r="F99" s="185">
        <v>1</v>
      </c>
      <c r="G99" s="185">
        <v>1</v>
      </c>
      <c r="H99" s="185">
        <v>1</v>
      </c>
      <c r="I99" s="185">
        <v>1</v>
      </c>
      <c r="J99" s="185">
        <v>1</v>
      </c>
      <c r="K99" s="185">
        <v>1</v>
      </c>
      <c r="L99" s="185">
        <v>1</v>
      </c>
      <c r="M99" s="185">
        <v>1</v>
      </c>
      <c r="N99" s="185" t="s">
        <v>460</v>
      </c>
      <c r="O99" s="185"/>
      <c r="P99" s="228">
        <f>SUM(Tabela2[[#This Row],[G]]+Tabela2[[#This Row],[D]]+Tabela2[[#This Row],[N]]+Tabela2[[#This Row],[HM]])</f>
        <v>4</v>
      </c>
      <c r="Q99" s="228">
        <f>SUM(Tabela2[[#This Row],[AO]]+Tabela2[[#This Row],[AD]]+Tabela2[[#This Row],[GWO]]+Tabela2[[#This Row],[GWD]])</f>
        <v>4</v>
      </c>
      <c r="R99" s="228">
        <f>Tabela2[[#This Row],[GWO]]+Tabela2[[#This Row],[GWD]]</f>
        <v>2</v>
      </c>
      <c r="S99" s="222">
        <f>SUM(Tabela2[[#This Row],[G]:[GWD]])</f>
        <v>8</v>
      </c>
    </row>
    <row r="100" spans="1:19">
      <c r="A100" s="225">
        <v>31</v>
      </c>
      <c r="B100" s="185" t="s">
        <v>745</v>
      </c>
      <c r="C100" s="185" t="s">
        <v>744</v>
      </c>
      <c r="D100" s="185">
        <v>2</v>
      </c>
      <c r="E100" s="185" t="s">
        <v>265</v>
      </c>
      <c r="F100" s="185">
        <v>1</v>
      </c>
      <c r="G100" s="185">
        <v>1</v>
      </c>
      <c r="H100" s="185">
        <v>1</v>
      </c>
      <c r="I100" s="185">
        <v>1</v>
      </c>
      <c r="J100" s="185">
        <v>1</v>
      </c>
      <c r="K100" s="185">
        <v>1</v>
      </c>
      <c r="L100" s="185">
        <v>1</v>
      </c>
      <c r="M100" s="185">
        <v>1</v>
      </c>
      <c r="N100" s="183"/>
      <c r="O100" s="183"/>
      <c r="P100" s="222">
        <f>SUM(Tabela2[[#This Row],[G]]+Tabela2[[#This Row],[D]]+Tabela2[[#This Row],[N]]+Tabela2[[#This Row],[HM]])</f>
        <v>4</v>
      </c>
      <c r="Q100" s="222">
        <f>SUM(Tabela2[[#This Row],[AO]]+Tabela2[[#This Row],[AD]]+Tabela2[[#This Row],[GWO]]+Tabela2[[#This Row],[GWD]])</f>
        <v>4</v>
      </c>
      <c r="R100" s="222">
        <f>Tabela2[[#This Row],[GWO]]+Tabela2[[#This Row],[GWD]]</f>
        <v>2</v>
      </c>
      <c r="S100" s="222">
        <f>SUM(Tabela2[[#This Row],[G]:[GWD]])</f>
        <v>8</v>
      </c>
    </row>
    <row r="101" spans="1:19">
      <c r="A101" s="225">
        <v>32</v>
      </c>
      <c r="B101" s="185" t="s">
        <v>743</v>
      </c>
      <c r="C101" s="185" t="s">
        <v>708</v>
      </c>
      <c r="D101" s="185">
        <v>2</v>
      </c>
      <c r="E101" s="185" t="s">
        <v>265</v>
      </c>
      <c r="F101" s="185">
        <v>1</v>
      </c>
      <c r="G101" s="185">
        <v>1</v>
      </c>
      <c r="H101" s="185">
        <v>1</v>
      </c>
      <c r="I101" s="185">
        <v>1</v>
      </c>
      <c r="J101" s="185">
        <v>1</v>
      </c>
      <c r="K101" s="185">
        <v>1</v>
      </c>
      <c r="L101" s="185">
        <v>1</v>
      </c>
      <c r="M101" s="185">
        <v>1</v>
      </c>
      <c r="N101" s="183"/>
      <c r="O101" s="183"/>
      <c r="P101" s="222">
        <f>SUM(Tabela2[[#This Row],[G]]+Tabela2[[#This Row],[D]]+Tabela2[[#This Row],[N]]+Tabela2[[#This Row],[HM]])</f>
        <v>4</v>
      </c>
      <c r="Q101" s="222">
        <f>SUM(Tabela2[[#This Row],[AO]]+Tabela2[[#This Row],[AD]]+Tabela2[[#This Row],[GWO]]+Tabela2[[#This Row],[GWD]])</f>
        <v>4</v>
      </c>
      <c r="R101" s="222">
        <f>Tabela2[[#This Row],[GWO]]+Tabela2[[#This Row],[GWD]]</f>
        <v>2</v>
      </c>
      <c r="S101" s="222">
        <f>SUM(Tabela2[[#This Row],[G]:[GWD]])</f>
        <v>8</v>
      </c>
    </row>
    <row r="102" spans="1:19">
      <c r="A102" s="225">
        <v>33</v>
      </c>
      <c r="B102" s="185" t="s">
        <v>137</v>
      </c>
      <c r="C102" s="185" t="s">
        <v>736</v>
      </c>
      <c r="D102" s="185">
        <v>2</v>
      </c>
      <c r="E102" s="185" t="s">
        <v>265</v>
      </c>
      <c r="F102" s="185">
        <v>2</v>
      </c>
      <c r="G102" s="185">
        <v>1</v>
      </c>
      <c r="H102" s="185">
        <v>1</v>
      </c>
      <c r="I102" s="185">
        <v>3</v>
      </c>
      <c r="J102" s="185">
        <v>3</v>
      </c>
      <c r="K102" s="185">
        <v>1</v>
      </c>
      <c r="L102" s="185">
        <v>5</v>
      </c>
      <c r="M102" s="185">
        <v>3</v>
      </c>
      <c r="N102" s="183"/>
      <c r="O102" s="183" t="s">
        <v>207</v>
      </c>
      <c r="P102" s="222">
        <f>SUM(Tabela2[[#This Row],[G]]+Tabela2[[#This Row],[D]]+Tabela2[[#This Row],[N]]+Tabela2[[#This Row],[HM]])</f>
        <v>5</v>
      </c>
      <c r="Q102" s="222">
        <f>SUM(Tabela2[[#This Row],[AO]]+Tabela2[[#This Row],[AD]]+Tabela2[[#This Row],[GWO]]+Tabela2[[#This Row],[GWD]])</f>
        <v>14</v>
      </c>
      <c r="R102" s="222">
        <f>Tabela2[[#This Row],[GWO]]+Tabela2[[#This Row],[GWD]]</f>
        <v>8</v>
      </c>
      <c r="S102" s="222">
        <f>SUM(Tabela2[[#This Row],[G]:[GWD]])</f>
        <v>19</v>
      </c>
    </row>
    <row r="103" spans="1:19">
      <c r="A103" s="225">
        <v>34</v>
      </c>
      <c r="B103" s="184" t="s">
        <v>742</v>
      </c>
      <c r="C103" s="184" t="s">
        <v>731</v>
      </c>
      <c r="D103" s="184">
        <v>2</v>
      </c>
      <c r="E103" s="184" t="s">
        <v>266</v>
      </c>
      <c r="F103" s="184">
        <v>1</v>
      </c>
      <c r="G103" s="184">
        <v>1</v>
      </c>
      <c r="H103" s="184">
        <v>1</v>
      </c>
      <c r="I103" s="184">
        <v>1</v>
      </c>
      <c r="J103" s="184">
        <v>1</v>
      </c>
      <c r="K103" s="184">
        <v>1</v>
      </c>
      <c r="L103" s="184">
        <v>1</v>
      </c>
      <c r="M103" s="184">
        <v>1</v>
      </c>
      <c r="N103" s="183"/>
      <c r="O103" s="183"/>
      <c r="P103" s="222">
        <f>SUM(Tabela2[[#This Row],[G]]+Tabela2[[#This Row],[D]]+Tabela2[[#This Row],[N]]+Tabela2[[#This Row],[HM]])</f>
        <v>4</v>
      </c>
      <c r="Q103" s="222">
        <f>SUM(Tabela2[[#This Row],[AO]]+Tabela2[[#This Row],[AD]]+Tabela2[[#This Row],[GWO]]+Tabela2[[#This Row],[GWD]])</f>
        <v>4</v>
      </c>
      <c r="R103" s="222">
        <f>Tabela2[[#This Row],[GWO]]+Tabela2[[#This Row],[GWD]]</f>
        <v>2</v>
      </c>
      <c r="S103" s="222">
        <f>SUM(Tabela2[[#This Row],[G]:[GWD]])</f>
        <v>8</v>
      </c>
    </row>
    <row r="104" spans="1:19">
      <c r="A104" s="225">
        <v>35</v>
      </c>
      <c r="B104" s="184" t="s">
        <v>741</v>
      </c>
      <c r="C104" s="184" t="s">
        <v>740</v>
      </c>
      <c r="D104" s="184">
        <v>2</v>
      </c>
      <c r="E104" s="184" t="s">
        <v>266</v>
      </c>
      <c r="F104" s="184">
        <v>1</v>
      </c>
      <c r="G104" s="184">
        <v>1</v>
      </c>
      <c r="H104" s="184">
        <v>1</v>
      </c>
      <c r="I104" s="184">
        <v>1</v>
      </c>
      <c r="J104" s="184">
        <v>1</v>
      </c>
      <c r="K104" s="184">
        <v>1</v>
      </c>
      <c r="L104" s="184">
        <v>1</v>
      </c>
      <c r="M104" s="184">
        <v>1</v>
      </c>
      <c r="N104" s="183"/>
      <c r="O104" s="183"/>
      <c r="P104" s="222">
        <f>SUM(Tabela2[[#This Row],[G]]+Tabela2[[#This Row],[D]]+Tabela2[[#This Row],[N]]+Tabela2[[#This Row],[HM]])</f>
        <v>4</v>
      </c>
      <c r="Q104" s="222">
        <f>SUM(Tabela2[[#This Row],[AO]]+Tabela2[[#This Row],[AD]]+Tabela2[[#This Row],[GWO]]+Tabela2[[#This Row],[GWD]])</f>
        <v>4</v>
      </c>
      <c r="R104" s="222">
        <f>Tabela2[[#This Row],[GWO]]+Tabela2[[#This Row],[GWD]]</f>
        <v>2</v>
      </c>
      <c r="S104" s="222">
        <f>SUM(Tabela2[[#This Row],[G]:[GWD]])</f>
        <v>8</v>
      </c>
    </row>
    <row r="105" spans="1:19">
      <c r="A105" s="225">
        <v>36</v>
      </c>
      <c r="B105" s="184" t="s">
        <v>739</v>
      </c>
      <c r="C105" s="184" t="s">
        <v>729</v>
      </c>
      <c r="D105" s="184">
        <v>2</v>
      </c>
      <c r="E105" s="184" t="s">
        <v>266</v>
      </c>
      <c r="F105" s="184">
        <v>1</v>
      </c>
      <c r="G105" s="184">
        <v>1</v>
      </c>
      <c r="H105" s="184">
        <v>1</v>
      </c>
      <c r="I105" s="184">
        <v>1</v>
      </c>
      <c r="J105" s="184">
        <v>1</v>
      </c>
      <c r="K105" s="184">
        <v>1</v>
      </c>
      <c r="L105" s="184">
        <v>1</v>
      </c>
      <c r="M105" s="184">
        <v>1</v>
      </c>
      <c r="N105" s="183"/>
      <c r="O105" s="183"/>
      <c r="P105" s="222">
        <f>SUM(Tabela2[[#This Row],[G]]+Tabela2[[#This Row],[D]]+Tabela2[[#This Row],[N]]+Tabela2[[#This Row],[HM]])</f>
        <v>4</v>
      </c>
      <c r="Q105" s="222">
        <f>SUM(Tabela2[[#This Row],[AO]]+Tabela2[[#This Row],[AD]]+Tabela2[[#This Row],[GWO]]+Tabela2[[#This Row],[GWD]])</f>
        <v>4</v>
      </c>
      <c r="R105" s="222">
        <f>Tabela2[[#This Row],[GWO]]+Tabela2[[#This Row],[GWD]]</f>
        <v>2</v>
      </c>
      <c r="S105" s="222">
        <f>SUM(Tabela2[[#This Row],[G]:[GWD]])</f>
        <v>8</v>
      </c>
    </row>
    <row r="106" spans="1:19">
      <c r="A106" s="225">
        <v>37</v>
      </c>
      <c r="B106" s="184" t="s">
        <v>738</v>
      </c>
      <c r="C106" s="184" t="s">
        <v>727</v>
      </c>
      <c r="D106" s="184">
        <v>2</v>
      </c>
      <c r="E106" s="184" t="s">
        <v>266</v>
      </c>
      <c r="F106" s="184">
        <v>1</v>
      </c>
      <c r="G106" s="184">
        <v>1</v>
      </c>
      <c r="H106" s="184">
        <v>1</v>
      </c>
      <c r="I106" s="184">
        <v>1</v>
      </c>
      <c r="J106" s="184">
        <v>1</v>
      </c>
      <c r="K106" s="184">
        <v>1</v>
      </c>
      <c r="L106" s="184">
        <v>1</v>
      </c>
      <c r="M106" s="184">
        <v>1</v>
      </c>
      <c r="N106" s="183"/>
      <c r="O106" s="183"/>
      <c r="P106" s="222">
        <f>SUM(Tabela2[[#This Row],[G]]+Tabela2[[#This Row],[D]]+Tabela2[[#This Row],[N]]+Tabela2[[#This Row],[HM]])</f>
        <v>4</v>
      </c>
      <c r="Q106" s="222">
        <f>SUM(Tabela2[[#This Row],[AO]]+Tabela2[[#This Row],[AD]]+Tabela2[[#This Row],[GWO]]+Tabela2[[#This Row],[GWD]])</f>
        <v>4</v>
      </c>
      <c r="R106" s="222">
        <f>Tabela2[[#This Row],[GWO]]+Tabela2[[#This Row],[GWD]]</f>
        <v>2</v>
      </c>
      <c r="S106" s="222">
        <f>SUM(Tabela2[[#This Row],[G]:[GWD]])</f>
        <v>8</v>
      </c>
    </row>
    <row r="107" spans="1:19">
      <c r="A107" s="225">
        <v>38</v>
      </c>
      <c r="B107" s="184" t="s">
        <v>737</v>
      </c>
      <c r="C107" s="184" t="s">
        <v>736</v>
      </c>
      <c r="D107" s="184">
        <v>2</v>
      </c>
      <c r="E107" s="184" t="s">
        <v>266</v>
      </c>
      <c r="F107" s="184">
        <v>1</v>
      </c>
      <c r="G107" s="184">
        <v>1</v>
      </c>
      <c r="H107" s="184">
        <v>1</v>
      </c>
      <c r="I107" s="184">
        <v>1</v>
      </c>
      <c r="J107" s="184">
        <v>1</v>
      </c>
      <c r="K107" s="184">
        <v>1</v>
      </c>
      <c r="L107" s="184">
        <v>1</v>
      </c>
      <c r="M107" s="184">
        <v>1</v>
      </c>
      <c r="N107" s="183"/>
      <c r="O107" s="183"/>
      <c r="P107" s="222">
        <f>SUM(Tabela2[[#This Row],[G]]+Tabela2[[#This Row],[D]]+Tabela2[[#This Row],[N]]+Tabela2[[#This Row],[HM]])</f>
        <v>4</v>
      </c>
      <c r="Q107" s="222">
        <f>SUM(Tabela2[[#This Row],[AO]]+Tabela2[[#This Row],[AD]]+Tabela2[[#This Row],[GWO]]+Tabela2[[#This Row],[GWD]])</f>
        <v>4</v>
      </c>
      <c r="R107" s="222">
        <f>Tabela2[[#This Row],[GWO]]+Tabela2[[#This Row],[GWD]]</f>
        <v>2</v>
      </c>
      <c r="S107" s="222">
        <f>SUM(Tabela2[[#This Row],[G]:[GWD]])</f>
        <v>8</v>
      </c>
    </row>
    <row r="108" spans="1:19">
      <c r="A108" s="225">
        <v>39</v>
      </c>
      <c r="B108" s="184" t="s">
        <v>735</v>
      </c>
      <c r="C108" s="184" t="s">
        <v>708</v>
      </c>
      <c r="D108" s="184">
        <v>2</v>
      </c>
      <c r="E108" s="184" t="s">
        <v>266</v>
      </c>
      <c r="F108" s="184">
        <v>1</v>
      </c>
      <c r="G108" s="184">
        <v>1</v>
      </c>
      <c r="H108" s="184">
        <v>1</v>
      </c>
      <c r="I108" s="184">
        <v>1</v>
      </c>
      <c r="J108" s="184">
        <v>1</v>
      </c>
      <c r="K108" s="184">
        <v>1</v>
      </c>
      <c r="L108" s="184">
        <v>1</v>
      </c>
      <c r="M108" s="184">
        <v>1</v>
      </c>
      <c r="N108" s="183"/>
      <c r="O108" s="183"/>
      <c r="P108" s="222">
        <f>SUM(Tabela2[[#This Row],[G]]+Tabela2[[#This Row],[D]]+Tabela2[[#This Row],[N]]+Tabela2[[#This Row],[HM]])</f>
        <v>4</v>
      </c>
      <c r="Q108" s="222">
        <f>SUM(Tabela2[[#This Row],[AO]]+Tabela2[[#This Row],[AD]]+Tabela2[[#This Row],[GWO]]+Tabela2[[#This Row],[GWD]])</f>
        <v>4</v>
      </c>
      <c r="R108" s="222">
        <f>Tabela2[[#This Row],[GWO]]+Tabela2[[#This Row],[GWD]]</f>
        <v>2</v>
      </c>
      <c r="S108" s="222">
        <f>SUM(Tabela2[[#This Row],[G]:[GWD]])</f>
        <v>8</v>
      </c>
    </row>
    <row r="109" spans="1:19">
      <c r="A109" s="225">
        <v>40</v>
      </c>
      <c r="B109" s="184" t="s">
        <v>734</v>
      </c>
      <c r="C109" s="184" t="s">
        <v>725</v>
      </c>
      <c r="D109" s="184">
        <v>2</v>
      </c>
      <c r="E109" s="184" t="s">
        <v>266</v>
      </c>
      <c r="F109" s="184">
        <v>1</v>
      </c>
      <c r="G109" s="184">
        <v>1</v>
      </c>
      <c r="H109" s="184">
        <v>1</v>
      </c>
      <c r="I109" s="184">
        <v>1</v>
      </c>
      <c r="J109" s="184">
        <v>1</v>
      </c>
      <c r="K109" s="184">
        <v>3</v>
      </c>
      <c r="L109" s="184">
        <v>1</v>
      </c>
      <c r="M109" s="184">
        <v>1</v>
      </c>
      <c r="N109" s="183"/>
      <c r="O109" s="183"/>
      <c r="P109" s="222">
        <f>SUM(Tabela2[[#This Row],[G]]+Tabela2[[#This Row],[D]]+Tabela2[[#This Row],[N]]+Tabela2[[#This Row],[HM]])</f>
        <v>6</v>
      </c>
      <c r="Q109" s="222">
        <f>SUM(Tabela2[[#This Row],[AO]]+Tabela2[[#This Row],[AD]]+Tabela2[[#This Row],[GWO]]+Tabela2[[#This Row],[GWD]])</f>
        <v>4</v>
      </c>
      <c r="R109" s="222">
        <f>Tabela2[[#This Row],[GWO]]+Tabela2[[#This Row],[GWD]]</f>
        <v>2</v>
      </c>
      <c r="S109" s="222">
        <f>SUM(Tabela2[[#This Row],[G]:[GWD]])</f>
        <v>10</v>
      </c>
    </row>
    <row r="110" spans="1:19">
      <c r="A110" s="225">
        <v>41</v>
      </c>
      <c r="B110" s="183" t="s">
        <v>733</v>
      </c>
      <c r="C110" s="183" t="s">
        <v>609</v>
      </c>
      <c r="D110" s="183">
        <v>2</v>
      </c>
      <c r="E110" s="183" t="s">
        <v>287</v>
      </c>
      <c r="F110" s="183">
        <v>1</v>
      </c>
      <c r="G110" s="183">
        <v>1</v>
      </c>
      <c r="H110" s="183">
        <v>1</v>
      </c>
      <c r="I110" s="183">
        <v>1</v>
      </c>
      <c r="J110" s="183">
        <v>1</v>
      </c>
      <c r="K110" s="183">
        <v>1</v>
      </c>
      <c r="L110" s="183">
        <v>1</v>
      </c>
      <c r="M110" s="183">
        <v>1</v>
      </c>
      <c r="N110" s="183"/>
      <c r="O110" s="183"/>
      <c r="P110" s="222">
        <f>SUM(Tabela2[[#This Row],[G]]+Tabela2[[#This Row],[D]]+Tabela2[[#This Row],[N]]+Tabela2[[#This Row],[HM]])</f>
        <v>4</v>
      </c>
      <c r="Q110" s="222">
        <f>SUM(Tabela2[[#This Row],[AO]]+Tabela2[[#This Row],[AD]]+Tabela2[[#This Row],[GWO]]+Tabela2[[#This Row],[GWD]])</f>
        <v>4</v>
      </c>
      <c r="R110" s="222">
        <f>Tabela2[[#This Row],[GWO]]+Tabela2[[#This Row],[GWD]]</f>
        <v>2</v>
      </c>
      <c r="S110" s="222">
        <f>SUM(Tabela2[[#This Row],[G]:[GWD]])</f>
        <v>8</v>
      </c>
    </row>
    <row r="111" spans="1:19">
      <c r="A111" s="225">
        <v>42</v>
      </c>
      <c r="B111" s="183" t="s">
        <v>732</v>
      </c>
      <c r="C111" s="183" t="s">
        <v>731</v>
      </c>
      <c r="D111" s="183">
        <v>2</v>
      </c>
      <c r="E111" s="183" t="s">
        <v>287</v>
      </c>
      <c r="F111" s="183">
        <v>1</v>
      </c>
      <c r="G111" s="183">
        <v>1</v>
      </c>
      <c r="H111" s="183">
        <v>1</v>
      </c>
      <c r="I111" s="183">
        <v>1</v>
      </c>
      <c r="J111" s="183">
        <v>1</v>
      </c>
      <c r="K111" s="183">
        <v>1</v>
      </c>
      <c r="L111" s="183">
        <v>1</v>
      </c>
      <c r="M111" s="183">
        <v>1</v>
      </c>
      <c r="N111" s="183"/>
      <c r="O111" s="183"/>
      <c r="P111" s="222">
        <f>SUM(Tabela2[[#This Row],[G]]+Tabela2[[#This Row],[D]]+Tabela2[[#This Row],[N]]+Tabela2[[#This Row],[HM]])</f>
        <v>4</v>
      </c>
      <c r="Q111" s="222">
        <f>SUM(Tabela2[[#This Row],[AO]]+Tabela2[[#This Row],[AD]]+Tabela2[[#This Row],[GWO]]+Tabela2[[#This Row],[GWD]])</f>
        <v>4</v>
      </c>
      <c r="R111" s="222">
        <f>Tabela2[[#This Row],[GWO]]+Tabela2[[#This Row],[GWD]]</f>
        <v>2</v>
      </c>
      <c r="S111" s="222">
        <f>SUM(Tabela2[[#This Row],[G]:[GWD]])</f>
        <v>8</v>
      </c>
    </row>
    <row r="112" spans="1:19">
      <c r="A112" s="225">
        <v>43</v>
      </c>
      <c r="B112" s="183" t="s">
        <v>730</v>
      </c>
      <c r="C112" s="183" t="s">
        <v>729</v>
      </c>
      <c r="D112" s="183">
        <v>2</v>
      </c>
      <c r="E112" s="183" t="s">
        <v>287</v>
      </c>
      <c r="F112" s="183">
        <v>1</v>
      </c>
      <c r="G112" s="183">
        <v>1</v>
      </c>
      <c r="H112" s="183">
        <v>1</v>
      </c>
      <c r="I112" s="183">
        <v>1</v>
      </c>
      <c r="J112" s="183">
        <v>1</v>
      </c>
      <c r="K112" s="183">
        <v>1</v>
      </c>
      <c r="L112" s="183">
        <v>1</v>
      </c>
      <c r="M112" s="183">
        <v>1</v>
      </c>
      <c r="N112" s="183"/>
      <c r="O112" s="183"/>
      <c r="P112" s="222">
        <f>SUM(Tabela2[[#This Row],[G]]+Tabela2[[#This Row],[D]]+Tabela2[[#This Row],[N]]+Tabela2[[#This Row],[HM]])</f>
        <v>4</v>
      </c>
      <c r="Q112" s="222">
        <f>SUM(Tabela2[[#This Row],[AO]]+Tabela2[[#This Row],[AD]]+Tabela2[[#This Row],[GWO]]+Tabela2[[#This Row],[GWD]])</f>
        <v>4</v>
      </c>
      <c r="R112" s="222">
        <f>Tabela2[[#This Row],[GWO]]+Tabela2[[#This Row],[GWD]]</f>
        <v>2</v>
      </c>
      <c r="S112" s="222">
        <f>SUM(Tabela2[[#This Row],[G]:[GWD]])</f>
        <v>8</v>
      </c>
    </row>
    <row r="113" spans="1:19">
      <c r="A113" s="225">
        <v>44</v>
      </c>
      <c r="B113" s="183" t="s">
        <v>728</v>
      </c>
      <c r="C113" s="183" t="s">
        <v>727</v>
      </c>
      <c r="D113" s="183">
        <v>2</v>
      </c>
      <c r="E113" s="183" t="s">
        <v>287</v>
      </c>
      <c r="F113" s="183">
        <v>1</v>
      </c>
      <c r="G113" s="183">
        <v>1</v>
      </c>
      <c r="H113" s="183">
        <v>1</v>
      </c>
      <c r="I113" s="183">
        <v>1</v>
      </c>
      <c r="J113" s="183">
        <v>1</v>
      </c>
      <c r="K113" s="183">
        <v>1</v>
      </c>
      <c r="L113" s="183">
        <v>1</v>
      </c>
      <c r="M113" s="183">
        <v>1</v>
      </c>
      <c r="N113" s="183"/>
      <c r="O113" s="183"/>
      <c r="P113" s="222">
        <f>SUM(Tabela2[[#This Row],[G]]+Tabela2[[#This Row],[D]]+Tabela2[[#This Row],[N]]+Tabela2[[#This Row],[HM]])</f>
        <v>4</v>
      </c>
      <c r="Q113" s="222">
        <f>SUM(Tabela2[[#This Row],[AO]]+Tabela2[[#This Row],[AD]]+Tabela2[[#This Row],[GWO]]+Tabela2[[#This Row],[GWD]])</f>
        <v>4</v>
      </c>
      <c r="R113" s="222">
        <f>Tabela2[[#This Row],[GWO]]+Tabela2[[#This Row],[GWD]]</f>
        <v>2</v>
      </c>
      <c r="S113" s="222">
        <f>SUM(Tabela2[[#This Row],[G]:[GWD]])</f>
        <v>8</v>
      </c>
    </row>
    <row r="114" spans="1:19">
      <c r="A114" s="225">
        <v>45</v>
      </c>
      <c r="B114" s="183" t="s">
        <v>726</v>
      </c>
      <c r="C114" s="183" t="s">
        <v>725</v>
      </c>
      <c r="D114" s="183">
        <v>2</v>
      </c>
      <c r="E114" s="183" t="s">
        <v>287</v>
      </c>
      <c r="F114" s="183">
        <v>1</v>
      </c>
      <c r="G114" s="183">
        <v>1</v>
      </c>
      <c r="H114" s="183">
        <v>1</v>
      </c>
      <c r="I114" s="183">
        <v>1</v>
      </c>
      <c r="J114" s="183">
        <v>1</v>
      </c>
      <c r="K114" s="183">
        <v>1</v>
      </c>
      <c r="L114" s="183">
        <v>1</v>
      </c>
      <c r="M114" s="183">
        <v>1</v>
      </c>
      <c r="N114" s="183"/>
      <c r="O114" s="183"/>
      <c r="P114" s="222">
        <f>SUM(Tabela2[[#This Row],[G]]+Tabela2[[#This Row],[D]]+Tabela2[[#This Row],[N]]+Tabela2[[#This Row],[HM]])</f>
        <v>4</v>
      </c>
      <c r="Q114" s="222">
        <f>SUM(Tabela2[[#This Row],[AO]]+Tabela2[[#This Row],[AD]]+Tabela2[[#This Row],[GWO]]+Tabela2[[#This Row],[GWD]])</f>
        <v>4</v>
      </c>
      <c r="R114" s="222">
        <f>Tabela2[[#This Row],[GWO]]+Tabela2[[#This Row],[GWD]]</f>
        <v>2</v>
      </c>
      <c r="S114" s="222">
        <f>SUM(Tabela2[[#This Row],[G]:[GWD]])</f>
        <v>8</v>
      </c>
    </row>
    <row r="115" spans="1:19">
      <c r="A115" s="225">
        <v>46</v>
      </c>
      <c r="B115" s="183" t="s">
        <v>724</v>
      </c>
      <c r="C115" s="183" t="s">
        <v>723</v>
      </c>
      <c r="D115" s="183">
        <v>2</v>
      </c>
      <c r="E115" s="183" t="s">
        <v>287</v>
      </c>
      <c r="F115" s="183">
        <v>1</v>
      </c>
      <c r="G115" s="183">
        <v>1</v>
      </c>
      <c r="H115" s="183">
        <v>1</v>
      </c>
      <c r="I115" s="183">
        <v>1</v>
      </c>
      <c r="J115" s="183">
        <v>1</v>
      </c>
      <c r="K115" s="183">
        <v>1</v>
      </c>
      <c r="L115" s="183">
        <v>1</v>
      </c>
      <c r="M115" s="183">
        <v>1</v>
      </c>
      <c r="N115" s="183"/>
      <c r="O115" s="183"/>
      <c r="P115" s="222">
        <f>SUM(Tabela2[[#This Row],[G]]+Tabela2[[#This Row],[D]]+Tabela2[[#This Row],[N]]+Tabela2[[#This Row],[HM]])</f>
        <v>4</v>
      </c>
      <c r="Q115" s="222">
        <f>SUM(Tabela2[[#This Row],[AO]]+Tabela2[[#This Row],[AD]]+Tabela2[[#This Row],[GWO]]+Tabela2[[#This Row],[GWD]])</f>
        <v>4</v>
      </c>
      <c r="R115" s="222">
        <f>Tabela2[[#This Row],[GWO]]+Tabela2[[#This Row],[GWD]]</f>
        <v>2</v>
      </c>
      <c r="S115" s="222">
        <f>SUM(Tabela2[[#This Row],[G]:[GWD]])</f>
        <v>8</v>
      </c>
    </row>
    <row r="116" spans="1:19">
      <c r="A116" s="225">
        <v>48</v>
      </c>
      <c r="B116" s="188" t="s">
        <v>720</v>
      </c>
      <c r="C116" s="188" t="s">
        <v>719</v>
      </c>
      <c r="D116" s="188">
        <v>3</v>
      </c>
      <c r="E116" s="188" t="s">
        <v>18</v>
      </c>
      <c r="F116" s="188">
        <v>1</v>
      </c>
      <c r="G116" s="188">
        <v>2</v>
      </c>
      <c r="H116" s="188">
        <v>1</v>
      </c>
      <c r="I116" s="188">
        <v>3</v>
      </c>
      <c r="J116" s="188">
        <v>1</v>
      </c>
      <c r="K116" s="188">
        <v>1</v>
      </c>
      <c r="L116" s="188">
        <v>3</v>
      </c>
      <c r="M116" s="188">
        <v>1</v>
      </c>
      <c r="N116" s="183"/>
      <c r="O116" s="183"/>
      <c r="P116" s="222">
        <f>SUM(Tabela2[[#This Row],[G]]+Tabela2[[#This Row],[D]]+Tabela2[[#This Row],[N]]+Tabela2[[#This Row],[HM]])</f>
        <v>5</v>
      </c>
      <c r="Q116" s="222">
        <f>SUM(Tabela2[[#This Row],[AO]]+Tabela2[[#This Row],[AD]]+Tabela2[[#This Row],[GWO]]+Tabela2[[#This Row],[GWD]])</f>
        <v>8</v>
      </c>
      <c r="R116" s="222">
        <f>Tabela2[[#This Row],[GWO]]+Tabela2[[#This Row],[GWD]]</f>
        <v>4</v>
      </c>
      <c r="S116" s="222">
        <f>SUM(Tabela2[[#This Row],[G]:[GWD]])</f>
        <v>13</v>
      </c>
    </row>
    <row r="117" spans="1:19" ht="30">
      <c r="A117" s="225">
        <v>49</v>
      </c>
      <c r="B117" s="188" t="s">
        <v>718</v>
      </c>
      <c r="C117" s="188" t="s">
        <v>587</v>
      </c>
      <c r="D117" s="188">
        <v>3</v>
      </c>
      <c r="E117" s="188" t="s">
        <v>18</v>
      </c>
      <c r="F117" s="188">
        <v>1</v>
      </c>
      <c r="G117" s="188">
        <v>2</v>
      </c>
      <c r="H117" s="188">
        <v>1</v>
      </c>
      <c r="I117" s="188">
        <v>2</v>
      </c>
      <c r="J117" s="188">
        <v>2</v>
      </c>
      <c r="K117" s="188">
        <v>2</v>
      </c>
      <c r="L117" s="188">
        <v>2</v>
      </c>
      <c r="M117" s="188">
        <v>2</v>
      </c>
      <c r="N117" s="183"/>
      <c r="O117" s="183"/>
      <c r="P117" s="222">
        <f>SUM(Tabela2[[#This Row],[G]]+Tabela2[[#This Row],[D]]+Tabela2[[#This Row],[N]]+Tabela2[[#This Row],[HM]])</f>
        <v>6</v>
      </c>
      <c r="Q117" s="222">
        <f>SUM(Tabela2[[#This Row],[AO]]+Tabela2[[#This Row],[AD]]+Tabela2[[#This Row],[GWO]]+Tabela2[[#This Row],[GWD]])</f>
        <v>8</v>
      </c>
      <c r="R117" s="222">
        <f>Tabela2[[#This Row],[GWO]]+Tabela2[[#This Row],[GWD]]</f>
        <v>4</v>
      </c>
      <c r="S117" s="222">
        <f>SUM(Tabela2[[#This Row],[G]:[GWD]])</f>
        <v>14</v>
      </c>
    </row>
    <row r="118" spans="1:19" ht="30">
      <c r="A118" s="225">
        <v>51</v>
      </c>
      <c r="B118" s="188" t="s">
        <v>715</v>
      </c>
      <c r="C118" s="188" t="s">
        <v>585</v>
      </c>
      <c r="D118" s="188">
        <v>3</v>
      </c>
      <c r="E118" s="188" t="s">
        <v>18</v>
      </c>
      <c r="F118" s="188">
        <v>1</v>
      </c>
      <c r="G118" s="188">
        <v>1</v>
      </c>
      <c r="H118" s="188">
        <v>1</v>
      </c>
      <c r="I118" s="188">
        <v>2</v>
      </c>
      <c r="J118" s="188">
        <v>1</v>
      </c>
      <c r="K118" s="188">
        <v>1</v>
      </c>
      <c r="L118" s="188">
        <v>3</v>
      </c>
      <c r="M118" s="188">
        <v>1</v>
      </c>
      <c r="N118" s="188" t="s">
        <v>460</v>
      </c>
      <c r="O118" s="188"/>
      <c r="P118" s="226">
        <f>SUM(Tabela2[[#This Row],[G]]+Tabela2[[#This Row],[D]]+Tabela2[[#This Row],[N]]+Tabela2[[#This Row],[HM]])</f>
        <v>4</v>
      </c>
      <c r="Q118" s="226">
        <f>SUM(Tabela2[[#This Row],[AO]]+Tabela2[[#This Row],[AD]]+Tabela2[[#This Row],[GWO]]+Tabela2[[#This Row],[GWD]])</f>
        <v>7</v>
      </c>
      <c r="R118" s="226">
        <f>Tabela2[[#This Row],[GWO]]+Tabela2[[#This Row],[GWD]]</f>
        <v>4</v>
      </c>
      <c r="S118" s="222">
        <f>SUM(Tabela2[[#This Row],[G]:[GWD]])</f>
        <v>11</v>
      </c>
    </row>
    <row r="119" spans="1:19" ht="30">
      <c r="A119" s="225">
        <v>53</v>
      </c>
      <c r="B119" s="188" t="s">
        <v>713</v>
      </c>
      <c r="C119" s="188" t="s">
        <v>581</v>
      </c>
      <c r="D119" s="188">
        <v>3</v>
      </c>
      <c r="E119" s="188" t="s">
        <v>18</v>
      </c>
      <c r="F119" s="188">
        <v>1</v>
      </c>
      <c r="G119" s="188">
        <v>1</v>
      </c>
      <c r="H119" s="188">
        <v>1</v>
      </c>
      <c r="I119" s="188">
        <v>2</v>
      </c>
      <c r="J119" s="188">
        <v>2</v>
      </c>
      <c r="K119" s="188">
        <v>1</v>
      </c>
      <c r="L119" s="188">
        <v>3</v>
      </c>
      <c r="M119" s="188">
        <v>2</v>
      </c>
      <c r="N119" s="183"/>
      <c r="O119" s="183" t="s">
        <v>207</v>
      </c>
      <c r="P119" s="222">
        <f>SUM(Tabela2[[#This Row],[G]]+Tabela2[[#This Row],[D]]+Tabela2[[#This Row],[N]]+Tabela2[[#This Row],[HM]])</f>
        <v>4</v>
      </c>
      <c r="Q119" s="222">
        <f>SUM(Tabela2[[#This Row],[AO]]+Tabela2[[#This Row],[AD]]+Tabela2[[#This Row],[GWO]]+Tabela2[[#This Row],[GWD]])</f>
        <v>9</v>
      </c>
      <c r="R119" s="222">
        <f>Tabela2[[#This Row],[GWO]]+Tabela2[[#This Row],[GWD]]</f>
        <v>5</v>
      </c>
      <c r="S119" s="222">
        <f>SUM(Tabela2[[#This Row],[G]:[GWD]])</f>
        <v>13</v>
      </c>
    </row>
    <row r="120" spans="1:19" ht="30">
      <c r="A120" s="225">
        <v>55</v>
      </c>
      <c r="B120" s="188" t="s">
        <v>711</v>
      </c>
      <c r="C120" s="188" t="s">
        <v>710</v>
      </c>
      <c r="D120" s="188">
        <v>3</v>
      </c>
      <c r="E120" s="188" t="s">
        <v>18</v>
      </c>
      <c r="F120" s="188">
        <v>1</v>
      </c>
      <c r="G120" s="188">
        <v>1</v>
      </c>
      <c r="H120" s="188">
        <v>1</v>
      </c>
      <c r="I120" s="188">
        <v>1</v>
      </c>
      <c r="J120" s="188">
        <v>1</v>
      </c>
      <c r="K120" s="188">
        <v>1</v>
      </c>
      <c r="L120" s="188">
        <v>1</v>
      </c>
      <c r="M120" s="188">
        <v>1</v>
      </c>
      <c r="N120" s="183"/>
      <c r="O120" s="183"/>
      <c r="P120" s="222">
        <f>SUM(Tabela2[[#This Row],[G]]+Tabela2[[#This Row],[D]]+Tabela2[[#This Row],[N]]+Tabela2[[#This Row],[HM]])</f>
        <v>4</v>
      </c>
      <c r="Q120" s="222">
        <f>SUM(Tabela2[[#This Row],[AO]]+Tabela2[[#This Row],[AD]]+Tabela2[[#This Row],[GWO]]+Tabela2[[#This Row],[GWD]])</f>
        <v>4</v>
      </c>
      <c r="R120" s="222">
        <f>Tabela2[[#This Row],[GWO]]+Tabela2[[#This Row],[GWD]]</f>
        <v>2</v>
      </c>
      <c r="S120" s="222">
        <f>SUM(Tabela2[[#This Row],[G]:[GWD]])</f>
        <v>8</v>
      </c>
    </row>
    <row r="121" spans="1:19">
      <c r="A121" s="225">
        <v>56</v>
      </c>
      <c r="B121" s="188" t="s">
        <v>709</v>
      </c>
      <c r="C121" s="188" t="s">
        <v>708</v>
      </c>
      <c r="D121" s="188">
        <v>3</v>
      </c>
      <c r="E121" s="188" t="s">
        <v>18</v>
      </c>
      <c r="F121" s="188">
        <v>1</v>
      </c>
      <c r="G121" s="188">
        <v>1</v>
      </c>
      <c r="H121" s="188">
        <v>1</v>
      </c>
      <c r="I121" s="188">
        <v>1</v>
      </c>
      <c r="J121" s="188">
        <v>1</v>
      </c>
      <c r="K121" s="188">
        <v>1</v>
      </c>
      <c r="L121" s="188">
        <v>1</v>
      </c>
      <c r="M121" s="188">
        <v>1</v>
      </c>
      <c r="N121" s="183"/>
      <c r="O121" s="183"/>
      <c r="P121" s="222">
        <f>SUM(Tabela2[[#This Row],[G]]+Tabela2[[#This Row],[D]]+Tabela2[[#This Row],[N]]+Tabela2[[#This Row],[HM]])</f>
        <v>4</v>
      </c>
      <c r="Q121" s="222">
        <f>SUM(Tabela2[[#This Row],[AO]]+Tabela2[[#This Row],[AD]]+Tabela2[[#This Row],[GWO]]+Tabela2[[#This Row],[GWD]])</f>
        <v>4</v>
      </c>
      <c r="R121" s="222">
        <f>Tabela2[[#This Row],[GWO]]+Tabela2[[#This Row],[GWD]]</f>
        <v>2</v>
      </c>
      <c r="S121" s="222">
        <f>SUM(Tabela2[[#This Row],[G]:[GWD]])</f>
        <v>8</v>
      </c>
    </row>
    <row r="122" spans="1:19">
      <c r="A122" s="225">
        <v>57</v>
      </c>
      <c r="B122" s="188" t="s">
        <v>707</v>
      </c>
      <c r="C122" s="188" t="s">
        <v>298</v>
      </c>
      <c r="D122" s="188">
        <v>3</v>
      </c>
      <c r="E122" s="188" t="s">
        <v>18</v>
      </c>
      <c r="F122" s="188">
        <v>1</v>
      </c>
      <c r="G122" s="188">
        <v>1</v>
      </c>
      <c r="H122" s="188">
        <v>1</v>
      </c>
      <c r="I122" s="188">
        <v>1</v>
      </c>
      <c r="J122" s="188">
        <v>2</v>
      </c>
      <c r="K122" s="188">
        <v>1</v>
      </c>
      <c r="L122" s="188">
        <v>1</v>
      </c>
      <c r="M122" s="188">
        <v>1</v>
      </c>
      <c r="N122" s="183"/>
      <c r="O122" s="183"/>
      <c r="P122" s="222">
        <f>SUM(Tabela2[[#This Row],[G]]+Tabela2[[#This Row],[D]]+Tabela2[[#This Row],[N]]+Tabela2[[#This Row],[HM]])</f>
        <v>4</v>
      </c>
      <c r="Q122" s="222">
        <f>SUM(Tabela2[[#This Row],[AO]]+Tabela2[[#This Row],[AD]]+Tabela2[[#This Row],[GWO]]+Tabela2[[#This Row],[GWD]])</f>
        <v>5</v>
      </c>
      <c r="R122" s="222">
        <f>Tabela2[[#This Row],[GWO]]+Tabela2[[#This Row],[GWD]]</f>
        <v>2</v>
      </c>
      <c r="S122" s="222">
        <f>SUM(Tabela2[[#This Row],[G]:[GWD]])</f>
        <v>9</v>
      </c>
    </row>
    <row r="123" spans="1:19">
      <c r="A123" s="225">
        <v>58</v>
      </c>
      <c r="B123" s="188" t="s">
        <v>706</v>
      </c>
      <c r="C123" s="188" t="s">
        <v>705</v>
      </c>
      <c r="D123" s="188">
        <v>3</v>
      </c>
      <c r="E123" s="188" t="s">
        <v>18</v>
      </c>
      <c r="F123" s="188">
        <v>3</v>
      </c>
      <c r="G123" s="188">
        <v>5</v>
      </c>
      <c r="H123" s="188">
        <v>1</v>
      </c>
      <c r="I123" s="188">
        <v>2</v>
      </c>
      <c r="J123" s="188">
        <v>2</v>
      </c>
      <c r="K123" s="188">
        <v>4</v>
      </c>
      <c r="L123" s="188">
        <v>2</v>
      </c>
      <c r="M123" s="188">
        <v>2</v>
      </c>
      <c r="N123" s="183"/>
      <c r="O123" s="183" t="s">
        <v>207</v>
      </c>
      <c r="P123" s="222">
        <f>SUM(Tabela2[[#This Row],[G]]+Tabela2[[#This Row],[D]]+Tabela2[[#This Row],[N]]+Tabela2[[#This Row],[HM]])</f>
        <v>13</v>
      </c>
      <c r="Q123" s="222">
        <f>SUM(Tabela2[[#This Row],[AO]]+Tabela2[[#This Row],[AD]]+Tabela2[[#This Row],[GWO]]+Tabela2[[#This Row],[GWD]])</f>
        <v>8</v>
      </c>
      <c r="R123" s="222">
        <f>Tabela2[[#This Row],[GWO]]+Tabela2[[#This Row],[GWD]]</f>
        <v>4</v>
      </c>
      <c r="S123" s="222">
        <f>SUM(Tabela2[[#This Row],[G]:[GWD]])</f>
        <v>21</v>
      </c>
    </row>
    <row r="124" spans="1:19" ht="30">
      <c r="A124" s="225">
        <v>59</v>
      </c>
      <c r="B124" s="188" t="s">
        <v>704</v>
      </c>
      <c r="C124" s="188" t="s">
        <v>703</v>
      </c>
      <c r="D124" s="188">
        <v>3</v>
      </c>
      <c r="E124" s="188" t="s">
        <v>18</v>
      </c>
      <c r="F124" s="188">
        <v>1</v>
      </c>
      <c r="G124" s="188">
        <v>1</v>
      </c>
      <c r="H124" s="188">
        <v>1</v>
      </c>
      <c r="I124" s="188">
        <v>2</v>
      </c>
      <c r="J124" s="188">
        <v>1</v>
      </c>
      <c r="K124" s="188">
        <v>1</v>
      </c>
      <c r="L124" s="188">
        <v>2</v>
      </c>
      <c r="M124" s="188">
        <v>1</v>
      </c>
      <c r="N124" s="183"/>
      <c r="O124" s="183" t="s">
        <v>207</v>
      </c>
      <c r="P124" s="222">
        <f>SUM(Tabela2[[#This Row],[G]]+Tabela2[[#This Row],[D]]+Tabela2[[#This Row],[N]]+Tabela2[[#This Row],[HM]])</f>
        <v>4</v>
      </c>
      <c r="Q124" s="222">
        <f>SUM(Tabela2[[#This Row],[AO]]+Tabela2[[#This Row],[AD]]+Tabela2[[#This Row],[GWO]]+Tabela2[[#This Row],[GWD]])</f>
        <v>6</v>
      </c>
      <c r="R124" s="222">
        <f>Tabela2[[#This Row],[GWO]]+Tabela2[[#This Row],[GWD]]</f>
        <v>3</v>
      </c>
      <c r="S124" s="222">
        <f>SUM(Tabela2[[#This Row],[G]:[GWD]])</f>
        <v>10</v>
      </c>
    </row>
    <row r="125" spans="1:19" ht="30">
      <c r="A125" s="225">
        <v>61</v>
      </c>
      <c r="B125" s="188" t="s">
        <v>701</v>
      </c>
      <c r="C125" s="188" t="s">
        <v>700</v>
      </c>
      <c r="D125" s="188">
        <v>3</v>
      </c>
      <c r="E125" s="188" t="s">
        <v>18</v>
      </c>
      <c r="F125" s="188">
        <v>1</v>
      </c>
      <c r="G125" s="188">
        <v>1</v>
      </c>
      <c r="H125" s="188">
        <v>1</v>
      </c>
      <c r="I125" s="188">
        <v>4</v>
      </c>
      <c r="J125" s="188">
        <v>1</v>
      </c>
      <c r="K125" s="188">
        <v>1</v>
      </c>
      <c r="L125" s="188">
        <v>4</v>
      </c>
      <c r="M125" s="188">
        <v>1</v>
      </c>
      <c r="N125" s="188" t="s">
        <v>460</v>
      </c>
      <c r="O125" s="188" t="s">
        <v>798</v>
      </c>
      <c r="P125" s="226">
        <f>SUM(Tabela2[[#This Row],[G]]+Tabela2[[#This Row],[D]]+Tabela2[[#This Row],[N]]+Tabela2[[#This Row],[HM]])</f>
        <v>4</v>
      </c>
      <c r="Q125" s="226">
        <f>SUM(Tabela2[[#This Row],[AO]]+Tabela2[[#This Row],[AD]]+Tabela2[[#This Row],[GWO]]+Tabela2[[#This Row],[GWD]])</f>
        <v>10</v>
      </c>
      <c r="R125" s="226">
        <f>Tabela2[[#This Row],[GWO]]+Tabela2[[#This Row],[GWD]]</f>
        <v>5</v>
      </c>
      <c r="S125" s="222">
        <f>SUM(Tabela2[[#This Row],[G]:[GWD]])</f>
        <v>14</v>
      </c>
    </row>
    <row r="126" spans="1:19">
      <c r="A126" s="225">
        <v>63</v>
      </c>
      <c r="B126" s="188" t="s">
        <v>698</v>
      </c>
      <c r="C126" s="188" t="s">
        <v>555</v>
      </c>
      <c r="D126" s="188">
        <v>3</v>
      </c>
      <c r="E126" s="188" t="s">
        <v>18</v>
      </c>
      <c r="F126" s="188">
        <v>1</v>
      </c>
      <c r="G126" s="188">
        <v>1</v>
      </c>
      <c r="H126" s="188">
        <v>1</v>
      </c>
      <c r="I126" s="188">
        <v>1</v>
      </c>
      <c r="J126" s="188">
        <v>1</v>
      </c>
      <c r="K126" s="188">
        <v>1</v>
      </c>
      <c r="L126" s="188">
        <v>1</v>
      </c>
      <c r="M126" s="188">
        <v>1</v>
      </c>
      <c r="N126" s="183"/>
      <c r="O126" s="183"/>
      <c r="P126" s="222">
        <f>SUM(Tabela2[[#This Row],[G]]+Tabela2[[#This Row],[D]]+Tabela2[[#This Row],[N]]+Tabela2[[#This Row],[HM]])</f>
        <v>4</v>
      </c>
      <c r="Q126" s="222">
        <f>SUM(Tabela2[[#This Row],[AO]]+Tabela2[[#This Row],[AD]]+Tabela2[[#This Row],[GWO]]+Tabela2[[#This Row],[GWD]])</f>
        <v>4</v>
      </c>
      <c r="R126" s="222">
        <f>Tabela2[[#This Row],[GWO]]+Tabela2[[#This Row],[GWD]]</f>
        <v>2</v>
      </c>
      <c r="S126" s="222">
        <f>SUM(Tabela2[[#This Row],[G]:[GWD]])</f>
        <v>8</v>
      </c>
    </row>
    <row r="127" spans="1:19" ht="30">
      <c r="A127" s="225">
        <v>65</v>
      </c>
      <c r="B127" s="188" t="s">
        <v>697</v>
      </c>
      <c r="C127" s="188" t="s">
        <v>553</v>
      </c>
      <c r="D127" s="188">
        <v>3</v>
      </c>
      <c r="E127" s="188" t="s">
        <v>18</v>
      </c>
      <c r="F127" s="188">
        <v>1</v>
      </c>
      <c r="G127" s="188">
        <v>1</v>
      </c>
      <c r="H127" s="188">
        <v>1</v>
      </c>
      <c r="I127" s="188">
        <v>1</v>
      </c>
      <c r="J127" s="188">
        <v>2</v>
      </c>
      <c r="K127" s="188">
        <v>1</v>
      </c>
      <c r="L127" s="188">
        <v>1</v>
      </c>
      <c r="M127" s="188">
        <v>2</v>
      </c>
      <c r="N127" s="188" t="s">
        <v>460</v>
      </c>
      <c r="O127" s="188" t="s">
        <v>207</v>
      </c>
      <c r="P127" s="226">
        <f>SUM(Tabela2[[#This Row],[G]]+Tabela2[[#This Row],[D]]+Tabela2[[#This Row],[N]]+Tabela2[[#This Row],[HM]])</f>
        <v>4</v>
      </c>
      <c r="Q127" s="226">
        <f>SUM(Tabela2[[#This Row],[AO]]+Tabela2[[#This Row],[AD]]+Tabela2[[#This Row],[GWO]]+Tabela2[[#This Row],[GWD]])</f>
        <v>6</v>
      </c>
      <c r="R127" s="226">
        <f>Tabela2[[#This Row],[GWO]]+Tabela2[[#This Row],[GWD]]</f>
        <v>3</v>
      </c>
      <c r="S127" s="222">
        <f>SUM(Tabela2[[#This Row],[G]:[GWD]])</f>
        <v>10</v>
      </c>
    </row>
    <row r="128" spans="1:19">
      <c r="A128" s="225">
        <v>66</v>
      </c>
      <c r="B128" s="188" t="s">
        <v>696</v>
      </c>
      <c r="C128" s="188" t="s">
        <v>695</v>
      </c>
      <c r="D128" s="188">
        <v>3</v>
      </c>
      <c r="E128" s="188" t="s">
        <v>18</v>
      </c>
      <c r="F128" s="188">
        <v>1</v>
      </c>
      <c r="G128" s="188">
        <v>1</v>
      </c>
      <c r="H128" s="188">
        <v>1</v>
      </c>
      <c r="I128" s="188">
        <v>1</v>
      </c>
      <c r="J128" s="188">
        <v>1</v>
      </c>
      <c r="K128" s="188">
        <v>1</v>
      </c>
      <c r="L128" s="188">
        <v>1</v>
      </c>
      <c r="M128" s="188">
        <v>1</v>
      </c>
      <c r="N128" s="183"/>
      <c r="O128" s="183"/>
      <c r="P128" s="222">
        <f>SUM(Tabela2[[#This Row],[G]]+Tabela2[[#This Row],[D]]+Tabela2[[#This Row],[N]]+Tabela2[[#This Row],[HM]])</f>
        <v>4</v>
      </c>
      <c r="Q128" s="222">
        <f>SUM(Tabela2[[#This Row],[AO]]+Tabela2[[#This Row],[AD]]+Tabela2[[#This Row],[GWO]]+Tabela2[[#This Row],[GWD]])</f>
        <v>4</v>
      </c>
      <c r="R128" s="222">
        <f>Tabela2[[#This Row],[GWO]]+Tabela2[[#This Row],[GWD]]</f>
        <v>2</v>
      </c>
      <c r="S128" s="222">
        <f>SUM(Tabela2[[#This Row],[G]:[GWD]])</f>
        <v>8</v>
      </c>
    </row>
    <row r="129" spans="1:19">
      <c r="A129" s="225">
        <v>67</v>
      </c>
      <c r="B129" s="188" t="s">
        <v>694</v>
      </c>
      <c r="C129" s="188" t="s">
        <v>693</v>
      </c>
      <c r="D129" s="188">
        <v>3</v>
      </c>
      <c r="E129" s="188" t="s">
        <v>18</v>
      </c>
      <c r="F129" s="188">
        <v>1</v>
      </c>
      <c r="G129" s="188">
        <v>1</v>
      </c>
      <c r="H129" s="188">
        <v>1</v>
      </c>
      <c r="I129" s="188">
        <v>1</v>
      </c>
      <c r="J129" s="188">
        <v>1</v>
      </c>
      <c r="K129" s="188">
        <v>1</v>
      </c>
      <c r="L129" s="188">
        <v>1</v>
      </c>
      <c r="M129" s="188">
        <v>1</v>
      </c>
      <c r="N129" s="188" t="s">
        <v>460</v>
      </c>
      <c r="O129" s="188"/>
      <c r="P129" s="226">
        <f>SUM(Tabela2[[#This Row],[G]]+Tabela2[[#This Row],[D]]+Tabela2[[#This Row],[N]]+Tabela2[[#This Row],[HM]])</f>
        <v>4</v>
      </c>
      <c r="Q129" s="226">
        <f>SUM(Tabela2[[#This Row],[AO]]+Tabela2[[#This Row],[AD]]+Tabela2[[#This Row],[GWO]]+Tabela2[[#This Row],[GWD]])</f>
        <v>4</v>
      </c>
      <c r="R129" s="226">
        <f>Tabela2[[#This Row],[GWO]]+Tabela2[[#This Row],[GWD]]</f>
        <v>2</v>
      </c>
      <c r="S129" s="222">
        <f>SUM(Tabela2[[#This Row],[G]:[GWD]])</f>
        <v>8</v>
      </c>
    </row>
    <row r="130" spans="1:19" ht="30">
      <c r="A130" s="225">
        <v>68</v>
      </c>
      <c r="B130" s="188" t="s">
        <v>692</v>
      </c>
      <c r="C130" s="188" t="s">
        <v>549</v>
      </c>
      <c r="D130" s="188">
        <v>3</v>
      </c>
      <c r="E130" s="188" t="s">
        <v>18</v>
      </c>
      <c r="F130" s="188">
        <v>1</v>
      </c>
      <c r="G130" s="188">
        <v>1</v>
      </c>
      <c r="H130" s="188">
        <v>1</v>
      </c>
      <c r="I130" s="188">
        <v>1</v>
      </c>
      <c r="J130" s="188">
        <v>1</v>
      </c>
      <c r="K130" s="188">
        <v>1</v>
      </c>
      <c r="L130" s="188">
        <v>1</v>
      </c>
      <c r="M130" s="188">
        <v>1</v>
      </c>
      <c r="N130" s="183"/>
      <c r="O130" s="183"/>
      <c r="P130" s="222">
        <f>SUM(Tabela2[[#This Row],[G]]+Tabela2[[#This Row],[D]]+Tabela2[[#This Row],[N]]+Tabela2[[#This Row],[HM]])</f>
        <v>4</v>
      </c>
      <c r="Q130" s="222">
        <f>SUM(Tabela2[[#This Row],[AO]]+Tabela2[[#This Row],[AD]]+Tabela2[[#This Row],[GWO]]+Tabela2[[#This Row],[GWD]])</f>
        <v>4</v>
      </c>
      <c r="R130" s="222">
        <f>Tabela2[[#This Row],[GWO]]+Tabela2[[#This Row],[GWD]]</f>
        <v>2</v>
      </c>
      <c r="S130" s="222">
        <f>SUM(Tabela2[[#This Row],[G]:[GWD]])</f>
        <v>8</v>
      </c>
    </row>
    <row r="131" spans="1:19" ht="30">
      <c r="A131" s="225">
        <v>69</v>
      </c>
      <c r="B131" s="188" t="s">
        <v>691</v>
      </c>
      <c r="C131" s="188" t="s">
        <v>547</v>
      </c>
      <c r="D131" s="188">
        <v>3</v>
      </c>
      <c r="E131" s="188" t="s">
        <v>18</v>
      </c>
      <c r="F131" s="188">
        <v>1</v>
      </c>
      <c r="G131" s="188">
        <v>1</v>
      </c>
      <c r="H131" s="188">
        <v>1</v>
      </c>
      <c r="I131" s="188">
        <v>1</v>
      </c>
      <c r="J131" s="188">
        <v>1</v>
      </c>
      <c r="K131" s="188">
        <v>1</v>
      </c>
      <c r="L131" s="188">
        <v>1</v>
      </c>
      <c r="M131" s="188">
        <v>1</v>
      </c>
      <c r="N131" s="188" t="s">
        <v>460</v>
      </c>
      <c r="O131" s="188"/>
      <c r="P131" s="226">
        <f>SUM(Tabela2[[#This Row],[G]]+Tabela2[[#This Row],[D]]+Tabela2[[#This Row],[N]]+Tabela2[[#This Row],[HM]])</f>
        <v>4</v>
      </c>
      <c r="Q131" s="226">
        <f>SUM(Tabela2[[#This Row],[AO]]+Tabela2[[#This Row],[AD]]+Tabela2[[#This Row],[GWO]]+Tabela2[[#This Row],[GWD]])</f>
        <v>4</v>
      </c>
      <c r="R131" s="226">
        <f>Tabela2[[#This Row],[GWO]]+Tabela2[[#This Row],[GWD]]</f>
        <v>2</v>
      </c>
      <c r="S131" s="222">
        <f>SUM(Tabela2[[#This Row],[G]:[GWD]])</f>
        <v>8</v>
      </c>
    </row>
    <row r="132" spans="1:19" ht="30">
      <c r="A132" s="225">
        <v>70</v>
      </c>
      <c r="B132" s="188" t="s">
        <v>690</v>
      </c>
      <c r="C132" s="188" t="s">
        <v>545</v>
      </c>
      <c r="D132" s="188">
        <v>3</v>
      </c>
      <c r="E132" s="188" t="s">
        <v>18</v>
      </c>
      <c r="F132" s="188">
        <v>1</v>
      </c>
      <c r="G132" s="188">
        <v>1</v>
      </c>
      <c r="H132" s="188">
        <v>1</v>
      </c>
      <c r="I132" s="188">
        <v>1</v>
      </c>
      <c r="J132" s="188">
        <v>1</v>
      </c>
      <c r="K132" s="188">
        <v>1</v>
      </c>
      <c r="L132" s="188">
        <v>1</v>
      </c>
      <c r="M132" s="188">
        <v>1</v>
      </c>
      <c r="N132" s="183"/>
      <c r="O132" s="183"/>
      <c r="P132" s="222">
        <f>SUM(Tabela2[[#This Row],[G]]+Tabela2[[#This Row],[D]]+Tabela2[[#This Row],[N]]+Tabela2[[#This Row],[HM]])</f>
        <v>4</v>
      </c>
      <c r="Q132" s="222">
        <f>SUM(Tabela2[[#This Row],[AO]]+Tabela2[[#This Row],[AD]]+Tabela2[[#This Row],[GWO]]+Tabela2[[#This Row],[GWD]])</f>
        <v>4</v>
      </c>
      <c r="R132" s="222">
        <f>Tabela2[[#This Row],[GWO]]+Tabela2[[#This Row],[GWD]]</f>
        <v>2</v>
      </c>
      <c r="S132" s="222">
        <f>SUM(Tabela2[[#This Row],[G]:[GWD]])</f>
        <v>8</v>
      </c>
    </row>
    <row r="133" spans="1:19" ht="30">
      <c r="A133" s="225">
        <v>71</v>
      </c>
      <c r="B133" s="188" t="s">
        <v>689</v>
      </c>
      <c r="C133" s="188" t="s">
        <v>543</v>
      </c>
      <c r="D133" s="188">
        <v>3</v>
      </c>
      <c r="E133" s="188" t="s">
        <v>18</v>
      </c>
      <c r="F133" s="188">
        <v>1</v>
      </c>
      <c r="G133" s="188">
        <v>1</v>
      </c>
      <c r="H133" s="188">
        <v>1</v>
      </c>
      <c r="I133" s="188">
        <v>1</v>
      </c>
      <c r="J133" s="188">
        <v>1</v>
      </c>
      <c r="K133" s="188">
        <v>1</v>
      </c>
      <c r="L133" s="188">
        <v>1</v>
      </c>
      <c r="M133" s="188">
        <v>1</v>
      </c>
      <c r="N133" s="183"/>
      <c r="O133" s="183"/>
      <c r="P133" s="222">
        <f>SUM(Tabela2[[#This Row],[G]]+Tabela2[[#This Row],[D]]+Tabela2[[#This Row],[N]]+Tabela2[[#This Row],[HM]])</f>
        <v>4</v>
      </c>
      <c r="Q133" s="222">
        <f>SUM(Tabela2[[#This Row],[AO]]+Tabela2[[#This Row],[AD]]+Tabela2[[#This Row],[GWO]]+Tabela2[[#This Row],[GWD]])</f>
        <v>4</v>
      </c>
      <c r="R133" s="222">
        <f>Tabela2[[#This Row],[GWO]]+Tabela2[[#This Row],[GWD]]</f>
        <v>2</v>
      </c>
      <c r="S133" s="222">
        <f>SUM(Tabela2[[#This Row],[G]:[GWD]])</f>
        <v>8</v>
      </c>
    </row>
    <row r="134" spans="1:19" ht="30">
      <c r="A134" s="225">
        <v>72</v>
      </c>
      <c r="B134" s="188" t="s">
        <v>688</v>
      </c>
      <c r="C134" s="188" t="s">
        <v>541</v>
      </c>
      <c r="D134" s="188">
        <v>3</v>
      </c>
      <c r="E134" s="188" t="s">
        <v>18</v>
      </c>
      <c r="F134" s="188">
        <v>1</v>
      </c>
      <c r="G134" s="188">
        <v>1</v>
      </c>
      <c r="H134" s="188">
        <v>1</v>
      </c>
      <c r="I134" s="188">
        <v>1</v>
      </c>
      <c r="J134" s="188">
        <v>1</v>
      </c>
      <c r="K134" s="188">
        <v>1</v>
      </c>
      <c r="L134" s="188">
        <v>1</v>
      </c>
      <c r="M134" s="188">
        <v>1</v>
      </c>
      <c r="N134" s="183"/>
      <c r="O134" s="183"/>
      <c r="P134" s="222">
        <f>SUM(Tabela2[[#This Row],[G]]+Tabela2[[#This Row],[D]]+Tabela2[[#This Row],[N]]+Tabela2[[#This Row],[HM]])</f>
        <v>4</v>
      </c>
      <c r="Q134" s="222">
        <f>SUM(Tabela2[[#This Row],[AO]]+Tabela2[[#This Row],[AD]]+Tabela2[[#This Row],[GWO]]+Tabela2[[#This Row],[GWD]])</f>
        <v>4</v>
      </c>
      <c r="R134" s="222">
        <f>Tabela2[[#This Row],[GWO]]+Tabela2[[#This Row],[GWD]]</f>
        <v>2</v>
      </c>
      <c r="S134" s="222">
        <f>SUM(Tabela2[[#This Row],[G]:[GWD]])</f>
        <v>8</v>
      </c>
    </row>
    <row r="135" spans="1:19" ht="30">
      <c r="A135" s="225">
        <v>73</v>
      </c>
      <c r="B135" s="188" t="s">
        <v>687</v>
      </c>
      <c r="C135" s="188" t="s">
        <v>686</v>
      </c>
      <c r="D135" s="188">
        <v>3</v>
      </c>
      <c r="E135" s="188" t="s">
        <v>18</v>
      </c>
      <c r="F135" s="188">
        <v>1</v>
      </c>
      <c r="G135" s="188">
        <v>1</v>
      </c>
      <c r="H135" s="188">
        <v>1</v>
      </c>
      <c r="I135" s="188">
        <v>1</v>
      </c>
      <c r="J135" s="188">
        <v>1</v>
      </c>
      <c r="K135" s="188">
        <v>1</v>
      </c>
      <c r="L135" s="188">
        <v>1</v>
      </c>
      <c r="M135" s="188">
        <v>1</v>
      </c>
      <c r="N135" s="188" t="s">
        <v>460</v>
      </c>
      <c r="O135" s="188"/>
      <c r="P135" s="226">
        <f>SUM(Tabela2[[#This Row],[G]]+Tabela2[[#This Row],[D]]+Tabela2[[#This Row],[N]]+Tabela2[[#This Row],[HM]])</f>
        <v>4</v>
      </c>
      <c r="Q135" s="226">
        <f>SUM(Tabela2[[#This Row],[AO]]+Tabela2[[#This Row],[AD]]+Tabela2[[#This Row],[GWO]]+Tabela2[[#This Row],[GWD]])</f>
        <v>4</v>
      </c>
      <c r="R135" s="226">
        <f>Tabela2[[#This Row],[GWO]]+Tabela2[[#This Row],[GWD]]</f>
        <v>2</v>
      </c>
      <c r="S135" s="222">
        <f>SUM(Tabela2[[#This Row],[G]:[GWD]])</f>
        <v>8</v>
      </c>
    </row>
    <row r="136" spans="1:19">
      <c r="A136" s="225">
        <v>74</v>
      </c>
      <c r="B136" s="188" t="s">
        <v>685</v>
      </c>
      <c r="C136" s="188" t="s">
        <v>299</v>
      </c>
      <c r="D136" s="188">
        <v>3</v>
      </c>
      <c r="E136" s="188" t="s">
        <v>18</v>
      </c>
      <c r="F136" s="188">
        <v>1</v>
      </c>
      <c r="G136" s="188">
        <v>1</v>
      </c>
      <c r="H136" s="188">
        <v>1</v>
      </c>
      <c r="I136" s="188">
        <v>3</v>
      </c>
      <c r="J136" s="188">
        <v>3</v>
      </c>
      <c r="K136" s="188">
        <v>1</v>
      </c>
      <c r="L136" s="188">
        <v>2</v>
      </c>
      <c r="M136" s="188">
        <v>1</v>
      </c>
      <c r="N136" s="188" t="s">
        <v>460</v>
      </c>
      <c r="O136" s="188"/>
      <c r="P136" s="226">
        <f>SUM(Tabela2[[#This Row],[G]]+Tabela2[[#This Row],[D]]+Tabela2[[#This Row],[N]]+Tabela2[[#This Row],[HM]])</f>
        <v>4</v>
      </c>
      <c r="Q136" s="226">
        <f>SUM(Tabela2[[#This Row],[AO]]+Tabela2[[#This Row],[AD]]+Tabela2[[#This Row],[GWO]]+Tabela2[[#This Row],[GWD]])</f>
        <v>9</v>
      </c>
      <c r="R136" s="226">
        <f>Tabela2[[#This Row],[GWO]]+Tabela2[[#This Row],[GWD]]</f>
        <v>3</v>
      </c>
      <c r="S136" s="222">
        <f>SUM(Tabela2[[#This Row],[G]:[GWD]])</f>
        <v>13</v>
      </c>
    </row>
    <row r="137" spans="1:19">
      <c r="A137" s="225">
        <v>75</v>
      </c>
      <c r="B137" s="188" t="s">
        <v>684</v>
      </c>
      <c r="C137" s="188" t="s">
        <v>391</v>
      </c>
      <c r="D137" s="188">
        <v>3</v>
      </c>
      <c r="E137" s="188" t="s">
        <v>18</v>
      </c>
      <c r="F137" s="188">
        <v>1</v>
      </c>
      <c r="G137" s="188">
        <v>1</v>
      </c>
      <c r="H137" s="188">
        <v>1</v>
      </c>
      <c r="I137" s="188">
        <v>1</v>
      </c>
      <c r="J137" s="188">
        <v>1</v>
      </c>
      <c r="K137" s="188">
        <v>1</v>
      </c>
      <c r="L137" s="188">
        <v>1</v>
      </c>
      <c r="M137" s="188">
        <v>1</v>
      </c>
      <c r="N137" s="183"/>
      <c r="O137" s="183"/>
      <c r="P137" s="222">
        <f>SUM(Tabela2[[#This Row],[G]]+Tabela2[[#This Row],[D]]+Tabela2[[#This Row],[N]]+Tabela2[[#This Row],[HM]])</f>
        <v>4</v>
      </c>
      <c r="Q137" s="222">
        <f>SUM(Tabela2[[#This Row],[AO]]+Tabela2[[#This Row],[AD]]+Tabela2[[#This Row],[GWO]]+Tabela2[[#This Row],[GWD]])</f>
        <v>4</v>
      </c>
      <c r="R137" s="222">
        <f>Tabela2[[#This Row],[GWO]]+Tabela2[[#This Row],[GWD]]</f>
        <v>2</v>
      </c>
      <c r="S137" s="222">
        <f>SUM(Tabela2[[#This Row],[G]:[GWD]])</f>
        <v>8</v>
      </c>
    </row>
    <row r="138" spans="1:19">
      <c r="A138" s="225">
        <v>76</v>
      </c>
      <c r="B138" s="188" t="s">
        <v>683</v>
      </c>
      <c r="C138" s="188" t="s">
        <v>282</v>
      </c>
      <c r="D138" s="188">
        <v>3</v>
      </c>
      <c r="E138" s="188" t="s">
        <v>18</v>
      </c>
      <c r="F138" s="188">
        <v>1</v>
      </c>
      <c r="G138" s="188">
        <v>1</v>
      </c>
      <c r="H138" s="188">
        <v>1</v>
      </c>
      <c r="I138" s="188">
        <v>2</v>
      </c>
      <c r="J138" s="188">
        <v>2</v>
      </c>
      <c r="K138" s="188">
        <v>1</v>
      </c>
      <c r="L138" s="188">
        <v>1</v>
      </c>
      <c r="M138" s="188">
        <v>1</v>
      </c>
      <c r="N138" s="183"/>
      <c r="O138" s="183"/>
      <c r="P138" s="222">
        <f>SUM(Tabela2[[#This Row],[G]]+Tabela2[[#This Row],[D]]+Tabela2[[#This Row],[N]]+Tabela2[[#This Row],[HM]])</f>
        <v>4</v>
      </c>
      <c r="Q138" s="222">
        <f>SUM(Tabela2[[#This Row],[AO]]+Tabela2[[#This Row],[AD]]+Tabela2[[#This Row],[GWO]]+Tabela2[[#This Row],[GWD]])</f>
        <v>6</v>
      </c>
      <c r="R138" s="222">
        <f>Tabela2[[#This Row],[GWO]]+Tabela2[[#This Row],[GWD]]</f>
        <v>2</v>
      </c>
      <c r="S138" s="222">
        <f>SUM(Tabela2[[#This Row],[G]:[GWD]])</f>
        <v>10</v>
      </c>
    </row>
    <row r="139" spans="1:19">
      <c r="A139" s="225">
        <v>77</v>
      </c>
      <c r="B139" s="188" t="s">
        <v>682</v>
      </c>
      <c r="C139" s="188" t="s">
        <v>536</v>
      </c>
      <c r="D139" s="188">
        <v>3</v>
      </c>
      <c r="E139" s="188" t="s">
        <v>18</v>
      </c>
      <c r="F139" s="188">
        <v>1</v>
      </c>
      <c r="G139" s="188">
        <v>1</v>
      </c>
      <c r="H139" s="188">
        <v>1</v>
      </c>
      <c r="I139" s="188">
        <v>1</v>
      </c>
      <c r="J139" s="188">
        <v>1</v>
      </c>
      <c r="K139" s="188">
        <v>1</v>
      </c>
      <c r="L139" s="188">
        <v>1</v>
      </c>
      <c r="M139" s="188">
        <v>1</v>
      </c>
      <c r="N139" s="188" t="s">
        <v>460</v>
      </c>
      <c r="O139" s="188"/>
      <c r="P139" s="226">
        <f>SUM(Tabela2[[#This Row],[G]]+Tabela2[[#This Row],[D]]+Tabela2[[#This Row],[N]]+Tabela2[[#This Row],[HM]])</f>
        <v>4</v>
      </c>
      <c r="Q139" s="226">
        <f>SUM(Tabela2[[#This Row],[AO]]+Tabela2[[#This Row],[AD]]+Tabela2[[#This Row],[GWO]]+Tabela2[[#This Row],[GWD]])</f>
        <v>4</v>
      </c>
      <c r="R139" s="226">
        <f>Tabela2[[#This Row],[GWO]]+Tabela2[[#This Row],[GWD]]</f>
        <v>2</v>
      </c>
      <c r="S139" s="222">
        <f>SUM(Tabela2[[#This Row],[G]:[GWD]])</f>
        <v>8</v>
      </c>
    </row>
    <row r="140" spans="1:19" ht="30">
      <c r="A140" s="225">
        <v>80</v>
      </c>
      <c r="B140" s="187" t="s">
        <v>679</v>
      </c>
      <c r="C140" s="187" t="s">
        <v>587</v>
      </c>
      <c r="D140" s="187">
        <v>3</v>
      </c>
      <c r="E140" s="187" t="s">
        <v>264</v>
      </c>
      <c r="F140" s="187">
        <v>3</v>
      </c>
      <c r="G140" s="187">
        <v>3</v>
      </c>
      <c r="H140" s="187">
        <v>1</v>
      </c>
      <c r="I140" s="187">
        <v>1</v>
      </c>
      <c r="J140" s="187">
        <v>3</v>
      </c>
      <c r="K140" s="187">
        <v>4</v>
      </c>
      <c r="L140" s="187">
        <v>4</v>
      </c>
      <c r="M140" s="187">
        <v>2</v>
      </c>
      <c r="N140" s="183"/>
      <c r="O140" s="183"/>
      <c r="P140" s="222">
        <f>SUM(Tabela2[[#This Row],[G]]+Tabela2[[#This Row],[D]]+Tabela2[[#This Row],[N]]+Tabela2[[#This Row],[HM]])</f>
        <v>11</v>
      </c>
      <c r="Q140" s="222">
        <f>SUM(Tabela2[[#This Row],[AO]]+Tabela2[[#This Row],[AD]]+Tabela2[[#This Row],[GWO]]+Tabela2[[#This Row],[GWD]])</f>
        <v>10</v>
      </c>
      <c r="R140" s="222">
        <f>Tabela2[[#This Row],[GWO]]+Tabela2[[#This Row],[GWD]]</f>
        <v>6</v>
      </c>
      <c r="S140" s="222">
        <f>SUM(Tabela2[[#This Row],[G]:[GWD]])</f>
        <v>21</v>
      </c>
    </row>
    <row r="141" spans="1:19">
      <c r="A141" s="225">
        <v>81</v>
      </c>
      <c r="B141" s="187" t="s">
        <v>678</v>
      </c>
      <c r="C141" s="187" t="s">
        <v>305</v>
      </c>
      <c r="D141" s="187">
        <v>3</v>
      </c>
      <c r="E141" s="187" t="s">
        <v>264</v>
      </c>
      <c r="F141" s="187">
        <v>1</v>
      </c>
      <c r="G141" s="187">
        <v>1</v>
      </c>
      <c r="H141" s="187">
        <v>1</v>
      </c>
      <c r="I141" s="187">
        <v>1</v>
      </c>
      <c r="J141" s="187">
        <v>1</v>
      </c>
      <c r="K141" s="187">
        <v>1</v>
      </c>
      <c r="L141" s="187">
        <v>1</v>
      </c>
      <c r="M141" s="187">
        <v>1</v>
      </c>
      <c r="N141" s="187" t="s">
        <v>460</v>
      </c>
      <c r="O141" s="187"/>
      <c r="P141" s="227">
        <f>SUM(Tabela2[[#This Row],[G]]+Tabela2[[#This Row],[D]]+Tabela2[[#This Row],[N]]+Tabela2[[#This Row],[HM]])</f>
        <v>4</v>
      </c>
      <c r="Q141" s="227">
        <f>SUM(Tabela2[[#This Row],[AO]]+Tabela2[[#This Row],[AD]]+Tabela2[[#This Row],[GWO]]+Tabela2[[#This Row],[GWD]])</f>
        <v>4</v>
      </c>
      <c r="R141" s="227">
        <f>Tabela2[[#This Row],[GWO]]+Tabela2[[#This Row],[GWD]]</f>
        <v>2</v>
      </c>
      <c r="S141" s="222">
        <f>SUM(Tabela2[[#This Row],[G]:[GWD]])</f>
        <v>8</v>
      </c>
    </row>
    <row r="142" spans="1:19" ht="30">
      <c r="A142" s="225">
        <v>83</v>
      </c>
      <c r="B142" s="187" t="s">
        <v>676</v>
      </c>
      <c r="C142" s="187" t="s">
        <v>581</v>
      </c>
      <c r="D142" s="187">
        <v>3</v>
      </c>
      <c r="E142" s="187" t="s">
        <v>264</v>
      </c>
      <c r="F142" s="187">
        <v>1</v>
      </c>
      <c r="G142" s="187">
        <v>3</v>
      </c>
      <c r="H142" s="187">
        <v>1</v>
      </c>
      <c r="I142" s="187">
        <v>1</v>
      </c>
      <c r="J142" s="187">
        <v>1</v>
      </c>
      <c r="K142" s="187">
        <v>1</v>
      </c>
      <c r="L142" s="187">
        <v>1</v>
      </c>
      <c r="M142" s="187">
        <v>1</v>
      </c>
      <c r="N142" s="183"/>
      <c r="O142" s="183"/>
      <c r="P142" s="222">
        <f>SUM(Tabela2[[#This Row],[G]]+Tabela2[[#This Row],[D]]+Tabela2[[#This Row],[N]]+Tabela2[[#This Row],[HM]])</f>
        <v>6</v>
      </c>
      <c r="Q142" s="222">
        <f>SUM(Tabela2[[#This Row],[AO]]+Tabela2[[#This Row],[AD]]+Tabela2[[#This Row],[GWO]]+Tabela2[[#This Row],[GWD]])</f>
        <v>4</v>
      </c>
      <c r="R142" s="222">
        <f>Tabela2[[#This Row],[GWO]]+Tabela2[[#This Row],[GWD]]</f>
        <v>2</v>
      </c>
      <c r="S142" s="222">
        <f>SUM(Tabela2[[#This Row],[G]:[GWD]])</f>
        <v>10</v>
      </c>
    </row>
    <row r="143" spans="1:19" ht="30">
      <c r="A143" s="225">
        <v>85</v>
      </c>
      <c r="B143" s="187" t="s">
        <v>674</v>
      </c>
      <c r="C143" s="187" t="s">
        <v>585</v>
      </c>
      <c r="D143" s="187">
        <v>3</v>
      </c>
      <c r="E143" s="187" t="s">
        <v>264</v>
      </c>
      <c r="F143" s="187">
        <v>1</v>
      </c>
      <c r="G143" s="187">
        <v>1</v>
      </c>
      <c r="H143" s="187">
        <v>1</v>
      </c>
      <c r="I143" s="187">
        <v>2</v>
      </c>
      <c r="J143" s="187">
        <v>1</v>
      </c>
      <c r="K143" s="187">
        <v>1</v>
      </c>
      <c r="L143" s="187">
        <v>2</v>
      </c>
      <c r="M143" s="187">
        <v>1</v>
      </c>
      <c r="N143" s="183"/>
      <c r="O143" s="183"/>
      <c r="P143" s="222">
        <f>SUM(Tabela2[[#This Row],[G]]+Tabela2[[#This Row],[D]]+Tabela2[[#This Row],[N]]+Tabela2[[#This Row],[HM]])</f>
        <v>4</v>
      </c>
      <c r="Q143" s="222">
        <f>SUM(Tabela2[[#This Row],[AO]]+Tabela2[[#This Row],[AD]]+Tabela2[[#This Row],[GWO]]+Tabela2[[#This Row],[GWD]])</f>
        <v>6</v>
      </c>
      <c r="R143" s="222">
        <f>Tabela2[[#This Row],[GWO]]+Tabela2[[#This Row],[GWD]]</f>
        <v>3</v>
      </c>
      <c r="S143" s="222">
        <f>SUM(Tabela2[[#This Row],[G]:[GWD]])</f>
        <v>10</v>
      </c>
    </row>
    <row r="144" spans="1:19" ht="30">
      <c r="A144" s="225">
        <v>86</v>
      </c>
      <c r="B144" s="187" t="s">
        <v>673</v>
      </c>
      <c r="C144" s="187" t="s">
        <v>427</v>
      </c>
      <c r="D144" s="187">
        <v>3</v>
      </c>
      <c r="E144" s="187" t="s">
        <v>264</v>
      </c>
      <c r="F144" s="187">
        <v>1</v>
      </c>
      <c r="G144" s="187">
        <v>1</v>
      </c>
      <c r="H144" s="187">
        <v>1</v>
      </c>
      <c r="I144" s="187">
        <v>1</v>
      </c>
      <c r="J144" s="187">
        <v>3</v>
      </c>
      <c r="K144" s="187">
        <v>1</v>
      </c>
      <c r="L144" s="187">
        <v>1</v>
      </c>
      <c r="M144" s="187">
        <v>1</v>
      </c>
      <c r="N144" s="183"/>
      <c r="O144" s="183"/>
      <c r="P144" s="222">
        <f>SUM(Tabela2[[#This Row],[G]]+Tabela2[[#This Row],[D]]+Tabela2[[#This Row],[N]]+Tabela2[[#This Row],[HM]])</f>
        <v>4</v>
      </c>
      <c r="Q144" s="222">
        <f>SUM(Tabela2[[#This Row],[AO]]+Tabela2[[#This Row],[AD]]+Tabela2[[#This Row],[GWO]]+Tabela2[[#This Row],[GWD]])</f>
        <v>6</v>
      </c>
      <c r="R144" s="222">
        <f>Tabela2[[#This Row],[GWO]]+Tabela2[[#This Row],[GWD]]</f>
        <v>2</v>
      </c>
      <c r="S144" s="222">
        <f>SUM(Tabela2[[#This Row],[G]:[GWD]])</f>
        <v>10</v>
      </c>
    </row>
    <row r="145" spans="1:19" ht="30">
      <c r="A145" s="225">
        <v>87</v>
      </c>
      <c r="B145" s="187" t="s">
        <v>672</v>
      </c>
      <c r="C145" s="187" t="s">
        <v>578</v>
      </c>
      <c r="D145" s="187">
        <v>3</v>
      </c>
      <c r="E145" s="187" t="s">
        <v>264</v>
      </c>
      <c r="F145" s="187">
        <v>1</v>
      </c>
      <c r="G145" s="187">
        <v>1</v>
      </c>
      <c r="H145" s="187">
        <v>1</v>
      </c>
      <c r="I145" s="187">
        <v>1</v>
      </c>
      <c r="J145" s="187">
        <v>1</v>
      </c>
      <c r="K145" s="187">
        <v>1</v>
      </c>
      <c r="L145" s="187">
        <v>1</v>
      </c>
      <c r="M145" s="187">
        <v>1</v>
      </c>
      <c r="N145" s="183"/>
      <c r="O145" s="183"/>
      <c r="P145" s="222">
        <f>SUM(Tabela2[[#This Row],[G]]+Tabela2[[#This Row],[D]]+Tabela2[[#This Row],[N]]+Tabela2[[#This Row],[HM]])</f>
        <v>4</v>
      </c>
      <c r="Q145" s="222">
        <f>SUM(Tabela2[[#This Row],[AO]]+Tabela2[[#This Row],[AD]]+Tabela2[[#This Row],[GWO]]+Tabela2[[#This Row],[GWD]])</f>
        <v>4</v>
      </c>
      <c r="R145" s="222">
        <f>Tabela2[[#This Row],[GWO]]+Tabela2[[#This Row],[GWD]]</f>
        <v>2</v>
      </c>
      <c r="S145" s="222">
        <f>SUM(Tabela2[[#This Row],[G]:[GWD]])</f>
        <v>8</v>
      </c>
    </row>
    <row r="146" spans="1:19">
      <c r="A146" s="225">
        <v>88</v>
      </c>
      <c r="B146" s="187" t="s">
        <v>671</v>
      </c>
      <c r="C146" s="187" t="s">
        <v>574</v>
      </c>
      <c r="D146" s="187">
        <v>3</v>
      </c>
      <c r="E146" s="187" t="s">
        <v>264</v>
      </c>
      <c r="F146" s="187">
        <v>1</v>
      </c>
      <c r="G146" s="187">
        <v>1</v>
      </c>
      <c r="H146" s="187">
        <v>1</v>
      </c>
      <c r="I146" s="187">
        <v>1</v>
      </c>
      <c r="J146" s="187">
        <v>1</v>
      </c>
      <c r="K146" s="187">
        <v>1</v>
      </c>
      <c r="L146" s="187">
        <v>1</v>
      </c>
      <c r="M146" s="187">
        <v>1</v>
      </c>
      <c r="N146" s="183"/>
      <c r="O146" s="183"/>
      <c r="P146" s="222">
        <f>SUM(Tabela2[[#This Row],[G]]+Tabela2[[#This Row],[D]]+Tabela2[[#This Row],[N]]+Tabela2[[#This Row],[HM]])</f>
        <v>4</v>
      </c>
      <c r="Q146" s="222">
        <f>SUM(Tabela2[[#This Row],[AO]]+Tabela2[[#This Row],[AD]]+Tabela2[[#This Row],[GWO]]+Tabela2[[#This Row],[GWD]])</f>
        <v>4</v>
      </c>
      <c r="R146" s="222">
        <f>Tabela2[[#This Row],[GWO]]+Tabela2[[#This Row],[GWD]]</f>
        <v>2</v>
      </c>
      <c r="S146" s="222">
        <f>SUM(Tabela2[[#This Row],[G]:[GWD]])</f>
        <v>8</v>
      </c>
    </row>
    <row r="147" spans="1:19">
      <c r="A147" s="225">
        <v>89</v>
      </c>
      <c r="B147" s="187" t="s">
        <v>670</v>
      </c>
      <c r="C147" s="187" t="s">
        <v>298</v>
      </c>
      <c r="D147" s="187">
        <v>3</v>
      </c>
      <c r="E147" s="187" t="s">
        <v>264</v>
      </c>
      <c r="F147" s="187">
        <v>1</v>
      </c>
      <c r="G147" s="187">
        <v>1</v>
      </c>
      <c r="H147" s="187">
        <v>1</v>
      </c>
      <c r="I147" s="187">
        <v>1</v>
      </c>
      <c r="J147" s="187">
        <v>2</v>
      </c>
      <c r="K147" s="187">
        <v>1</v>
      </c>
      <c r="L147" s="187">
        <v>1</v>
      </c>
      <c r="M147" s="187">
        <v>1</v>
      </c>
      <c r="N147" s="187" t="s">
        <v>460</v>
      </c>
      <c r="O147" s="187"/>
      <c r="P147" s="227">
        <f>SUM(Tabela2[[#This Row],[G]]+Tabela2[[#This Row],[D]]+Tabela2[[#This Row],[N]]+Tabela2[[#This Row],[HM]])</f>
        <v>4</v>
      </c>
      <c r="Q147" s="227">
        <f>SUM(Tabela2[[#This Row],[AO]]+Tabela2[[#This Row],[AD]]+Tabela2[[#This Row],[GWO]]+Tabela2[[#This Row],[GWD]])</f>
        <v>5</v>
      </c>
      <c r="R147" s="227">
        <f>Tabela2[[#This Row],[GWO]]+Tabela2[[#This Row],[GWD]]</f>
        <v>2</v>
      </c>
      <c r="S147" s="222">
        <f>SUM(Tabela2[[#This Row],[G]:[GWD]])</f>
        <v>9</v>
      </c>
    </row>
    <row r="148" spans="1:19">
      <c r="A148" s="225">
        <v>90</v>
      </c>
      <c r="B148" s="187" t="s">
        <v>669</v>
      </c>
      <c r="C148" s="187" t="s">
        <v>567</v>
      </c>
      <c r="D148" s="187">
        <v>3</v>
      </c>
      <c r="E148" s="187" t="s">
        <v>264</v>
      </c>
      <c r="F148" s="187">
        <v>1</v>
      </c>
      <c r="G148" s="187">
        <v>1</v>
      </c>
      <c r="H148" s="187">
        <v>1</v>
      </c>
      <c r="I148" s="187">
        <v>1</v>
      </c>
      <c r="J148" s="187">
        <v>1</v>
      </c>
      <c r="K148" s="187">
        <v>1</v>
      </c>
      <c r="L148" s="187">
        <v>1</v>
      </c>
      <c r="M148" s="187">
        <v>1</v>
      </c>
      <c r="N148" s="187" t="s">
        <v>460</v>
      </c>
      <c r="O148" s="187"/>
      <c r="P148" s="227">
        <f>SUM(Tabela2[[#This Row],[G]]+Tabela2[[#This Row],[D]]+Tabela2[[#This Row],[N]]+Tabela2[[#This Row],[HM]])</f>
        <v>4</v>
      </c>
      <c r="Q148" s="227">
        <f>SUM(Tabela2[[#This Row],[AO]]+Tabela2[[#This Row],[AD]]+Tabela2[[#This Row],[GWO]]+Tabela2[[#This Row],[GWD]])</f>
        <v>4</v>
      </c>
      <c r="R148" s="227">
        <f>Tabela2[[#This Row],[GWO]]+Tabela2[[#This Row],[GWD]]</f>
        <v>2</v>
      </c>
      <c r="S148" s="222">
        <f>SUM(Tabela2[[#This Row],[G]:[GWD]])</f>
        <v>8</v>
      </c>
    </row>
    <row r="149" spans="1:19" ht="30">
      <c r="A149" s="225">
        <v>91</v>
      </c>
      <c r="B149" s="187" t="s">
        <v>668</v>
      </c>
      <c r="C149" s="187" t="s">
        <v>565</v>
      </c>
      <c r="D149" s="187">
        <v>3</v>
      </c>
      <c r="E149" s="187" t="s">
        <v>264</v>
      </c>
      <c r="F149" s="187">
        <v>2</v>
      </c>
      <c r="G149" s="187">
        <v>2</v>
      </c>
      <c r="H149" s="187">
        <v>1</v>
      </c>
      <c r="I149" s="187">
        <v>1</v>
      </c>
      <c r="J149" s="187">
        <v>1</v>
      </c>
      <c r="K149" s="187">
        <v>5</v>
      </c>
      <c r="L149" s="187">
        <v>1</v>
      </c>
      <c r="M149" s="187">
        <v>1</v>
      </c>
      <c r="N149" s="187" t="s">
        <v>460</v>
      </c>
      <c r="O149" s="187" t="s">
        <v>207</v>
      </c>
      <c r="P149" s="227">
        <f>SUM(Tabela2[[#This Row],[G]]+Tabela2[[#This Row],[D]]+Tabela2[[#This Row],[N]]+Tabela2[[#This Row],[HM]])</f>
        <v>10</v>
      </c>
      <c r="Q149" s="227">
        <f>SUM(Tabela2[[#This Row],[AO]]+Tabela2[[#This Row],[AD]]+Tabela2[[#This Row],[GWO]]+Tabela2[[#This Row],[GWD]])</f>
        <v>4</v>
      </c>
      <c r="R149" s="227">
        <f>Tabela2[[#This Row],[GWO]]+Tabela2[[#This Row],[GWD]]</f>
        <v>2</v>
      </c>
      <c r="S149" s="222">
        <f>SUM(Tabela2[[#This Row],[G]:[GWD]])</f>
        <v>14</v>
      </c>
    </row>
    <row r="150" spans="1:19">
      <c r="A150" s="225">
        <v>92</v>
      </c>
      <c r="B150" s="187" t="s">
        <v>667</v>
      </c>
      <c r="C150" s="187" t="s">
        <v>561</v>
      </c>
      <c r="D150" s="187">
        <v>3</v>
      </c>
      <c r="E150" s="187" t="s">
        <v>264</v>
      </c>
      <c r="F150" s="187">
        <v>1</v>
      </c>
      <c r="G150" s="187">
        <v>1</v>
      </c>
      <c r="H150" s="187">
        <v>1</v>
      </c>
      <c r="I150" s="187">
        <v>1</v>
      </c>
      <c r="J150" s="187">
        <v>1</v>
      </c>
      <c r="K150" s="187">
        <v>1</v>
      </c>
      <c r="L150" s="187">
        <v>1</v>
      </c>
      <c r="M150" s="187">
        <v>1</v>
      </c>
      <c r="N150" s="187" t="s">
        <v>460</v>
      </c>
      <c r="O150" s="187"/>
      <c r="P150" s="227">
        <f>SUM(Tabela2[[#This Row],[G]]+Tabela2[[#This Row],[D]]+Tabela2[[#This Row],[N]]+Tabela2[[#This Row],[HM]])</f>
        <v>4</v>
      </c>
      <c r="Q150" s="227">
        <f>SUM(Tabela2[[#This Row],[AO]]+Tabela2[[#This Row],[AD]]+Tabela2[[#This Row],[GWO]]+Tabela2[[#This Row],[GWD]])</f>
        <v>4</v>
      </c>
      <c r="R150" s="227">
        <f>Tabela2[[#This Row],[GWO]]+Tabela2[[#This Row],[GWD]]</f>
        <v>2</v>
      </c>
      <c r="S150" s="222">
        <f>SUM(Tabela2[[#This Row],[G]:[GWD]])</f>
        <v>8</v>
      </c>
    </row>
    <row r="151" spans="1:19" ht="30">
      <c r="A151" s="225">
        <v>93</v>
      </c>
      <c r="B151" s="187" t="s">
        <v>666</v>
      </c>
      <c r="C151" s="187" t="s">
        <v>559</v>
      </c>
      <c r="D151" s="187">
        <v>3</v>
      </c>
      <c r="E151" s="187" t="s">
        <v>264</v>
      </c>
      <c r="F151" s="187">
        <v>1</v>
      </c>
      <c r="G151" s="187">
        <v>1</v>
      </c>
      <c r="H151" s="187">
        <v>1</v>
      </c>
      <c r="I151" s="187">
        <v>2</v>
      </c>
      <c r="J151" s="187">
        <v>1</v>
      </c>
      <c r="K151" s="187">
        <v>1</v>
      </c>
      <c r="L151" s="187">
        <v>2</v>
      </c>
      <c r="M151" s="187">
        <v>1</v>
      </c>
      <c r="N151" s="183"/>
      <c r="O151" s="183"/>
      <c r="P151" s="222">
        <f>SUM(Tabela2[[#This Row],[G]]+Tabela2[[#This Row],[D]]+Tabela2[[#This Row],[N]]+Tabela2[[#This Row],[HM]])</f>
        <v>4</v>
      </c>
      <c r="Q151" s="222">
        <f>SUM(Tabela2[[#This Row],[AO]]+Tabela2[[#This Row],[AD]]+Tabela2[[#This Row],[GWO]]+Tabela2[[#This Row],[GWD]])</f>
        <v>6</v>
      </c>
      <c r="R151" s="222">
        <f>Tabela2[[#This Row],[GWO]]+Tabela2[[#This Row],[GWD]]</f>
        <v>3</v>
      </c>
      <c r="S151" s="222">
        <f>SUM(Tabela2[[#This Row],[G]:[GWD]])</f>
        <v>10</v>
      </c>
    </row>
    <row r="152" spans="1:19" ht="30">
      <c r="A152" s="225">
        <v>94</v>
      </c>
      <c r="B152" s="187" t="s">
        <v>665</v>
      </c>
      <c r="C152" s="187" t="s">
        <v>557</v>
      </c>
      <c r="D152" s="187">
        <v>3</v>
      </c>
      <c r="E152" s="187" t="s">
        <v>264</v>
      </c>
      <c r="F152" s="187">
        <v>1</v>
      </c>
      <c r="G152" s="187">
        <v>1</v>
      </c>
      <c r="H152" s="187">
        <v>1</v>
      </c>
      <c r="I152" s="187">
        <v>1</v>
      </c>
      <c r="J152" s="187">
        <v>1</v>
      </c>
      <c r="K152" s="187">
        <v>1</v>
      </c>
      <c r="L152" s="187">
        <v>1</v>
      </c>
      <c r="M152" s="187">
        <v>1</v>
      </c>
      <c r="N152" s="183"/>
      <c r="O152" s="183"/>
      <c r="P152" s="222">
        <f>SUM(Tabela2[[#This Row],[G]]+Tabela2[[#This Row],[D]]+Tabela2[[#This Row],[N]]+Tabela2[[#This Row],[HM]])</f>
        <v>4</v>
      </c>
      <c r="Q152" s="222">
        <f>SUM(Tabela2[[#This Row],[AO]]+Tabela2[[#This Row],[AD]]+Tabela2[[#This Row],[GWO]]+Tabela2[[#This Row],[GWD]])</f>
        <v>4</v>
      </c>
      <c r="R152" s="222">
        <f>Tabela2[[#This Row],[GWO]]+Tabela2[[#This Row],[GWD]]</f>
        <v>2</v>
      </c>
      <c r="S152" s="222">
        <f>SUM(Tabela2[[#This Row],[G]:[GWD]])</f>
        <v>8</v>
      </c>
    </row>
    <row r="153" spans="1:19">
      <c r="A153" s="225">
        <v>95</v>
      </c>
      <c r="B153" s="187" t="s">
        <v>664</v>
      </c>
      <c r="C153" s="187" t="s">
        <v>555</v>
      </c>
      <c r="D153" s="187">
        <v>3</v>
      </c>
      <c r="E153" s="187" t="s">
        <v>264</v>
      </c>
      <c r="F153" s="187">
        <v>1</v>
      </c>
      <c r="G153" s="187">
        <v>1</v>
      </c>
      <c r="H153" s="187">
        <v>1</v>
      </c>
      <c r="I153" s="187">
        <v>1</v>
      </c>
      <c r="J153" s="187">
        <v>1</v>
      </c>
      <c r="K153" s="187">
        <v>1</v>
      </c>
      <c r="L153" s="187">
        <v>1</v>
      </c>
      <c r="M153" s="187">
        <v>1</v>
      </c>
      <c r="N153" s="183"/>
      <c r="O153" s="183"/>
      <c r="P153" s="222">
        <f>SUM(Tabela2[[#This Row],[G]]+Tabela2[[#This Row],[D]]+Tabela2[[#This Row],[N]]+Tabela2[[#This Row],[HM]])</f>
        <v>4</v>
      </c>
      <c r="Q153" s="222">
        <f>SUM(Tabela2[[#This Row],[AO]]+Tabela2[[#This Row],[AD]]+Tabela2[[#This Row],[GWO]]+Tabela2[[#This Row],[GWD]])</f>
        <v>4</v>
      </c>
      <c r="R153" s="222">
        <f>Tabela2[[#This Row],[GWO]]+Tabela2[[#This Row],[GWD]]</f>
        <v>2</v>
      </c>
      <c r="S153" s="222">
        <f>SUM(Tabela2[[#This Row],[G]:[GWD]])</f>
        <v>8</v>
      </c>
    </row>
    <row r="154" spans="1:19">
      <c r="A154" s="225">
        <v>96</v>
      </c>
      <c r="B154" s="187" t="s">
        <v>663</v>
      </c>
      <c r="C154" s="187" t="s">
        <v>373</v>
      </c>
      <c r="D154" s="187">
        <v>3</v>
      </c>
      <c r="E154" s="187" t="s">
        <v>264</v>
      </c>
      <c r="F154" s="187">
        <v>1</v>
      </c>
      <c r="G154" s="187">
        <v>1</v>
      </c>
      <c r="H154" s="187">
        <v>1</v>
      </c>
      <c r="I154" s="187">
        <v>1</v>
      </c>
      <c r="J154" s="187">
        <v>1</v>
      </c>
      <c r="K154" s="187">
        <v>1</v>
      </c>
      <c r="L154" s="187">
        <v>1</v>
      </c>
      <c r="M154" s="187">
        <v>1</v>
      </c>
      <c r="N154" s="187" t="s">
        <v>460</v>
      </c>
      <c r="O154" s="187"/>
      <c r="P154" s="227">
        <f>SUM(Tabela2[[#This Row],[G]]+Tabela2[[#This Row],[D]]+Tabela2[[#This Row],[N]]+Tabela2[[#This Row],[HM]])</f>
        <v>4</v>
      </c>
      <c r="Q154" s="227">
        <f>SUM(Tabela2[[#This Row],[AO]]+Tabela2[[#This Row],[AD]]+Tabela2[[#This Row],[GWO]]+Tabela2[[#This Row],[GWD]])</f>
        <v>4</v>
      </c>
      <c r="R154" s="227">
        <f>Tabela2[[#This Row],[GWO]]+Tabela2[[#This Row],[GWD]]</f>
        <v>2</v>
      </c>
      <c r="S154" s="222">
        <f>SUM(Tabela2[[#This Row],[G]:[GWD]])</f>
        <v>8</v>
      </c>
    </row>
    <row r="155" spans="1:19" ht="30">
      <c r="A155" s="225">
        <v>97</v>
      </c>
      <c r="B155" s="187" t="s">
        <v>662</v>
      </c>
      <c r="C155" s="187" t="s">
        <v>553</v>
      </c>
      <c r="D155" s="187">
        <v>3</v>
      </c>
      <c r="E155" s="187" t="s">
        <v>264</v>
      </c>
      <c r="F155" s="187">
        <v>1</v>
      </c>
      <c r="G155" s="187">
        <v>1</v>
      </c>
      <c r="H155" s="187">
        <v>1</v>
      </c>
      <c r="I155" s="187">
        <v>1</v>
      </c>
      <c r="J155" s="187">
        <v>1</v>
      </c>
      <c r="K155" s="187">
        <v>1</v>
      </c>
      <c r="L155" s="187">
        <v>1</v>
      </c>
      <c r="M155" s="187">
        <v>1</v>
      </c>
      <c r="N155" s="183"/>
      <c r="O155" s="183" t="s">
        <v>798</v>
      </c>
      <c r="P155" s="222">
        <f>SUM(Tabela2[[#This Row],[G]]+Tabela2[[#This Row],[D]]+Tabela2[[#This Row],[N]]+Tabela2[[#This Row],[HM]])</f>
        <v>4</v>
      </c>
      <c r="Q155" s="222">
        <f>SUM(Tabela2[[#This Row],[AO]]+Tabela2[[#This Row],[AD]]+Tabela2[[#This Row],[GWO]]+Tabela2[[#This Row],[GWD]])</f>
        <v>4</v>
      </c>
      <c r="R155" s="222">
        <f>Tabela2[[#This Row],[GWO]]+Tabela2[[#This Row],[GWD]]</f>
        <v>2</v>
      </c>
      <c r="S155" s="222">
        <f>SUM(Tabela2[[#This Row],[G]:[GWD]])</f>
        <v>8</v>
      </c>
    </row>
    <row r="156" spans="1:19">
      <c r="A156" s="225">
        <v>98</v>
      </c>
      <c r="B156" s="187" t="s">
        <v>661</v>
      </c>
      <c r="C156" s="187" t="s">
        <v>551</v>
      </c>
      <c r="D156" s="187">
        <v>3</v>
      </c>
      <c r="E156" s="187" t="s">
        <v>264</v>
      </c>
      <c r="F156" s="187">
        <v>1</v>
      </c>
      <c r="G156" s="187">
        <v>3</v>
      </c>
      <c r="H156" s="187">
        <v>1</v>
      </c>
      <c r="I156" s="187">
        <v>1</v>
      </c>
      <c r="J156" s="187">
        <v>1</v>
      </c>
      <c r="K156" s="187">
        <v>1</v>
      </c>
      <c r="L156" s="187">
        <v>1</v>
      </c>
      <c r="M156" s="187">
        <v>1</v>
      </c>
      <c r="N156" s="183"/>
      <c r="O156" s="183"/>
      <c r="P156" s="222">
        <f>SUM(Tabela2[[#This Row],[G]]+Tabela2[[#This Row],[D]]+Tabela2[[#This Row],[N]]+Tabela2[[#This Row],[HM]])</f>
        <v>6</v>
      </c>
      <c r="Q156" s="222">
        <f>SUM(Tabela2[[#This Row],[AO]]+Tabela2[[#This Row],[AD]]+Tabela2[[#This Row],[GWO]]+Tabela2[[#This Row],[GWD]])</f>
        <v>4</v>
      </c>
      <c r="R156" s="222">
        <f>Tabela2[[#This Row],[GWO]]+Tabela2[[#This Row],[GWD]]</f>
        <v>2</v>
      </c>
      <c r="S156" s="222">
        <f>SUM(Tabela2[[#This Row],[G]:[GWD]])</f>
        <v>10</v>
      </c>
    </row>
    <row r="157" spans="1:19" ht="30">
      <c r="A157" s="225">
        <v>99</v>
      </c>
      <c r="B157" s="187" t="s">
        <v>660</v>
      </c>
      <c r="C157" s="187" t="s">
        <v>415</v>
      </c>
      <c r="D157" s="187">
        <v>3</v>
      </c>
      <c r="E157" s="187" t="s">
        <v>264</v>
      </c>
      <c r="F157" s="187">
        <v>1</v>
      </c>
      <c r="G157" s="187">
        <v>1</v>
      </c>
      <c r="H157" s="187">
        <v>1</v>
      </c>
      <c r="I157" s="187">
        <v>1</v>
      </c>
      <c r="J157" s="187">
        <v>1</v>
      </c>
      <c r="K157" s="187">
        <v>1</v>
      </c>
      <c r="L157" s="187">
        <v>1</v>
      </c>
      <c r="M157" s="187">
        <v>1</v>
      </c>
      <c r="N157" s="187" t="s">
        <v>460</v>
      </c>
      <c r="O157" s="187"/>
      <c r="P157" s="227">
        <f>SUM(Tabela2[[#This Row],[G]]+Tabela2[[#This Row],[D]]+Tabela2[[#This Row],[N]]+Tabela2[[#This Row],[HM]])</f>
        <v>4</v>
      </c>
      <c r="Q157" s="227">
        <f>SUM(Tabela2[[#This Row],[AO]]+Tabela2[[#This Row],[AD]]+Tabela2[[#This Row],[GWO]]+Tabela2[[#This Row],[GWD]])</f>
        <v>4</v>
      </c>
      <c r="R157" s="227">
        <f>Tabela2[[#This Row],[GWO]]+Tabela2[[#This Row],[GWD]]</f>
        <v>2</v>
      </c>
      <c r="S157" s="222">
        <f>SUM(Tabela2[[#This Row],[G]:[GWD]])</f>
        <v>8</v>
      </c>
    </row>
    <row r="158" spans="1:19" ht="30">
      <c r="A158" s="225">
        <v>100</v>
      </c>
      <c r="B158" s="192" t="s">
        <v>659</v>
      </c>
      <c r="C158" s="187" t="s">
        <v>549</v>
      </c>
      <c r="D158" s="187">
        <v>3</v>
      </c>
      <c r="E158" s="187" t="s">
        <v>264</v>
      </c>
      <c r="F158" s="187">
        <v>1</v>
      </c>
      <c r="G158" s="187">
        <v>1</v>
      </c>
      <c r="H158" s="187">
        <v>1</v>
      </c>
      <c r="I158" s="187">
        <v>1</v>
      </c>
      <c r="J158" s="187">
        <v>1</v>
      </c>
      <c r="K158" s="187">
        <v>1</v>
      </c>
      <c r="L158" s="187">
        <v>1</v>
      </c>
      <c r="M158" s="187">
        <v>1</v>
      </c>
      <c r="N158" s="183"/>
      <c r="O158" s="183"/>
      <c r="P158" s="222">
        <f>SUM(Tabela2[[#This Row],[G]]+Tabela2[[#This Row],[D]]+Tabela2[[#This Row],[N]]+Tabela2[[#This Row],[HM]])</f>
        <v>4</v>
      </c>
      <c r="Q158" s="222">
        <f>SUM(Tabela2[[#This Row],[AO]]+Tabela2[[#This Row],[AD]]+Tabela2[[#This Row],[GWO]]+Tabela2[[#This Row],[GWD]])</f>
        <v>4</v>
      </c>
      <c r="R158" s="222">
        <f>Tabela2[[#This Row],[GWO]]+Tabela2[[#This Row],[GWD]]</f>
        <v>2</v>
      </c>
      <c r="S158" s="222">
        <f>SUM(Tabela2[[#This Row],[G]:[GWD]])</f>
        <v>8</v>
      </c>
    </row>
    <row r="159" spans="1:19" ht="30">
      <c r="A159" s="225">
        <v>101</v>
      </c>
      <c r="B159" s="187" t="s">
        <v>658</v>
      </c>
      <c r="C159" s="187" t="s">
        <v>547</v>
      </c>
      <c r="D159" s="187">
        <v>3</v>
      </c>
      <c r="E159" s="187" t="s">
        <v>264</v>
      </c>
      <c r="F159" s="187">
        <v>1</v>
      </c>
      <c r="G159" s="187">
        <v>1</v>
      </c>
      <c r="H159" s="187">
        <v>1</v>
      </c>
      <c r="I159" s="187">
        <v>1</v>
      </c>
      <c r="J159" s="187">
        <v>1</v>
      </c>
      <c r="K159" s="187">
        <v>1</v>
      </c>
      <c r="L159" s="187">
        <v>1</v>
      </c>
      <c r="M159" s="187">
        <v>1</v>
      </c>
      <c r="N159" s="187" t="s">
        <v>460</v>
      </c>
      <c r="O159" s="187"/>
      <c r="P159" s="227">
        <f>SUM(Tabela2[[#This Row],[G]]+Tabela2[[#This Row],[D]]+Tabela2[[#This Row],[N]]+Tabela2[[#This Row],[HM]])</f>
        <v>4</v>
      </c>
      <c r="Q159" s="227">
        <f>SUM(Tabela2[[#This Row],[AO]]+Tabela2[[#This Row],[AD]]+Tabela2[[#This Row],[GWO]]+Tabela2[[#This Row],[GWD]])</f>
        <v>4</v>
      </c>
      <c r="R159" s="227">
        <f>Tabela2[[#This Row],[GWO]]+Tabela2[[#This Row],[GWD]]</f>
        <v>2</v>
      </c>
      <c r="S159" s="222">
        <f>SUM(Tabela2[[#This Row],[G]:[GWD]])</f>
        <v>8</v>
      </c>
    </row>
    <row r="160" spans="1:19" ht="30">
      <c r="A160" s="225">
        <v>102</v>
      </c>
      <c r="B160" s="187" t="s">
        <v>657</v>
      </c>
      <c r="C160" s="187" t="s">
        <v>545</v>
      </c>
      <c r="D160" s="187">
        <v>3</v>
      </c>
      <c r="E160" s="187" t="s">
        <v>264</v>
      </c>
      <c r="F160" s="187">
        <v>1</v>
      </c>
      <c r="G160" s="187">
        <v>1</v>
      </c>
      <c r="H160" s="187">
        <v>1</v>
      </c>
      <c r="I160" s="187">
        <v>1</v>
      </c>
      <c r="J160" s="187">
        <v>1</v>
      </c>
      <c r="K160" s="187">
        <v>1</v>
      </c>
      <c r="L160" s="187">
        <v>1</v>
      </c>
      <c r="M160" s="187">
        <v>1</v>
      </c>
      <c r="N160" s="183"/>
      <c r="O160" s="183"/>
      <c r="P160" s="222">
        <f>SUM(Tabela2[[#This Row],[G]]+Tabela2[[#This Row],[D]]+Tabela2[[#This Row],[N]]+Tabela2[[#This Row],[HM]])</f>
        <v>4</v>
      </c>
      <c r="Q160" s="222">
        <f>SUM(Tabela2[[#This Row],[AO]]+Tabela2[[#This Row],[AD]]+Tabela2[[#This Row],[GWO]]+Tabela2[[#This Row],[GWD]])</f>
        <v>4</v>
      </c>
      <c r="R160" s="222">
        <f>Tabela2[[#This Row],[GWO]]+Tabela2[[#This Row],[GWD]]</f>
        <v>2</v>
      </c>
      <c r="S160" s="222">
        <f>SUM(Tabela2[[#This Row],[G]:[GWD]])</f>
        <v>8</v>
      </c>
    </row>
    <row r="161" spans="1:19" ht="30">
      <c r="A161" s="225">
        <v>103</v>
      </c>
      <c r="B161" s="187" t="s">
        <v>656</v>
      </c>
      <c r="C161" s="187" t="s">
        <v>543</v>
      </c>
      <c r="D161" s="187">
        <v>3</v>
      </c>
      <c r="E161" s="187" t="s">
        <v>264</v>
      </c>
      <c r="F161" s="187">
        <v>3</v>
      </c>
      <c r="G161" s="187">
        <v>4</v>
      </c>
      <c r="H161" s="187">
        <v>1</v>
      </c>
      <c r="I161" s="187">
        <v>4</v>
      </c>
      <c r="J161" s="187">
        <v>2</v>
      </c>
      <c r="K161" s="187">
        <v>2</v>
      </c>
      <c r="L161" s="187">
        <v>4</v>
      </c>
      <c r="M161" s="187">
        <v>2</v>
      </c>
      <c r="N161" s="183"/>
      <c r="O161" s="183" t="s">
        <v>207</v>
      </c>
      <c r="P161" s="222">
        <f>SUM(Tabela2[[#This Row],[G]]+Tabela2[[#This Row],[D]]+Tabela2[[#This Row],[N]]+Tabela2[[#This Row],[HM]])</f>
        <v>10</v>
      </c>
      <c r="Q161" s="222">
        <f>SUM(Tabela2[[#This Row],[AO]]+Tabela2[[#This Row],[AD]]+Tabela2[[#This Row],[GWO]]+Tabela2[[#This Row],[GWD]])</f>
        <v>12</v>
      </c>
      <c r="R161" s="222">
        <f>Tabela2[[#This Row],[GWO]]+Tabela2[[#This Row],[GWD]]</f>
        <v>6</v>
      </c>
      <c r="S161" s="222">
        <f>SUM(Tabela2[[#This Row],[G]:[GWD]])</f>
        <v>22</v>
      </c>
    </row>
    <row r="162" spans="1:19" ht="30">
      <c r="A162" s="225">
        <v>104</v>
      </c>
      <c r="B162" s="187" t="s">
        <v>655</v>
      </c>
      <c r="C162" s="187" t="s">
        <v>541</v>
      </c>
      <c r="D162" s="187">
        <v>3</v>
      </c>
      <c r="E162" s="187" t="s">
        <v>264</v>
      </c>
      <c r="F162" s="187">
        <v>1</v>
      </c>
      <c r="G162" s="187">
        <v>1</v>
      </c>
      <c r="H162" s="187">
        <v>1</v>
      </c>
      <c r="I162" s="187">
        <v>1</v>
      </c>
      <c r="J162" s="187">
        <v>1</v>
      </c>
      <c r="K162" s="187">
        <v>1</v>
      </c>
      <c r="L162" s="187">
        <v>1</v>
      </c>
      <c r="M162" s="187">
        <v>1</v>
      </c>
      <c r="N162" s="183"/>
      <c r="O162" s="183"/>
      <c r="P162" s="222">
        <f>SUM(Tabela2[[#This Row],[G]]+Tabela2[[#This Row],[D]]+Tabela2[[#This Row],[N]]+Tabela2[[#This Row],[HM]])</f>
        <v>4</v>
      </c>
      <c r="Q162" s="222">
        <f>SUM(Tabela2[[#This Row],[AO]]+Tabela2[[#This Row],[AD]]+Tabela2[[#This Row],[GWO]]+Tabela2[[#This Row],[GWD]])</f>
        <v>4</v>
      </c>
      <c r="R162" s="222">
        <f>Tabela2[[#This Row],[GWO]]+Tabela2[[#This Row],[GWD]]</f>
        <v>2</v>
      </c>
      <c r="S162" s="222">
        <f>SUM(Tabela2[[#This Row],[G]:[GWD]])</f>
        <v>8</v>
      </c>
    </row>
    <row r="163" spans="1:19">
      <c r="A163" s="225">
        <v>105</v>
      </c>
      <c r="B163" s="187" t="s">
        <v>654</v>
      </c>
      <c r="C163" s="187" t="s">
        <v>299</v>
      </c>
      <c r="D163" s="187">
        <v>3</v>
      </c>
      <c r="E163" s="187" t="s">
        <v>264</v>
      </c>
      <c r="F163" s="187">
        <v>1</v>
      </c>
      <c r="G163" s="187">
        <v>1</v>
      </c>
      <c r="H163" s="187">
        <v>1</v>
      </c>
      <c r="I163" s="187">
        <v>1</v>
      </c>
      <c r="J163" s="187">
        <v>1</v>
      </c>
      <c r="K163" s="187">
        <v>1</v>
      </c>
      <c r="L163" s="187">
        <v>1</v>
      </c>
      <c r="M163" s="187">
        <v>1</v>
      </c>
      <c r="N163" s="183"/>
      <c r="O163" s="183"/>
      <c r="P163" s="222">
        <f>SUM(Tabela2[[#This Row],[G]]+Tabela2[[#This Row],[D]]+Tabela2[[#This Row],[N]]+Tabela2[[#This Row],[HM]])</f>
        <v>4</v>
      </c>
      <c r="Q163" s="222">
        <f>SUM(Tabela2[[#This Row],[AO]]+Tabela2[[#This Row],[AD]]+Tabela2[[#This Row],[GWO]]+Tabela2[[#This Row],[GWD]])</f>
        <v>4</v>
      </c>
      <c r="R163" s="222">
        <f>Tabela2[[#This Row],[GWO]]+Tabela2[[#This Row],[GWD]]</f>
        <v>2</v>
      </c>
      <c r="S163" s="222">
        <f>SUM(Tabela2[[#This Row],[G]:[GWD]])</f>
        <v>8</v>
      </c>
    </row>
    <row r="164" spans="1:19">
      <c r="A164" s="225">
        <v>106</v>
      </c>
      <c r="B164" s="187" t="s">
        <v>653</v>
      </c>
      <c r="C164" s="187" t="s">
        <v>538</v>
      </c>
      <c r="D164" s="187">
        <v>3</v>
      </c>
      <c r="E164" s="187" t="s">
        <v>264</v>
      </c>
      <c r="F164" s="187">
        <v>1</v>
      </c>
      <c r="G164" s="187">
        <v>1</v>
      </c>
      <c r="H164" s="187">
        <v>1</v>
      </c>
      <c r="I164" s="187">
        <v>1</v>
      </c>
      <c r="J164" s="187">
        <v>1</v>
      </c>
      <c r="K164" s="187">
        <v>1</v>
      </c>
      <c r="L164" s="187">
        <v>1</v>
      </c>
      <c r="M164" s="187">
        <v>1</v>
      </c>
      <c r="N164" s="183"/>
      <c r="O164" s="183"/>
      <c r="P164" s="222">
        <f>SUM(Tabela2[[#This Row],[G]]+Tabela2[[#This Row],[D]]+Tabela2[[#This Row],[N]]+Tabela2[[#This Row],[HM]])</f>
        <v>4</v>
      </c>
      <c r="Q164" s="222">
        <f>SUM(Tabela2[[#This Row],[AO]]+Tabela2[[#This Row],[AD]]+Tabela2[[#This Row],[GWO]]+Tabela2[[#This Row],[GWD]])</f>
        <v>4</v>
      </c>
      <c r="R164" s="222">
        <f>Tabela2[[#This Row],[GWO]]+Tabela2[[#This Row],[GWD]]</f>
        <v>2</v>
      </c>
      <c r="S164" s="222">
        <f>SUM(Tabela2[[#This Row],[G]:[GWD]])</f>
        <v>8</v>
      </c>
    </row>
    <row r="165" spans="1:19" ht="30">
      <c r="A165" s="225">
        <v>109</v>
      </c>
      <c r="B165" s="185" t="s">
        <v>650</v>
      </c>
      <c r="C165" s="185" t="s">
        <v>587</v>
      </c>
      <c r="D165" s="185">
        <v>3</v>
      </c>
      <c r="E165" s="185" t="s">
        <v>265</v>
      </c>
      <c r="F165" s="185">
        <v>2</v>
      </c>
      <c r="G165" s="185">
        <v>1</v>
      </c>
      <c r="H165" s="185">
        <v>1</v>
      </c>
      <c r="I165" s="185">
        <v>1</v>
      </c>
      <c r="J165" s="185">
        <v>1</v>
      </c>
      <c r="K165" s="185">
        <v>1</v>
      </c>
      <c r="L165" s="185">
        <v>1</v>
      </c>
      <c r="M165" s="185">
        <v>1</v>
      </c>
      <c r="N165" s="183"/>
      <c r="O165" s="183"/>
      <c r="P165" s="222">
        <f>SUM(Tabela2[[#This Row],[G]]+Tabela2[[#This Row],[D]]+Tabela2[[#This Row],[N]]+Tabela2[[#This Row],[HM]])</f>
        <v>5</v>
      </c>
      <c r="Q165" s="222">
        <f>SUM(Tabela2[[#This Row],[AO]]+Tabela2[[#This Row],[AD]]+Tabela2[[#This Row],[GWO]]+Tabela2[[#This Row],[GWD]])</f>
        <v>4</v>
      </c>
      <c r="R165" s="222">
        <f>Tabela2[[#This Row],[GWO]]+Tabela2[[#This Row],[GWD]]</f>
        <v>2</v>
      </c>
      <c r="S165" s="222">
        <f>SUM(Tabela2[[#This Row],[G]:[GWD]])</f>
        <v>9</v>
      </c>
    </row>
    <row r="166" spans="1:19">
      <c r="A166" s="225">
        <v>110</v>
      </c>
      <c r="B166" s="185" t="s">
        <v>649</v>
      </c>
      <c r="C166" s="185" t="s">
        <v>305</v>
      </c>
      <c r="D166" s="185">
        <v>3</v>
      </c>
      <c r="E166" s="185" t="s">
        <v>265</v>
      </c>
      <c r="F166" s="185">
        <v>1</v>
      </c>
      <c r="G166" s="185">
        <v>1</v>
      </c>
      <c r="H166" s="185">
        <v>1</v>
      </c>
      <c r="I166" s="185">
        <v>1</v>
      </c>
      <c r="J166" s="185">
        <v>1</v>
      </c>
      <c r="K166" s="185">
        <v>1</v>
      </c>
      <c r="L166" s="185">
        <v>1</v>
      </c>
      <c r="M166" s="185">
        <v>1</v>
      </c>
      <c r="N166" s="185" t="s">
        <v>460</v>
      </c>
      <c r="O166" s="185"/>
      <c r="P166" s="228">
        <f>SUM(Tabela2[[#This Row],[G]]+Tabela2[[#This Row],[D]]+Tabela2[[#This Row],[N]]+Tabela2[[#This Row],[HM]])</f>
        <v>4</v>
      </c>
      <c r="Q166" s="228">
        <f>SUM(Tabela2[[#This Row],[AO]]+Tabela2[[#This Row],[AD]]+Tabela2[[#This Row],[GWO]]+Tabela2[[#This Row],[GWD]])</f>
        <v>4</v>
      </c>
      <c r="R166" s="228">
        <f>Tabela2[[#This Row],[GWO]]+Tabela2[[#This Row],[GWD]]</f>
        <v>2</v>
      </c>
      <c r="S166" s="222">
        <f>SUM(Tabela2[[#This Row],[G]:[GWD]])</f>
        <v>8</v>
      </c>
    </row>
    <row r="167" spans="1:19" ht="30">
      <c r="A167" s="225">
        <v>111</v>
      </c>
      <c r="B167" s="191" t="s">
        <v>648</v>
      </c>
      <c r="C167" s="185" t="s">
        <v>585</v>
      </c>
      <c r="D167" s="185">
        <v>3</v>
      </c>
      <c r="E167" s="185" t="s">
        <v>265</v>
      </c>
      <c r="F167" s="185">
        <v>1</v>
      </c>
      <c r="G167" s="185">
        <v>1</v>
      </c>
      <c r="H167" s="185">
        <v>1</v>
      </c>
      <c r="I167" s="185">
        <v>1</v>
      </c>
      <c r="J167" s="185">
        <v>1</v>
      </c>
      <c r="K167" s="185">
        <v>1</v>
      </c>
      <c r="L167" s="185">
        <v>1</v>
      </c>
      <c r="M167" s="185">
        <v>1</v>
      </c>
      <c r="N167" s="183"/>
      <c r="O167" s="183"/>
      <c r="P167" s="222">
        <f>SUM(Tabela2[[#This Row],[G]]+Tabela2[[#This Row],[D]]+Tabela2[[#This Row],[N]]+Tabela2[[#This Row],[HM]])</f>
        <v>4</v>
      </c>
      <c r="Q167" s="222">
        <f>SUM(Tabela2[[#This Row],[AO]]+Tabela2[[#This Row],[AD]]+Tabela2[[#This Row],[GWO]]+Tabela2[[#This Row],[GWD]])</f>
        <v>4</v>
      </c>
      <c r="R167" s="222">
        <f>Tabela2[[#This Row],[GWO]]+Tabela2[[#This Row],[GWD]]</f>
        <v>2</v>
      </c>
      <c r="S167" s="222">
        <f>SUM(Tabela2[[#This Row],[G]:[GWD]])</f>
        <v>8</v>
      </c>
    </row>
    <row r="168" spans="1:19" ht="30">
      <c r="A168" s="225">
        <v>113</v>
      </c>
      <c r="B168" s="185" t="s">
        <v>646</v>
      </c>
      <c r="C168" s="185" t="s">
        <v>581</v>
      </c>
      <c r="D168" s="185">
        <v>3</v>
      </c>
      <c r="E168" s="185" t="s">
        <v>265</v>
      </c>
      <c r="F168" s="185">
        <v>1</v>
      </c>
      <c r="G168" s="185">
        <v>1</v>
      </c>
      <c r="H168" s="185">
        <v>1</v>
      </c>
      <c r="I168" s="185">
        <v>1</v>
      </c>
      <c r="J168" s="185">
        <v>1</v>
      </c>
      <c r="K168" s="185">
        <v>1</v>
      </c>
      <c r="L168" s="185">
        <v>1</v>
      </c>
      <c r="M168" s="185">
        <v>1</v>
      </c>
      <c r="N168" s="183"/>
      <c r="O168" s="183"/>
      <c r="P168" s="222">
        <f>SUM(Tabela2[[#This Row],[G]]+Tabela2[[#This Row],[D]]+Tabela2[[#This Row],[N]]+Tabela2[[#This Row],[HM]])</f>
        <v>4</v>
      </c>
      <c r="Q168" s="222">
        <f>SUM(Tabela2[[#This Row],[AO]]+Tabela2[[#This Row],[AD]]+Tabela2[[#This Row],[GWO]]+Tabela2[[#This Row],[GWD]])</f>
        <v>4</v>
      </c>
      <c r="R168" s="222">
        <f>Tabela2[[#This Row],[GWO]]+Tabela2[[#This Row],[GWD]]</f>
        <v>2</v>
      </c>
      <c r="S168" s="222">
        <f>SUM(Tabela2[[#This Row],[G]:[GWD]])</f>
        <v>8</v>
      </c>
    </row>
    <row r="169" spans="1:19" ht="30">
      <c r="A169" s="225">
        <v>115</v>
      </c>
      <c r="B169" s="185" t="s">
        <v>644</v>
      </c>
      <c r="C169" s="185" t="s">
        <v>578</v>
      </c>
      <c r="D169" s="185">
        <v>3</v>
      </c>
      <c r="E169" s="185" t="s">
        <v>265</v>
      </c>
      <c r="F169" s="185">
        <v>1</v>
      </c>
      <c r="G169" s="185">
        <v>1</v>
      </c>
      <c r="H169" s="185">
        <v>1</v>
      </c>
      <c r="I169" s="185">
        <v>1</v>
      </c>
      <c r="J169" s="185">
        <v>1</v>
      </c>
      <c r="K169" s="185">
        <v>1</v>
      </c>
      <c r="L169" s="185">
        <v>1</v>
      </c>
      <c r="M169" s="185">
        <v>1</v>
      </c>
      <c r="N169" s="183"/>
      <c r="O169" s="183"/>
      <c r="P169" s="222">
        <f>SUM(Tabela2[[#This Row],[G]]+Tabela2[[#This Row],[D]]+Tabela2[[#This Row],[N]]+Tabela2[[#This Row],[HM]])</f>
        <v>4</v>
      </c>
      <c r="Q169" s="222">
        <f>SUM(Tabela2[[#This Row],[AO]]+Tabela2[[#This Row],[AD]]+Tabela2[[#This Row],[GWO]]+Tabela2[[#This Row],[GWD]])</f>
        <v>4</v>
      </c>
      <c r="R169" s="222">
        <f>Tabela2[[#This Row],[GWO]]+Tabela2[[#This Row],[GWD]]</f>
        <v>2</v>
      </c>
      <c r="S169" s="222">
        <f>SUM(Tabela2[[#This Row],[G]:[GWD]])</f>
        <v>8</v>
      </c>
    </row>
    <row r="170" spans="1:19" ht="30">
      <c r="A170" s="225">
        <v>116</v>
      </c>
      <c r="B170" s="185" t="s">
        <v>643</v>
      </c>
      <c r="C170" s="185" t="s">
        <v>427</v>
      </c>
      <c r="D170" s="185">
        <v>3</v>
      </c>
      <c r="E170" s="185" t="s">
        <v>265</v>
      </c>
      <c r="F170" s="185">
        <v>3</v>
      </c>
      <c r="G170" s="185">
        <v>2</v>
      </c>
      <c r="H170" s="185">
        <v>1</v>
      </c>
      <c r="I170" s="185">
        <v>1</v>
      </c>
      <c r="J170" s="185">
        <v>3</v>
      </c>
      <c r="K170" s="185">
        <v>2</v>
      </c>
      <c r="L170" s="185">
        <v>3</v>
      </c>
      <c r="M170" s="185">
        <v>2</v>
      </c>
      <c r="N170" s="186"/>
      <c r="O170" s="186" t="s">
        <v>207</v>
      </c>
      <c r="P170" s="223">
        <f>SUM(Tabela2[[#This Row],[G]]+Tabela2[[#This Row],[D]]+Tabela2[[#This Row],[N]]+Tabela2[[#This Row],[HM]])</f>
        <v>8</v>
      </c>
      <c r="Q170" s="223">
        <f>SUM(Tabela2[[#This Row],[AO]]+Tabela2[[#This Row],[AD]]+Tabela2[[#This Row],[GWO]]+Tabela2[[#This Row],[GWD]])</f>
        <v>9</v>
      </c>
      <c r="R170" s="223">
        <f>Tabela2[[#This Row],[GWO]]+Tabela2[[#This Row],[GWD]]</f>
        <v>5</v>
      </c>
      <c r="S170" s="223">
        <f>SUM(Tabela2[[#This Row],[G]:[GWD]])</f>
        <v>17</v>
      </c>
    </row>
    <row r="171" spans="1:19">
      <c r="A171" s="225">
        <v>117</v>
      </c>
      <c r="B171" s="185" t="s">
        <v>642</v>
      </c>
      <c r="C171" s="185" t="s">
        <v>298</v>
      </c>
      <c r="D171" s="185">
        <v>3</v>
      </c>
      <c r="E171" s="185" t="s">
        <v>265</v>
      </c>
      <c r="F171" s="185">
        <v>2</v>
      </c>
      <c r="G171" s="185">
        <v>1</v>
      </c>
      <c r="H171" s="185">
        <v>1</v>
      </c>
      <c r="I171" s="185">
        <v>2</v>
      </c>
      <c r="J171" s="185">
        <v>1</v>
      </c>
      <c r="K171" s="185">
        <v>1</v>
      </c>
      <c r="L171" s="185">
        <v>3</v>
      </c>
      <c r="M171" s="185">
        <v>1</v>
      </c>
      <c r="N171" s="183"/>
      <c r="O171" s="183"/>
      <c r="P171" s="222">
        <f>SUM(Tabela2[[#This Row],[G]]+Tabela2[[#This Row],[D]]+Tabela2[[#This Row],[N]]+Tabela2[[#This Row],[HM]])</f>
        <v>5</v>
      </c>
      <c r="Q171" s="222">
        <f>SUM(Tabela2[[#This Row],[AO]]+Tabela2[[#This Row],[AD]]+Tabela2[[#This Row],[GWO]]+Tabela2[[#This Row],[GWD]])</f>
        <v>7</v>
      </c>
      <c r="R171" s="222">
        <f>Tabela2[[#This Row],[GWO]]+Tabela2[[#This Row],[GWD]]</f>
        <v>4</v>
      </c>
      <c r="S171" s="222">
        <f>SUM(Tabela2[[#This Row],[G]:[GWD]])</f>
        <v>12</v>
      </c>
    </row>
    <row r="172" spans="1:19" ht="30">
      <c r="A172" s="225">
        <v>119</v>
      </c>
      <c r="B172" s="185" t="s">
        <v>641</v>
      </c>
      <c r="C172" s="185" t="s">
        <v>565</v>
      </c>
      <c r="D172" s="185">
        <v>3</v>
      </c>
      <c r="E172" s="185" t="s">
        <v>265</v>
      </c>
      <c r="F172" s="185">
        <v>1</v>
      </c>
      <c r="G172" s="185">
        <v>1</v>
      </c>
      <c r="H172" s="185">
        <v>1</v>
      </c>
      <c r="I172" s="185">
        <v>1</v>
      </c>
      <c r="J172" s="185">
        <v>1</v>
      </c>
      <c r="K172" s="185">
        <v>1</v>
      </c>
      <c r="L172" s="185">
        <v>1</v>
      </c>
      <c r="M172" s="185">
        <v>1</v>
      </c>
      <c r="N172" s="183"/>
      <c r="O172" s="183"/>
      <c r="P172" s="222">
        <f>SUM(Tabela2[[#This Row],[G]]+Tabela2[[#This Row],[D]]+Tabela2[[#This Row],[N]]+Tabela2[[#This Row],[HM]])</f>
        <v>4</v>
      </c>
      <c r="Q172" s="222">
        <f>SUM(Tabela2[[#This Row],[AO]]+Tabela2[[#This Row],[AD]]+Tabela2[[#This Row],[GWO]]+Tabela2[[#This Row],[GWD]])</f>
        <v>4</v>
      </c>
      <c r="R172" s="222">
        <f>Tabela2[[#This Row],[GWO]]+Tabela2[[#This Row],[GWD]]</f>
        <v>2</v>
      </c>
      <c r="S172" s="222">
        <f>SUM(Tabela2[[#This Row],[G]:[GWD]])</f>
        <v>8</v>
      </c>
    </row>
    <row r="173" spans="1:19">
      <c r="A173" s="225">
        <v>120</v>
      </c>
      <c r="B173" s="185" t="s">
        <v>640</v>
      </c>
      <c r="C173" s="185" t="s">
        <v>561</v>
      </c>
      <c r="D173" s="185">
        <v>3</v>
      </c>
      <c r="E173" s="185" t="s">
        <v>265</v>
      </c>
      <c r="F173" s="185">
        <v>1</v>
      </c>
      <c r="G173" s="185">
        <v>1</v>
      </c>
      <c r="H173" s="185">
        <v>1</v>
      </c>
      <c r="I173" s="185">
        <v>1</v>
      </c>
      <c r="J173" s="185">
        <v>1</v>
      </c>
      <c r="K173" s="185">
        <v>1</v>
      </c>
      <c r="L173" s="185">
        <v>1</v>
      </c>
      <c r="M173" s="185">
        <v>1</v>
      </c>
      <c r="N173" s="185" t="s">
        <v>460</v>
      </c>
      <c r="O173" s="185"/>
      <c r="P173" s="228">
        <f>SUM(Tabela2[[#This Row],[G]]+Tabela2[[#This Row],[D]]+Tabela2[[#This Row],[N]]+Tabela2[[#This Row],[HM]])</f>
        <v>4</v>
      </c>
      <c r="Q173" s="228">
        <f>SUM(Tabela2[[#This Row],[AO]]+Tabela2[[#This Row],[AD]]+Tabela2[[#This Row],[GWO]]+Tabela2[[#This Row],[GWD]])</f>
        <v>4</v>
      </c>
      <c r="R173" s="228">
        <f>Tabela2[[#This Row],[GWO]]+Tabela2[[#This Row],[GWD]]</f>
        <v>2</v>
      </c>
      <c r="S173" s="222">
        <f>SUM(Tabela2[[#This Row],[G]:[GWD]])</f>
        <v>8</v>
      </c>
    </row>
    <row r="174" spans="1:19" ht="30">
      <c r="A174" s="225">
        <v>121</v>
      </c>
      <c r="B174" s="185" t="s">
        <v>639</v>
      </c>
      <c r="C174" s="185" t="s">
        <v>559</v>
      </c>
      <c r="D174" s="185">
        <v>3</v>
      </c>
      <c r="E174" s="185" t="s">
        <v>265</v>
      </c>
      <c r="F174" s="185">
        <v>1</v>
      </c>
      <c r="G174" s="185">
        <v>1</v>
      </c>
      <c r="H174" s="185">
        <v>1</v>
      </c>
      <c r="I174" s="185">
        <v>1</v>
      </c>
      <c r="J174" s="185">
        <v>1</v>
      </c>
      <c r="K174" s="185">
        <v>1</v>
      </c>
      <c r="L174" s="185">
        <v>1</v>
      </c>
      <c r="M174" s="185">
        <v>1</v>
      </c>
      <c r="N174" s="183"/>
      <c r="O174" s="183"/>
      <c r="P174" s="222">
        <f>SUM(Tabela2[[#This Row],[G]]+Tabela2[[#This Row],[D]]+Tabela2[[#This Row],[N]]+Tabela2[[#This Row],[HM]])</f>
        <v>4</v>
      </c>
      <c r="Q174" s="222">
        <f>SUM(Tabela2[[#This Row],[AO]]+Tabela2[[#This Row],[AD]]+Tabela2[[#This Row],[GWO]]+Tabela2[[#This Row],[GWD]])</f>
        <v>4</v>
      </c>
      <c r="R174" s="222">
        <f>Tabela2[[#This Row],[GWO]]+Tabela2[[#This Row],[GWD]]</f>
        <v>2</v>
      </c>
      <c r="S174" s="222">
        <f>SUM(Tabela2[[#This Row],[G]:[GWD]])</f>
        <v>8</v>
      </c>
    </row>
    <row r="175" spans="1:19" ht="30">
      <c r="A175" s="225">
        <v>122</v>
      </c>
      <c r="B175" s="185" t="s">
        <v>638</v>
      </c>
      <c r="C175" s="185" t="s">
        <v>557</v>
      </c>
      <c r="D175" s="185">
        <v>3</v>
      </c>
      <c r="E175" s="185" t="s">
        <v>265</v>
      </c>
      <c r="F175" s="185">
        <v>1</v>
      </c>
      <c r="G175" s="185">
        <v>1</v>
      </c>
      <c r="H175" s="185">
        <v>1</v>
      </c>
      <c r="I175" s="185">
        <v>1</v>
      </c>
      <c r="J175" s="185">
        <v>1</v>
      </c>
      <c r="K175" s="185">
        <v>1</v>
      </c>
      <c r="L175" s="185">
        <v>1</v>
      </c>
      <c r="M175" s="185">
        <v>1</v>
      </c>
      <c r="N175" s="183"/>
      <c r="O175" s="183"/>
      <c r="P175" s="222">
        <f>SUM(Tabela2[[#This Row],[G]]+Tabela2[[#This Row],[D]]+Tabela2[[#This Row],[N]]+Tabela2[[#This Row],[HM]])</f>
        <v>4</v>
      </c>
      <c r="Q175" s="222">
        <f>SUM(Tabela2[[#This Row],[AO]]+Tabela2[[#This Row],[AD]]+Tabela2[[#This Row],[GWO]]+Tabela2[[#This Row],[GWD]])</f>
        <v>4</v>
      </c>
      <c r="R175" s="222">
        <f>Tabela2[[#This Row],[GWO]]+Tabela2[[#This Row],[GWD]]</f>
        <v>2</v>
      </c>
      <c r="S175" s="222">
        <f>SUM(Tabela2[[#This Row],[G]:[GWD]])</f>
        <v>8</v>
      </c>
    </row>
    <row r="176" spans="1:19">
      <c r="A176" s="225">
        <v>123</v>
      </c>
      <c r="B176" s="185" t="s">
        <v>637</v>
      </c>
      <c r="C176" s="185" t="s">
        <v>555</v>
      </c>
      <c r="D176" s="185">
        <v>3</v>
      </c>
      <c r="E176" s="185" t="s">
        <v>265</v>
      </c>
      <c r="F176" s="185">
        <v>1</v>
      </c>
      <c r="G176" s="185">
        <v>1</v>
      </c>
      <c r="H176" s="185">
        <v>1</v>
      </c>
      <c r="I176" s="185">
        <v>1</v>
      </c>
      <c r="J176" s="185">
        <v>1</v>
      </c>
      <c r="K176" s="185">
        <v>1</v>
      </c>
      <c r="L176" s="185">
        <v>1</v>
      </c>
      <c r="M176" s="185">
        <v>1</v>
      </c>
      <c r="N176" s="185" t="s">
        <v>460</v>
      </c>
      <c r="O176" s="185"/>
      <c r="P176" s="228">
        <f>SUM(Tabela2[[#This Row],[G]]+Tabela2[[#This Row],[D]]+Tabela2[[#This Row],[N]]+Tabela2[[#This Row],[HM]])</f>
        <v>4</v>
      </c>
      <c r="Q176" s="228">
        <f>SUM(Tabela2[[#This Row],[AO]]+Tabela2[[#This Row],[AD]]+Tabela2[[#This Row],[GWO]]+Tabela2[[#This Row],[GWD]])</f>
        <v>4</v>
      </c>
      <c r="R176" s="228">
        <f>Tabela2[[#This Row],[GWO]]+Tabela2[[#This Row],[GWD]]</f>
        <v>2</v>
      </c>
      <c r="S176" s="222">
        <f>SUM(Tabela2[[#This Row],[G]:[GWD]])</f>
        <v>8</v>
      </c>
    </row>
    <row r="177" spans="1:19">
      <c r="A177" s="225">
        <v>124</v>
      </c>
      <c r="B177" s="185" t="s">
        <v>636</v>
      </c>
      <c r="C177" s="185" t="s">
        <v>373</v>
      </c>
      <c r="D177" s="185">
        <v>3</v>
      </c>
      <c r="E177" s="185" t="s">
        <v>265</v>
      </c>
      <c r="F177" s="185">
        <v>1</v>
      </c>
      <c r="G177" s="185">
        <v>1</v>
      </c>
      <c r="H177" s="185">
        <v>1</v>
      </c>
      <c r="I177" s="185">
        <v>1</v>
      </c>
      <c r="J177" s="185">
        <v>1</v>
      </c>
      <c r="K177" s="185">
        <v>1</v>
      </c>
      <c r="L177" s="185">
        <v>1</v>
      </c>
      <c r="M177" s="185">
        <v>1</v>
      </c>
      <c r="N177" s="183"/>
      <c r="O177" s="183"/>
      <c r="P177" s="222">
        <f>SUM(Tabela2[[#This Row],[G]]+Tabela2[[#This Row],[D]]+Tabela2[[#This Row],[N]]+Tabela2[[#This Row],[HM]])</f>
        <v>4</v>
      </c>
      <c r="Q177" s="222">
        <f>SUM(Tabela2[[#This Row],[AO]]+Tabela2[[#This Row],[AD]]+Tabela2[[#This Row],[GWO]]+Tabela2[[#This Row],[GWD]])</f>
        <v>4</v>
      </c>
      <c r="R177" s="222">
        <f>Tabela2[[#This Row],[GWO]]+Tabela2[[#This Row],[GWD]]</f>
        <v>2</v>
      </c>
      <c r="S177" s="222">
        <f>SUM(Tabela2[[#This Row],[G]:[GWD]])</f>
        <v>8</v>
      </c>
    </row>
    <row r="178" spans="1:19" ht="30">
      <c r="A178" s="225">
        <v>125</v>
      </c>
      <c r="B178" s="185" t="s">
        <v>635</v>
      </c>
      <c r="C178" s="185" t="s">
        <v>553</v>
      </c>
      <c r="D178" s="185">
        <v>3</v>
      </c>
      <c r="E178" s="185" t="s">
        <v>265</v>
      </c>
      <c r="F178" s="185">
        <v>3</v>
      </c>
      <c r="G178" s="185">
        <v>1</v>
      </c>
      <c r="H178" s="185">
        <v>1</v>
      </c>
      <c r="I178" s="185">
        <v>3</v>
      </c>
      <c r="J178" s="185">
        <v>1</v>
      </c>
      <c r="K178" s="185">
        <v>1</v>
      </c>
      <c r="L178" s="185">
        <v>5</v>
      </c>
      <c r="M178" s="185">
        <v>1</v>
      </c>
      <c r="N178" s="183"/>
      <c r="O178" s="183" t="s">
        <v>207</v>
      </c>
      <c r="P178" s="222">
        <f>SUM(Tabela2[[#This Row],[G]]+Tabela2[[#This Row],[D]]+Tabela2[[#This Row],[N]]+Tabela2[[#This Row],[HM]])</f>
        <v>6</v>
      </c>
      <c r="Q178" s="222">
        <f>SUM(Tabela2[[#This Row],[AO]]+Tabela2[[#This Row],[AD]]+Tabela2[[#This Row],[GWO]]+Tabela2[[#This Row],[GWD]])</f>
        <v>10</v>
      </c>
      <c r="R178" s="222">
        <f>Tabela2[[#This Row],[GWO]]+Tabela2[[#This Row],[GWD]]</f>
        <v>6</v>
      </c>
      <c r="S178" s="222">
        <f>SUM(Tabela2[[#This Row],[G]:[GWD]])</f>
        <v>16</v>
      </c>
    </row>
    <row r="179" spans="1:19">
      <c r="A179" s="225">
        <v>126</v>
      </c>
      <c r="B179" s="185" t="s">
        <v>634</v>
      </c>
      <c r="C179" s="185" t="s">
        <v>551</v>
      </c>
      <c r="D179" s="185">
        <v>3</v>
      </c>
      <c r="E179" s="185" t="s">
        <v>265</v>
      </c>
      <c r="F179" s="185">
        <v>2</v>
      </c>
      <c r="G179" s="185">
        <v>1</v>
      </c>
      <c r="H179" s="185">
        <v>1</v>
      </c>
      <c r="I179" s="185">
        <v>1</v>
      </c>
      <c r="J179" s="185">
        <v>1</v>
      </c>
      <c r="K179" s="185">
        <v>1</v>
      </c>
      <c r="L179" s="185">
        <v>1</v>
      </c>
      <c r="M179" s="185">
        <v>1</v>
      </c>
      <c r="N179" s="185" t="s">
        <v>460</v>
      </c>
      <c r="O179" s="185"/>
      <c r="P179" s="228">
        <f>SUM(Tabela2[[#This Row],[G]]+Tabela2[[#This Row],[D]]+Tabela2[[#This Row],[N]]+Tabela2[[#This Row],[HM]])</f>
        <v>5</v>
      </c>
      <c r="Q179" s="228">
        <f>SUM(Tabela2[[#This Row],[AO]]+Tabela2[[#This Row],[AD]]+Tabela2[[#This Row],[GWO]]+Tabela2[[#This Row],[GWD]])</f>
        <v>4</v>
      </c>
      <c r="R179" s="228">
        <f>Tabela2[[#This Row],[GWO]]+Tabela2[[#This Row],[GWD]]</f>
        <v>2</v>
      </c>
      <c r="S179" s="222">
        <f>SUM(Tabela2[[#This Row],[G]:[GWD]])</f>
        <v>9</v>
      </c>
    </row>
    <row r="180" spans="1:19" ht="30">
      <c r="A180" s="225">
        <v>127</v>
      </c>
      <c r="B180" s="185" t="s">
        <v>633</v>
      </c>
      <c r="C180" s="185" t="s">
        <v>415</v>
      </c>
      <c r="D180" s="185">
        <v>3</v>
      </c>
      <c r="E180" s="185" t="s">
        <v>265</v>
      </c>
      <c r="F180" s="185">
        <v>1</v>
      </c>
      <c r="G180" s="185">
        <v>1</v>
      </c>
      <c r="H180" s="185">
        <v>1</v>
      </c>
      <c r="I180" s="185">
        <v>1</v>
      </c>
      <c r="J180" s="185">
        <v>1</v>
      </c>
      <c r="K180" s="185">
        <v>1</v>
      </c>
      <c r="L180" s="185">
        <v>1</v>
      </c>
      <c r="M180" s="185">
        <v>1</v>
      </c>
      <c r="N180" s="183"/>
      <c r="O180" s="183"/>
      <c r="P180" s="222">
        <f>SUM(Tabela2[[#This Row],[G]]+Tabela2[[#This Row],[D]]+Tabela2[[#This Row],[N]]+Tabela2[[#This Row],[HM]])</f>
        <v>4</v>
      </c>
      <c r="Q180" s="222">
        <f>SUM(Tabela2[[#This Row],[AO]]+Tabela2[[#This Row],[AD]]+Tabela2[[#This Row],[GWO]]+Tabela2[[#This Row],[GWD]])</f>
        <v>4</v>
      </c>
      <c r="R180" s="222">
        <f>Tabela2[[#This Row],[GWO]]+Tabela2[[#This Row],[GWD]]</f>
        <v>2</v>
      </c>
      <c r="S180" s="222">
        <f>SUM(Tabela2[[#This Row],[G]:[GWD]])</f>
        <v>8</v>
      </c>
    </row>
    <row r="181" spans="1:19" ht="30">
      <c r="A181" s="225">
        <v>128</v>
      </c>
      <c r="B181" s="185" t="s">
        <v>632</v>
      </c>
      <c r="C181" s="185" t="s">
        <v>549</v>
      </c>
      <c r="D181" s="185">
        <v>3</v>
      </c>
      <c r="E181" s="185" t="s">
        <v>265</v>
      </c>
      <c r="F181" s="185">
        <v>1</v>
      </c>
      <c r="G181" s="185">
        <v>1</v>
      </c>
      <c r="H181" s="185">
        <v>1</v>
      </c>
      <c r="I181" s="185">
        <v>1</v>
      </c>
      <c r="J181" s="185">
        <v>1</v>
      </c>
      <c r="K181" s="185">
        <v>1</v>
      </c>
      <c r="L181" s="185">
        <v>1</v>
      </c>
      <c r="M181" s="185">
        <v>1</v>
      </c>
      <c r="N181" s="183"/>
      <c r="O181" s="183"/>
      <c r="P181" s="222">
        <f>SUM(Tabela2[[#This Row],[G]]+Tabela2[[#This Row],[D]]+Tabela2[[#This Row],[N]]+Tabela2[[#This Row],[HM]])</f>
        <v>4</v>
      </c>
      <c r="Q181" s="222">
        <f>SUM(Tabela2[[#This Row],[AO]]+Tabela2[[#This Row],[AD]]+Tabela2[[#This Row],[GWO]]+Tabela2[[#This Row],[GWD]])</f>
        <v>4</v>
      </c>
      <c r="R181" s="222">
        <f>Tabela2[[#This Row],[GWO]]+Tabela2[[#This Row],[GWD]]</f>
        <v>2</v>
      </c>
      <c r="S181" s="222">
        <f>SUM(Tabela2[[#This Row],[G]:[GWD]])</f>
        <v>8</v>
      </c>
    </row>
    <row r="182" spans="1:19" ht="30">
      <c r="A182" s="225">
        <v>129</v>
      </c>
      <c r="B182" s="185" t="s">
        <v>631</v>
      </c>
      <c r="C182" s="185" t="s">
        <v>547</v>
      </c>
      <c r="D182" s="185">
        <v>3</v>
      </c>
      <c r="E182" s="185" t="s">
        <v>265</v>
      </c>
      <c r="F182" s="185">
        <v>1</v>
      </c>
      <c r="G182" s="185">
        <v>1</v>
      </c>
      <c r="H182" s="185">
        <v>1</v>
      </c>
      <c r="I182" s="185">
        <v>1</v>
      </c>
      <c r="J182" s="185">
        <v>1</v>
      </c>
      <c r="K182" s="185">
        <v>1</v>
      </c>
      <c r="L182" s="185">
        <v>1</v>
      </c>
      <c r="M182" s="185">
        <v>1</v>
      </c>
      <c r="N182" s="183"/>
      <c r="O182" s="183"/>
      <c r="P182" s="222">
        <f>SUM(Tabela2[[#This Row],[G]]+Tabela2[[#This Row],[D]]+Tabela2[[#This Row],[N]]+Tabela2[[#This Row],[HM]])</f>
        <v>4</v>
      </c>
      <c r="Q182" s="222">
        <f>SUM(Tabela2[[#This Row],[AO]]+Tabela2[[#This Row],[AD]]+Tabela2[[#This Row],[GWO]]+Tabela2[[#This Row],[GWD]])</f>
        <v>4</v>
      </c>
      <c r="R182" s="222">
        <f>Tabela2[[#This Row],[GWO]]+Tabela2[[#This Row],[GWD]]</f>
        <v>2</v>
      </c>
      <c r="S182" s="222">
        <f>SUM(Tabela2[[#This Row],[G]:[GWD]])</f>
        <v>8</v>
      </c>
    </row>
    <row r="183" spans="1:19" ht="30">
      <c r="A183" s="225">
        <v>130</v>
      </c>
      <c r="B183" s="185" t="s">
        <v>630</v>
      </c>
      <c r="C183" s="185" t="s">
        <v>545</v>
      </c>
      <c r="D183" s="185">
        <v>3</v>
      </c>
      <c r="E183" s="185" t="s">
        <v>265</v>
      </c>
      <c r="F183" s="185">
        <v>1</v>
      </c>
      <c r="G183" s="185">
        <v>1</v>
      </c>
      <c r="H183" s="185">
        <v>1</v>
      </c>
      <c r="I183" s="185">
        <v>1</v>
      </c>
      <c r="J183" s="185">
        <v>1</v>
      </c>
      <c r="K183" s="185">
        <v>1</v>
      </c>
      <c r="L183" s="185">
        <v>1</v>
      </c>
      <c r="M183" s="185">
        <v>1</v>
      </c>
      <c r="N183" s="185" t="s">
        <v>460</v>
      </c>
      <c r="O183" s="185"/>
      <c r="P183" s="228">
        <f>SUM(Tabela2[[#This Row],[G]]+Tabela2[[#This Row],[D]]+Tabela2[[#This Row],[N]]+Tabela2[[#This Row],[HM]])</f>
        <v>4</v>
      </c>
      <c r="Q183" s="228">
        <f>SUM(Tabela2[[#This Row],[AO]]+Tabela2[[#This Row],[AD]]+Tabela2[[#This Row],[GWO]]+Tabela2[[#This Row],[GWD]])</f>
        <v>4</v>
      </c>
      <c r="R183" s="228">
        <f>Tabela2[[#This Row],[GWO]]+Tabela2[[#This Row],[GWD]]</f>
        <v>2</v>
      </c>
      <c r="S183" s="222">
        <f>SUM(Tabela2[[#This Row],[G]:[GWD]])</f>
        <v>8</v>
      </c>
    </row>
    <row r="184" spans="1:19" ht="30">
      <c r="A184" s="225">
        <v>131</v>
      </c>
      <c r="B184" s="185" t="s">
        <v>629</v>
      </c>
      <c r="C184" s="185" t="s">
        <v>543</v>
      </c>
      <c r="D184" s="185">
        <v>3</v>
      </c>
      <c r="E184" s="185" t="s">
        <v>265</v>
      </c>
      <c r="F184" s="185">
        <v>1</v>
      </c>
      <c r="G184" s="185">
        <v>1</v>
      </c>
      <c r="H184" s="185">
        <v>1</v>
      </c>
      <c r="I184" s="185">
        <v>1</v>
      </c>
      <c r="J184" s="185">
        <v>1</v>
      </c>
      <c r="K184" s="185">
        <v>1</v>
      </c>
      <c r="L184" s="185">
        <v>1</v>
      </c>
      <c r="M184" s="185">
        <v>1</v>
      </c>
      <c r="N184" s="183"/>
      <c r="O184" s="183"/>
      <c r="P184" s="222">
        <f>SUM(Tabela2[[#This Row],[G]]+Tabela2[[#This Row],[D]]+Tabela2[[#This Row],[N]]+Tabela2[[#This Row],[HM]])</f>
        <v>4</v>
      </c>
      <c r="Q184" s="222">
        <f>SUM(Tabela2[[#This Row],[AO]]+Tabela2[[#This Row],[AD]]+Tabela2[[#This Row],[GWO]]+Tabela2[[#This Row],[GWD]])</f>
        <v>4</v>
      </c>
      <c r="R184" s="222">
        <f>Tabela2[[#This Row],[GWO]]+Tabela2[[#This Row],[GWD]]</f>
        <v>2</v>
      </c>
      <c r="S184" s="222">
        <f>SUM(Tabela2[[#This Row],[G]:[GWD]])</f>
        <v>8</v>
      </c>
    </row>
    <row r="185" spans="1:19" ht="30">
      <c r="A185" s="225">
        <v>132</v>
      </c>
      <c r="B185" s="185" t="s">
        <v>628</v>
      </c>
      <c r="C185" s="185" t="s">
        <v>541</v>
      </c>
      <c r="D185" s="185">
        <v>3</v>
      </c>
      <c r="E185" s="185" t="s">
        <v>265</v>
      </c>
      <c r="F185" s="185">
        <v>1</v>
      </c>
      <c r="G185" s="185">
        <v>1</v>
      </c>
      <c r="H185" s="185">
        <v>1</v>
      </c>
      <c r="I185" s="185">
        <v>1</v>
      </c>
      <c r="J185" s="185">
        <v>1</v>
      </c>
      <c r="K185" s="185">
        <v>1</v>
      </c>
      <c r="L185" s="185">
        <v>1</v>
      </c>
      <c r="M185" s="185">
        <v>1</v>
      </c>
      <c r="N185" s="183"/>
      <c r="O185" s="183"/>
      <c r="P185" s="222">
        <f>SUM(Tabela2[[#This Row],[G]]+Tabela2[[#This Row],[D]]+Tabela2[[#This Row],[N]]+Tabela2[[#This Row],[HM]])</f>
        <v>4</v>
      </c>
      <c r="Q185" s="222">
        <f>SUM(Tabela2[[#This Row],[AO]]+Tabela2[[#This Row],[AD]]+Tabela2[[#This Row],[GWO]]+Tabela2[[#This Row],[GWD]])</f>
        <v>4</v>
      </c>
      <c r="R185" s="222">
        <f>Tabela2[[#This Row],[GWO]]+Tabela2[[#This Row],[GWD]]</f>
        <v>2</v>
      </c>
      <c r="S185" s="222">
        <f>SUM(Tabela2[[#This Row],[G]:[GWD]])</f>
        <v>8</v>
      </c>
    </row>
    <row r="186" spans="1:19">
      <c r="A186" s="225">
        <v>134</v>
      </c>
      <c r="B186" s="185" t="s">
        <v>626</v>
      </c>
      <c r="C186" s="185" t="s">
        <v>536</v>
      </c>
      <c r="D186" s="185">
        <v>3</v>
      </c>
      <c r="E186" s="185" t="s">
        <v>265</v>
      </c>
      <c r="F186" s="185">
        <v>1</v>
      </c>
      <c r="G186" s="185">
        <v>1</v>
      </c>
      <c r="H186" s="185">
        <v>1</v>
      </c>
      <c r="I186" s="185">
        <v>1</v>
      </c>
      <c r="J186" s="185">
        <v>1</v>
      </c>
      <c r="K186" s="185">
        <v>1</v>
      </c>
      <c r="L186" s="185">
        <v>1</v>
      </c>
      <c r="M186" s="185">
        <v>1</v>
      </c>
      <c r="N186" s="185" t="s">
        <v>460</v>
      </c>
      <c r="O186" s="185"/>
      <c r="P186" s="228">
        <f>SUM(Tabela2[[#This Row],[G]]+Tabela2[[#This Row],[D]]+Tabela2[[#This Row],[N]]+Tabela2[[#This Row],[HM]])</f>
        <v>4</v>
      </c>
      <c r="Q186" s="228">
        <f>SUM(Tabela2[[#This Row],[AO]]+Tabela2[[#This Row],[AD]]+Tabela2[[#This Row],[GWO]]+Tabela2[[#This Row],[GWD]])</f>
        <v>4</v>
      </c>
      <c r="R186" s="228">
        <f>Tabela2[[#This Row],[GWO]]+Tabela2[[#This Row],[GWD]]</f>
        <v>2</v>
      </c>
      <c r="S186" s="222">
        <f>SUM(Tabela2[[#This Row],[G]:[GWD]])</f>
        <v>8</v>
      </c>
    </row>
    <row r="187" spans="1:19">
      <c r="A187" s="225">
        <v>135</v>
      </c>
      <c r="B187" s="184" t="s">
        <v>625</v>
      </c>
      <c r="C187" s="184" t="s">
        <v>589</v>
      </c>
      <c r="D187" s="184">
        <v>3</v>
      </c>
      <c r="E187" s="184" t="s">
        <v>266</v>
      </c>
      <c r="F187" s="184">
        <v>1</v>
      </c>
      <c r="G187" s="184">
        <v>1</v>
      </c>
      <c r="H187" s="184">
        <v>1</v>
      </c>
      <c r="I187" s="184">
        <v>2</v>
      </c>
      <c r="J187" s="184">
        <v>1</v>
      </c>
      <c r="K187" s="184">
        <v>1</v>
      </c>
      <c r="L187" s="184">
        <v>2</v>
      </c>
      <c r="M187" s="184">
        <v>1</v>
      </c>
      <c r="N187" s="183"/>
      <c r="O187" s="183"/>
      <c r="P187" s="222">
        <f>SUM(Tabela2[[#This Row],[G]]+Tabela2[[#This Row],[D]]+Tabela2[[#This Row],[N]]+Tabela2[[#This Row],[HM]])</f>
        <v>4</v>
      </c>
      <c r="Q187" s="222">
        <f>SUM(Tabela2[[#This Row],[AO]]+Tabela2[[#This Row],[AD]]+Tabela2[[#This Row],[GWO]]+Tabela2[[#This Row],[GWD]])</f>
        <v>6</v>
      </c>
      <c r="R187" s="222">
        <f>Tabela2[[#This Row],[GWO]]+Tabela2[[#This Row],[GWD]]</f>
        <v>3</v>
      </c>
      <c r="S187" s="222">
        <f>SUM(Tabela2[[#This Row],[G]:[GWD]])</f>
        <v>10</v>
      </c>
    </row>
    <row r="188" spans="1:19" ht="30">
      <c r="A188" s="225">
        <v>136</v>
      </c>
      <c r="B188" s="184" t="s">
        <v>624</v>
      </c>
      <c r="C188" s="184" t="s">
        <v>587</v>
      </c>
      <c r="D188" s="184">
        <v>3</v>
      </c>
      <c r="E188" s="184" t="s">
        <v>266</v>
      </c>
      <c r="F188" s="184">
        <v>2</v>
      </c>
      <c r="G188" s="184">
        <v>2</v>
      </c>
      <c r="H188" s="184">
        <v>1</v>
      </c>
      <c r="I188" s="184">
        <v>3</v>
      </c>
      <c r="J188" s="184">
        <v>1</v>
      </c>
      <c r="K188" s="184">
        <v>4</v>
      </c>
      <c r="L188" s="184">
        <v>3</v>
      </c>
      <c r="M188" s="184">
        <v>2</v>
      </c>
      <c r="N188" s="183"/>
      <c r="O188" s="183"/>
      <c r="P188" s="222">
        <f>SUM(Tabela2[[#This Row],[G]]+Tabela2[[#This Row],[D]]+Tabela2[[#This Row],[N]]+Tabela2[[#This Row],[HM]])</f>
        <v>9</v>
      </c>
      <c r="Q188" s="222">
        <f>SUM(Tabela2[[#This Row],[AO]]+Tabela2[[#This Row],[AD]]+Tabela2[[#This Row],[GWO]]+Tabela2[[#This Row],[GWD]])</f>
        <v>9</v>
      </c>
      <c r="R188" s="222">
        <f>Tabela2[[#This Row],[GWO]]+Tabela2[[#This Row],[GWD]]</f>
        <v>5</v>
      </c>
      <c r="S188" s="222">
        <f>SUM(Tabela2[[#This Row],[G]:[GWD]])</f>
        <v>18</v>
      </c>
    </row>
    <row r="189" spans="1:19">
      <c r="A189" s="225">
        <v>137</v>
      </c>
      <c r="B189" s="184" t="s">
        <v>623</v>
      </c>
      <c r="C189" s="184" t="s">
        <v>305</v>
      </c>
      <c r="D189" s="184">
        <v>3</v>
      </c>
      <c r="E189" s="184" t="s">
        <v>266</v>
      </c>
      <c r="F189" s="184">
        <v>1</v>
      </c>
      <c r="G189" s="184">
        <v>1</v>
      </c>
      <c r="H189" s="184">
        <v>1</v>
      </c>
      <c r="I189" s="184">
        <v>1</v>
      </c>
      <c r="J189" s="184">
        <v>1</v>
      </c>
      <c r="K189" s="184">
        <v>1</v>
      </c>
      <c r="L189" s="184">
        <v>1</v>
      </c>
      <c r="M189" s="184">
        <v>1</v>
      </c>
      <c r="N189" s="183"/>
      <c r="O189" s="183"/>
      <c r="P189" s="222">
        <f>SUM(Tabela2[[#This Row],[G]]+Tabela2[[#This Row],[D]]+Tabela2[[#This Row],[N]]+Tabela2[[#This Row],[HM]])</f>
        <v>4</v>
      </c>
      <c r="Q189" s="222">
        <f>SUM(Tabela2[[#This Row],[AO]]+Tabela2[[#This Row],[AD]]+Tabela2[[#This Row],[GWO]]+Tabela2[[#This Row],[GWD]])</f>
        <v>4</v>
      </c>
      <c r="R189" s="222">
        <f>Tabela2[[#This Row],[GWO]]+Tabela2[[#This Row],[GWD]]</f>
        <v>2</v>
      </c>
      <c r="S189" s="222">
        <f>SUM(Tabela2[[#This Row],[G]:[GWD]])</f>
        <v>8</v>
      </c>
    </row>
    <row r="190" spans="1:19" ht="30">
      <c r="A190" s="225">
        <v>138</v>
      </c>
      <c r="B190" s="184" t="s">
        <v>622</v>
      </c>
      <c r="C190" s="184" t="s">
        <v>585</v>
      </c>
      <c r="D190" s="184">
        <v>3</v>
      </c>
      <c r="E190" s="184" t="s">
        <v>266</v>
      </c>
      <c r="F190" s="184">
        <v>1</v>
      </c>
      <c r="G190" s="184">
        <v>1</v>
      </c>
      <c r="H190" s="184">
        <v>1</v>
      </c>
      <c r="I190" s="184">
        <v>1</v>
      </c>
      <c r="J190" s="184">
        <v>1</v>
      </c>
      <c r="K190" s="184">
        <v>1</v>
      </c>
      <c r="L190" s="184">
        <v>1</v>
      </c>
      <c r="M190" s="184">
        <v>1</v>
      </c>
      <c r="N190" s="183"/>
      <c r="O190" s="183"/>
      <c r="P190" s="222">
        <f>SUM(Tabela2[[#This Row],[G]]+Tabela2[[#This Row],[D]]+Tabela2[[#This Row],[N]]+Tabela2[[#This Row],[HM]])</f>
        <v>4</v>
      </c>
      <c r="Q190" s="222">
        <f>SUM(Tabela2[[#This Row],[AO]]+Tabela2[[#This Row],[AD]]+Tabela2[[#This Row],[GWO]]+Tabela2[[#This Row],[GWD]])</f>
        <v>4</v>
      </c>
      <c r="R190" s="222">
        <f>Tabela2[[#This Row],[GWO]]+Tabela2[[#This Row],[GWD]]</f>
        <v>2</v>
      </c>
      <c r="S190" s="222">
        <f>SUM(Tabela2[[#This Row],[G]:[GWD]])</f>
        <v>8</v>
      </c>
    </row>
    <row r="191" spans="1:19" ht="30">
      <c r="A191" s="225">
        <v>139</v>
      </c>
      <c r="B191" s="184" t="s">
        <v>621</v>
      </c>
      <c r="C191" s="184" t="s">
        <v>583</v>
      </c>
      <c r="D191" s="184">
        <v>3</v>
      </c>
      <c r="E191" s="184" t="s">
        <v>266</v>
      </c>
      <c r="F191" s="184">
        <v>1</v>
      </c>
      <c r="G191" s="184">
        <v>1</v>
      </c>
      <c r="H191" s="184">
        <v>1</v>
      </c>
      <c r="I191" s="184">
        <v>1</v>
      </c>
      <c r="J191" s="184">
        <v>1</v>
      </c>
      <c r="K191" s="184">
        <v>1</v>
      </c>
      <c r="L191" s="184">
        <v>1</v>
      </c>
      <c r="M191" s="184">
        <v>1</v>
      </c>
      <c r="N191" s="183"/>
      <c r="O191" s="183"/>
      <c r="P191" s="222">
        <f>SUM(Tabela2[[#This Row],[G]]+Tabela2[[#This Row],[D]]+Tabela2[[#This Row],[N]]+Tabela2[[#This Row],[HM]])</f>
        <v>4</v>
      </c>
      <c r="Q191" s="222">
        <f>SUM(Tabela2[[#This Row],[AO]]+Tabela2[[#This Row],[AD]]+Tabela2[[#This Row],[GWO]]+Tabela2[[#This Row],[GWD]])</f>
        <v>4</v>
      </c>
      <c r="R191" s="222">
        <f>Tabela2[[#This Row],[GWO]]+Tabela2[[#This Row],[GWD]]</f>
        <v>2</v>
      </c>
      <c r="S191" s="222">
        <f>SUM(Tabela2[[#This Row],[G]:[GWD]])</f>
        <v>8</v>
      </c>
    </row>
    <row r="192" spans="1:19" ht="30">
      <c r="A192" s="225">
        <v>140</v>
      </c>
      <c r="B192" s="184" t="s">
        <v>620</v>
      </c>
      <c r="C192" s="184" t="s">
        <v>581</v>
      </c>
      <c r="D192" s="184">
        <v>3</v>
      </c>
      <c r="E192" s="184" t="s">
        <v>266</v>
      </c>
      <c r="F192" s="184">
        <v>1</v>
      </c>
      <c r="G192" s="184">
        <v>1</v>
      </c>
      <c r="H192" s="184">
        <v>1</v>
      </c>
      <c r="I192" s="184">
        <v>1</v>
      </c>
      <c r="J192" s="184">
        <v>1</v>
      </c>
      <c r="K192" s="184">
        <v>1</v>
      </c>
      <c r="L192" s="184">
        <v>1</v>
      </c>
      <c r="M192" s="184">
        <v>1</v>
      </c>
      <c r="N192" s="183"/>
      <c r="O192" s="183"/>
      <c r="P192" s="222">
        <f>SUM(Tabela2[[#This Row],[G]]+Tabela2[[#This Row],[D]]+Tabela2[[#This Row],[N]]+Tabela2[[#This Row],[HM]])</f>
        <v>4</v>
      </c>
      <c r="Q192" s="222">
        <f>SUM(Tabela2[[#This Row],[AO]]+Tabela2[[#This Row],[AD]]+Tabela2[[#This Row],[GWO]]+Tabela2[[#This Row],[GWD]])</f>
        <v>4</v>
      </c>
      <c r="R192" s="222">
        <f>Tabela2[[#This Row],[GWO]]+Tabela2[[#This Row],[GWD]]</f>
        <v>2</v>
      </c>
      <c r="S192" s="222">
        <f>SUM(Tabela2[[#This Row],[G]:[GWD]])</f>
        <v>8</v>
      </c>
    </row>
    <row r="193" spans="1:19">
      <c r="A193" s="225">
        <v>141</v>
      </c>
      <c r="B193" s="184" t="s">
        <v>619</v>
      </c>
      <c r="C193" s="184" t="s">
        <v>580</v>
      </c>
      <c r="D193" s="184">
        <v>3</v>
      </c>
      <c r="E193" s="184" t="s">
        <v>266</v>
      </c>
      <c r="F193" s="184">
        <v>1</v>
      </c>
      <c r="G193" s="184">
        <v>1</v>
      </c>
      <c r="H193" s="184">
        <v>1</v>
      </c>
      <c r="I193" s="184">
        <v>1</v>
      </c>
      <c r="J193" s="184">
        <v>1</v>
      </c>
      <c r="K193" s="184">
        <v>1</v>
      </c>
      <c r="L193" s="184">
        <v>1</v>
      </c>
      <c r="M193" s="184">
        <v>1</v>
      </c>
      <c r="N193" s="183"/>
      <c r="O193" s="183"/>
      <c r="P193" s="222">
        <f>SUM(Tabela2[[#This Row],[G]]+Tabela2[[#This Row],[D]]+Tabela2[[#This Row],[N]]+Tabela2[[#This Row],[HM]])</f>
        <v>4</v>
      </c>
      <c r="Q193" s="222">
        <f>SUM(Tabela2[[#This Row],[AO]]+Tabela2[[#This Row],[AD]]+Tabela2[[#This Row],[GWO]]+Tabela2[[#This Row],[GWD]])</f>
        <v>4</v>
      </c>
      <c r="R193" s="222">
        <f>Tabela2[[#This Row],[GWO]]+Tabela2[[#This Row],[GWD]]</f>
        <v>2</v>
      </c>
      <c r="S193" s="222">
        <f>SUM(Tabela2[[#This Row],[G]:[GWD]])</f>
        <v>8</v>
      </c>
    </row>
    <row r="194" spans="1:19" ht="30">
      <c r="A194" s="225">
        <v>142</v>
      </c>
      <c r="B194" s="184" t="s">
        <v>618</v>
      </c>
      <c r="C194" s="184" t="s">
        <v>578</v>
      </c>
      <c r="D194" s="184">
        <v>3</v>
      </c>
      <c r="E194" s="184" t="s">
        <v>266</v>
      </c>
      <c r="F194" s="184">
        <v>1</v>
      </c>
      <c r="G194" s="184">
        <v>1</v>
      </c>
      <c r="H194" s="184">
        <v>1</v>
      </c>
      <c r="I194" s="184">
        <v>1</v>
      </c>
      <c r="J194" s="184">
        <v>1</v>
      </c>
      <c r="K194" s="184">
        <v>1</v>
      </c>
      <c r="L194" s="184">
        <v>1</v>
      </c>
      <c r="M194" s="184">
        <v>1</v>
      </c>
      <c r="N194" s="183"/>
      <c r="O194" s="183"/>
      <c r="P194" s="222">
        <f>SUM(Tabela2[[#This Row],[G]]+Tabela2[[#This Row],[D]]+Tabela2[[#This Row],[N]]+Tabela2[[#This Row],[HM]])</f>
        <v>4</v>
      </c>
      <c r="Q194" s="222">
        <f>SUM(Tabela2[[#This Row],[AO]]+Tabela2[[#This Row],[AD]]+Tabela2[[#This Row],[GWO]]+Tabela2[[#This Row],[GWD]])</f>
        <v>4</v>
      </c>
      <c r="R194" s="222">
        <f>Tabela2[[#This Row],[GWO]]+Tabela2[[#This Row],[GWD]]</f>
        <v>2</v>
      </c>
      <c r="S194" s="222">
        <f>SUM(Tabela2[[#This Row],[G]:[GWD]])</f>
        <v>8</v>
      </c>
    </row>
    <row r="195" spans="1:19">
      <c r="A195" s="225">
        <v>143</v>
      </c>
      <c r="B195" s="184" t="s">
        <v>617</v>
      </c>
      <c r="C195" s="184" t="s">
        <v>576</v>
      </c>
      <c r="D195" s="184">
        <v>3</v>
      </c>
      <c r="E195" s="184" t="s">
        <v>266</v>
      </c>
      <c r="F195" s="184">
        <v>1</v>
      </c>
      <c r="G195" s="184">
        <v>1</v>
      </c>
      <c r="H195" s="184">
        <v>1</v>
      </c>
      <c r="I195" s="184">
        <v>1</v>
      </c>
      <c r="J195" s="184">
        <v>1</v>
      </c>
      <c r="K195" s="184">
        <v>2</v>
      </c>
      <c r="L195" s="184">
        <v>1</v>
      </c>
      <c r="M195" s="184">
        <v>1</v>
      </c>
      <c r="N195" s="183"/>
      <c r="O195" s="183"/>
      <c r="P195" s="222">
        <f>SUM(Tabela2[[#This Row],[G]]+Tabela2[[#This Row],[D]]+Tabela2[[#This Row],[N]]+Tabela2[[#This Row],[HM]])</f>
        <v>5</v>
      </c>
      <c r="Q195" s="222">
        <f>SUM(Tabela2[[#This Row],[AO]]+Tabela2[[#This Row],[AD]]+Tabela2[[#This Row],[GWO]]+Tabela2[[#This Row],[GWD]])</f>
        <v>4</v>
      </c>
      <c r="R195" s="222">
        <f>Tabela2[[#This Row],[GWO]]+Tabela2[[#This Row],[GWD]]</f>
        <v>2</v>
      </c>
      <c r="S195" s="222">
        <f>SUM(Tabela2[[#This Row],[G]:[GWD]])</f>
        <v>9</v>
      </c>
    </row>
    <row r="196" spans="1:19" ht="30">
      <c r="A196" s="225">
        <v>144</v>
      </c>
      <c r="B196" s="184" t="s">
        <v>616</v>
      </c>
      <c r="C196" s="184" t="s">
        <v>427</v>
      </c>
      <c r="D196" s="184">
        <v>3</v>
      </c>
      <c r="E196" s="184" t="s">
        <v>266</v>
      </c>
      <c r="F196" s="184">
        <v>1</v>
      </c>
      <c r="G196" s="184">
        <v>1</v>
      </c>
      <c r="H196" s="184">
        <v>1</v>
      </c>
      <c r="I196" s="184">
        <v>1</v>
      </c>
      <c r="J196" s="184">
        <v>1</v>
      </c>
      <c r="K196" s="184">
        <v>2</v>
      </c>
      <c r="L196" s="184">
        <v>2</v>
      </c>
      <c r="M196" s="184">
        <v>1</v>
      </c>
      <c r="N196" s="183"/>
      <c r="O196" s="183"/>
      <c r="P196" s="222">
        <f>SUM(Tabela2[[#This Row],[G]]+Tabela2[[#This Row],[D]]+Tabela2[[#This Row],[N]]+Tabela2[[#This Row],[HM]])</f>
        <v>5</v>
      </c>
      <c r="Q196" s="222">
        <f>SUM(Tabela2[[#This Row],[AO]]+Tabela2[[#This Row],[AD]]+Tabela2[[#This Row],[GWO]]+Tabela2[[#This Row],[GWD]])</f>
        <v>5</v>
      </c>
      <c r="R196" s="222">
        <f>Tabela2[[#This Row],[GWO]]+Tabela2[[#This Row],[GWD]]</f>
        <v>3</v>
      </c>
      <c r="S196" s="222">
        <f>SUM(Tabela2[[#This Row],[G]:[GWD]])</f>
        <v>10</v>
      </c>
    </row>
    <row r="197" spans="1:19">
      <c r="A197" s="225">
        <v>145</v>
      </c>
      <c r="B197" s="184" t="s">
        <v>615</v>
      </c>
      <c r="C197" s="184" t="s">
        <v>298</v>
      </c>
      <c r="D197" s="184">
        <v>3</v>
      </c>
      <c r="E197" s="184" t="s">
        <v>266</v>
      </c>
      <c r="F197" s="184">
        <v>1</v>
      </c>
      <c r="G197" s="184">
        <v>1</v>
      </c>
      <c r="H197" s="184">
        <v>1</v>
      </c>
      <c r="I197" s="184">
        <v>1</v>
      </c>
      <c r="J197" s="184">
        <v>1</v>
      </c>
      <c r="K197" s="184">
        <v>2</v>
      </c>
      <c r="L197" s="184">
        <v>1</v>
      </c>
      <c r="M197" s="184">
        <v>1</v>
      </c>
      <c r="N197" s="183"/>
      <c r="O197" s="183"/>
      <c r="P197" s="222">
        <f>SUM(Tabela2[[#This Row],[G]]+Tabela2[[#This Row],[D]]+Tabela2[[#This Row],[N]]+Tabela2[[#This Row],[HM]])</f>
        <v>5</v>
      </c>
      <c r="Q197" s="222">
        <f>SUM(Tabela2[[#This Row],[AO]]+Tabela2[[#This Row],[AD]]+Tabela2[[#This Row],[GWO]]+Tabela2[[#This Row],[GWD]])</f>
        <v>4</v>
      </c>
      <c r="R197" s="222">
        <f>Tabela2[[#This Row],[GWO]]+Tabela2[[#This Row],[GWD]]</f>
        <v>2</v>
      </c>
      <c r="S197" s="222">
        <f>SUM(Tabela2[[#This Row],[G]:[GWD]])</f>
        <v>9</v>
      </c>
    </row>
    <row r="198" spans="1:19">
      <c r="A198" s="225">
        <v>146</v>
      </c>
      <c r="B198" s="184" t="s">
        <v>614</v>
      </c>
      <c r="C198" s="184" t="s">
        <v>567</v>
      </c>
      <c r="D198" s="184">
        <v>3</v>
      </c>
      <c r="E198" s="184" t="s">
        <v>266</v>
      </c>
      <c r="F198" s="184">
        <v>2</v>
      </c>
      <c r="G198" s="184">
        <v>1</v>
      </c>
      <c r="H198" s="184">
        <v>1</v>
      </c>
      <c r="I198" s="184">
        <v>2</v>
      </c>
      <c r="J198" s="184">
        <v>2</v>
      </c>
      <c r="K198" s="184">
        <v>3</v>
      </c>
      <c r="L198" s="184">
        <v>2</v>
      </c>
      <c r="M198" s="184">
        <v>1</v>
      </c>
      <c r="N198" s="183"/>
      <c r="O198" s="183"/>
      <c r="P198" s="222">
        <f>SUM(Tabela2[[#This Row],[G]]+Tabela2[[#This Row],[D]]+Tabela2[[#This Row],[N]]+Tabela2[[#This Row],[HM]])</f>
        <v>7</v>
      </c>
      <c r="Q198" s="222">
        <f>SUM(Tabela2[[#This Row],[AO]]+Tabela2[[#This Row],[AD]]+Tabela2[[#This Row],[GWO]]+Tabela2[[#This Row],[GWD]])</f>
        <v>7</v>
      </c>
      <c r="R198" s="222">
        <f>Tabela2[[#This Row],[GWO]]+Tabela2[[#This Row],[GWD]]</f>
        <v>3</v>
      </c>
      <c r="S198" s="222">
        <f>SUM(Tabela2[[#This Row],[G]:[GWD]])</f>
        <v>14</v>
      </c>
    </row>
    <row r="199" spans="1:19">
      <c r="A199" s="225">
        <v>149</v>
      </c>
      <c r="B199" s="184" t="s">
        <v>611</v>
      </c>
      <c r="C199" s="184" t="s">
        <v>561</v>
      </c>
      <c r="D199" s="184">
        <v>3</v>
      </c>
      <c r="E199" s="184" t="s">
        <v>266</v>
      </c>
      <c r="F199" s="184">
        <v>1</v>
      </c>
      <c r="G199" s="184">
        <v>1</v>
      </c>
      <c r="H199" s="184">
        <v>1</v>
      </c>
      <c r="I199" s="184">
        <v>1</v>
      </c>
      <c r="J199" s="184">
        <v>1</v>
      </c>
      <c r="K199" s="184">
        <v>1</v>
      </c>
      <c r="L199" s="184">
        <v>1</v>
      </c>
      <c r="M199" s="184">
        <v>1</v>
      </c>
      <c r="N199" s="183"/>
      <c r="O199" s="183"/>
      <c r="P199" s="222">
        <f>SUM(Tabela2[[#This Row],[G]]+Tabela2[[#This Row],[D]]+Tabela2[[#This Row],[N]]+Tabela2[[#This Row],[HM]])</f>
        <v>4</v>
      </c>
      <c r="Q199" s="222">
        <f>SUM(Tabela2[[#This Row],[AO]]+Tabela2[[#This Row],[AD]]+Tabela2[[#This Row],[GWO]]+Tabela2[[#This Row],[GWD]])</f>
        <v>4</v>
      </c>
      <c r="R199" s="222">
        <f>Tabela2[[#This Row],[GWO]]+Tabela2[[#This Row],[GWD]]</f>
        <v>2</v>
      </c>
      <c r="S199" s="222">
        <f>SUM(Tabela2[[#This Row],[G]:[GWD]])</f>
        <v>8</v>
      </c>
    </row>
    <row r="200" spans="1:19">
      <c r="A200" s="225">
        <v>150</v>
      </c>
      <c r="B200" s="184" t="s">
        <v>610</v>
      </c>
      <c r="C200" s="184" t="s">
        <v>609</v>
      </c>
      <c r="D200" s="184">
        <v>3</v>
      </c>
      <c r="E200" s="184" t="s">
        <v>266</v>
      </c>
      <c r="F200" s="184">
        <v>1</v>
      </c>
      <c r="G200" s="184">
        <v>1</v>
      </c>
      <c r="H200" s="184">
        <v>1</v>
      </c>
      <c r="I200" s="184">
        <v>1</v>
      </c>
      <c r="J200" s="184">
        <v>1</v>
      </c>
      <c r="K200" s="184">
        <v>1</v>
      </c>
      <c r="L200" s="184">
        <v>1</v>
      </c>
      <c r="M200" s="184">
        <v>1</v>
      </c>
      <c r="N200" s="183"/>
      <c r="O200" s="183"/>
      <c r="P200" s="222">
        <f>SUM(Tabela2[[#This Row],[G]]+Tabela2[[#This Row],[D]]+Tabela2[[#This Row],[N]]+Tabela2[[#This Row],[HM]])</f>
        <v>4</v>
      </c>
      <c r="Q200" s="222">
        <f>SUM(Tabela2[[#This Row],[AO]]+Tabela2[[#This Row],[AD]]+Tabela2[[#This Row],[GWO]]+Tabela2[[#This Row],[GWD]])</f>
        <v>4</v>
      </c>
      <c r="R200" s="222">
        <f>Tabela2[[#This Row],[GWO]]+Tabela2[[#This Row],[GWD]]</f>
        <v>2</v>
      </c>
      <c r="S200" s="222">
        <f>SUM(Tabela2[[#This Row],[G]:[GWD]])</f>
        <v>8</v>
      </c>
    </row>
    <row r="201" spans="1:19" ht="30">
      <c r="A201" s="225">
        <v>151</v>
      </c>
      <c r="B201" s="184" t="s">
        <v>608</v>
      </c>
      <c r="C201" s="184" t="s">
        <v>559</v>
      </c>
      <c r="D201" s="184">
        <v>3</v>
      </c>
      <c r="E201" s="184" t="s">
        <v>266</v>
      </c>
      <c r="F201" s="184">
        <v>1</v>
      </c>
      <c r="G201" s="184">
        <v>1</v>
      </c>
      <c r="H201" s="184">
        <v>1</v>
      </c>
      <c r="I201" s="184">
        <v>1</v>
      </c>
      <c r="J201" s="184">
        <v>1</v>
      </c>
      <c r="K201" s="184">
        <v>1</v>
      </c>
      <c r="L201" s="184">
        <v>1</v>
      </c>
      <c r="M201" s="184">
        <v>1</v>
      </c>
      <c r="N201" s="183"/>
      <c r="O201" s="183"/>
      <c r="P201" s="222">
        <f>SUM(Tabela2[[#This Row],[G]]+Tabela2[[#This Row],[D]]+Tabela2[[#This Row],[N]]+Tabela2[[#This Row],[HM]])</f>
        <v>4</v>
      </c>
      <c r="Q201" s="222">
        <f>SUM(Tabela2[[#This Row],[AO]]+Tabela2[[#This Row],[AD]]+Tabela2[[#This Row],[GWO]]+Tabela2[[#This Row],[GWD]])</f>
        <v>4</v>
      </c>
      <c r="R201" s="222">
        <f>Tabela2[[#This Row],[GWO]]+Tabela2[[#This Row],[GWD]]</f>
        <v>2</v>
      </c>
      <c r="S201" s="222">
        <f>SUM(Tabela2[[#This Row],[G]:[GWD]])</f>
        <v>8</v>
      </c>
    </row>
    <row r="202" spans="1:19" ht="30">
      <c r="A202" s="225">
        <v>152</v>
      </c>
      <c r="B202" s="184" t="s">
        <v>607</v>
      </c>
      <c r="C202" s="184" t="s">
        <v>557</v>
      </c>
      <c r="D202" s="184">
        <v>3</v>
      </c>
      <c r="E202" s="184" t="s">
        <v>266</v>
      </c>
      <c r="F202" s="184">
        <v>1</v>
      </c>
      <c r="G202" s="184">
        <v>1</v>
      </c>
      <c r="H202" s="184">
        <v>1</v>
      </c>
      <c r="I202" s="184">
        <v>1</v>
      </c>
      <c r="J202" s="184">
        <v>1</v>
      </c>
      <c r="K202" s="184">
        <v>1</v>
      </c>
      <c r="L202" s="184">
        <v>1</v>
      </c>
      <c r="M202" s="184">
        <v>1</v>
      </c>
      <c r="N202" s="183"/>
      <c r="O202" s="183"/>
      <c r="P202" s="222">
        <f>SUM(Tabela2[[#This Row],[G]]+Tabela2[[#This Row],[D]]+Tabela2[[#This Row],[N]]+Tabela2[[#This Row],[HM]])</f>
        <v>4</v>
      </c>
      <c r="Q202" s="222">
        <f>SUM(Tabela2[[#This Row],[AO]]+Tabela2[[#This Row],[AD]]+Tabela2[[#This Row],[GWO]]+Tabela2[[#This Row],[GWD]])</f>
        <v>4</v>
      </c>
      <c r="R202" s="222">
        <f>Tabela2[[#This Row],[GWO]]+Tabela2[[#This Row],[GWD]]</f>
        <v>2</v>
      </c>
      <c r="S202" s="222">
        <f>SUM(Tabela2[[#This Row],[G]:[GWD]])</f>
        <v>8</v>
      </c>
    </row>
    <row r="203" spans="1:19">
      <c r="A203" s="225">
        <v>153</v>
      </c>
      <c r="B203" s="184" t="s">
        <v>606</v>
      </c>
      <c r="C203" s="184" t="s">
        <v>555</v>
      </c>
      <c r="D203" s="184">
        <v>3</v>
      </c>
      <c r="E203" s="184" t="s">
        <v>266</v>
      </c>
      <c r="F203" s="184">
        <v>1</v>
      </c>
      <c r="G203" s="184">
        <v>1</v>
      </c>
      <c r="H203" s="184">
        <v>1</v>
      </c>
      <c r="I203" s="184">
        <v>1</v>
      </c>
      <c r="J203" s="184">
        <v>1</v>
      </c>
      <c r="K203" s="184">
        <v>1</v>
      </c>
      <c r="L203" s="184">
        <v>1</v>
      </c>
      <c r="M203" s="184">
        <v>1</v>
      </c>
      <c r="N203" s="183"/>
      <c r="O203" s="183"/>
      <c r="P203" s="222">
        <f>SUM(Tabela2[[#This Row],[G]]+Tabela2[[#This Row],[D]]+Tabela2[[#This Row],[N]]+Tabela2[[#This Row],[HM]])</f>
        <v>4</v>
      </c>
      <c r="Q203" s="222">
        <f>SUM(Tabela2[[#This Row],[AO]]+Tabela2[[#This Row],[AD]]+Tabela2[[#This Row],[GWO]]+Tabela2[[#This Row],[GWD]])</f>
        <v>4</v>
      </c>
      <c r="R203" s="222">
        <f>Tabela2[[#This Row],[GWO]]+Tabela2[[#This Row],[GWD]]</f>
        <v>2</v>
      </c>
      <c r="S203" s="222">
        <f>SUM(Tabela2[[#This Row],[G]:[GWD]])</f>
        <v>8</v>
      </c>
    </row>
    <row r="204" spans="1:19">
      <c r="A204" s="225">
        <v>154</v>
      </c>
      <c r="B204" s="184" t="s">
        <v>605</v>
      </c>
      <c r="C204" s="184" t="s">
        <v>373</v>
      </c>
      <c r="D204" s="184">
        <v>3</v>
      </c>
      <c r="E204" s="184" t="s">
        <v>266</v>
      </c>
      <c r="F204" s="184">
        <v>1</v>
      </c>
      <c r="G204" s="184">
        <v>1</v>
      </c>
      <c r="H204" s="184">
        <v>1</v>
      </c>
      <c r="I204" s="184">
        <v>1</v>
      </c>
      <c r="J204" s="184">
        <v>1</v>
      </c>
      <c r="K204" s="184">
        <v>1</v>
      </c>
      <c r="L204" s="184">
        <v>1</v>
      </c>
      <c r="M204" s="184">
        <v>1</v>
      </c>
      <c r="N204" s="183"/>
      <c r="O204" s="183"/>
      <c r="P204" s="222">
        <f>SUM(Tabela2[[#This Row],[G]]+Tabela2[[#This Row],[D]]+Tabela2[[#This Row],[N]]+Tabela2[[#This Row],[HM]])</f>
        <v>4</v>
      </c>
      <c r="Q204" s="222">
        <f>SUM(Tabela2[[#This Row],[AO]]+Tabela2[[#This Row],[AD]]+Tabela2[[#This Row],[GWO]]+Tabela2[[#This Row],[GWD]])</f>
        <v>4</v>
      </c>
      <c r="R204" s="222">
        <f>Tabela2[[#This Row],[GWO]]+Tabela2[[#This Row],[GWD]]</f>
        <v>2</v>
      </c>
      <c r="S204" s="222">
        <f>SUM(Tabela2[[#This Row],[G]:[GWD]])</f>
        <v>8</v>
      </c>
    </row>
    <row r="205" spans="1:19" ht="30">
      <c r="A205" s="225">
        <v>155</v>
      </c>
      <c r="B205" s="184" t="s">
        <v>604</v>
      </c>
      <c r="C205" s="184" t="s">
        <v>553</v>
      </c>
      <c r="D205" s="184">
        <v>3</v>
      </c>
      <c r="E205" s="184" t="s">
        <v>266</v>
      </c>
      <c r="F205" s="184">
        <v>1</v>
      </c>
      <c r="G205" s="184">
        <v>1</v>
      </c>
      <c r="H205" s="184">
        <v>1</v>
      </c>
      <c r="I205" s="184">
        <v>1</v>
      </c>
      <c r="J205" s="184">
        <v>1</v>
      </c>
      <c r="K205" s="184">
        <v>1</v>
      </c>
      <c r="L205" s="184">
        <v>1</v>
      </c>
      <c r="M205" s="184">
        <v>1</v>
      </c>
      <c r="N205" s="183"/>
      <c r="O205" s="183"/>
      <c r="P205" s="222">
        <f>SUM(Tabela2[[#This Row],[G]]+Tabela2[[#This Row],[D]]+Tabela2[[#This Row],[N]]+Tabela2[[#This Row],[HM]])</f>
        <v>4</v>
      </c>
      <c r="Q205" s="222">
        <f>SUM(Tabela2[[#This Row],[AO]]+Tabela2[[#This Row],[AD]]+Tabela2[[#This Row],[GWO]]+Tabela2[[#This Row],[GWD]])</f>
        <v>4</v>
      </c>
      <c r="R205" s="222">
        <f>Tabela2[[#This Row],[GWO]]+Tabela2[[#This Row],[GWD]]</f>
        <v>2</v>
      </c>
      <c r="S205" s="222">
        <f>SUM(Tabela2[[#This Row],[G]:[GWD]])</f>
        <v>8</v>
      </c>
    </row>
    <row r="206" spans="1:19">
      <c r="A206" s="225">
        <v>156</v>
      </c>
      <c r="B206" s="184" t="s">
        <v>603</v>
      </c>
      <c r="C206" s="184" t="s">
        <v>551</v>
      </c>
      <c r="D206" s="184">
        <v>3</v>
      </c>
      <c r="E206" s="184" t="s">
        <v>266</v>
      </c>
      <c r="F206" s="184">
        <v>2</v>
      </c>
      <c r="G206" s="184">
        <v>2</v>
      </c>
      <c r="H206" s="184">
        <v>1</v>
      </c>
      <c r="I206" s="184">
        <v>1</v>
      </c>
      <c r="J206" s="184">
        <v>1</v>
      </c>
      <c r="K206" s="184">
        <v>3</v>
      </c>
      <c r="L206" s="184">
        <v>2</v>
      </c>
      <c r="M206" s="184">
        <v>1</v>
      </c>
      <c r="N206" s="183"/>
      <c r="O206" s="183"/>
      <c r="P206" s="222">
        <f>SUM(Tabela2[[#This Row],[G]]+Tabela2[[#This Row],[D]]+Tabela2[[#This Row],[N]]+Tabela2[[#This Row],[HM]])</f>
        <v>8</v>
      </c>
      <c r="Q206" s="222">
        <f>SUM(Tabela2[[#This Row],[AO]]+Tabela2[[#This Row],[AD]]+Tabela2[[#This Row],[GWO]]+Tabela2[[#This Row],[GWD]])</f>
        <v>5</v>
      </c>
      <c r="R206" s="222">
        <f>Tabela2[[#This Row],[GWO]]+Tabela2[[#This Row],[GWD]]</f>
        <v>3</v>
      </c>
      <c r="S206" s="222">
        <f>SUM(Tabela2[[#This Row],[G]:[GWD]])</f>
        <v>13</v>
      </c>
    </row>
    <row r="207" spans="1:19" ht="30">
      <c r="A207" s="225">
        <v>157</v>
      </c>
      <c r="B207" s="184" t="s">
        <v>602</v>
      </c>
      <c r="C207" s="184" t="s">
        <v>549</v>
      </c>
      <c r="D207" s="184">
        <v>3</v>
      </c>
      <c r="E207" s="184" t="s">
        <v>266</v>
      </c>
      <c r="F207" s="184">
        <v>1</v>
      </c>
      <c r="G207" s="184">
        <v>1</v>
      </c>
      <c r="H207" s="184">
        <v>1</v>
      </c>
      <c r="I207" s="184">
        <v>1</v>
      </c>
      <c r="J207" s="184">
        <v>1</v>
      </c>
      <c r="K207" s="184">
        <v>1</v>
      </c>
      <c r="L207" s="184">
        <v>1</v>
      </c>
      <c r="M207" s="184">
        <v>1</v>
      </c>
      <c r="N207" s="183"/>
      <c r="O207" s="183"/>
      <c r="P207" s="222">
        <f>SUM(Tabela2[[#This Row],[G]]+Tabela2[[#This Row],[D]]+Tabela2[[#This Row],[N]]+Tabela2[[#This Row],[HM]])</f>
        <v>4</v>
      </c>
      <c r="Q207" s="222">
        <f>SUM(Tabela2[[#This Row],[AO]]+Tabela2[[#This Row],[AD]]+Tabela2[[#This Row],[GWO]]+Tabela2[[#This Row],[GWD]])</f>
        <v>4</v>
      </c>
      <c r="R207" s="222">
        <f>Tabela2[[#This Row],[GWO]]+Tabela2[[#This Row],[GWD]]</f>
        <v>2</v>
      </c>
      <c r="S207" s="222">
        <f>SUM(Tabela2[[#This Row],[G]:[GWD]])</f>
        <v>8</v>
      </c>
    </row>
    <row r="208" spans="1:19" ht="30">
      <c r="A208" s="225">
        <v>158</v>
      </c>
      <c r="B208" s="184" t="s">
        <v>601</v>
      </c>
      <c r="C208" s="184" t="s">
        <v>547</v>
      </c>
      <c r="D208" s="184">
        <v>3</v>
      </c>
      <c r="E208" s="184" t="s">
        <v>266</v>
      </c>
      <c r="F208" s="184">
        <v>1</v>
      </c>
      <c r="G208" s="184">
        <v>1</v>
      </c>
      <c r="H208" s="184">
        <v>1</v>
      </c>
      <c r="I208" s="184">
        <v>1</v>
      </c>
      <c r="J208" s="184">
        <v>1</v>
      </c>
      <c r="K208" s="184">
        <v>1</v>
      </c>
      <c r="L208" s="184">
        <v>1</v>
      </c>
      <c r="M208" s="184">
        <v>1</v>
      </c>
      <c r="N208" s="183"/>
      <c r="O208" s="183"/>
      <c r="P208" s="222">
        <f>SUM(Tabela2[[#This Row],[G]]+Tabela2[[#This Row],[D]]+Tabela2[[#This Row],[N]]+Tabela2[[#This Row],[HM]])</f>
        <v>4</v>
      </c>
      <c r="Q208" s="222">
        <f>SUM(Tabela2[[#This Row],[AO]]+Tabela2[[#This Row],[AD]]+Tabela2[[#This Row],[GWO]]+Tabela2[[#This Row],[GWD]])</f>
        <v>4</v>
      </c>
      <c r="R208" s="222">
        <f>Tabela2[[#This Row],[GWO]]+Tabela2[[#This Row],[GWD]]</f>
        <v>2</v>
      </c>
      <c r="S208" s="222">
        <f>SUM(Tabela2[[#This Row],[G]:[GWD]])</f>
        <v>8</v>
      </c>
    </row>
    <row r="209" spans="1:19" ht="30">
      <c r="A209" s="225">
        <v>159</v>
      </c>
      <c r="B209" s="184" t="s">
        <v>600</v>
      </c>
      <c r="C209" s="184" t="s">
        <v>545</v>
      </c>
      <c r="D209" s="184">
        <v>3</v>
      </c>
      <c r="E209" s="184" t="s">
        <v>266</v>
      </c>
      <c r="F209" s="184">
        <v>1</v>
      </c>
      <c r="G209" s="184">
        <v>1</v>
      </c>
      <c r="H209" s="184">
        <v>1</v>
      </c>
      <c r="I209" s="184">
        <v>1</v>
      </c>
      <c r="J209" s="184">
        <v>1</v>
      </c>
      <c r="K209" s="184">
        <v>1</v>
      </c>
      <c r="L209" s="184">
        <v>1</v>
      </c>
      <c r="M209" s="184">
        <v>1</v>
      </c>
      <c r="N209" s="183"/>
      <c r="O209" s="183"/>
      <c r="P209" s="222">
        <f>SUM(Tabela2[[#This Row],[G]]+Tabela2[[#This Row],[D]]+Tabela2[[#This Row],[N]]+Tabela2[[#This Row],[HM]])</f>
        <v>4</v>
      </c>
      <c r="Q209" s="222">
        <f>SUM(Tabela2[[#This Row],[AO]]+Tabela2[[#This Row],[AD]]+Tabela2[[#This Row],[GWO]]+Tabela2[[#This Row],[GWD]])</f>
        <v>4</v>
      </c>
      <c r="R209" s="222">
        <f>Tabela2[[#This Row],[GWO]]+Tabela2[[#This Row],[GWD]]</f>
        <v>2</v>
      </c>
      <c r="S209" s="222">
        <f>SUM(Tabela2[[#This Row],[G]:[GWD]])</f>
        <v>8</v>
      </c>
    </row>
    <row r="210" spans="1:19" ht="30">
      <c r="A210" s="225">
        <v>160</v>
      </c>
      <c r="B210" s="184" t="s">
        <v>599</v>
      </c>
      <c r="C210" s="184" t="s">
        <v>543</v>
      </c>
      <c r="D210" s="184">
        <v>3</v>
      </c>
      <c r="E210" s="184" t="s">
        <v>266</v>
      </c>
      <c r="F210" s="184">
        <v>1</v>
      </c>
      <c r="G210" s="184">
        <v>1</v>
      </c>
      <c r="H210" s="184">
        <v>1</v>
      </c>
      <c r="I210" s="184">
        <v>1</v>
      </c>
      <c r="J210" s="184">
        <v>1</v>
      </c>
      <c r="K210" s="184">
        <v>1</v>
      </c>
      <c r="L210" s="184">
        <v>1</v>
      </c>
      <c r="M210" s="184">
        <v>1</v>
      </c>
      <c r="N210" s="183"/>
      <c r="O210" s="183"/>
      <c r="P210" s="222">
        <f>SUM(Tabela2[[#This Row],[G]]+Tabela2[[#This Row],[D]]+Tabela2[[#This Row],[N]]+Tabela2[[#This Row],[HM]])</f>
        <v>4</v>
      </c>
      <c r="Q210" s="222">
        <f>SUM(Tabela2[[#This Row],[AO]]+Tabela2[[#This Row],[AD]]+Tabela2[[#This Row],[GWO]]+Tabela2[[#This Row],[GWD]])</f>
        <v>4</v>
      </c>
      <c r="R210" s="222">
        <f>Tabela2[[#This Row],[GWO]]+Tabela2[[#This Row],[GWD]]</f>
        <v>2</v>
      </c>
      <c r="S210" s="222">
        <f>SUM(Tabela2[[#This Row],[G]:[GWD]])</f>
        <v>8</v>
      </c>
    </row>
    <row r="211" spans="1:19" ht="30">
      <c r="A211" s="225">
        <v>161</v>
      </c>
      <c r="B211" s="184" t="s">
        <v>598</v>
      </c>
      <c r="C211" s="184" t="s">
        <v>541</v>
      </c>
      <c r="D211" s="184">
        <v>3</v>
      </c>
      <c r="E211" s="184" t="s">
        <v>266</v>
      </c>
      <c r="F211" s="184">
        <v>1</v>
      </c>
      <c r="G211" s="184">
        <v>1</v>
      </c>
      <c r="H211" s="184">
        <v>1</v>
      </c>
      <c r="I211" s="184">
        <v>1</v>
      </c>
      <c r="J211" s="184">
        <v>1</v>
      </c>
      <c r="K211" s="184">
        <v>1</v>
      </c>
      <c r="L211" s="184">
        <v>1</v>
      </c>
      <c r="M211" s="184">
        <v>1</v>
      </c>
      <c r="N211" s="183"/>
      <c r="O211" s="183"/>
      <c r="P211" s="222">
        <f>SUM(Tabela2[[#This Row],[G]]+Tabela2[[#This Row],[D]]+Tabela2[[#This Row],[N]]+Tabela2[[#This Row],[HM]])</f>
        <v>4</v>
      </c>
      <c r="Q211" s="222">
        <f>SUM(Tabela2[[#This Row],[AO]]+Tabela2[[#This Row],[AD]]+Tabela2[[#This Row],[GWO]]+Tabela2[[#This Row],[GWD]])</f>
        <v>4</v>
      </c>
      <c r="R211" s="222">
        <f>Tabela2[[#This Row],[GWO]]+Tabela2[[#This Row],[GWD]]</f>
        <v>2</v>
      </c>
      <c r="S211" s="222">
        <f>SUM(Tabela2[[#This Row],[G]:[GWD]])</f>
        <v>8</v>
      </c>
    </row>
    <row r="212" spans="1:19">
      <c r="A212" s="225">
        <v>162</v>
      </c>
      <c r="B212" s="184" t="s">
        <v>597</v>
      </c>
      <c r="C212" s="184" t="s">
        <v>299</v>
      </c>
      <c r="D212" s="184">
        <v>3</v>
      </c>
      <c r="E212" s="184" t="s">
        <v>266</v>
      </c>
      <c r="F212" s="184">
        <v>1</v>
      </c>
      <c r="G212" s="184">
        <v>1</v>
      </c>
      <c r="H212" s="184">
        <v>1</v>
      </c>
      <c r="I212" s="184">
        <v>1</v>
      </c>
      <c r="J212" s="184">
        <v>1</v>
      </c>
      <c r="K212" s="184">
        <v>1</v>
      </c>
      <c r="L212" s="184">
        <v>1</v>
      </c>
      <c r="M212" s="184">
        <v>1</v>
      </c>
      <c r="N212" s="183"/>
      <c r="O212" s="183"/>
      <c r="P212" s="222">
        <f>SUM(Tabela2[[#This Row],[G]]+Tabela2[[#This Row],[D]]+Tabela2[[#This Row],[N]]+Tabela2[[#This Row],[HM]])</f>
        <v>4</v>
      </c>
      <c r="Q212" s="222">
        <f>SUM(Tabela2[[#This Row],[AO]]+Tabela2[[#This Row],[AD]]+Tabela2[[#This Row],[GWO]]+Tabela2[[#This Row],[GWD]])</f>
        <v>4</v>
      </c>
      <c r="R212" s="222">
        <f>Tabela2[[#This Row],[GWO]]+Tabela2[[#This Row],[GWD]]</f>
        <v>2</v>
      </c>
      <c r="S212" s="222">
        <f>SUM(Tabela2[[#This Row],[G]:[GWD]])</f>
        <v>8</v>
      </c>
    </row>
    <row r="213" spans="1:19">
      <c r="A213" s="225">
        <v>163</v>
      </c>
      <c r="B213" s="184" t="s">
        <v>596</v>
      </c>
      <c r="C213" s="184" t="s">
        <v>391</v>
      </c>
      <c r="D213" s="184">
        <v>3</v>
      </c>
      <c r="E213" s="184" t="s">
        <v>266</v>
      </c>
      <c r="F213" s="184">
        <v>1</v>
      </c>
      <c r="G213" s="184">
        <v>1</v>
      </c>
      <c r="H213" s="184">
        <v>1</v>
      </c>
      <c r="I213" s="184">
        <v>1</v>
      </c>
      <c r="J213" s="184">
        <v>1</v>
      </c>
      <c r="K213" s="184">
        <v>1</v>
      </c>
      <c r="L213" s="184">
        <v>1</v>
      </c>
      <c r="M213" s="184">
        <v>1</v>
      </c>
      <c r="N213" s="183"/>
      <c r="O213" s="183"/>
      <c r="P213" s="222">
        <f>SUM(Tabela2[[#This Row],[G]]+Tabela2[[#This Row],[D]]+Tabela2[[#This Row],[N]]+Tabela2[[#This Row],[HM]])</f>
        <v>4</v>
      </c>
      <c r="Q213" s="222">
        <f>SUM(Tabela2[[#This Row],[AO]]+Tabela2[[#This Row],[AD]]+Tabela2[[#This Row],[GWO]]+Tabela2[[#This Row],[GWD]])</f>
        <v>4</v>
      </c>
      <c r="R213" s="222">
        <f>Tabela2[[#This Row],[GWO]]+Tabela2[[#This Row],[GWD]]</f>
        <v>2</v>
      </c>
      <c r="S213" s="222">
        <f>SUM(Tabela2[[#This Row],[G]:[GWD]])</f>
        <v>8</v>
      </c>
    </row>
    <row r="214" spans="1:19">
      <c r="A214" s="225">
        <v>164</v>
      </c>
      <c r="B214" s="184" t="s">
        <v>595</v>
      </c>
      <c r="C214" s="184" t="s">
        <v>282</v>
      </c>
      <c r="D214" s="184">
        <v>3</v>
      </c>
      <c r="E214" s="184" t="s">
        <v>266</v>
      </c>
      <c r="F214" s="184">
        <v>1</v>
      </c>
      <c r="G214" s="184">
        <v>1</v>
      </c>
      <c r="H214" s="184">
        <v>1</v>
      </c>
      <c r="I214" s="184">
        <v>2</v>
      </c>
      <c r="J214" s="184">
        <v>3</v>
      </c>
      <c r="K214" s="184">
        <v>2</v>
      </c>
      <c r="L214" s="184">
        <v>3</v>
      </c>
      <c r="M214" s="184">
        <v>3</v>
      </c>
      <c r="N214" s="183"/>
      <c r="O214" s="183"/>
      <c r="P214" s="222">
        <f>SUM(Tabela2[[#This Row],[G]]+Tabela2[[#This Row],[D]]+Tabela2[[#This Row],[N]]+Tabela2[[#This Row],[HM]])</f>
        <v>5</v>
      </c>
      <c r="Q214" s="222">
        <f>SUM(Tabela2[[#This Row],[AO]]+Tabela2[[#This Row],[AD]]+Tabela2[[#This Row],[GWO]]+Tabela2[[#This Row],[GWD]])</f>
        <v>11</v>
      </c>
      <c r="R214" s="222">
        <f>Tabela2[[#This Row],[GWO]]+Tabela2[[#This Row],[GWD]]</f>
        <v>6</v>
      </c>
      <c r="S214" s="222">
        <f>SUM(Tabela2[[#This Row],[G]:[GWD]])</f>
        <v>16</v>
      </c>
    </row>
    <row r="215" spans="1:19">
      <c r="A215" s="225">
        <v>165</v>
      </c>
      <c r="B215" s="184" t="s">
        <v>594</v>
      </c>
      <c r="C215" s="184" t="s">
        <v>593</v>
      </c>
      <c r="D215" s="184">
        <v>3</v>
      </c>
      <c r="E215" s="184" t="s">
        <v>266</v>
      </c>
      <c r="F215" s="184">
        <v>1</v>
      </c>
      <c r="G215" s="184">
        <v>1</v>
      </c>
      <c r="H215" s="184">
        <v>1</v>
      </c>
      <c r="I215" s="184">
        <v>1</v>
      </c>
      <c r="J215" s="184">
        <v>1</v>
      </c>
      <c r="K215" s="184">
        <v>1</v>
      </c>
      <c r="L215" s="184">
        <v>1</v>
      </c>
      <c r="M215" s="184">
        <v>1</v>
      </c>
      <c r="N215" s="183"/>
      <c r="O215" s="183"/>
      <c r="P215" s="222">
        <f>SUM(Tabela2[[#This Row],[G]]+Tabela2[[#This Row],[D]]+Tabela2[[#This Row],[N]]+Tabela2[[#This Row],[HM]])</f>
        <v>4</v>
      </c>
      <c r="Q215" s="222">
        <f>SUM(Tabela2[[#This Row],[AO]]+Tabela2[[#This Row],[AD]]+Tabela2[[#This Row],[GWO]]+Tabela2[[#This Row],[GWD]])</f>
        <v>4</v>
      </c>
      <c r="R215" s="222">
        <f>Tabela2[[#This Row],[GWO]]+Tabela2[[#This Row],[GWD]]</f>
        <v>2</v>
      </c>
      <c r="S215" s="222">
        <f>SUM(Tabela2[[#This Row],[G]:[GWD]])</f>
        <v>8</v>
      </c>
    </row>
    <row r="216" spans="1:19">
      <c r="A216" s="225">
        <v>166</v>
      </c>
      <c r="B216" s="184" t="s">
        <v>592</v>
      </c>
      <c r="C216" s="184" t="s">
        <v>536</v>
      </c>
      <c r="D216" s="184">
        <v>3</v>
      </c>
      <c r="E216" s="184" t="s">
        <v>266</v>
      </c>
      <c r="F216" s="184">
        <v>1</v>
      </c>
      <c r="G216" s="184">
        <v>1</v>
      </c>
      <c r="H216" s="184">
        <v>1</v>
      </c>
      <c r="I216" s="184">
        <v>1</v>
      </c>
      <c r="J216" s="184">
        <v>2</v>
      </c>
      <c r="K216" s="184">
        <v>1</v>
      </c>
      <c r="L216" s="184">
        <v>1</v>
      </c>
      <c r="M216" s="184">
        <v>3</v>
      </c>
      <c r="N216" s="183"/>
      <c r="O216" s="183"/>
      <c r="P216" s="222">
        <f>SUM(Tabela2[[#This Row],[G]]+Tabela2[[#This Row],[D]]+Tabela2[[#This Row],[N]]+Tabela2[[#This Row],[HM]])</f>
        <v>4</v>
      </c>
      <c r="Q216" s="222">
        <f>SUM(Tabela2[[#This Row],[AO]]+Tabela2[[#This Row],[AD]]+Tabela2[[#This Row],[GWO]]+Tabela2[[#This Row],[GWD]])</f>
        <v>7</v>
      </c>
      <c r="R216" s="222">
        <f>Tabela2[[#This Row],[GWO]]+Tabela2[[#This Row],[GWD]]</f>
        <v>4</v>
      </c>
      <c r="S216" s="222">
        <f>SUM(Tabela2[[#This Row],[G]:[GWD]])</f>
        <v>11</v>
      </c>
    </row>
    <row r="217" spans="1:19">
      <c r="A217" s="225">
        <v>167</v>
      </c>
      <c r="B217" s="184" t="s">
        <v>591</v>
      </c>
      <c r="C217" s="184" t="s">
        <v>302</v>
      </c>
      <c r="D217" s="184">
        <v>3</v>
      </c>
      <c r="E217" s="184" t="s">
        <v>266</v>
      </c>
      <c r="F217" s="184">
        <v>1</v>
      </c>
      <c r="G217" s="184">
        <v>1</v>
      </c>
      <c r="H217" s="184">
        <v>1</v>
      </c>
      <c r="I217" s="184">
        <v>1</v>
      </c>
      <c r="J217" s="184">
        <v>1</v>
      </c>
      <c r="K217" s="184">
        <v>1</v>
      </c>
      <c r="L217" s="184">
        <v>1</v>
      </c>
      <c r="M217" s="184">
        <v>1</v>
      </c>
      <c r="N217" s="184" t="s">
        <v>460</v>
      </c>
      <c r="O217" s="184"/>
      <c r="P217" s="229">
        <f>SUM(Tabela2[[#This Row],[G]]+Tabela2[[#This Row],[D]]+Tabela2[[#This Row],[N]]+Tabela2[[#This Row],[HM]])</f>
        <v>4</v>
      </c>
      <c r="Q217" s="229">
        <f>SUM(Tabela2[[#This Row],[AO]]+Tabela2[[#This Row],[AD]]+Tabela2[[#This Row],[GWO]]+Tabela2[[#This Row],[GWD]])</f>
        <v>4</v>
      </c>
      <c r="R217" s="229">
        <f>Tabela2[[#This Row],[GWO]]+Tabela2[[#This Row],[GWD]]</f>
        <v>2</v>
      </c>
      <c r="S217" s="222">
        <f>SUM(Tabela2[[#This Row],[G]:[GWD]])</f>
        <v>8</v>
      </c>
    </row>
    <row r="218" spans="1:19" ht="30">
      <c r="A218" s="225">
        <v>169</v>
      </c>
      <c r="B218" s="183" t="s">
        <v>588</v>
      </c>
      <c r="C218" s="183" t="s">
        <v>587</v>
      </c>
      <c r="D218" s="183">
        <v>3</v>
      </c>
      <c r="E218" s="183" t="s">
        <v>287</v>
      </c>
      <c r="F218" s="183">
        <v>1</v>
      </c>
      <c r="G218" s="183">
        <v>1</v>
      </c>
      <c r="H218" s="183">
        <v>1</v>
      </c>
      <c r="I218" s="183">
        <v>1</v>
      </c>
      <c r="J218" s="183">
        <v>1</v>
      </c>
      <c r="K218" s="183">
        <v>1</v>
      </c>
      <c r="L218" s="183">
        <v>4</v>
      </c>
      <c r="M218" s="183">
        <v>2</v>
      </c>
      <c r="N218" s="183"/>
      <c r="O218" s="183"/>
      <c r="P218" s="222">
        <f>SUM(Tabela2[[#This Row],[G]]+Tabela2[[#This Row],[D]]+Tabela2[[#This Row],[N]]+Tabela2[[#This Row],[HM]])</f>
        <v>4</v>
      </c>
      <c r="Q218" s="222">
        <f>SUM(Tabela2[[#This Row],[AO]]+Tabela2[[#This Row],[AD]]+Tabela2[[#This Row],[GWO]]+Tabela2[[#This Row],[GWD]])</f>
        <v>8</v>
      </c>
      <c r="R218" s="222">
        <f>Tabela2[[#This Row],[GWO]]+Tabela2[[#This Row],[GWD]]</f>
        <v>6</v>
      </c>
      <c r="S218" s="222">
        <f>SUM(Tabela2[[#This Row],[G]:[GWD]])</f>
        <v>12</v>
      </c>
    </row>
    <row r="219" spans="1:19">
      <c r="A219" s="225">
        <v>170</v>
      </c>
      <c r="B219" s="183" t="s">
        <v>189</v>
      </c>
      <c r="C219" s="183" t="s">
        <v>305</v>
      </c>
      <c r="D219" s="183">
        <v>3</v>
      </c>
      <c r="E219" s="183" t="s">
        <v>287</v>
      </c>
      <c r="F219" s="183">
        <v>3</v>
      </c>
      <c r="G219" s="183">
        <v>3</v>
      </c>
      <c r="H219" s="183">
        <v>1</v>
      </c>
      <c r="I219" s="183">
        <v>2</v>
      </c>
      <c r="J219" s="183">
        <v>2</v>
      </c>
      <c r="K219" s="183">
        <v>3</v>
      </c>
      <c r="L219" s="183">
        <v>2</v>
      </c>
      <c r="M219" s="183">
        <v>2</v>
      </c>
      <c r="N219" s="183"/>
      <c r="O219" s="183" t="s">
        <v>207</v>
      </c>
      <c r="P219" s="222">
        <f>SUM(Tabela2[[#This Row],[G]]+Tabela2[[#This Row],[D]]+Tabela2[[#This Row],[N]]+Tabela2[[#This Row],[HM]])</f>
        <v>10</v>
      </c>
      <c r="Q219" s="222">
        <f>SUM(Tabela2[[#This Row],[AO]]+Tabela2[[#This Row],[AD]]+Tabela2[[#This Row],[GWO]]+Tabela2[[#This Row],[GWD]])</f>
        <v>8</v>
      </c>
      <c r="R219" s="222">
        <f>Tabela2[[#This Row],[GWO]]+Tabela2[[#This Row],[GWD]]</f>
        <v>4</v>
      </c>
      <c r="S219" s="222">
        <f>SUM(Tabela2[[#This Row],[G]:[GWD]])</f>
        <v>18</v>
      </c>
    </row>
    <row r="220" spans="1:19" ht="30">
      <c r="A220" s="225">
        <v>172</v>
      </c>
      <c r="B220" s="183" t="s">
        <v>584</v>
      </c>
      <c r="C220" s="183" t="s">
        <v>583</v>
      </c>
      <c r="D220" s="183">
        <v>3</v>
      </c>
      <c r="E220" s="183" t="s">
        <v>287</v>
      </c>
      <c r="F220" s="183">
        <v>1</v>
      </c>
      <c r="G220" s="183">
        <v>1</v>
      </c>
      <c r="H220" s="183">
        <v>1</v>
      </c>
      <c r="I220" s="183">
        <v>1</v>
      </c>
      <c r="J220" s="183">
        <v>1</v>
      </c>
      <c r="K220" s="183">
        <v>1</v>
      </c>
      <c r="L220" s="183">
        <v>1</v>
      </c>
      <c r="M220" s="183">
        <v>1</v>
      </c>
      <c r="N220" s="183"/>
      <c r="O220" s="183"/>
      <c r="P220" s="222">
        <f>SUM(Tabela2[[#This Row],[G]]+Tabela2[[#This Row],[D]]+Tabela2[[#This Row],[N]]+Tabela2[[#This Row],[HM]])</f>
        <v>4</v>
      </c>
      <c r="Q220" s="222">
        <f>SUM(Tabela2[[#This Row],[AO]]+Tabela2[[#This Row],[AD]]+Tabela2[[#This Row],[GWO]]+Tabela2[[#This Row],[GWD]])</f>
        <v>4</v>
      </c>
      <c r="R220" s="222">
        <f>Tabela2[[#This Row],[GWO]]+Tabela2[[#This Row],[GWD]]</f>
        <v>2</v>
      </c>
      <c r="S220" s="222">
        <f>SUM(Tabela2[[#This Row],[G]:[GWD]])</f>
        <v>8</v>
      </c>
    </row>
    <row r="221" spans="1:19" ht="30">
      <c r="A221" s="225">
        <v>173</v>
      </c>
      <c r="B221" s="183" t="s">
        <v>582</v>
      </c>
      <c r="C221" s="183" t="s">
        <v>581</v>
      </c>
      <c r="D221" s="183">
        <v>3</v>
      </c>
      <c r="E221" s="183" t="s">
        <v>287</v>
      </c>
      <c r="F221" s="183">
        <v>1</v>
      </c>
      <c r="G221" s="183">
        <v>1</v>
      </c>
      <c r="H221" s="183">
        <v>1</v>
      </c>
      <c r="I221" s="183">
        <v>1</v>
      </c>
      <c r="J221" s="183">
        <v>1</v>
      </c>
      <c r="K221" s="183">
        <v>1</v>
      </c>
      <c r="L221" s="183">
        <v>1</v>
      </c>
      <c r="M221" s="183">
        <v>1</v>
      </c>
      <c r="N221" s="183"/>
      <c r="O221" s="183"/>
      <c r="P221" s="222">
        <f>SUM(Tabela2[[#This Row],[G]]+Tabela2[[#This Row],[D]]+Tabela2[[#This Row],[N]]+Tabela2[[#This Row],[HM]])</f>
        <v>4</v>
      </c>
      <c r="Q221" s="222">
        <f>SUM(Tabela2[[#This Row],[AO]]+Tabela2[[#This Row],[AD]]+Tabela2[[#This Row],[GWO]]+Tabela2[[#This Row],[GWD]])</f>
        <v>4</v>
      </c>
      <c r="R221" s="222">
        <f>Tabela2[[#This Row],[GWO]]+Tabela2[[#This Row],[GWD]]</f>
        <v>2</v>
      </c>
      <c r="S221" s="222">
        <f>SUM(Tabela2[[#This Row],[G]:[GWD]])</f>
        <v>8</v>
      </c>
    </row>
    <row r="222" spans="1:19" ht="30">
      <c r="A222" s="225">
        <v>175</v>
      </c>
      <c r="B222" s="183" t="s">
        <v>579</v>
      </c>
      <c r="C222" s="183" t="s">
        <v>578</v>
      </c>
      <c r="D222" s="183">
        <v>3</v>
      </c>
      <c r="E222" s="183" t="s">
        <v>287</v>
      </c>
      <c r="F222" s="183">
        <v>1</v>
      </c>
      <c r="G222" s="183">
        <v>1</v>
      </c>
      <c r="H222" s="183">
        <v>1</v>
      </c>
      <c r="I222" s="183">
        <v>1</v>
      </c>
      <c r="J222" s="183">
        <v>1</v>
      </c>
      <c r="K222" s="183">
        <v>1</v>
      </c>
      <c r="L222" s="183">
        <v>1</v>
      </c>
      <c r="M222" s="183">
        <v>1</v>
      </c>
      <c r="N222" s="183"/>
      <c r="O222" s="183"/>
      <c r="P222" s="222">
        <f>SUM(Tabela2[[#This Row],[G]]+Tabela2[[#This Row],[D]]+Tabela2[[#This Row],[N]]+Tabela2[[#This Row],[HM]])</f>
        <v>4</v>
      </c>
      <c r="Q222" s="222">
        <f>SUM(Tabela2[[#This Row],[AO]]+Tabela2[[#This Row],[AD]]+Tabela2[[#This Row],[GWO]]+Tabela2[[#This Row],[GWD]])</f>
        <v>4</v>
      </c>
      <c r="R222" s="222">
        <f>Tabela2[[#This Row],[GWO]]+Tabela2[[#This Row],[GWD]]</f>
        <v>2</v>
      </c>
      <c r="S222" s="222">
        <f>SUM(Tabela2[[#This Row],[G]:[GWD]])</f>
        <v>8</v>
      </c>
    </row>
    <row r="223" spans="1:19">
      <c r="A223" s="225">
        <v>176</v>
      </c>
      <c r="B223" s="183" t="s">
        <v>577</v>
      </c>
      <c r="C223" s="183" t="s">
        <v>576</v>
      </c>
      <c r="D223" s="183">
        <v>3</v>
      </c>
      <c r="E223" s="183" t="s">
        <v>287</v>
      </c>
      <c r="F223" s="183">
        <v>1</v>
      </c>
      <c r="G223" s="183">
        <v>1</v>
      </c>
      <c r="H223" s="183">
        <v>1</v>
      </c>
      <c r="I223" s="183">
        <v>1</v>
      </c>
      <c r="J223" s="183">
        <v>1</v>
      </c>
      <c r="K223" s="183">
        <v>1</v>
      </c>
      <c r="L223" s="183">
        <v>2</v>
      </c>
      <c r="M223" s="183">
        <v>1</v>
      </c>
      <c r="N223" s="183"/>
      <c r="O223" s="183"/>
      <c r="P223" s="222">
        <f>SUM(Tabela2[[#This Row],[G]]+Tabela2[[#This Row],[D]]+Tabela2[[#This Row],[N]]+Tabela2[[#This Row],[HM]])</f>
        <v>4</v>
      </c>
      <c r="Q223" s="222">
        <f>SUM(Tabela2[[#This Row],[AO]]+Tabela2[[#This Row],[AD]]+Tabela2[[#This Row],[GWO]]+Tabela2[[#This Row],[GWD]])</f>
        <v>5</v>
      </c>
      <c r="R223" s="222">
        <f>Tabela2[[#This Row],[GWO]]+Tabela2[[#This Row],[GWD]]</f>
        <v>3</v>
      </c>
      <c r="S223" s="222">
        <f>SUM(Tabela2[[#This Row],[G]:[GWD]])</f>
        <v>9</v>
      </c>
    </row>
    <row r="224" spans="1:19">
      <c r="A224" s="225">
        <v>177</v>
      </c>
      <c r="B224" s="183" t="s">
        <v>575</v>
      </c>
      <c r="C224" s="183" t="s">
        <v>574</v>
      </c>
      <c r="D224" s="183">
        <v>3</v>
      </c>
      <c r="E224" s="183" t="s">
        <v>287</v>
      </c>
      <c r="F224" s="183">
        <v>1</v>
      </c>
      <c r="G224" s="183">
        <v>1</v>
      </c>
      <c r="H224" s="183">
        <v>1</v>
      </c>
      <c r="I224" s="183">
        <v>1</v>
      </c>
      <c r="J224" s="183">
        <v>1</v>
      </c>
      <c r="K224" s="183">
        <v>3</v>
      </c>
      <c r="L224" s="183">
        <v>1</v>
      </c>
      <c r="M224" s="183">
        <v>1</v>
      </c>
      <c r="N224" s="183"/>
      <c r="O224" s="183"/>
      <c r="P224" s="222">
        <f>SUM(Tabela2[[#This Row],[G]]+Tabela2[[#This Row],[D]]+Tabela2[[#This Row],[N]]+Tabela2[[#This Row],[HM]])</f>
        <v>6</v>
      </c>
      <c r="Q224" s="222">
        <f>SUM(Tabela2[[#This Row],[AO]]+Tabela2[[#This Row],[AD]]+Tabela2[[#This Row],[GWO]]+Tabela2[[#This Row],[GWD]])</f>
        <v>4</v>
      </c>
      <c r="R224" s="222">
        <f>Tabela2[[#This Row],[GWO]]+Tabela2[[#This Row],[GWD]]</f>
        <v>2</v>
      </c>
      <c r="S224" s="222">
        <f>SUM(Tabela2[[#This Row],[G]:[GWD]])</f>
        <v>10</v>
      </c>
    </row>
    <row r="225" spans="1:19" ht="30">
      <c r="A225" s="225">
        <v>178</v>
      </c>
      <c r="B225" s="183" t="s">
        <v>573</v>
      </c>
      <c r="C225" s="183" t="s">
        <v>572</v>
      </c>
      <c r="D225" s="183">
        <v>3</v>
      </c>
      <c r="E225" s="183" t="s">
        <v>287</v>
      </c>
      <c r="F225" s="183">
        <v>1</v>
      </c>
      <c r="G225" s="183">
        <v>1</v>
      </c>
      <c r="H225" s="183">
        <v>1</v>
      </c>
      <c r="I225" s="183">
        <v>1</v>
      </c>
      <c r="J225" s="183">
        <v>1</v>
      </c>
      <c r="K225" s="183">
        <v>1</v>
      </c>
      <c r="L225" s="183">
        <v>1</v>
      </c>
      <c r="M225" s="183">
        <v>1</v>
      </c>
      <c r="N225" s="183"/>
      <c r="O225" s="183"/>
      <c r="P225" s="222">
        <f>SUM(Tabela2[[#This Row],[G]]+Tabela2[[#This Row],[D]]+Tabela2[[#This Row],[N]]+Tabela2[[#This Row],[HM]])</f>
        <v>4</v>
      </c>
      <c r="Q225" s="222">
        <f>SUM(Tabela2[[#This Row],[AO]]+Tabela2[[#This Row],[AD]]+Tabela2[[#This Row],[GWO]]+Tabela2[[#This Row],[GWD]])</f>
        <v>4</v>
      </c>
      <c r="R225" s="222">
        <f>Tabela2[[#This Row],[GWO]]+Tabela2[[#This Row],[GWD]]</f>
        <v>2</v>
      </c>
      <c r="S225" s="222">
        <f>SUM(Tabela2[[#This Row],[G]:[GWD]])</f>
        <v>8</v>
      </c>
    </row>
    <row r="226" spans="1:19">
      <c r="A226" s="225">
        <v>179</v>
      </c>
      <c r="B226" s="183" t="s">
        <v>571</v>
      </c>
      <c r="C226" s="183" t="s">
        <v>570</v>
      </c>
      <c r="D226" s="183">
        <v>3</v>
      </c>
      <c r="E226" s="183" t="s">
        <v>287</v>
      </c>
      <c r="F226" s="183">
        <v>2</v>
      </c>
      <c r="G226" s="183">
        <v>2</v>
      </c>
      <c r="H226" s="183">
        <v>1</v>
      </c>
      <c r="I226" s="183">
        <v>2</v>
      </c>
      <c r="J226" s="183">
        <v>2</v>
      </c>
      <c r="K226" s="183">
        <v>1</v>
      </c>
      <c r="L226" s="183">
        <v>2</v>
      </c>
      <c r="M226" s="183">
        <v>1</v>
      </c>
      <c r="N226" s="183"/>
      <c r="O226" s="183"/>
      <c r="P226" s="222">
        <f>SUM(Tabela2[[#This Row],[G]]+Tabela2[[#This Row],[D]]+Tabela2[[#This Row],[N]]+Tabela2[[#This Row],[HM]])</f>
        <v>6</v>
      </c>
      <c r="Q226" s="222">
        <f>SUM(Tabela2[[#This Row],[AO]]+Tabela2[[#This Row],[AD]]+Tabela2[[#This Row],[GWO]]+Tabela2[[#This Row],[GWD]])</f>
        <v>7</v>
      </c>
      <c r="R226" s="222">
        <f>Tabela2[[#This Row],[GWO]]+Tabela2[[#This Row],[GWD]]</f>
        <v>3</v>
      </c>
      <c r="S226" s="222">
        <f>SUM(Tabela2[[#This Row],[G]:[GWD]])</f>
        <v>13</v>
      </c>
    </row>
    <row r="227" spans="1:19">
      <c r="A227" s="225">
        <v>180</v>
      </c>
      <c r="B227" s="183" t="s">
        <v>569</v>
      </c>
      <c r="C227" s="183" t="s">
        <v>298</v>
      </c>
      <c r="D227" s="183">
        <v>3</v>
      </c>
      <c r="E227" s="183" t="s">
        <v>287</v>
      </c>
      <c r="F227" s="183">
        <v>1</v>
      </c>
      <c r="G227" s="183">
        <v>1</v>
      </c>
      <c r="H227" s="183">
        <v>1</v>
      </c>
      <c r="I227" s="183">
        <v>2</v>
      </c>
      <c r="J227" s="183">
        <v>1</v>
      </c>
      <c r="K227" s="183">
        <v>4</v>
      </c>
      <c r="L227" s="183">
        <v>3</v>
      </c>
      <c r="M227" s="183">
        <v>2</v>
      </c>
      <c r="N227" s="183"/>
      <c r="O227" s="183"/>
      <c r="P227" s="222">
        <f>SUM(Tabela2[[#This Row],[G]]+Tabela2[[#This Row],[D]]+Tabela2[[#This Row],[N]]+Tabela2[[#This Row],[HM]])</f>
        <v>7</v>
      </c>
      <c r="Q227" s="222">
        <f>SUM(Tabela2[[#This Row],[AO]]+Tabela2[[#This Row],[AD]]+Tabela2[[#This Row],[GWO]]+Tabela2[[#This Row],[GWD]])</f>
        <v>8</v>
      </c>
      <c r="R227" s="222">
        <f>Tabela2[[#This Row],[GWO]]+Tabela2[[#This Row],[GWD]]</f>
        <v>5</v>
      </c>
      <c r="S227" s="222">
        <f>SUM(Tabela2[[#This Row],[G]:[GWD]])</f>
        <v>15</v>
      </c>
    </row>
    <row r="228" spans="1:19">
      <c r="A228" s="225">
        <v>181</v>
      </c>
      <c r="B228" s="183" t="s">
        <v>568</v>
      </c>
      <c r="C228" s="183" t="s">
        <v>567</v>
      </c>
      <c r="D228" s="183">
        <v>3</v>
      </c>
      <c r="E228" s="183" t="s">
        <v>287</v>
      </c>
      <c r="F228" s="183">
        <v>1</v>
      </c>
      <c r="G228" s="183">
        <v>1</v>
      </c>
      <c r="H228" s="183">
        <v>1</v>
      </c>
      <c r="I228" s="183">
        <v>1</v>
      </c>
      <c r="J228" s="183">
        <v>1</v>
      </c>
      <c r="K228" s="183">
        <v>1</v>
      </c>
      <c r="L228" s="183">
        <v>1</v>
      </c>
      <c r="M228" s="183">
        <v>1</v>
      </c>
      <c r="N228" s="183"/>
      <c r="O228" s="183"/>
      <c r="P228" s="222">
        <f>SUM(Tabela2[[#This Row],[G]]+Tabela2[[#This Row],[D]]+Tabela2[[#This Row],[N]]+Tabela2[[#This Row],[HM]])</f>
        <v>4</v>
      </c>
      <c r="Q228" s="222">
        <f>SUM(Tabela2[[#This Row],[AO]]+Tabela2[[#This Row],[AD]]+Tabela2[[#This Row],[GWO]]+Tabela2[[#This Row],[GWD]])</f>
        <v>4</v>
      </c>
      <c r="R228" s="222">
        <f>Tabela2[[#This Row],[GWO]]+Tabela2[[#This Row],[GWD]]</f>
        <v>2</v>
      </c>
      <c r="S228" s="222">
        <f>SUM(Tabela2[[#This Row],[G]:[GWD]])</f>
        <v>8</v>
      </c>
    </row>
    <row r="229" spans="1:19" ht="30">
      <c r="A229" s="225">
        <v>182</v>
      </c>
      <c r="B229" s="183" t="s">
        <v>566</v>
      </c>
      <c r="C229" s="183" t="s">
        <v>565</v>
      </c>
      <c r="D229" s="183">
        <v>3</v>
      </c>
      <c r="E229" s="183" t="s">
        <v>287</v>
      </c>
      <c r="F229" s="183">
        <v>1</v>
      </c>
      <c r="G229" s="183">
        <v>1</v>
      </c>
      <c r="H229" s="183">
        <v>1</v>
      </c>
      <c r="I229" s="183">
        <v>3</v>
      </c>
      <c r="J229" s="183">
        <v>1</v>
      </c>
      <c r="K229" s="183">
        <v>3</v>
      </c>
      <c r="L229" s="183">
        <v>2</v>
      </c>
      <c r="M229" s="183">
        <v>1</v>
      </c>
      <c r="N229" s="183"/>
      <c r="O229" s="183"/>
      <c r="P229" s="222">
        <f>SUM(Tabela2[[#This Row],[G]]+Tabela2[[#This Row],[D]]+Tabela2[[#This Row],[N]]+Tabela2[[#This Row],[HM]])</f>
        <v>6</v>
      </c>
      <c r="Q229" s="222">
        <f>SUM(Tabela2[[#This Row],[AO]]+Tabela2[[#This Row],[AD]]+Tabela2[[#This Row],[GWO]]+Tabela2[[#This Row],[GWD]])</f>
        <v>7</v>
      </c>
      <c r="R229" s="222">
        <f>Tabela2[[#This Row],[GWO]]+Tabela2[[#This Row],[GWD]]</f>
        <v>3</v>
      </c>
      <c r="S229" s="222">
        <f>SUM(Tabela2[[#This Row],[G]:[GWD]])</f>
        <v>13</v>
      </c>
    </row>
    <row r="230" spans="1:19" ht="30">
      <c r="A230" s="225">
        <v>185</v>
      </c>
      <c r="B230" s="183" t="s">
        <v>560</v>
      </c>
      <c r="C230" s="183" t="s">
        <v>559</v>
      </c>
      <c r="D230" s="183">
        <v>3</v>
      </c>
      <c r="E230" s="183" t="s">
        <v>287</v>
      </c>
      <c r="F230" s="183">
        <v>1</v>
      </c>
      <c r="G230" s="183">
        <v>1</v>
      </c>
      <c r="H230" s="183">
        <v>1</v>
      </c>
      <c r="I230" s="183">
        <v>2</v>
      </c>
      <c r="J230" s="183">
        <v>1</v>
      </c>
      <c r="K230" s="183">
        <v>1</v>
      </c>
      <c r="L230" s="183">
        <v>2</v>
      </c>
      <c r="M230" s="183">
        <v>1</v>
      </c>
      <c r="N230" s="183"/>
      <c r="O230" s="183"/>
      <c r="P230" s="222">
        <f>SUM(Tabela2[[#This Row],[G]]+Tabela2[[#This Row],[D]]+Tabela2[[#This Row],[N]]+Tabela2[[#This Row],[HM]])</f>
        <v>4</v>
      </c>
      <c r="Q230" s="222">
        <f>SUM(Tabela2[[#This Row],[AO]]+Tabela2[[#This Row],[AD]]+Tabela2[[#This Row],[GWO]]+Tabela2[[#This Row],[GWD]])</f>
        <v>6</v>
      </c>
      <c r="R230" s="222">
        <f>Tabela2[[#This Row],[GWO]]+Tabela2[[#This Row],[GWD]]</f>
        <v>3</v>
      </c>
      <c r="S230" s="222">
        <f>SUM(Tabela2[[#This Row],[G]:[GWD]])</f>
        <v>10</v>
      </c>
    </row>
    <row r="231" spans="1:19" ht="30">
      <c r="A231" s="225">
        <v>186</v>
      </c>
      <c r="B231" s="183" t="s">
        <v>558</v>
      </c>
      <c r="C231" s="183" t="s">
        <v>557</v>
      </c>
      <c r="D231" s="183">
        <v>3</v>
      </c>
      <c r="E231" s="183" t="s">
        <v>287</v>
      </c>
      <c r="F231" s="183">
        <v>1</v>
      </c>
      <c r="G231" s="183">
        <v>1</v>
      </c>
      <c r="H231" s="183">
        <v>1</v>
      </c>
      <c r="I231" s="183">
        <v>1</v>
      </c>
      <c r="J231" s="183">
        <v>1</v>
      </c>
      <c r="K231" s="183">
        <v>1</v>
      </c>
      <c r="L231" s="183">
        <v>1</v>
      </c>
      <c r="M231" s="183">
        <v>1</v>
      </c>
      <c r="N231" s="183"/>
      <c r="O231" s="183"/>
      <c r="P231" s="222">
        <f>SUM(Tabela2[[#This Row],[G]]+Tabela2[[#This Row],[D]]+Tabela2[[#This Row],[N]]+Tabela2[[#This Row],[HM]])</f>
        <v>4</v>
      </c>
      <c r="Q231" s="222">
        <f>SUM(Tabela2[[#This Row],[AO]]+Tabela2[[#This Row],[AD]]+Tabela2[[#This Row],[GWO]]+Tabela2[[#This Row],[GWD]])</f>
        <v>4</v>
      </c>
      <c r="R231" s="222">
        <f>Tabela2[[#This Row],[GWO]]+Tabela2[[#This Row],[GWD]]</f>
        <v>2</v>
      </c>
      <c r="S231" s="222">
        <f>SUM(Tabela2[[#This Row],[G]:[GWD]])</f>
        <v>8</v>
      </c>
    </row>
    <row r="232" spans="1:19">
      <c r="A232" s="225">
        <v>187</v>
      </c>
      <c r="B232" s="183" t="s">
        <v>556</v>
      </c>
      <c r="C232" s="183" t="s">
        <v>555</v>
      </c>
      <c r="D232" s="183">
        <v>3</v>
      </c>
      <c r="E232" s="183" t="s">
        <v>287</v>
      </c>
      <c r="F232" s="183">
        <v>1</v>
      </c>
      <c r="G232" s="183">
        <v>1</v>
      </c>
      <c r="H232" s="183">
        <v>1</v>
      </c>
      <c r="I232" s="183">
        <v>1</v>
      </c>
      <c r="J232" s="183">
        <v>1</v>
      </c>
      <c r="K232" s="183">
        <v>1</v>
      </c>
      <c r="L232" s="183">
        <v>1</v>
      </c>
      <c r="M232" s="183">
        <v>1</v>
      </c>
      <c r="N232" s="183"/>
      <c r="O232" s="183"/>
      <c r="P232" s="222">
        <f>SUM(Tabela2[[#This Row],[G]]+Tabela2[[#This Row],[D]]+Tabela2[[#This Row],[N]]+Tabela2[[#This Row],[HM]])</f>
        <v>4</v>
      </c>
      <c r="Q232" s="222">
        <f>SUM(Tabela2[[#This Row],[AO]]+Tabela2[[#This Row],[AD]]+Tabela2[[#This Row],[GWO]]+Tabela2[[#This Row],[GWD]])</f>
        <v>4</v>
      </c>
      <c r="R232" s="222">
        <f>Tabela2[[#This Row],[GWO]]+Tabela2[[#This Row],[GWD]]</f>
        <v>2</v>
      </c>
      <c r="S232" s="222">
        <f>SUM(Tabela2[[#This Row],[G]:[GWD]])</f>
        <v>8</v>
      </c>
    </row>
    <row r="233" spans="1:19" ht="30">
      <c r="A233" s="225">
        <v>189</v>
      </c>
      <c r="B233" s="183" t="s">
        <v>554</v>
      </c>
      <c r="C233" s="183" t="s">
        <v>553</v>
      </c>
      <c r="D233" s="183">
        <v>3</v>
      </c>
      <c r="E233" s="183" t="s">
        <v>287</v>
      </c>
      <c r="F233" s="183">
        <v>1</v>
      </c>
      <c r="G233" s="183">
        <v>1</v>
      </c>
      <c r="H233" s="183">
        <v>1</v>
      </c>
      <c r="I233" s="183">
        <v>2</v>
      </c>
      <c r="J233" s="183">
        <v>1</v>
      </c>
      <c r="K233" s="183">
        <v>1</v>
      </c>
      <c r="L233" s="183">
        <v>2</v>
      </c>
      <c r="M233" s="183">
        <v>1</v>
      </c>
      <c r="N233" s="183"/>
      <c r="O233" s="183"/>
      <c r="P233" s="222">
        <f>SUM(Tabela2[[#This Row],[G]]+Tabela2[[#This Row],[D]]+Tabela2[[#This Row],[N]]+Tabela2[[#This Row],[HM]])</f>
        <v>4</v>
      </c>
      <c r="Q233" s="222">
        <f>SUM(Tabela2[[#This Row],[AO]]+Tabela2[[#This Row],[AD]]+Tabela2[[#This Row],[GWO]]+Tabela2[[#This Row],[GWD]])</f>
        <v>6</v>
      </c>
      <c r="R233" s="222">
        <f>Tabela2[[#This Row],[GWO]]+Tabela2[[#This Row],[GWD]]</f>
        <v>3</v>
      </c>
      <c r="S233" s="222">
        <f>SUM(Tabela2[[#This Row],[G]:[GWD]])</f>
        <v>10</v>
      </c>
    </row>
    <row r="234" spans="1:19" ht="30">
      <c r="A234" s="225">
        <v>191</v>
      </c>
      <c r="B234" s="183" t="s">
        <v>550</v>
      </c>
      <c r="C234" s="183" t="s">
        <v>549</v>
      </c>
      <c r="D234" s="183">
        <v>3</v>
      </c>
      <c r="E234" s="183" t="s">
        <v>287</v>
      </c>
      <c r="F234" s="183">
        <v>1</v>
      </c>
      <c r="G234" s="183">
        <v>1</v>
      </c>
      <c r="H234" s="183">
        <v>1</v>
      </c>
      <c r="I234" s="183">
        <v>1</v>
      </c>
      <c r="J234" s="183">
        <v>1</v>
      </c>
      <c r="K234" s="183">
        <v>1</v>
      </c>
      <c r="L234" s="183">
        <v>1</v>
      </c>
      <c r="M234" s="183">
        <v>1</v>
      </c>
      <c r="N234" s="183"/>
      <c r="O234" s="183"/>
      <c r="P234" s="222">
        <f>SUM(Tabela2[[#This Row],[G]]+Tabela2[[#This Row],[D]]+Tabela2[[#This Row],[N]]+Tabela2[[#This Row],[HM]])</f>
        <v>4</v>
      </c>
      <c r="Q234" s="222">
        <f>SUM(Tabela2[[#This Row],[AO]]+Tabela2[[#This Row],[AD]]+Tabela2[[#This Row],[GWO]]+Tabela2[[#This Row],[GWD]])</f>
        <v>4</v>
      </c>
      <c r="R234" s="222">
        <f>Tabela2[[#This Row],[GWO]]+Tabela2[[#This Row],[GWD]]</f>
        <v>2</v>
      </c>
      <c r="S234" s="222">
        <f>SUM(Tabela2[[#This Row],[G]:[GWD]])</f>
        <v>8</v>
      </c>
    </row>
    <row r="235" spans="1:19" ht="30">
      <c r="A235" s="225">
        <v>192</v>
      </c>
      <c r="B235" s="183" t="s">
        <v>548</v>
      </c>
      <c r="C235" s="183" t="s">
        <v>547</v>
      </c>
      <c r="D235" s="183">
        <v>3</v>
      </c>
      <c r="E235" s="183" t="s">
        <v>287</v>
      </c>
      <c r="F235" s="183">
        <v>1</v>
      </c>
      <c r="G235" s="183">
        <v>1</v>
      </c>
      <c r="H235" s="183">
        <v>1</v>
      </c>
      <c r="I235" s="183">
        <v>1</v>
      </c>
      <c r="J235" s="183">
        <v>1</v>
      </c>
      <c r="K235" s="183">
        <v>1</v>
      </c>
      <c r="L235" s="183">
        <v>1</v>
      </c>
      <c r="M235" s="183">
        <v>1</v>
      </c>
      <c r="N235" s="183"/>
      <c r="O235" s="183"/>
      <c r="P235" s="222">
        <f>SUM(Tabela2[[#This Row],[G]]+Tabela2[[#This Row],[D]]+Tabela2[[#This Row],[N]]+Tabela2[[#This Row],[HM]])</f>
        <v>4</v>
      </c>
      <c r="Q235" s="222">
        <f>SUM(Tabela2[[#This Row],[AO]]+Tabela2[[#This Row],[AD]]+Tabela2[[#This Row],[GWO]]+Tabela2[[#This Row],[GWD]])</f>
        <v>4</v>
      </c>
      <c r="R235" s="222">
        <f>Tabela2[[#This Row],[GWO]]+Tabela2[[#This Row],[GWD]]</f>
        <v>2</v>
      </c>
      <c r="S235" s="222">
        <f>SUM(Tabela2[[#This Row],[G]:[GWD]])</f>
        <v>8</v>
      </c>
    </row>
    <row r="236" spans="1:19" ht="30">
      <c r="A236" s="225">
        <v>193</v>
      </c>
      <c r="B236" s="183" t="s">
        <v>546</v>
      </c>
      <c r="C236" s="183" t="s">
        <v>545</v>
      </c>
      <c r="D236" s="183">
        <v>3</v>
      </c>
      <c r="E236" s="183" t="s">
        <v>287</v>
      </c>
      <c r="F236" s="183">
        <v>1</v>
      </c>
      <c r="G236" s="183">
        <v>1</v>
      </c>
      <c r="H236" s="183">
        <v>1</v>
      </c>
      <c r="I236" s="183">
        <v>1</v>
      </c>
      <c r="J236" s="183">
        <v>1</v>
      </c>
      <c r="K236" s="183">
        <v>1</v>
      </c>
      <c r="L236" s="183">
        <v>1</v>
      </c>
      <c r="M236" s="183">
        <v>1</v>
      </c>
      <c r="N236" s="183"/>
      <c r="O236" s="183"/>
      <c r="P236" s="222">
        <f>SUM(Tabela2[[#This Row],[G]]+Tabela2[[#This Row],[D]]+Tabela2[[#This Row],[N]]+Tabela2[[#This Row],[HM]])</f>
        <v>4</v>
      </c>
      <c r="Q236" s="222">
        <f>SUM(Tabela2[[#This Row],[AO]]+Tabela2[[#This Row],[AD]]+Tabela2[[#This Row],[GWO]]+Tabela2[[#This Row],[GWD]])</f>
        <v>4</v>
      </c>
      <c r="R236" s="222">
        <f>Tabela2[[#This Row],[GWO]]+Tabela2[[#This Row],[GWD]]</f>
        <v>2</v>
      </c>
      <c r="S236" s="222">
        <f>SUM(Tabela2[[#This Row],[G]:[GWD]])</f>
        <v>8</v>
      </c>
    </row>
    <row r="237" spans="1:19" ht="30">
      <c r="A237" s="225">
        <v>194</v>
      </c>
      <c r="B237" s="183" t="s">
        <v>544</v>
      </c>
      <c r="C237" s="183" t="s">
        <v>543</v>
      </c>
      <c r="D237" s="183">
        <v>3</v>
      </c>
      <c r="E237" s="183" t="s">
        <v>287</v>
      </c>
      <c r="F237" s="183">
        <v>1</v>
      </c>
      <c r="G237" s="183">
        <v>1</v>
      </c>
      <c r="H237" s="183">
        <v>1</v>
      </c>
      <c r="I237" s="183">
        <v>1</v>
      </c>
      <c r="J237" s="183">
        <v>1</v>
      </c>
      <c r="K237" s="183">
        <v>2</v>
      </c>
      <c r="L237" s="183">
        <v>1</v>
      </c>
      <c r="M237" s="183">
        <v>1</v>
      </c>
      <c r="N237" s="183"/>
      <c r="O237" s="183"/>
      <c r="P237" s="222">
        <f>SUM(Tabela2[[#This Row],[G]]+Tabela2[[#This Row],[D]]+Tabela2[[#This Row],[N]]+Tabela2[[#This Row],[HM]])</f>
        <v>5</v>
      </c>
      <c r="Q237" s="222">
        <f>SUM(Tabela2[[#This Row],[AO]]+Tabela2[[#This Row],[AD]]+Tabela2[[#This Row],[GWO]]+Tabela2[[#This Row],[GWD]])</f>
        <v>4</v>
      </c>
      <c r="R237" s="222">
        <f>Tabela2[[#This Row],[GWO]]+Tabela2[[#This Row],[GWD]]</f>
        <v>2</v>
      </c>
      <c r="S237" s="222">
        <f>SUM(Tabela2[[#This Row],[G]:[GWD]])</f>
        <v>9</v>
      </c>
    </row>
    <row r="238" spans="1:19" ht="30">
      <c r="A238" s="225">
        <v>195</v>
      </c>
      <c r="B238" s="183" t="s">
        <v>542</v>
      </c>
      <c r="C238" s="183" t="s">
        <v>541</v>
      </c>
      <c r="D238" s="183">
        <v>3</v>
      </c>
      <c r="E238" s="183" t="s">
        <v>287</v>
      </c>
      <c r="F238" s="183">
        <v>1</v>
      </c>
      <c r="G238" s="183">
        <v>1</v>
      </c>
      <c r="H238" s="183">
        <v>1</v>
      </c>
      <c r="I238" s="183">
        <v>1</v>
      </c>
      <c r="J238" s="183">
        <v>1</v>
      </c>
      <c r="K238" s="183">
        <v>1</v>
      </c>
      <c r="L238" s="183">
        <v>1</v>
      </c>
      <c r="M238" s="183">
        <v>1</v>
      </c>
      <c r="N238" s="183"/>
      <c r="O238" s="183"/>
      <c r="P238" s="222">
        <f>SUM(Tabela2[[#This Row],[G]]+Tabela2[[#This Row],[D]]+Tabela2[[#This Row],[N]]+Tabela2[[#This Row],[HM]])</f>
        <v>4</v>
      </c>
      <c r="Q238" s="222">
        <f>SUM(Tabela2[[#This Row],[AO]]+Tabela2[[#This Row],[AD]]+Tabela2[[#This Row],[GWO]]+Tabela2[[#This Row],[GWD]])</f>
        <v>4</v>
      </c>
      <c r="R238" s="222">
        <f>Tabela2[[#This Row],[GWO]]+Tabela2[[#This Row],[GWD]]</f>
        <v>2</v>
      </c>
      <c r="S238" s="222">
        <f>SUM(Tabela2[[#This Row],[G]:[GWD]])</f>
        <v>8</v>
      </c>
    </row>
    <row r="239" spans="1:19">
      <c r="A239" s="225">
        <v>196</v>
      </c>
      <c r="B239" s="183" t="s">
        <v>540</v>
      </c>
      <c r="C239" s="183" t="s">
        <v>299</v>
      </c>
      <c r="D239" s="183">
        <v>3</v>
      </c>
      <c r="E239" s="183" t="s">
        <v>287</v>
      </c>
      <c r="F239" s="183">
        <v>1</v>
      </c>
      <c r="G239" s="183">
        <v>1</v>
      </c>
      <c r="H239" s="183">
        <v>1</v>
      </c>
      <c r="I239" s="183">
        <v>1</v>
      </c>
      <c r="J239" s="183">
        <v>1</v>
      </c>
      <c r="K239" s="183">
        <v>1</v>
      </c>
      <c r="L239" s="183">
        <v>1</v>
      </c>
      <c r="M239" s="183">
        <v>1</v>
      </c>
      <c r="N239" s="183"/>
      <c r="O239" s="183"/>
      <c r="P239" s="222">
        <f>SUM(Tabela2[[#This Row],[G]]+Tabela2[[#This Row],[D]]+Tabela2[[#This Row],[N]]+Tabela2[[#This Row],[HM]])</f>
        <v>4</v>
      </c>
      <c r="Q239" s="222">
        <f>SUM(Tabela2[[#This Row],[AO]]+Tabela2[[#This Row],[AD]]+Tabela2[[#This Row],[GWO]]+Tabela2[[#This Row],[GWD]])</f>
        <v>4</v>
      </c>
      <c r="R239" s="222">
        <f>Tabela2[[#This Row],[GWO]]+Tabela2[[#This Row],[GWD]]</f>
        <v>2</v>
      </c>
      <c r="S239" s="222">
        <f>SUM(Tabela2[[#This Row],[G]:[GWD]])</f>
        <v>8</v>
      </c>
    </row>
    <row r="240" spans="1:19">
      <c r="A240" s="225">
        <v>197</v>
      </c>
      <c r="B240" s="183" t="s">
        <v>148</v>
      </c>
      <c r="C240" s="183" t="s">
        <v>282</v>
      </c>
      <c r="D240" s="183">
        <v>3</v>
      </c>
      <c r="E240" s="183" t="s">
        <v>287</v>
      </c>
      <c r="F240" s="183">
        <v>4</v>
      </c>
      <c r="G240" s="183">
        <v>2</v>
      </c>
      <c r="H240" s="183">
        <v>1</v>
      </c>
      <c r="I240" s="183">
        <v>3</v>
      </c>
      <c r="J240" s="183">
        <v>4</v>
      </c>
      <c r="K240" s="183">
        <v>3</v>
      </c>
      <c r="L240" s="183">
        <v>4</v>
      </c>
      <c r="M240" s="183">
        <v>4</v>
      </c>
      <c r="N240" s="183"/>
      <c r="O240" s="183" t="s">
        <v>207</v>
      </c>
      <c r="P240" s="222">
        <f>SUM(Tabela2[[#This Row],[G]]+Tabela2[[#This Row],[D]]+Tabela2[[#This Row],[N]]+Tabela2[[#This Row],[HM]])</f>
        <v>10</v>
      </c>
      <c r="Q240" s="222">
        <f>SUM(Tabela2[[#This Row],[AO]]+Tabela2[[#This Row],[AD]]+Tabela2[[#This Row],[GWO]]+Tabela2[[#This Row],[GWD]])</f>
        <v>15</v>
      </c>
      <c r="R240" s="222">
        <f>Tabela2[[#This Row],[GWO]]+Tabela2[[#This Row],[GWD]]</f>
        <v>8</v>
      </c>
      <c r="S240" s="222">
        <f>SUM(Tabela2[[#This Row],[G]:[GWD]])</f>
        <v>25</v>
      </c>
    </row>
    <row r="241" spans="1:19">
      <c r="A241" s="225">
        <v>198</v>
      </c>
      <c r="B241" s="183" t="s">
        <v>539</v>
      </c>
      <c r="C241" s="183" t="s">
        <v>538</v>
      </c>
      <c r="D241" s="183">
        <v>3</v>
      </c>
      <c r="E241" s="183" t="s">
        <v>287</v>
      </c>
      <c r="F241" s="183">
        <v>1</v>
      </c>
      <c r="G241" s="183">
        <v>1</v>
      </c>
      <c r="H241" s="183">
        <v>1</v>
      </c>
      <c r="I241" s="183">
        <v>1</v>
      </c>
      <c r="J241" s="183">
        <v>1</v>
      </c>
      <c r="K241" s="183">
        <v>1</v>
      </c>
      <c r="L241" s="183">
        <v>1</v>
      </c>
      <c r="M241" s="183">
        <v>1</v>
      </c>
      <c r="N241" s="183"/>
      <c r="O241" s="183"/>
      <c r="P241" s="222">
        <f>SUM(Tabela2[[#This Row],[G]]+Tabela2[[#This Row],[D]]+Tabela2[[#This Row],[N]]+Tabela2[[#This Row],[HM]])</f>
        <v>4</v>
      </c>
      <c r="Q241" s="222">
        <f>SUM(Tabela2[[#This Row],[AO]]+Tabela2[[#This Row],[AD]]+Tabela2[[#This Row],[GWO]]+Tabela2[[#This Row],[GWD]])</f>
        <v>4</v>
      </c>
      <c r="R241" s="222">
        <f>Tabela2[[#This Row],[GWO]]+Tabela2[[#This Row],[GWD]]</f>
        <v>2</v>
      </c>
      <c r="S241" s="222">
        <f>SUM(Tabela2[[#This Row],[G]:[GWD]])</f>
        <v>8</v>
      </c>
    </row>
    <row r="242" spans="1:19" ht="30">
      <c r="A242" s="225">
        <v>202</v>
      </c>
      <c r="B242" s="188" t="s">
        <v>533</v>
      </c>
      <c r="C242" s="188" t="s">
        <v>430</v>
      </c>
      <c r="D242" s="188">
        <v>4</v>
      </c>
      <c r="E242" s="188" t="s">
        <v>18</v>
      </c>
      <c r="F242" s="188">
        <v>1</v>
      </c>
      <c r="G242" s="188">
        <v>1</v>
      </c>
      <c r="H242" s="188">
        <v>1</v>
      </c>
      <c r="I242" s="188">
        <v>2</v>
      </c>
      <c r="J242" s="188">
        <v>3</v>
      </c>
      <c r="K242" s="188">
        <v>3</v>
      </c>
      <c r="L242" s="188">
        <v>3</v>
      </c>
      <c r="M242" s="188">
        <v>3</v>
      </c>
      <c r="N242" s="183"/>
      <c r="O242" s="183"/>
      <c r="P242" s="222">
        <f>SUM(Tabela2[[#This Row],[G]]+Tabela2[[#This Row],[D]]+Tabela2[[#This Row],[N]]+Tabela2[[#This Row],[HM]])</f>
        <v>6</v>
      </c>
      <c r="Q242" s="222">
        <f>SUM(Tabela2[[#This Row],[AO]]+Tabela2[[#This Row],[AD]]+Tabela2[[#This Row],[GWO]]+Tabela2[[#This Row],[GWD]])</f>
        <v>11</v>
      </c>
      <c r="R242" s="222">
        <f>Tabela2[[#This Row],[GWO]]+Tabela2[[#This Row],[GWD]]</f>
        <v>6</v>
      </c>
      <c r="S242" s="222">
        <f>SUM(Tabela2[[#This Row],[G]:[GWD]])</f>
        <v>17</v>
      </c>
    </row>
    <row r="243" spans="1:19" ht="30">
      <c r="A243" s="225">
        <v>203</v>
      </c>
      <c r="B243" s="188" t="s">
        <v>532</v>
      </c>
      <c r="C243" s="188" t="s">
        <v>372</v>
      </c>
      <c r="D243" s="188">
        <v>4</v>
      </c>
      <c r="E243" s="188" t="s">
        <v>18</v>
      </c>
      <c r="F243" s="188">
        <v>1</v>
      </c>
      <c r="G243" s="188">
        <v>1</v>
      </c>
      <c r="H243" s="188">
        <v>1</v>
      </c>
      <c r="I243" s="188">
        <v>2</v>
      </c>
      <c r="J243" s="188">
        <v>2</v>
      </c>
      <c r="K243" s="188">
        <v>1</v>
      </c>
      <c r="L243" s="188">
        <v>4</v>
      </c>
      <c r="M243" s="188">
        <v>3</v>
      </c>
      <c r="N243" s="183"/>
      <c r="O243" s="183" t="s">
        <v>207</v>
      </c>
      <c r="P243" s="222">
        <f>SUM(Tabela2[[#This Row],[G]]+Tabela2[[#This Row],[D]]+Tabela2[[#This Row],[N]]+Tabela2[[#This Row],[HM]])</f>
        <v>4</v>
      </c>
      <c r="Q243" s="222">
        <f>SUM(Tabela2[[#This Row],[AO]]+Tabela2[[#This Row],[AD]]+Tabela2[[#This Row],[GWO]]+Tabela2[[#This Row],[GWD]])</f>
        <v>11</v>
      </c>
      <c r="R243" s="222">
        <f>Tabela2[[#This Row],[GWO]]+Tabela2[[#This Row],[GWD]]</f>
        <v>7</v>
      </c>
      <c r="S243" s="222">
        <f>SUM(Tabela2[[#This Row],[G]:[GWD]])</f>
        <v>15</v>
      </c>
    </row>
    <row r="244" spans="1:19" ht="30">
      <c r="A244" s="225">
        <v>204</v>
      </c>
      <c r="B244" s="188" t="s">
        <v>531</v>
      </c>
      <c r="C244" s="188" t="s">
        <v>427</v>
      </c>
      <c r="D244" s="188">
        <v>4</v>
      </c>
      <c r="E244" s="188" t="s">
        <v>18</v>
      </c>
      <c r="F244" s="188">
        <v>1</v>
      </c>
      <c r="G244" s="188">
        <v>1</v>
      </c>
      <c r="H244" s="188">
        <v>1</v>
      </c>
      <c r="I244" s="188">
        <v>3</v>
      </c>
      <c r="J244" s="188">
        <v>5</v>
      </c>
      <c r="K244" s="188">
        <v>3</v>
      </c>
      <c r="L244" s="188">
        <v>4</v>
      </c>
      <c r="M244" s="188">
        <v>4</v>
      </c>
      <c r="N244" s="183"/>
      <c r="O244" s="183"/>
      <c r="P244" s="222">
        <f>SUM(Tabela2[[#This Row],[G]]+Tabela2[[#This Row],[D]]+Tabela2[[#This Row],[N]]+Tabela2[[#This Row],[HM]])</f>
        <v>6</v>
      </c>
      <c r="Q244" s="222">
        <f>SUM(Tabela2[[#This Row],[AO]]+Tabela2[[#This Row],[AD]]+Tabela2[[#This Row],[GWO]]+Tabela2[[#This Row],[GWD]])</f>
        <v>16</v>
      </c>
      <c r="R244" s="222">
        <f>Tabela2[[#This Row],[GWO]]+Tabela2[[#This Row],[GWD]]</f>
        <v>8</v>
      </c>
      <c r="S244" s="222">
        <f>SUM(Tabela2[[#This Row],[G]:[GWD]])</f>
        <v>22</v>
      </c>
    </row>
    <row r="245" spans="1:19">
      <c r="A245" s="225">
        <v>205</v>
      </c>
      <c r="B245" s="188" t="s">
        <v>530</v>
      </c>
      <c r="C245" s="188" t="s">
        <v>213</v>
      </c>
      <c r="D245" s="188">
        <v>4</v>
      </c>
      <c r="E245" s="188" t="s">
        <v>18</v>
      </c>
      <c r="F245" s="188">
        <v>1</v>
      </c>
      <c r="G245" s="188">
        <v>1</v>
      </c>
      <c r="H245" s="188">
        <v>1</v>
      </c>
      <c r="I245" s="188">
        <v>3</v>
      </c>
      <c r="J245" s="188">
        <v>1</v>
      </c>
      <c r="K245" s="188">
        <v>1</v>
      </c>
      <c r="L245" s="188">
        <v>3</v>
      </c>
      <c r="M245" s="188">
        <v>1</v>
      </c>
      <c r="N245" s="188" t="s">
        <v>460</v>
      </c>
      <c r="O245" s="188"/>
      <c r="P245" s="226">
        <f>SUM(Tabela2[[#This Row],[G]]+Tabela2[[#This Row],[D]]+Tabela2[[#This Row],[N]]+Tabela2[[#This Row],[HM]])</f>
        <v>4</v>
      </c>
      <c r="Q245" s="226">
        <f>SUM(Tabela2[[#This Row],[AO]]+Tabela2[[#This Row],[AD]]+Tabela2[[#This Row],[GWO]]+Tabela2[[#This Row],[GWD]])</f>
        <v>8</v>
      </c>
      <c r="R245" s="226">
        <f>Tabela2[[#This Row],[GWO]]+Tabela2[[#This Row],[GWD]]</f>
        <v>4</v>
      </c>
      <c r="S245" s="222">
        <f>SUM(Tabela2[[#This Row],[G]:[GWD]])</f>
        <v>12</v>
      </c>
    </row>
    <row r="246" spans="1:19">
      <c r="A246" s="225">
        <v>208</v>
      </c>
      <c r="B246" s="188" t="s">
        <v>527</v>
      </c>
      <c r="C246" s="188" t="s">
        <v>420</v>
      </c>
      <c r="D246" s="188">
        <v>4</v>
      </c>
      <c r="E246" s="188" t="s">
        <v>18</v>
      </c>
      <c r="F246" s="188">
        <v>1</v>
      </c>
      <c r="G246" s="188">
        <v>1</v>
      </c>
      <c r="H246" s="188">
        <v>1</v>
      </c>
      <c r="I246" s="188">
        <v>1</v>
      </c>
      <c r="J246" s="188">
        <v>1</v>
      </c>
      <c r="K246" s="188">
        <v>1</v>
      </c>
      <c r="L246" s="188">
        <v>1</v>
      </c>
      <c r="M246" s="188">
        <v>1</v>
      </c>
      <c r="N246" s="183"/>
      <c r="O246" s="183"/>
      <c r="P246" s="222">
        <f>SUM(Tabela2[[#This Row],[G]]+Tabela2[[#This Row],[D]]+Tabela2[[#This Row],[N]]+Tabela2[[#This Row],[HM]])</f>
        <v>4</v>
      </c>
      <c r="Q246" s="222">
        <f>SUM(Tabela2[[#This Row],[AO]]+Tabela2[[#This Row],[AD]]+Tabela2[[#This Row],[GWO]]+Tabela2[[#This Row],[GWD]])</f>
        <v>4</v>
      </c>
      <c r="R246" s="222">
        <f>Tabela2[[#This Row],[GWO]]+Tabela2[[#This Row],[GWD]]</f>
        <v>2</v>
      </c>
      <c r="S246" s="222">
        <f>SUM(Tabela2[[#This Row],[G]:[GWD]])</f>
        <v>8</v>
      </c>
    </row>
    <row r="247" spans="1:19">
      <c r="A247" s="225">
        <v>210</v>
      </c>
      <c r="B247" s="188" t="s">
        <v>525</v>
      </c>
      <c r="C247" s="188" t="s">
        <v>413</v>
      </c>
      <c r="D247" s="188">
        <v>4</v>
      </c>
      <c r="E247" s="188" t="s">
        <v>18</v>
      </c>
      <c r="F247" s="188">
        <v>1</v>
      </c>
      <c r="G247" s="188">
        <v>3</v>
      </c>
      <c r="H247" s="188">
        <v>1</v>
      </c>
      <c r="I247" s="188">
        <v>3</v>
      </c>
      <c r="J247" s="188">
        <v>3</v>
      </c>
      <c r="K247" s="188">
        <v>2</v>
      </c>
      <c r="L247" s="188">
        <v>3</v>
      </c>
      <c r="M247" s="188">
        <v>2</v>
      </c>
      <c r="N247" s="183"/>
      <c r="O247" s="183"/>
      <c r="P247" s="222">
        <f>SUM(Tabela2[[#This Row],[G]]+Tabela2[[#This Row],[D]]+Tabela2[[#This Row],[N]]+Tabela2[[#This Row],[HM]])</f>
        <v>7</v>
      </c>
      <c r="Q247" s="222">
        <f>SUM(Tabela2[[#This Row],[AO]]+Tabela2[[#This Row],[AD]]+Tabela2[[#This Row],[GWO]]+Tabela2[[#This Row],[GWD]])</f>
        <v>11</v>
      </c>
      <c r="R247" s="222">
        <f>Tabela2[[#This Row],[GWO]]+Tabela2[[#This Row],[GWD]]</f>
        <v>5</v>
      </c>
      <c r="S247" s="222">
        <f>SUM(Tabela2[[#This Row],[G]:[GWD]])</f>
        <v>18</v>
      </c>
    </row>
    <row r="248" spans="1:19">
      <c r="A248" s="225">
        <v>214</v>
      </c>
      <c r="B248" s="188" t="s">
        <v>521</v>
      </c>
      <c r="C248" s="188" t="s">
        <v>218</v>
      </c>
      <c r="D248" s="188">
        <v>4</v>
      </c>
      <c r="E248" s="188" t="s">
        <v>18</v>
      </c>
      <c r="F248" s="188">
        <v>1</v>
      </c>
      <c r="G248" s="188">
        <v>1</v>
      </c>
      <c r="H248" s="188">
        <v>1</v>
      </c>
      <c r="I248" s="188">
        <v>1</v>
      </c>
      <c r="J248" s="188">
        <v>1</v>
      </c>
      <c r="K248" s="188">
        <v>1</v>
      </c>
      <c r="L248" s="188">
        <v>1</v>
      </c>
      <c r="M248" s="188">
        <v>1</v>
      </c>
      <c r="N248" s="183"/>
      <c r="O248" s="183"/>
      <c r="P248" s="222">
        <f>SUM(Tabela2[[#This Row],[G]]+Tabela2[[#This Row],[D]]+Tabela2[[#This Row],[N]]+Tabela2[[#This Row],[HM]])</f>
        <v>4</v>
      </c>
      <c r="Q248" s="222">
        <f>SUM(Tabela2[[#This Row],[AO]]+Tabela2[[#This Row],[AD]]+Tabela2[[#This Row],[GWO]]+Tabela2[[#This Row],[GWD]])</f>
        <v>4</v>
      </c>
      <c r="R248" s="222">
        <f>Tabela2[[#This Row],[GWO]]+Tabela2[[#This Row],[GWD]]</f>
        <v>2</v>
      </c>
      <c r="S248" s="222">
        <f>SUM(Tabela2[[#This Row],[G]:[GWD]])</f>
        <v>8</v>
      </c>
    </row>
    <row r="249" spans="1:19" ht="30">
      <c r="A249" s="225">
        <v>215</v>
      </c>
      <c r="B249" s="188" t="s">
        <v>520</v>
      </c>
      <c r="C249" s="188" t="s">
        <v>359</v>
      </c>
      <c r="D249" s="188">
        <v>4</v>
      </c>
      <c r="E249" s="188" t="s">
        <v>18</v>
      </c>
      <c r="F249" s="188">
        <v>1</v>
      </c>
      <c r="G249" s="188">
        <v>2</v>
      </c>
      <c r="H249" s="188">
        <v>1</v>
      </c>
      <c r="I249" s="188">
        <v>3</v>
      </c>
      <c r="J249" s="188">
        <v>1</v>
      </c>
      <c r="K249" s="188">
        <v>1</v>
      </c>
      <c r="L249" s="188">
        <v>4</v>
      </c>
      <c r="M249" s="188">
        <v>1</v>
      </c>
      <c r="N249" s="183"/>
      <c r="O249" s="183"/>
      <c r="P249" s="222">
        <f>SUM(Tabela2[[#This Row],[G]]+Tabela2[[#This Row],[D]]+Tabela2[[#This Row],[N]]+Tabela2[[#This Row],[HM]])</f>
        <v>5</v>
      </c>
      <c r="Q249" s="222">
        <f>SUM(Tabela2[[#This Row],[AO]]+Tabela2[[#This Row],[AD]]+Tabela2[[#This Row],[GWO]]+Tabela2[[#This Row],[GWD]])</f>
        <v>9</v>
      </c>
      <c r="R249" s="222">
        <f>Tabela2[[#This Row],[GWO]]+Tabela2[[#This Row],[GWD]]</f>
        <v>5</v>
      </c>
      <c r="S249" s="222">
        <f>SUM(Tabela2[[#This Row],[G]:[GWD]])</f>
        <v>14</v>
      </c>
    </row>
    <row r="250" spans="1:19" ht="30">
      <c r="A250" s="225">
        <v>217</v>
      </c>
      <c r="B250" s="188" t="s">
        <v>518</v>
      </c>
      <c r="C250" s="188" t="s">
        <v>401</v>
      </c>
      <c r="D250" s="188">
        <v>4</v>
      </c>
      <c r="E250" s="188" t="s">
        <v>18</v>
      </c>
      <c r="F250" s="188">
        <v>1</v>
      </c>
      <c r="G250" s="188">
        <v>1</v>
      </c>
      <c r="H250" s="188">
        <v>1</v>
      </c>
      <c r="I250" s="188">
        <v>2</v>
      </c>
      <c r="J250" s="188">
        <v>1</v>
      </c>
      <c r="K250" s="188">
        <v>1</v>
      </c>
      <c r="L250" s="188">
        <v>3</v>
      </c>
      <c r="M250" s="188">
        <v>1</v>
      </c>
      <c r="N250" s="183"/>
      <c r="O250" s="183"/>
      <c r="P250" s="222">
        <f>SUM(Tabela2[[#This Row],[G]]+Tabela2[[#This Row],[D]]+Tabela2[[#This Row],[N]]+Tabela2[[#This Row],[HM]])</f>
        <v>4</v>
      </c>
      <c r="Q250" s="222">
        <f>SUM(Tabela2[[#This Row],[AO]]+Tabela2[[#This Row],[AD]]+Tabela2[[#This Row],[GWO]]+Tabela2[[#This Row],[GWD]])</f>
        <v>7</v>
      </c>
      <c r="R250" s="222">
        <f>Tabela2[[#This Row],[GWO]]+Tabela2[[#This Row],[GWD]]</f>
        <v>4</v>
      </c>
      <c r="S250" s="222">
        <f>SUM(Tabela2[[#This Row],[G]:[GWD]])</f>
        <v>11</v>
      </c>
    </row>
    <row r="251" spans="1:19">
      <c r="A251" s="225">
        <v>219</v>
      </c>
      <c r="B251" s="188" t="s">
        <v>516</v>
      </c>
      <c r="C251" s="188" t="s">
        <v>397</v>
      </c>
      <c r="D251" s="188">
        <v>4</v>
      </c>
      <c r="E251" s="188" t="s">
        <v>18</v>
      </c>
      <c r="F251" s="188">
        <v>1</v>
      </c>
      <c r="G251" s="188">
        <v>1</v>
      </c>
      <c r="H251" s="188">
        <v>1</v>
      </c>
      <c r="I251" s="188">
        <v>2</v>
      </c>
      <c r="J251" s="188">
        <v>1</v>
      </c>
      <c r="K251" s="188">
        <v>1</v>
      </c>
      <c r="L251" s="188">
        <v>3</v>
      </c>
      <c r="M251" s="188">
        <v>1</v>
      </c>
      <c r="N251" s="183"/>
      <c r="O251" s="183"/>
      <c r="P251" s="222">
        <f>SUM(Tabela2[[#This Row],[G]]+Tabela2[[#This Row],[D]]+Tabela2[[#This Row],[N]]+Tabela2[[#This Row],[HM]])</f>
        <v>4</v>
      </c>
      <c r="Q251" s="222">
        <f>SUM(Tabela2[[#This Row],[AO]]+Tabela2[[#This Row],[AD]]+Tabela2[[#This Row],[GWO]]+Tabela2[[#This Row],[GWD]])</f>
        <v>7</v>
      </c>
      <c r="R251" s="222">
        <f>Tabela2[[#This Row],[GWO]]+Tabela2[[#This Row],[GWD]]</f>
        <v>4</v>
      </c>
      <c r="S251" s="222">
        <f>SUM(Tabela2[[#This Row],[G]:[GWD]])</f>
        <v>11</v>
      </c>
    </row>
    <row r="252" spans="1:19">
      <c r="A252" s="225">
        <v>221</v>
      </c>
      <c r="B252" s="188" t="s">
        <v>514</v>
      </c>
      <c r="C252" s="188" t="s">
        <v>239</v>
      </c>
      <c r="D252" s="188">
        <v>4</v>
      </c>
      <c r="E252" s="188" t="s">
        <v>18</v>
      </c>
      <c r="F252" s="188">
        <v>1</v>
      </c>
      <c r="G252" s="188">
        <v>1</v>
      </c>
      <c r="H252" s="188">
        <v>1</v>
      </c>
      <c r="I252" s="188">
        <v>2</v>
      </c>
      <c r="J252" s="188">
        <v>1</v>
      </c>
      <c r="K252" s="188">
        <v>1</v>
      </c>
      <c r="L252" s="188">
        <v>2</v>
      </c>
      <c r="M252" s="188">
        <v>1</v>
      </c>
      <c r="N252" s="188" t="s">
        <v>460</v>
      </c>
      <c r="O252" s="188"/>
      <c r="P252" s="226">
        <f>SUM(Tabela2[[#This Row],[G]]+Tabela2[[#This Row],[D]]+Tabela2[[#This Row],[N]]+Tabela2[[#This Row],[HM]])</f>
        <v>4</v>
      </c>
      <c r="Q252" s="226">
        <f>SUM(Tabela2[[#This Row],[AO]]+Tabela2[[#This Row],[AD]]+Tabela2[[#This Row],[GWO]]+Tabela2[[#This Row],[GWD]])</f>
        <v>6</v>
      </c>
      <c r="R252" s="226">
        <f>Tabela2[[#This Row],[GWO]]+Tabela2[[#This Row],[GWD]]</f>
        <v>3</v>
      </c>
      <c r="S252" s="222">
        <f>SUM(Tabela2[[#This Row],[G]:[GWD]])</f>
        <v>10</v>
      </c>
    </row>
    <row r="253" spans="1:19">
      <c r="A253" s="225">
        <v>222</v>
      </c>
      <c r="B253" s="188" t="s">
        <v>358</v>
      </c>
      <c r="C253" s="188" t="s">
        <v>237</v>
      </c>
      <c r="D253" s="188">
        <v>4</v>
      </c>
      <c r="E253" s="188" t="s">
        <v>18</v>
      </c>
      <c r="F253" s="188">
        <v>1</v>
      </c>
      <c r="G253" s="188">
        <v>4</v>
      </c>
      <c r="H253" s="188">
        <v>1</v>
      </c>
      <c r="I253" s="188">
        <v>3</v>
      </c>
      <c r="J253" s="188">
        <v>1</v>
      </c>
      <c r="K253" s="188">
        <v>5</v>
      </c>
      <c r="L253" s="188">
        <v>3</v>
      </c>
      <c r="M253" s="188">
        <v>1</v>
      </c>
      <c r="N253" s="188" t="s">
        <v>460</v>
      </c>
      <c r="O253" s="188" t="s">
        <v>207</v>
      </c>
      <c r="P253" s="226">
        <f>SUM(Tabela2[[#This Row],[G]]+Tabela2[[#This Row],[D]]+Tabela2[[#This Row],[N]]+Tabela2[[#This Row],[HM]])</f>
        <v>11</v>
      </c>
      <c r="Q253" s="226">
        <f>SUM(Tabela2[[#This Row],[AO]]+Tabela2[[#This Row],[AD]]+Tabela2[[#This Row],[GWO]]+Tabela2[[#This Row],[GWD]])</f>
        <v>8</v>
      </c>
      <c r="R253" s="226">
        <f>Tabela2[[#This Row],[GWO]]+Tabela2[[#This Row],[GWD]]</f>
        <v>4</v>
      </c>
      <c r="S253" s="222">
        <f>SUM(Tabela2[[#This Row],[G]:[GWD]])</f>
        <v>19</v>
      </c>
    </row>
    <row r="254" spans="1:19">
      <c r="A254" s="225">
        <v>223</v>
      </c>
      <c r="B254" s="188" t="s">
        <v>513</v>
      </c>
      <c r="C254" s="188" t="s">
        <v>393</v>
      </c>
      <c r="D254" s="188">
        <v>4</v>
      </c>
      <c r="E254" s="188" t="s">
        <v>18</v>
      </c>
      <c r="F254" s="188">
        <v>1</v>
      </c>
      <c r="G254" s="188">
        <v>1</v>
      </c>
      <c r="H254" s="188">
        <v>1</v>
      </c>
      <c r="I254" s="188">
        <v>1</v>
      </c>
      <c r="J254" s="188">
        <v>1</v>
      </c>
      <c r="K254" s="188">
        <v>1</v>
      </c>
      <c r="L254" s="188">
        <v>1</v>
      </c>
      <c r="M254" s="188">
        <v>1</v>
      </c>
      <c r="N254" s="183"/>
      <c r="O254" s="183"/>
      <c r="P254" s="222">
        <f>SUM(Tabela2[[#This Row],[G]]+Tabela2[[#This Row],[D]]+Tabela2[[#This Row],[N]]+Tabela2[[#This Row],[HM]])</f>
        <v>4</v>
      </c>
      <c r="Q254" s="222">
        <f>SUM(Tabela2[[#This Row],[AO]]+Tabela2[[#This Row],[AD]]+Tabela2[[#This Row],[GWO]]+Tabela2[[#This Row],[GWD]])</f>
        <v>4</v>
      </c>
      <c r="R254" s="222">
        <f>Tabela2[[#This Row],[GWO]]+Tabela2[[#This Row],[GWD]]</f>
        <v>2</v>
      </c>
      <c r="S254" s="222">
        <f>SUM(Tabela2[[#This Row],[G]:[GWD]])</f>
        <v>8</v>
      </c>
    </row>
    <row r="255" spans="1:19">
      <c r="A255" s="225">
        <v>224</v>
      </c>
      <c r="B255" s="188" t="s">
        <v>512</v>
      </c>
      <c r="C255" s="188" t="s">
        <v>238</v>
      </c>
      <c r="D255" s="188">
        <v>4</v>
      </c>
      <c r="E255" s="188" t="s">
        <v>18</v>
      </c>
      <c r="F255" s="188">
        <v>1</v>
      </c>
      <c r="G255" s="188">
        <v>3</v>
      </c>
      <c r="H255" s="188">
        <v>1</v>
      </c>
      <c r="I255" s="188">
        <v>1</v>
      </c>
      <c r="J255" s="188">
        <v>1</v>
      </c>
      <c r="K255" s="188">
        <v>2</v>
      </c>
      <c r="L255" s="188">
        <v>1</v>
      </c>
      <c r="M255" s="188">
        <v>1</v>
      </c>
      <c r="N255" s="183"/>
      <c r="O255" s="183"/>
      <c r="P255" s="222">
        <f>SUM(Tabela2[[#This Row],[G]]+Tabela2[[#This Row],[D]]+Tabela2[[#This Row],[N]]+Tabela2[[#This Row],[HM]])</f>
        <v>7</v>
      </c>
      <c r="Q255" s="222">
        <f>SUM(Tabela2[[#This Row],[AO]]+Tabela2[[#This Row],[AD]]+Tabela2[[#This Row],[GWO]]+Tabela2[[#This Row],[GWD]])</f>
        <v>4</v>
      </c>
      <c r="R255" s="222">
        <f>Tabela2[[#This Row],[GWO]]+Tabela2[[#This Row],[GWD]]</f>
        <v>2</v>
      </c>
      <c r="S255" s="222">
        <f>SUM(Tabela2[[#This Row],[G]:[GWD]])</f>
        <v>11</v>
      </c>
    </row>
    <row r="256" spans="1:19">
      <c r="A256" s="225">
        <v>226</v>
      </c>
      <c r="B256" s="187" t="s">
        <v>510</v>
      </c>
      <c r="C256" s="187" t="s">
        <v>434</v>
      </c>
      <c r="D256" s="187">
        <v>4</v>
      </c>
      <c r="E256" s="187" t="s">
        <v>264</v>
      </c>
      <c r="F256" s="187">
        <v>1</v>
      </c>
      <c r="G256" s="187">
        <v>1</v>
      </c>
      <c r="H256" s="187">
        <v>1</v>
      </c>
      <c r="I256" s="187">
        <v>1</v>
      </c>
      <c r="J256" s="187">
        <v>1</v>
      </c>
      <c r="K256" s="187">
        <v>1</v>
      </c>
      <c r="L256" s="187">
        <v>3</v>
      </c>
      <c r="M256" s="187">
        <v>1</v>
      </c>
      <c r="N256" s="183"/>
      <c r="O256" s="183"/>
      <c r="P256" s="222">
        <f>SUM(Tabela2[[#This Row],[G]]+Tabela2[[#This Row],[D]]+Tabela2[[#This Row],[N]]+Tabela2[[#This Row],[HM]])</f>
        <v>4</v>
      </c>
      <c r="Q256" s="222">
        <f>SUM(Tabela2[[#This Row],[AO]]+Tabela2[[#This Row],[AD]]+Tabela2[[#This Row],[GWO]]+Tabela2[[#This Row],[GWD]])</f>
        <v>6</v>
      </c>
      <c r="R256" s="222">
        <f>Tabela2[[#This Row],[GWO]]+Tabela2[[#This Row],[GWD]]</f>
        <v>4</v>
      </c>
      <c r="S256" s="222">
        <f>SUM(Tabela2[[#This Row],[G]:[GWD]])</f>
        <v>10</v>
      </c>
    </row>
    <row r="257" spans="1:19" ht="30">
      <c r="A257" s="225">
        <v>228</v>
      </c>
      <c r="B257" s="187" t="s">
        <v>508</v>
      </c>
      <c r="C257" s="187" t="s">
        <v>430</v>
      </c>
      <c r="D257" s="187">
        <v>4</v>
      </c>
      <c r="E257" s="187" t="s">
        <v>264</v>
      </c>
      <c r="F257" s="187">
        <v>2</v>
      </c>
      <c r="G257" s="187">
        <v>3</v>
      </c>
      <c r="H257" s="187">
        <v>1</v>
      </c>
      <c r="I257" s="187">
        <v>4</v>
      </c>
      <c r="J257" s="187">
        <v>5</v>
      </c>
      <c r="K257" s="187">
        <v>1</v>
      </c>
      <c r="L257" s="187">
        <v>5</v>
      </c>
      <c r="M257" s="187">
        <v>5</v>
      </c>
      <c r="N257" s="183"/>
      <c r="O257" s="183" t="s">
        <v>207</v>
      </c>
      <c r="P257" s="222">
        <f>SUM(Tabela2[[#This Row],[G]]+Tabela2[[#This Row],[D]]+Tabela2[[#This Row],[N]]+Tabela2[[#This Row],[HM]])</f>
        <v>7</v>
      </c>
      <c r="Q257" s="222">
        <f>SUM(Tabela2[[#This Row],[AO]]+Tabela2[[#This Row],[AD]]+Tabela2[[#This Row],[GWO]]+Tabela2[[#This Row],[GWD]])</f>
        <v>19</v>
      </c>
      <c r="R257" s="222">
        <f>Tabela2[[#This Row],[GWO]]+Tabela2[[#This Row],[GWD]]</f>
        <v>10</v>
      </c>
      <c r="S257" s="222">
        <f>SUM(Tabela2[[#This Row],[G]:[GWD]])</f>
        <v>26</v>
      </c>
    </row>
    <row r="258" spans="1:19" ht="30">
      <c r="A258" s="225">
        <v>229</v>
      </c>
      <c r="B258" s="187" t="s">
        <v>507</v>
      </c>
      <c r="C258" s="187" t="s">
        <v>372</v>
      </c>
      <c r="D258" s="187">
        <v>4</v>
      </c>
      <c r="E258" s="187" t="s">
        <v>264</v>
      </c>
      <c r="F258" s="187">
        <v>1</v>
      </c>
      <c r="G258" s="187">
        <v>2</v>
      </c>
      <c r="H258" s="187">
        <v>1</v>
      </c>
      <c r="I258" s="187">
        <v>2</v>
      </c>
      <c r="J258" s="187">
        <v>2</v>
      </c>
      <c r="K258" s="187">
        <v>2</v>
      </c>
      <c r="L258" s="187">
        <v>1</v>
      </c>
      <c r="M258" s="187">
        <v>1</v>
      </c>
      <c r="N258" s="183"/>
      <c r="O258" s="183"/>
      <c r="P258" s="222">
        <f>SUM(Tabela2[[#This Row],[G]]+Tabela2[[#This Row],[D]]+Tabela2[[#This Row],[N]]+Tabela2[[#This Row],[HM]])</f>
        <v>6</v>
      </c>
      <c r="Q258" s="222">
        <f>SUM(Tabela2[[#This Row],[AO]]+Tabela2[[#This Row],[AD]]+Tabela2[[#This Row],[GWO]]+Tabela2[[#This Row],[GWD]])</f>
        <v>6</v>
      </c>
      <c r="R258" s="222">
        <f>Tabela2[[#This Row],[GWO]]+Tabela2[[#This Row],[GWD]]</f>
        <v>2</v>
      </c>
      <c r="S258" s="222">
        <f>SUM(Tabela2[[#This Row],[G]:[GWD]])</f>
        <v>12</v>
      </c>
    </row>
    <row r="259" spans="1:19">
      <c r="A259" s="225">
        <v>230</v>
      </c>
      <c r="B259" s="187" t="s">
        <v>506</v>
      </c>
      <c r="C259" s="187" t="s">
        <v>213</v>
      </c>
      <c r="D259" s="187">
        <v>4</v>
      </c>
      <c r="E259" s="187" t="s">
        <v>264</v>
      </c>
      <c r="F259" s="187">
        <v>1</v>
      </c>
      <c r="G259" s="187">
        <v>1</v>
      </c>
      <c r="H259" s="187">
        <v>1</v>
      </c>
      <c r="I259" s="187">
        <v>2</v>
      </c>
      <c r="J259" s="187">
        <v>3</v>
      </c>
      <c r="K259" s="187">
        <v>1</v>
      </c>
      <c r="L259" s="187">
        <v>3</v>
      </c>
      <c r="M259" s="187">
        <v>4</v>
      </c>
      <c r="N259" s="183"/>
      <c r="O259" s="183"/>
      <c r="P259" s="222">
        <f>SUM(Tabela2[[#This Row],[G]]+Tabela2[[#This Row],[D]]+Tabela2[[#This Row],[N]]+Tabela2[[#This Row],[HM]])</f>
        <v>4</v>
      </c>
      <c r="Q259" s="222">
        <f>SUM(Tabela2[[#This Row],[AO]]+Tabela2[[#This Row],[AD]]+Tabela2[[#This Row],[GWO]]+Tabela2[[#This Row],[GWD]])</f>
        <v>12</v>
      </c>
      <c r="R259" s="222">
        <f>Tabela2[[#This Row],[GWO]]+Tabela2[[#This Row],[GWD]]</f>
        <v>7</v>
      </c>
      <c r="S259" s="222">
        <f>SUM(Tabela2[[#This Row],[G]:[GWD]])</f>
        <v>16</v>
      </c>
    </row>
    <row r="260" spans="1:19">
      <c r="A260" s="225">
        <v>233</v>
      </c>
      <c r="B260" s="187" t="s">
        <v>503</v>
      </c>
      <c r="C260" s="187" t="s">
        <v>420</v>
      </c>
      <c r="D260" s="187">
        <v>4</v>
      </c>
      <c r="E260" s="187" t="s">
        <v>264</v>
      </c>
      <c r="F260" s="187">
        <v>1</v>
      </c>
      <c r="G260" s="187">
        <v>1</v>
      </c>
      <c r="H260" s="187">
        <v>1</v>
      </c>
      <c r="I260" s="187">
        <v>1</v>
      </c>
      <c r="J260" s="187">
        <v>1</v>
      </c>
      <c r="K260" s="187">
        <v>1</v>
      </c>
      <c r="L260" s="187">
        <v>1</v>
      </c>
      <c r="M260" s="187">
        <v>1</v>
      </c>
      <c r="N260" s="183"/>
      <c r="O260" s="183"/>
      <c r="P260" s="222">
        <f>SUM(Tabela2[[#This Row],[G]]+Tabela2[[#This Row],[D]]+Tabela2[[#This Row],[N]]+Tabela2[[#This Row],[HM]])</f>
        <v>4</v>
      </c>
      <c r="Q260" s="222">
        <f>SUM(Tabela2[[#This Row],[AO]]+Tabela2[[#This Row],[AD]]+Tabela2[[#This Row],[GWO]]+Tabela2[[#This Row],[GWD]])</f>
        <v>4</v>
      </c>
      <c r="R260" s="222">
        <f>Tabela2[[#This Row],[GWO]]+Tabela2[[#This Row],[GWD]]</f>
        <v>2</v>
      </c>
      <c r="S260" s="222">
        <f>SUM(Tabela2[[#This Row],[G]:[GWD]])</f>
        <v>8</v>
      </c>
    </row>
    <row r="261" spans="1:19">
      <c r="A261" s="225">
        <v>235</v>
      </c>
      <c r="B261" s="187" t="s">
        <v>502</v>
      </c>
      <c r="C261" s="187" t="s">
        <v>413</v>
      </c>
      <c r="D261" s="187">
        <v>4</v>
      </c>
      <c r="E261" s="187" t="s">
        <v>264</v>
      </c>
      <c r="F261" s="187">
        <v>1</v>
      </c>
      <c r="G261" s="187">
        <v>1</v>
      </c>
      <c r="H261" s="187">
        <v>1</v>
      </c>
      <c r="I261" s="187">
        <v>1</v>
      </c>
      <c r="J261" s="187">
        <v>1</v>
      </c>
      <c r="K261" s="187">
        <v>2</v>
      </c>
      <c r="L261" s="187">
        <v>1</v>
      </c>
      <c r="M261" s="187">
        <v>1</v>
      </c>
      <c r="N261" s="183"/>
      <c r="O261" s="183"/>
      <c r="P261" s="222">
        <f>SUM(Tabela2[[#This Row],[G]]+Tabela2[[#This Row],[D]]+Tabela2[[#This Row],[N]]+Tabela2[[#This Row],[HM]])</f>
        <v>5</v>
      </c>
      <c r="Q261" s="222">
        <f>SUM(Tabela2[[#This Row],[AO]]+Tabela2[[#This Row],[AD]]+Tabela2[[#This Row],[GWO]]+Tabela2[[#This Row],[GWD]])</f>
        <v>4</v>
      </c>
      <c r="R261" s="222">
        <f>Tabela2[[#This Row],[GWO]]+Tabela2[[#This Row],[GWD]]</f>
        <v>2</v>
      </c>
      <c r="S261" s="222">
        <f>SUM(Tabela2[[#This Row],[G]:[GWD]])</f>
        <v>9</v>
      </c>
    </row>
    <row r="262" spans="1:19" ht="30">
      <c r="A262" s="225">
        <v>237</v>
      </c>
      <c r="B262" s="187" t="s">
        <v>500</v>
      </c>
      <c r="C262" s="187" t="s">
        <v>409</v>
      </c>
      <c r="D262" s="187">
        <v>4</v>
      </c>
      <c r="E262" s="187" t="s">
        <v>264</v>
      </c>
      <c r="F262" s="187">
        <v>1</v>
      </c>
      <c r="G262" s="187">
        <v>4</v>
      </c>
      <c r="H262" s="187">
        <v>1</v>
      </c>
      <c r="I262" s="187">
        <v>1</v>
      </c>
      <c r="J262" s="187">
        <v>1</v>
      </c>
      <c r="K262" s="187">
        <v>1</v>
      </c>
      <c r="L262" s="187">
        <v>3</v>
      </c>
      <c r="M262" s="187">
        <v>1</v>
      </c>
      <c r="N262" s="183"/>
      <c r="O262" s="183"/>
      <c r="P262" s="222">
        <f>SUM(Tabela2[[#This Row],[G]]+Tabela2[[#This Row],[D]]+Tabela2[[#This Row],[N]]+Tabela2[[#This Row],[HM]])</f>
        <v>7</v>
      </c>
      <c r="Q262" s="222">
        <f>SUM(Tabela2[[#This Row],[AO]]+Tabela2[[#This Row],[AD]]+Tabela2[[#This Row],[GWO]]+Tabela2[[#This Row],[GWD]])</f>
        <v>6</v>
      </c>
      <c r="R262" s="222">
        <f>Tabela2[[#This Row],[GWO]]+Tabela2[[#This Row],[GWD]]</f>
        <v>4</v>
      </c>
      <c r="S262" s="222">
        <f>SUM(Tabela2[[#This Row],[G]:[GWD]])</f>
        <v>13</v>
      </c>
    </row>
    <row r="263" spans="1:19">
      <c r="A263" s="225">
        <v>239</v>
      </c>
      <c r="B263" s="187" t="s">
        <v>498</v>
      </c>
      <c r="C263" s="187" t="s">
        <v>218</v>
      </c>
      <c r="D263" s="187">
        <v>4</v>
      </c>
      <c r="E263" s="187" t="s">
        <v>264</v>
      </c>
      <c r="F263" s="187">
        <v>1</v>
      </c>
      <c r="G263" s="187">
        <v>1</v>
      </c>
      <c r="H263" s="187">
        <v>1</v>
      </c>
      <c r="I263" s="187">
        <v>1</v>
      </c>
      <c r="J263" s="187">
        <v>1</v>
      </c>
      <c r="K263" s="187">
        <v>1</v>
      </c>
      <c r="L263" s="187">
        <v>1</v>
      </c>
      <c r="M263" s="187">
        <v>1</v>
      </c>
      <c r="N263" s="187" t="s">
        <v>460</v>
      </c>
      <c r="O263" s="187"/>
      <c r="P263" s="227">
        <f>SUM(Tabela2[[#This Row],[G]]+Tabela2[[#This Row],[D]]+Tabela2[[#This Row],[N]]+Tabela2[[#This Row],[HM]])</f>
        <v>4</v>
      </c>
      <c r="Q263" s="227">
        <f>SUM(Tabela2[[#This Row],[AO]]+Tabela2[[#This Row],[AD]]+Tabela2[[#This Row],[GWO]]+Tabela2[[#This Row],[GWD]])</f>
        <v>4</v>
      </c>
      <c r="R263" s="227">
        <f>Tabela2[[#This Row],[GWO]]+Tabela2[[#This Row],[GWD]]</f>
        <v>2</v>
      </c>
      <c r="S263" s="222">
        <f>SUM(Tabela2[[#This Row],[G]:[GWD]])</f>
        <v>8</v>
      </c>
    </row>
    <row r="264" spans="1:19" ht="30">
      <c r="A264" s="225">
        <v>240</v>
      </c>
      <c r="B264" s="187" t="s">
        <v>497</v>
      </c>
      <c r="C264" s="187" t="s">
        <v>359</v>
      </c>
      <c r="D264" s="187">
        <v>4</v>
      </c>
      <c r="E264" s="187" t="s">
        <v>264</v>
      </c>
      <c r="F264" s="187">
        <v>1</v>
      </c>
      <c r="G264" s="187">
        <v>2</v>
      </c>
      <c r="H264" s="187">
        <v>1</v>
      </c>
      <c r="I264" s="187">
        <v>5</v>
      </c>
      <c r="J264" s="187">
        <v>3</v>
      </c>
      <c r="K264" s="187">
        <v>3</v>
      </c>
      <c r="L264" s="187">
        <v>5</v>
      </c>
      <c r="M264" s="187">
        <v>2</v>
      </c>
      <c r="N264" s="183"/>
      <c r="O264" s="183"/>
      <c r="P264" s="222">
        <f>SUM(Tabela2[[#This Row],[G]]+Tabela2[[#This Row],[D]]+Tabela2[[#This Row],[N]]+Tabela2[[#This Row],[HM]])</f>
        <v>7</v>
      </c>
      <c r="Q264" s="222">
        <f>SUM(Tabela2[[#This Row],[AO]]+Tabela2[[#This Row],[AD]]+Tabela2[[#This Row],[GWO]]+Tabela2[[#This Row],[GWD]])</f>
        <v>15</v>
      </c>
      <c r="R264" s="222">
        <f>Tabela2[[#This Row],[GWO]]+Tabela2[[#This Row],[GWD]]</f>
        <v>7</v>
      </c>
      <c r="S264" s="222">
        <f>SUM(Tabela2[[#This Row],[G]:[GWD]])</f>
        <v>22</v>
      </c>
    </row>
    <row r="265" spans="1:19" ht="30">
      <c r="A265" s="225">
        <v>242</v>
      </c>
      <c r="B265" s="187" t="s">
        <v>495</v>
      </c>
      <c r="C265" s="187" t="s">
        <v>401</v>
      </c>
      <c r="D265" s="187">
        <v>4</v>
      </c>
      <c r="E265" s="187" t="s">
        <v>264</v>
      </c>
      <c r="F265" s="187">
        <v>5</v>
      </c>
      <c r="G265" s="187">
        <v>5</v>
      </c>
      <c r="H265" s="187">
        <v>1</v>
      </c>
      <c r="I265" s="187">
        <v>5</v>
      </c>
      <c r="J265" s="187">
        <v>2</v>
      </c>
      <c r="K265" s="187">
        <v>1</v>
      </c>
      <c r="L265" s="187">
        <v>5</v>
      </c>
      <c r="M265" s="187">
        <v>5</v>
      </c>
      <c r="N265" s="183"/>
      <c r="O265" s="183"/>
      <c r="P265" s="222">
        <f>SUM(Tabela2[[#This Row],[G]]+Tabela2[[#This Row],[D]]+Tabela2[[#This Row],[N]]+Tabela2[[#This Row],[HM]])</f>
        <v>12</v>
      </c>
      <c r="Q265" s="222">
        <f>SUM(Tabela2[[#This Row],[AO]]+Tabela2[[#This Row],[AD]]+Tabela2[[#This Row],[GWO]]+Tabela2[[#This Row],[GWD]])</f>
        <v>17</v>
      </c>
      <c r="R265" s="222">
        <f>Tabela2[[#This Row],[GWO]]+Tabela2[[#This Row],[GWD]]</f>
        <v>10</v>
      </c>
      <c r="S265" s="222">
        <f>SUM(Tabela2[[#This Row],[G]:[GWD]])</f>
        <v>29</v>
      </c>
    </row>
    <row r="266" spans="1:19">
      <c r="A266" s="225">
        <v>243</v>
      </c>
      <c r="B266" s="187" t="s">
        <v>494</v>
      </c>
      <c r="C266" s="187" t="s">
        <v>399</v>
      </c>
      <c r="D266" s="187">
        <v>4</v>
      </c>
      <c r="E266" s="187" t="s">
        <v>264</v>
      </c>
      <c r="F266" s="187">
        <v>2</v>
      </c>
      <c r="G266" s="187">
        <v>4</v>
      </c>
      <c r="H266" s="187">
        <v>1</v>
      </c>
      <c r="I266" s="187">
        <v>2</v>
      </c>
      <c r="J266" s="187">
        <v>1</v>
      </c>
      <c r="K266" s="187">
        <v>1</v>
      </c>
      <c r="L266" s="187">
        <v>4</v>
      </c>
      <c r="M266" s="187">
        <v>1</v>
      </c>
      <c r="N266" s="183"/>
      <c r="O266" s="183" t="s">
        <v>207</v>
      </c>
      <c r="P266" s="222">
        <f>SUM(Tabela2[[#This Row],[G]]+Tabela2[[#This Row],[D]]+Tabela2[[#This Row],[N]]+Tabela2[[#This Row],[HM]])</f>
        <v>8</v>
      </c>
      <c r="Q266" s="222">
        <f>SUM(Tabela2[[#This Row],[AO]]+Tabela2[[#This Row],[AD]]+Tabela2[[#This Row],[GWO]]+Tabela2[[#This Row],[GWD]])</f>
        <v>8</v>
      </c>
      <c r="R266" s="222">
        <f>Tabela2[[#This Row],[GWO]]+Tabela2[[#This Row],[GWD]]</f>
        <v>5</v>
      </c>
      <c r="S266" s="222">
        <f>SUM(Tabela2[[#This Row],[G]:[GWD]])</f>
        <v>16</v>
      </c>
    </row>
    <row r="267" spans="1:19">
      <c r="A267" s="225">
        <v>244</v>
      </c>
      <c r="B267" s="187" t="s">
        <v>493</v>
      </c>
      <c r="C267" s="187" t="s">
        <v>397</v>
      </c>
      <c r="D267" s="187">
        <v>4</v>
      </c>
      <c r="E267" s="187" t="s">
        <v>264</v>
      </c>
      <c r="F267" s="187">
        <v>1</v>
      </c>
      <c r="G267" s="187">
        <v>1</v>
      </c>
      <c r="H267" s="187">
        <v>1</v>
      </c>
      <c r="I267" s="187">
        <v>1</v>
      </c>
      <c r="J267" s="187">
        <v>1</v>
      </c>
      <c r="K267" s="187">
        <v>1</v>
      </c>
      <c r="L267" s="187">
        <v>3</v>
      </c>
      <c r="M267" s="187">
        <v>1</v>
      </c>
      <c r="N267" s="183"/>
      <c r="O267" s="183"/>
      <c r="P267" s="222">
        <f>SUM(Tabela2[[#This Row],[G]]+Tabela2[[#This Row],[D]]+Tabela2[[#This Row],[N]]+Tabela2[[#This Row],[HM]])</f>
        <v>4</v>
      </c>
      <c r="Q267" s="222">
        <f>SUM(Tabela2[[#This Row],[AO]]+Tabela2[[#This Row],[AD]]+Tabela2[[#This Row],[GWO]]+Tabela2[[#This Row],[GWD]])</f>
        <v>6</v>
      </c>
      <c r="R267" s="222">
        <f>Tabela2[[#This Row],[GWO]]+Tabela2[[#This Row],[GWD]]</f>
        <v>4</v>
      </c>
      <c r="S267" s="222">
        <f>SUM(Tabela2[[#This Row],[G]:[GWD]])</f>
        <v>10</v>
      </c>
    </row>
    <row r="268" spans="1:19" ht="30">
      <c r="A268" s="225">
        <v>245</v>
      </c>
      <c r="B268" s="187" t="s">
        <v>492</v>
      </c>
      <c r="C268" s="187" t="s">
        <v>466</v>
      </c>
      <c r="D268" s="187">
        <v>4</v>
      </c>
      <c r="E268" s="187" t="s">
        <v>264</v>
      </c>
      <c r="F268" s="187">
        <v>1</v>
      </c>
      <c r="G268" s="187">
        <v>1</v>
      </c>
      <c r="H268" s="187">
        <v>1</v>
      </c>
      <c r="I268" s="187">
        <v>1</v>
      </c>
      <c r="J268" s="187">
        <v>2</v>
      </c>
      <c r="K268" s="187">
        <v>3</v>
      </c>
      <c r="L268" s="187">
        <v>2</v>
      </c>
      <c r="M268" s="187">
        <v>2</v>
      </c>
      <c r="N268" s="183"/>
      <c r="O268" s="183"/>
      <c r="P268" s="222">
        <f>SUM(Tabela2[[#This Row],[G]]+Tabela2[[#This Row],[D]]+Tabela2[[#This Row],[N]]+Tabela2[[#This Row],[HM]])</f>
        <v>6</v>
      </c>
      <c r="Q268" s="222">
        <f>SUM(Tabela2[[#This Row],[AO]]+Tabela2[[#This Row],[AD]]+Tabela2[[#This Row],[GWO]]+Tabela2[[#This Row],[GWD]])</f>
        <v>7</v>
      </c>
      <c r="R268" s="222">
        <f>Tabela2[[#This Row],[GWO]]+Tabela2[[#This Row],[GWD]]</f>
        <v>4</v>
      </c>
      <c r="S268" s="222">
        <f>SUM(Tabela2[[#This Row],[G]:[GWD]])</f>
        <v>13</v>
      </c>
    </row>
    <row r="269" spans="1:19">
      <c r="A269" s="225">
        <v>247</v>
      </c>
      <c r="B269" s="187" t="s">
        <v>490</v>
      </c>
      <c r="C269" s="187" t="s">
        <v>237</v>
      </c>
      <c r="D269" s="187">
        <v>4</v>
      </c>
      <c r="E269" s="187" t="s">
        <v>264</v>
      </c>
      <c r="F269" s="187">
        <v>1</v>
      </c>
      <c r="G269" s="187">
        <v>2</v>
      </c>
      <c r="H269" s="187">
        <v>1</v>
      </c>
      <c r="I269" s="187">
        <v>4</v>
      </c>
      <c r="J269" s="187">
        <v>5</v>
      </c>
      <c r="K269" s="187">
        <v>5</v>
      </c>
      <c r="L269" s="187">
        <v>3</v>
      </c>
      <c r="M269" s="187">
        <v>3</v>
      </c>
      <c r="N269" s="183"/>
      <c r="O269" s="183"/>
      <c r="P269" s="222">
        <f>SUM(Tabela2[[#This Row],[G]]+Tabela2[[#This Row],[D]]+Tabela2[[#This Row],[N]]+Tabela2[[#This Row],[HM]])</f>
        <v>9</v>
      </c>
      <c r="Q269" s="222">
        <f>SUM(Tabela2[[#This Row],[AO]]+Tabela2[[#This Row],[AD]]+Tabela2[[#This Row],[GWO]]+Tabela2[[#This Row],[GWD]])</f>
        <v>15</v>
      </c>
      <c r="R269" s="222">
        <f>Tabela2[[#This Row],[GWO]]+Tabela2[[#This Row],[GWD]]</f>
        <v>6</v>
      </c>
      <c r="S269" s="222">
        <f>SUM(Tabela2[[#This Row],[G]:[GWD]])</f>
        <v>24</v>
      </c>
    </row>
    <row r="270" spans="1:19">
      <c r="A270" s="225">
        <v>248</v>
      </c>
      <c r="B270" s="187" t="s">
        <v>489</v>
      </c>
      <c r="C270" s="187" t="s">
        <v>393</v>
      </c>
      <c r="D270" s="187">
        <v>4</v>
      </c>
      <c r="E270" s="187" t="s">
        <v>264</v>
      </c>
      <c r="F270" s="187">
        <v>2</v>
      </c>
      <c r="G270" s="187">
        <v>3</v>
      </c>
      <c r="H270" s="187">
        <v>1</v>
      </c>
      <c r="I270" s="187">
        <v>1</v>
      </c>
      <c r="J270" s="187">
        <v>1</v>
      </c>
      <c r="K270" s="187">
        <v>1</v>
      </c>
      <c r="L270" s="187">
        <v>3</v>
      </c>
      <c r="M270" s="187">
        <v>1</v>
      </c>
      <c r="N270" s="183"/>
      <c r="O270" s="183"/>
      <c r="P270" s="222">
        <f>SUM(Tabela2[[#This Row],[G]]+Tabela2[[#This Row],[D]]+Tabela2[[#This Row],[N]]+Tabela2[[#This Row],[HM]])</f>
        <v>7</v>
      </c>
      <c r="Q270" s="222">
        <f>SUM(Tabela2[[#This Row],[AO]]+Tabela2[[#This Row],[AD]]+Tabela2[[#This Row],[GWO]]+Tabela2[[#This Row],[GWD]])</f>
        <v>6</v>
      </c>
      <c r="R270" s="222">
        <f>Tabela2[[#This Row],[GWO]]+Tabela2[[#This Row],[GWD]]</f>
        <v>4</v>
      </c>
      <c r="S270" s="222">
        <f>SUM(Tabela2[[#This Row],[G]:[GWD]])</f>
        <v>13</v>
      </c>
    </row>
    <row r="271" spans="1:19">
      <c r="A271" s="225">
        <v>249</v>
      </c>
      <c r="B271" s="187" t="s">
        <v>488</v>
      </c>
      <c r="C271" s="187" t="s">
        <v>238</v>
      </c>
      <c r="D271" s="187">
        <v>4</v>
      </c>
      <c r="E271" s="187" t="s">
        <v>264</v>
      </c>
      <c r="F271" s="187">
        <v>1</v>
      </c>
      <c r="G271" s="187">
        <v>2</v>
      </c>
      <c r="H271" s="187">
        <v>1</v>
      </c>
      <c r="I271" s="187">
        <v>1</v>
      </c>
      <c r="J271" s="187">
        <v>1</v>
      </c>
      <c r="K271" s="187">
        <v>1</v>
      </c>
      <c r="L271" s="187">
        <v>2</v>
      </c>
      <c r="M271" s="187">
        <v>1</v>
      </c>
      <c r="N271" s="187" t="s">
        <v>460</v>
      </c>
      <c r="O271" s="187"/>
      <c r="P271" s="227">
        <f>SUM(Tabela2[[#This Row],[G]]+Tabela2[[#This Row],[D]]+Tabela2[[#This Row],[N]]+Tabela2[[#This Row],[HM]])</f>
        <v>5</v>
      </c>
      <c r="Q271" s="227">
        <f>SUM(Tabela2[[#This Row],[AO]]+Tabela2[[#This Row],[AD]]+Tabela2[[#This Row],[GWO]]+Tabela2[[#This Row],[GWD]])</f>
        <v>5</v>
      </c>
      <c r="R271" s="227">
        <f>Tabela2[[#This Row],[GWO]]+Tabela2[[#This Row],[GWD]]</f>
        <v>3</v>
      </c>
      <c r="S271" s="222">
        <f>SUM(Tabela2[[#This Row],[G]:[GWD]])</f>
        <v>10</v>
      </c>
    </row>
    <row r="272" spans="1:19">
      <c r="A272" s="225">
        <v>250</v>
      </c>
      <c r="B272" s="187" t="s">
        <v>487</v>
      </c>
      <c r="C272" s="187" t="s">
        <v>187</v>
      </c>
      <c r="D272" s="187">
        <v>4</v>
      </c>
      <c r="E272" s="187" t="s">
        <v>264</v>
      </c>
      <c r="F272" s="187">
        <v>1</v>
      </c>
      <c r="G272" s="187">
        <v>1</v>
      </c>
      <c r="H272" s="187">
        <v>1</v>
      </c>
      <c r="I272" s="187">
        <v>1</v>
      </c>
      <c r="J272" s="187">
        <v>1</v>
      </c>
      <c r="K272" s="187">
        <v>1</v>
      </c>
      <c r="L272" s="187">
        <v>1</v>
      </c>
      <c r="M272" s="187">
        <v>1</v>
      </c>
      <c r="N272" s="183"/>
      <c r="O272" s="183"/>
      <c r="P272" s="222">
        <f>SUM(Tabela2[[#This Row],[G]]+Tabela2[[#This Row],[D]]+Tabela2[[#This Row],[N]]+Tabela2[[#This Row],[HM]])</f>
        <v>4</v>
      </c>
      <c r="Q272" s="222">
        <f>SUM(Tabela2[[#This Row],[AO]]+Tabela2[[#This Row],[AD]]+Tabela2[[#This Row],[GWO]]+Tabela2[[#This Row],[GWD]])</f>
        <v>4</v>
      </c>
      <c r="R272" s="222">
        <f>Tabela2[[#This Row],[GWO]]+Tabela2[[#This Row],[GWD]]</f>
        <v>2</v>
      </c>
      <c r="S272" s="222">
        <f>SUM(Tabela2[[#This Row],[G]:[GWD]])</f>
        <v>8</v>
      </c>
    </row>
    <row r="273" spans="1:19">
      <c r="A273" s="225">
        <v>251</v>
      </c>
      <c r="B273" s="187" t="s">
        <v>486</v>
      </c>
      <c r="C273" s="187" t="s">
        <v>391</v>
      </c>
      <c r="D273" s="187">
        <v>4</v>
      </c>
      <c r="E273" s="187" t="s">
        <v>264</v>
      </c>
      <c r="F273" s="187">
        <v>1</v>
      </c>
      <c r="G273" s="187">
        <v>1</v>
      </c>
      <c r="H273" s="187">
        <v>1</v>
      </c>
      <c r="I273" s="187">
        <v>1</v>
      </c>
      <c r="J273" s="187">
        <v>1</v>
      </c>
      <c r="K273" s="187">
        <v>1</v>
      </c>
      <c r="L273" s="187">
        <v>1</v>
      </c>
      <c r="M273" s="187">
        <v>1</v>
      </c>
      <c r="N273" s="183"/>
      <c r="O273" s="183"/>
      <c r="P273" s="222">
        <f>SUM(Tabela2[[#This Row],[G]]+Tabela2[[#This Row],[D]]+Tabela2[[#This Row],[N]]+Tabela2[[#This Row],[HM]])</f>
        <v>4</v>
      </c>
      <c r="Q273" s="222">
        <f>SUM(Tabela2[[#This Row],[AO]]+Tabela2[[#This Row],[AD]]+Tabela2[[#This Row],[GWO]]+Tabela2[[#This Row],[GWD]])</f>
        <v>4</v>
      </c>
      <c r="R273" s="222">
        <f>Tabela2[[#This Row],[GWO]]+Tabela2[[#This Row],[GWD]]</f>
        <v>2</v>
      </c>
      <c r="S273" s="222">
        <f>SUM(Tabela2[[#This Row],[G]:[GWD]])</f>
        <v>8</v>
      </c>
    </row>
    <row r="274" spans="1:19">
      <c r="A274" s="225">
        <v>252</v>
      </c>
      <c r="B274" s="185" t="s">
        <v>485</v>
      </c>
      <c r="C274" s="185" t="s">
        <v>434</v>
      </c>
      <c r="D274" s="185">
        <v>4</v>
      </c>
      <c r="E274" s="185" t="s">
        <v>265</v>
      </c>
      <c r="F274" s="185">
        <v>2</v>
      </c>
      <c r="G274" s="185">
        <v>1</v>
      </c>
      <c r="H274" s="185">
        <v>1</v>
      </c>
      <c r="I274" s="185">
        <v>1</v>
      </c>
      <c r="J274" s="185">
        <v>1</v>
      </c>
      <c r="K274" s="185">
        <v>1</v>
      </c>
      <c r="L274" s="185">
        <v>4</v>
      </c>
      <c r="M274" s="185">
        <v>1</v>
      </c>
      <c r="N274" s="183"/>
      <c r="O274" s="183" t="s">
        <v>798</v>
      </c>
      <c r="P274" s="222">
        <f>SUM(Tabela2[[#This Row],[G]]+Tabela2[[#This Row],[D]]+Tabela2[[#This Row],[N]]+Tabela2[[#This Row],[HM]])</f>
        <v>5</v>
      </c>
      <c r="Q274" s="222">
        <f>SUM(Tabela2[[#This Row],[AO]]+Tabela2[[#This Row],[AD]]+Tabela2[[#This Row],[GWO]]+Tabela2[[#This Row],[GWD]])</f>
        <v>7</v>
      </c>
      <c r="R274" s="222">
        <f>Tabela2[[#This Row],[GWO]]+Tabela2[[#This Row],[GWD]]</f>
        <v>5</v>
      </c>
      <c r="S274" s="222">
        <f>SUM(Tabela2[[#This Row],[G]:[GWD]])</f>
        <v>12</v>
      </c>
    </row>
    <row r="275" spans="1:19" ht="30">
      <c r="A275" s="225">
        <v>253</v>
      </c>
      <c r="B275" s="185" t="s">
        <v>484</v>
      </c>
      <c r="C275" s="185" t="s">
        <v>456</v>
      </c>
      <c r="D275" s="185">
        <v>4</v>
      </c>
      <c r="E275" s="185" t="s">
        <v>265</v>
      </c>
      <c r="F275" s="185">
        <v>2</v>
      </c>
      <c r="G275" s="185">
        <v>1</v>
      </c>
      <c r="H275" s="185">
        <v>1</v>
      </c>
      <c r="I275" s="185">
        <v>1</v>
      </c>
      <c r="J275" s="185">
        <v>1</v>
      </c>
      <c r="K275" s="185">
        <v>1</v>
      </c>
      <c r="L275" s="185">
        <v>1</v>
      </c>
      <c r="M275" s="185">
        <v>1</v>
      </c>
      <c r="N275" s="183"/>
      <c r="O275" s="183"/>
      <c r="P275" s="222">
        <f>SUM(Tabela2[[#This Row],[G]]+Tabela2[[#This Row],[D]]+Tabela2[[#This Row],[N]]+Tabela2[[#This Row],[HM]])</f>
        <v>5</v>
      </c>
      <c r="Q275" s="222">
        <f>SUM(Tabela2[[#This Row],[AO]]+Tabela2[[#This Row],[AD]]+Tabela2[[#This Row],[GWO]]+Tabela2[[#This Row],[GWD]])</f>
        <v>4</v>
      </c>
      <c r="R275" s="222">
        <f>Tabela2[[#This Row],[GWO]]+Tabela2[[#This Row],[GWD]]</f>
        <v>2</v>
      </c>
      <c r="S275" s="222">
        <f>SUM(Tabela2[[#This Row],[G]:[GWD]])</f>
        <v>9</v>
      </c>
    </row>
    <row r="276" spans="1:19" ht="30">
      <c r="A276" s="225">
        <v>254</v>
      </c>
      <c r="B276" s="185" t="s">
        <v>483</v>
      </c>
      <c r="C276" s="185" t="s">
        <v>430</v>
      </c>
      <c r="D276" s="185">
        <v>4</v>
      </c>
      <c r="E276" s="185" t="s">
        <v>265</v>
      </c>
      <c r="F276" s="185">
        <v>3</v>
      </c>
      <c r="G276" s="185">
        <v>1</v>
      </c>
      <c r="H276" s="185">
        <v>1</v>
      </c>
      <c r="I276" s="185">
        <v>4</v>
      </c>
      <c r="J276" s="185">
        <v>3</v>
      </c>
      <c r="K276" s="185">
        <v>1</v>
      </c>
      <c r="L276" s="185">
        <v>4</v>
      </c>
      <c r="M276" s="185">
        <v>1</v>
      </c>
      <c r="N276" s="183"/>
      <c r="O276" s="183"/>
      <c r="P276" s="222">
        <f>SUM(Tabela2[[#This Row],[G]]+Tabela2[[#This Row],[D]]+Tabela2[[#This Row],[N]]+Tabela2[[#This Row],[HM]])</f>
        <v>6</v>
      </c>
      <c r="Q276" s="222">
        <f>SUM(Tabela2[[#This Row],[AO]]+Tabela2[[#This Row],[AD]]+Tabela2[[#This Row],[GWO]]+Tabela2[[#This Row],[GWD]])</f>
        <v>12</v>
      </c>
      <c r="R276" s="222">
        <f>Tabela2[[#This Row],[GWO]]+Tabela2[[#This Row],[GWD]]</f>
        <v>5</v>
      </c>
      <c r="S276" s="222">
        <f>SUM(Tabela2[[#This Row],[G]:[GWD]])</f>
        <v>18</v>
      </c>
    </row>
    <row r="277" spans="1:19" ht="30">
      <c r="A277" s="225">
        <v>255</v>
      </c>
      <c r="B277" s="185" t="s">
        <v>482</v>
      </c>
      <c r="C277" s="185" t="s">
        <v>372</v>
      </c>
      <c r="D277" s="185">
        <v>4</v>
      </c>
      <c r="E277" s="185" t="s">
        <v>265</v>
      </c>
      <c r="F277" s="185">
        <v>3</v>
      </c>
      <c r="G277" s="185">
        <v>3</v>
      </c>
      <c r="H277" s="185">
        <v>1</v>
      </c>
      <c r="I277" s="185">
        <v>1</v>
      </c>
      <c r="J277" s="185">
        <v>3</v>
      </c>
      <c r="K277" s="185">
        <v>5</v>
      </c>
      <c r="L277" s="185">
        <v>4</v>
      </c>
      <c r="M277" s="185">
        <v>3</v>
      </c>
      <c r="N277" s="183"/>
      <c r="O277" s="183"/>
      <c r="P277" s="222">
        <f>SUM(Tabela2[[#This Row],[G]]+Tabela2[[#This Row],[D]]+Tabela2[[#This Row],[N]]+Tabela2[[#This Row],[HM]])</f>
        <v>12</v>
      </c>
      <c r="Q277" s="222">
        <f>SUM(Tabela2[[#This Row],[AO]]+Tabela2[[#This Row],[AD]]+Tabela2[[#This Row],[GWO]]+Tabela2[[#This Row],[GWD]])</f>
        <v>11</v>
      </c>
      <c r="R277" s="222">
        <f>Tabela2[[#This Row],[GWO]]+Tabela2[[#This Row],[GWD]]</f>
        <v>7</v>
      </c>
      <c r="S277" s="222">
        <f>SUM(Tabela2[[#This Row],[G]:[GWD]])</f>
        <v>23</v>
      </c>
    </row>
    <row r="278" spans="1:19" ht="30">
      <c r="A278" s="225">
        <v>258</v>
      </c>
      <c r="B278" s="185" t="s">
        <v>479</v>
      </c>
      <c r="C278" s="185" t="s">
        <v>422</v>
      </c>
      <c r="D278" s="185">
        <v>4</v>
      </c>
      <c r="E278" s="185" t="s">
        <v>265</v>
      </c>
      <c r="F278" s="185">
        <v>1</v>
      </c>
      <c r="G278" s="185">
        <v>1</v>
      </c>
      <c r="H278" s="185">
        <v>1</v>
      </c>
      <c r="I278" s="185">
        <v>1</v>
      </c>
      <c r="J278" s="185">
        <v>1</v>
      </c>
      <c r="K278" s="185">
        <v>1</v>
      </c>
      <c r="L278" s="185">
        <v>1</v>
      </c>
      <c r="M278" s="185">
        <v>1</v>
      </c>
      <c r="N278" s="183"/>
      <c r="O278" s="183"/>
      <c r="P278" s="222">
        <f>SUM(Tabela2[[#This Row],[G]]+Tabela2[[#This Row],[D]]+Tabela2[[#This Row],[N]]+Tabela2[[#This Row],[HM]])</f>
        <v>4</v>
      </c>
      <c r="Q278" s="222">
        <f>SUM(Tabela2[[#This Row],[AO]]+Tabela2[[#This Row],[AD]]+Tabela2[[#This Row],[GWO]]+Tabela2[[#This Row],[GWD]])</f>
        <v>4</v>
      </c>
      <c r="R278" s="222">
        <f>Tabela2[[#This Row],[GWO]]+Tabela2[[#This Row],[GWD]]</f>
        <v>2</v>
      </c>
      <c r="S278" s="222">
        <f>SUM(Tabela2[[#This Row],[G]:[GWD]])</f>
        <v>8</v>
      </c>
    </row>
    <row r="279" spans="1:19">
      <c r="A279" s="225">
        <v>259</v>
      </c>
      <c r="B279" s="185" t="s">
        <v>478</v>
      </c>
      <c r="C279" s="185" t="s">
        <v>420</v>
      </c>
      <c r="D279" s="185">
        <v>4</v>
      </c>
      <c r="E279" s="185" t="s">
        <v>265</v>
      </c>
      <c r="F279" s="185">
        <v>2</v>
      </c>
      <c r="G279" s="185">
        <v>1</v>
      </c>
      <c r="H279" s="185">
        <v>1</v>
      </c>
      <c r="I279" s="185">
        <v>1</v>
      </c>
      <c r="J279" s="185">
        <v>1</v>
      </c>
      <c r="K279" s="185">
        <v>1</v>
      </c>
      <c r="L279" s="185">
        <v>2</v>
      </c>
      <c r="M279" s="185">
        <v>1</v>
      </c>
      <c r="N279" s="183"/>
      <c r="O279" s="183"/>
      <c r="P279" s="222">
        <f>SUM(Tabela2[[#This Row],[G]]+Tabela2[[#This Row],[D]]+Tabela2[[#This Row],[N]]+Tabela2[[#This Row],[HM]])</f>
        <v>5</v>
      </c>
      <c r="Q279" s="222">
        <f>SUM(Tabela2[[#This Row],[AO]]+Tabela2[[#This Row],[AD]]+Tabela2[[#This Row],[GWO]]+Tabela2[[#This Row],[GWD]])</f>
        <v>5</v>
      </c>
      <c r="R279" s="222">
        <f>Tabela2[[#This Row],[GWO]]+Tabela2[[#This Row],[GWD]]</f>
        <v>3</v>
      </c>
      <c r="S279" s="222">
        <f>SUM(Tabela2[[#This Row],[G]:[GWD]])</f>
        <v>10</v>
      </c>
    </row>
    <row r="280" spans="1:19">
      <c r="A280" s="225">
        <v>261</v>
      </c>
      <c r="B280" s="185" t="s">
        <v>476</v>
      </c>
      <c r="C280" s="185" t="s">
        <v>413</v>
      </c>
      <c r="D280" s="185">
        <v>4</v>
      </c>
      <c r="E280" s="185" t="s">
        <v>265</v>
      </c>
      <c r="F280" s="185">
        <v>3</v>
      </c>
      <c r="G280" s="185">
        <v>1</v>
      </c>
      <c r="H280" s="185">
        <v>1</v>
      </c>
      <c r="I280" s="185">
        <v>1</v>
      </c>
      <c r="J280" s="185">
        <v>1</v>
      </c>
      <c r="K280" s="185">
        <v>1</v>
      </c>
      <c r="L280" s="185">
        <v>1</v>
      </c>
      <c r="M280" s="185">
        <v>1</v>
      </c>
      <c r="N280" s="183"/>
      <c r="O280" s="183"/>
      <c r="P280" s="222">
        <f>SUM(Tabela2[[#This Row],[G]]+Tabela2[[#This Row],[D]]+Tabela2[[#This Row],[N]]+Tabela2[[#This Row],[HM]])</f>
        <v>6</v>
      </c>
      <c r="Q280" s="222">
        <f>SUM(Tabela2[[#This Row],[AO]]+Tabela2[[#This Row],[AD]]+Tabela2[[#This Row],[GWO]]+Tabela2[[#This Row],[GWD]])</f>
        <v>4</v>
      </c>
      <c r="R280" s="222">
        <f>Tabela2[[#This Row],[GWO]]+Tabela2[[#This Row],[GWD]]</f>
        <v>2</v>
      </c>
      <c r="S280" s="222">
        <f>SUM(Tabela2[[#This Row],[G]:[GWD]])</f>
        <v>10</v>
      </c>
    </row>
    <row r="281" spans="1:19" ht="30">
      <c r="A281" s="225">
        <v>262</v>
      </c>
      <c r="B281" s="185" t="s">
        <v>475</v>
      </c>
      <c r="C281" s="185" t="s">
        <v>411</v>
      </c>
      <c r="D281" s="185">
        <v>4</v>
      </c>
      <c r="E281" s="185" t="s">
        <v>265</v>
      </c>
      <c r="F281" s="185">
        <v>3</v>
      </c>
      <c r="G281" s="185">
        <v>1</v>
      </c>
      <c r="H281" s="185">
        <v>1</v>
      </c>
      <c r="I281" s="185">
        <v>1</v>
      </c>
      <c r="J281" s="185">
        <v>2</v>
      </c>
      <c r="K281" s="185">
        <v>1</v>
      </c>
      <c r="L281" s="185">
        <v>3</v>
      </c>
      <c r="M281" s="185">
        <v>3</v>
      </c>
      <c r="N281" s="183"/>
      <c r="O281" s="183"/>
      <c r="P281" s="222">
        <f>SUM(Tabela2[[#This Row],[G]]+Tabela2[[#This Row],[D]]+Tabela2[[#This Row],[N]]+Tabela2[[#This Row],[HM]])</f>
        <v>6</v>
      </c>
      <c r="Q281" s="222">
        <f>SUM(Tabela2[[#This Row],[AO]]+Tabela2[[#This Row],[AD]]+Tabela2[[#This Row],[GWO]]+Tabela2[[#This Row],[GWD]])</f>
        <v>9</v>
      </c>
      <c r="R281" s="222">
        <f>Tabela2[[#This Row],[GWO]]+Tabela2[[#This Row],[GWD]]</f>
        <v>6</v>
      </c>
      <c r="S281" s="222">
        <f>SUM(Tabela2[[#This Row],[G]:[GWD]])</f>
        <v>15</v>
      </c>
    </row>
    <row r="282" spans="1:19" ht="30">
      <c r="A282" s="225">
        <v>263</v>
      </c>
      <c r="B282" s="185" t="s">
        <v>474</v>
      </c>
      <c r="C282" s="185" t="s">
        <v>409</v>
      </c>
      <c r="D282" s="185">
        <v>4</v>
      </c>
      <c r="E282" s="185" t="s">
        <v>265</v>
      </c>
      <c r="F282" s="185">
        <v>3</v>
      </c>
      <c r="G282" s="185">
        <v>1</v>
      </c>
      <c r="H282" s="185">
        <v>1</v>
      </c>
      <c r="I282" s="185">
        <v>1</v>
      </c>
      <c r="J282" s="185">
        <v>1</v>
      </c>
      <c r="K282" s="185">
        <v>1</v>
      </c>
      <c r="L282" s="185">
        <v>3</v>
      </c>
      <c r="M282" s="185">
        <v>1</v>
      </c>
      <c r="N282" s="183"/>
      <c r="O282" s="183"/>
      <c r="P282" s="222">
        <f>SUM(Tabela2[[#This Row],[G]]+Tabela2[[#This Row],[D]]+Tabela2[[#This Row],[N]]+Tabela2[[#This Row],[HM]])</f>
        <v>6</v>
      </c>
      <c r="Q282" s="222">
        <f>SUM(Tabela2[[#This Row],[AO]]+Tabela2[[#This Row],[AD]]+Tabela2[[#This Row],[GWO]]+Tabela2[[#This Row],[GWD]])</f>
        <v>6</v>
      </c>
      <c r="R282" s="222">
        <f>Tabela2[[#This Row],[GWO]]+Tabela2[[#This Row],[GWD]]</f>
        <v>4</v>
      </c>
      <c r="S282" s="222">
        <f>SUM(Tabela2[[#This Row],[G]:[GWD]])</f>
        <v>12</v>
      </c>
    </row>
    <row r="283" spans="1:19" ht="30">
      <c r="A283" s="225">
        <v>266</v>
      </c>
      <c r="B283" s="185" t="s">
        <v>472</v>
      </c>
      <c r="C283" s="185" t="s">
        <v>359</v>
      </c>
      <c r="D283" s="185">
        <v>4</v>
      </c>
      <c r="E283" s="185" t="s">
        <v>265</v>
      </c>
      <c r="F283" s="185">
        <v>3</v>
      </c>
      <c r="G283" s="185">
        <v>1</v>
      </c>
      <c r="H283" s="185">
        <v>1</v>
      </c>
      <c r="I283" s="185">
        <v>3</v>
      </c>
      <c r="J283" s="185">
        <v>1</v>
      </c>
      <c r="K283" s="185">
        <v>1</v>
      </c>
      <c r="L283" s="185">
        <v>2</v>
      </c>
      <c r="M283" s="185">
        <v>1</v>
      </c>
      <c r="N283" s="183"/>
      <c r="O283" s="183" t="s">
        <v>207</v>
      </c>
      <c r="P283" s="222">
        <f>SUM(Tabela2[[#This Row],[G]]+Tabela2[[#This Row],[D]]+Tabela2[[#This Row],[N]]+Tabela2[[#This Row],[HM]])</f>
        <v>6</v>
      </c>
      <c r="Q283" s="222">
        <f>SUM(Tabela2[[#This Row],[AO]]+Tabela2[[#This Row],[AD]]+Tabela2[[#This Row],[GWO]]+Tabela2[[#This Row],[GWD]])</f>
        <v>7</v>
      </c>
      <c r="R283" s="222">
        <f>Tabela2[[#This Row],[GWO]]+Tabela2[[#This Row],[GWD]]</f>
        <v>3</v>
      </c>
      <c r="S283" s="222">
        <f>SUM(Tabela2[[#This Row],[G]:[GWD]])</f>
        <v>13</v>
      </c>
    </row>
    <row r="284" spans="1:19" ht="30">
      <c r="A284" s="225">
        <v>268</v>
      </c>
      <c r="B284" s="185" t="s">
        <v>470</v>
      </c>
      <c r="C284" s="185" t="s">
        <v>401</v>
      </c>
      <c r="D284" s="185">
        <v>4</v>
      </c>
      <c r="E284" s="185" t="s">
        <v>265</v>
      </c>
      <c r="F284" s="185">
        <v>2</v>
      </c>
      <c r="G284" s="185">
        <v>1</v>
      </c>
      <c r="H284" s="185">
        <v>1</v>
      </c>
      <c r="I284" s="185">
        <v>1</v>
      </c>
      <c r="J284" s="185">
        <v>1</v>
      </c>
      <c r="K284" s="185">
        <v>1</v>
      </c>
      <c r="L284" s="185">
        <v>3</v>
      </c>
      <c r="M284" s="185">
        <v>1</v>
      </c>
      <c r="N284" s="183"/>
      <c r="O284" s="183"/>
      <c r="P284" s="222">
        <f>SUM(Tabela2[[#This Row],[G]]+Tabela2[[#This Row],[D]]+Tabela2[[#This Row],[N]]+Tabela2[[#This Row],[HM]])</f>
        <v>5</v>
      </c>
      <c r="Q284" s="222">
        <f>SUM(Tabela2[[#This Row],[AO]]+Tabela2[[#This Row],[AD]]+Tabela2[[#This Row],[GWO]]+Tabela2[[#This Row],[GWD]])</f>
        <v>6</v>
      </c>
      <c r="R284" s="222">
        <f>Tabela2[[#This Row],[GWO]]+Tabela2[[#This Row],[GWD]]</f>
        <v>4</v>
      </c>
      <c r="S284" s="222">
        <f>SUM(Tabela2[[#This Row],[G]:[GWD]])</f>
        <v>11</v>
      </c>
    </row>
    <row r="285" spans="1:19">
      <c r="A285" s="225">
        <v>270</v>
      </c>
      <c r="B285" s="185" t="s">
        <v>468</v>
      </c>
      <c r="C285" s="185" t="s">
        <v>397</v>
      </c>
      <c r="D285" s="185">
        <v>4</v>
      </c>
      <c r="E285" s="185" t="s">
        <v>265</v>
      </c>
      <c r="F285" s="185">
        <v>1</v>
      </c>
      <c r="G285" s="185">
        <v>1</v>
      </c>
      <c r="H285" s="185">
        <v>1</v>
      </c>
      <c r="I285" s="185">
        <v>1</v>
      </c>
      <c r="J285" s="185">
        <v>1</v>
      </c>
      <c r="K285" s="185">
        <v>1</v>
      </c>
      <c r="L285" s="185">
        <v>3</v>
      </c>
      <c r="M285" s="185">
        <v>1</v>
      </c>
      <c r="N285" s="183"/>
      <c r="O285" s="183"/>
      <c r="P285" s="222">
        <f>SUM(Tabela2[[#This Row],[G]]+Tabela2[[#This Row],[D]]+Tabela2[[#This Row],[N]]+Tabela2[[#This Row],[HM]])</f>
        <v>4</v>
      </c>
      <c r="Q285" s="222">
        <f>SUM(Tabela2[[#This Row],[AO]]+Tabela2[[#This Row],[AD]]+Tabela2[[#This Row],[GWO]]+Tabela2[[#This Row],[GWD]])</f>
        <v>6</v>
      </c>
      <c r="R285" s="222">
        <f>Tabela2[[#This Row],[GWO]]+Tabela2[[#This Row],[GWD]]</f>
        <v>4</v>
      </c>
      <c r="S285" s="222">
        <f>SUM(Tabela2[[#This Row],[G]:[GWD]])</f>
        <v>10</v>
      </c>
    </row>
    <row r="286" spans="1:19">
      <c r="A286" s="225">
        <v>273</v>
      </c>
      <c r="B286" s="185" t="s">
        <v>464</v>
      </c>
      <c r="C286" s="185" t="s">
        <v>237</v>
      </c>
      <c r="D286" s="185">
        <v>4</v>
      </c>
      <c r="E286" s="185" t="s">
        <v>265</v>
      </c>
      <c r="F286" s="185">
        <v>2</v>
      </c>
      <c r="G286" s="185">
        <v>1</v>
      </c>
      <c r="H286" s="185">
        <v>1</v>
      </c>
      <c r="I286" s="185">
        <v>3</v>
      </c>
      <c r="J286" s="185">
        <v>1</v>
      </c>
      <c r="K286" s="185">
        <v>1</v>
      </c>
      <c r="L286" s="185">
        <v>2</v>
      </c>
      <c r="M286" s="185">
        <v>1</v>
      </c>
      <c r="N286" s="183"/>
      <c r="O286" s="183"/>
      <c r="P286" s="222">
        <f>SUM(Tabela2[[#This Row],[G]]+Tabela2[[#This Row],[D]]+Tabela2[[#This Row],[N]]+Tabela2[[#This Row],[HM]])</f>
        <v>5</v>
      </c>
      <c r="Q286" s="222">
        <f>SUM(Tabela2[[#This Row],[AO]]+Tabela2[[#This Row],[AD]]+Tabela2[[#This Row],[GWO]]+Tabela2[[#This Row],[GWD]])</f>
        <v>7</v>
      </c>
      <c r="R286" s="222">
        <f>Tabela2[[#This Row],[GWO]]+Tabela2[[#This Row],[GWD]]</f>
        <v>3</v>
      </c>
      <c r="S286" s="222">
        <f>SUM(Tabela2[[#This Row],[G]:[GWD]])</f>
        <v>12</v>
      </c>
    </row>
    <row r="287" spans="1:19">
      <c r="A287" s="225">
        <v>274</v>
      </c>
      <c r="B287" s="185" t="s">
        <v>463</v>
      </c>
      <c r="C287" s="185" t="s">
        <v>393</v>
      </c>
      <c r="D287" s="185">
        <v>4</v>
      </c>
      <c r="E287" s="185" t="s">
        <v>265</v>
      </c>
      <c r="F287" s="185">
        <v>5</v>
      </c>
      <c r="G287" s="185">
        <v>1</v>
      </c>
      <c r="H287" s="185">
        <v>1</v>
      </c>
      <c r="I287" s="185">
        <v>1</v>
      </c>
      <c r="J287" s="185">
        <v>1</v>
      </c>
      <c r="K287" s="185">
        <v>3</v>
      </c>
      <c r="L287" s="185">
        <v>3</v>
      </c>
      <c r="M287" s="185">
        <v>2</v>
      </c>
      <c r="N287" s="183"/>
      <c r="O287" s="183"/>
      <c r="P287" s="222">
        <f>SUM(Tabela2[[#This Row],[G]]+Tabela2[[#This Row],[D]]+Tabela2[[#This Row],[N]]+Tabela2[[#This Row],[HM]])</f>
        <v>10</v>
      </c>
      <c r="Q287" s="222">
        <f>SUM(Tabela2[[#This Row],[AO]]+Tabela2[[#This Row],[AD]]+Tabela2[[#This Row],[GWO]]+Tabela2[[#This Row],[GWD]])</f>
        <v>7</v>
      </c>
      <c r="R287" s="222">
        <f>Tabela2[[#This Row],[GWO]]+Tabela2[[#This Row],[GWD]]</f>
        <v>5</v>
      </c>
      <c r="S287" s="222">
        <f>SUM(Tabela2[[#This Row],[G]:[GWD]])</f>
        <v>17</v>
      </c>
    </row>
    <row r="288" spans="1:19">
      <c r="A288" s="225">
        <v>275</v>
      </c>
      <c r="B288" s="185" t="s">
        <v>462</v>
      </c>
      <c r="C288" s="185" t="s">
        <v>238</v>
      </c>
      <c r="D288" s="185">
        <v>4</v>
      </c>
      <c r="E288" s="185" t="s">
        <v>265</v>
      </c>
      <c r="F288" s="185">
        <v>4</v>
      </c>
      <c r="G288" s="185">
        <v>1</v>
      </c>
      <c r="H288" s="185">
        <v>1</v>
      </c>
      <c r="I288" s="185">
        <v>3</v>
      </c>
      <c r="J288" s="185">
        <v>3</v>
      </c>
      <c r="K288" s="185">
        <v>2</v>
      </c>
      <c r="L288" s="185">
        <v>4</v>
      </c>
      <c r="M288" s="185">
        <v>2</v>
      </c>
      <c r="N288" s="183"/>
      <c r="O288" s="183"/>
      <c r="P288" s="222">
        <f>SUM(Tabela2[[#This Row],[G]]+Tabela2[[#This Row],[D]]+Tabela2[[#This Row],[N]]+Tabela2[[#This Row],[HM]])</f>
        <v>8</v>
      </c>
      <c r="Q288" s="222">
        <f>SUM(Tabela2[[#This Row],[AO]]+Tabela2[[#This Row],[AD]]+Tabela2[[#This Row],[GWO]]+Tabela2[[#This Row],[GWD]])</f>
        <v>12</v>
      </c>
      <c r="R288" s="222">
        <f>Tabela2[[#This Row],[GWO]]+Tabela2[[#This Row],[GWD]]</f>
        <v>6</v>
      </c>
      <c r="S288" s="222">
        <f>SUM(Tabela2[[#This Row],[G]:[GWD]])</f>
        <v>20</v>
      </c>
    </row>
    <row r="289" spans="1:19">
      <c r="A289" s="225">
        <v>276</v>
      </c>
      <c r="B289" s="185" t="s">
        <v>461</v>
      </c>
      <c r="C289" s="185" t="s">
        <v>187</v>
      </c>
      <c r="D289" s="185">
        <v>4</v>
      </c>
      <c r="E289" s="185" t="s">
        <v>265</v>
      </c>
      <c r="F289" s="185">
        <v>4</v>
      </c>
      <c r="G289" s="185">
        <v>1</v>
      </c>
      <c r="H289" s="185">
        <v>1</v>
      </c>
      <c r="I289" s="185">
        <v>1</v>
      </c>
      <c r="J289" s="185">
        <v>1</v>
      </c>
      <c r="K289" s="185">
        <v>1</v>
      </c>
      <c r="L289" s="185">
        <v>3</v>
      </c>
      <c r="M289" s="185">
        <v>1</v>
      </c>
      <c r="N289" s="185" t="s">
        <v>460</v>
      </c>
      <c r="O289" s="185"/>
      <c r="P289" s="228">
        <f>SUM(Tabela2[[#This Row],[G]]+Tabela2[[#This Row],[D]]+Tabela2[[#This Row],[N]]+Tabela2[[#This Row],[HM]])</f>
        <v>7</v>
      </c>
      <c r="Q289" s="228">
        <f>SUM(Tabela2[[#This Row],[AO]]+Tabela2[[#This Row],[AD]]+Tabela2[[#This Row],[GWO]]+Tabela2[[#This Row],[GWD]])</f>
        <v>6</v>
      </c>
      <c r="R289" s="228">
        <f>Tabela2[[#This Row],[GWO]]+Tabela2[[#This Row],[GWD]]</f>
        <v>4</v>
      </c>
      <c r="S289" s="222">
        <f>SUM(Tabela2[[#This Row],[G]:[GWD]])</f>
        <v>13</v>
      </c>
    </row>
    <row r="290" spans="1:19">
      <c r="A290" s="225">
        <v>277</v>
      </c>
      <c r="B290" s="185" t="s">
        <v>459</v>
      </c>
      <c r="C290" s="185" t="s">
        <v>391</v>
      </c>
      <c r="D290" s="185">
        <v>4</v>
      </c>
      <c r="E290" s="185" t="s">
        <v>265</v>
      </c>
      <c r="F290" s="185">
        <v>3</v>
      </c>
      <c r="G290" s="185">
        <v>1</v>
      </c>
      <c r="H290" s="185">
        <v>1</v>
      </c>
      <c r="I290" s="185">
        <v>3</v>
      </c>
      <c r="J290" s="185">
        <v>1</v>
      </c>
      <c r="K290" s="185">
        <v>3</v>
      </c>
      <c r="L290" s="185">
        <v>1</v>
      </c>
      <c r="M290" s="185">
        <v>1</v>
      </c>
      <c r="N290" s="183"/>
      <c r="O290" s="183"/>
      <c r="P290" s="222">
        <f>SUM(Tabela2[[#This Row],[G]]+Tabela2[[#This Row],[D]]+Tabela2[[#This Row],[N]]+Tabela2[[#This Row],[HM]])</f>
        <v>8</v>
      </c>
      <c r="Q290" s="222">
        <f>SUM(Tabela2[[#This Row],[AO]]+Tabela2[[#This Row],[AD]]+Tabela2[[#This Row],[GWO]]+Tabela2[[#This Row],[GWD]])</f>
        <v>6</v>
      </c>
      <c r="R290" s="222">
        <f>Tabela2[[#This Row],[GWO]]+Tabela2[[#This Row],[GWD]]</f>
        <v>2</v>
      </c>
      <c r="S290" s="222">
        <f>SUM(Tabela2[[#This Row],[G]:[GWD]])</f>
        <v>14</v>
      </c>
    </row>
    <row r="291" spans="1:19">
      <c r="A291" s="225">
        <v>278</v>
      </c>
      <c r="B291" s="184" t="s">
        <v>458</v>
      </c>
      <c r="C291" s="184" t="s">
        <v>434</v>
      </c>
      <c r="D291" s="184">
        <v>4</v>
      </c>
      <c r="E291" s="184" t="s">
        <v>266</v>
      </c>
      <c r="F291" s="184">
        <v>1</v>
      </c>
      <c r="G291" s="184">
        <v>1</v>
      </c>
      <c r="H291" s="184">
        <v>1</v>
      </c>
      <c r="I291" s="184">
        <v>1</v>
      </c>
      <c r="J291" s="184">
        <v>1</v>
      </c>
      <c r="K291" s="184">
        <v>1</v>
      </c>
      <c r="L291" s="184">
        <v>3</v>
      </c>
      <c r="M291" s="184">
        <v>1</v>
      </c>
      <c r="N291" s="183"/>
      <c r="O291" s="183"/>
      <c r="P291" s="222">
        <f>SUM(Tabela2[[#This Row],[G]]+Tabela2[[#This Row],[D]]+Tabela2[[#This Row],[N]]+Tabela2[[#This Row],[HM]])</f>
        <v>4</v>
      </c>
      <c r="Q291" s="222">
        <f>SUM(Tabela2[[#This Row],[AO]]+Tabela2[[#This Row],[AD]]+Tabela2[[#This Row],[GWO]]+Tabela2[[#This Row],[GWD]])</f>
        <v>6</v>
      </c>
      <c r="R291" s="222">
        <f>Tabela2[[#This Row],[GWO]]+Tabela2[[#This Row],[GWD]]</f>
        <v>4</v>
      </c>
      <c r="S291" s="222">
        <f>SUM(Tabela2[[#This Row],[G]:[GWD]])</f>
        <v>10</v>
      </c>
    </row>
    <row r="292" spans="1:19" ht="30">
      <c r="A292" s="225">
        <v>280</v>
      </c>
      <c r="B292" s="184" t="s">
        <v>455</v>
      </c>
      <c r="C292" s="184" t="s">
        <v>430</v>
      </c>
      <c r="D292" s="184">
        <v>4</v>
      </c>
      <c r="E292" s="184" t="s">
        <v>266</v>
      </c>
      <c r="F292" s="184">
        <v>1</v>
      </c>
      <c r="G292" s="184">
        <v>1</v>
      </c>
      <c r="H292" s="184">
        <v>1</v>
      </c>
      <c r="I292" s="184">
        <v>4</v>
      </c>
      <c r="J292" s="184">
        <v>3</v>
      </c>
      <c r="K292" s="184">
        <v>3</v>
      </c>
      <c r="L292" s="184">
        <v>3</v>
      </c>
      <c r="M292" s="184">
        <v>3</v>
      </c>
      <c r="N292" s="183"/>
      <c r="O292" s="183"/>
      <c r="P292" s="222">
        <f>SUM(Tabela2[[#This Row],[G]]+Tabela2[[#This Row],[D]]+Tabela2[[#This Row],[N]]+Tabela2[[#This Row],[HM]])</f>
        <v>6</v>
      </c>
      <c r="Q292" s="222">
        <f>SUM(Tabela2[[#This Row],[AO]]+Tabela2[[#This Row],[AD]]+Tabela2[[#This Row],[GWO]]+Tabela2[[#This Row],[GWD]])</f>
        <v>13</v>
      </c>
      <c r="R292" s="222">
        <f>Tabela2[[#This Row],[GWO]]+Tabela2[[#This Row],[GWD]]</f>
        <v>6</v>
      </c>
      <c r="S292" s="222">
        <f>SUM(Tabela2[[#This Row],[G]:[GWD]])</f>
        <v>19</v>
      </c>
    </row>
    <row r="293" spans="1:19" ht="30">
      <c r="A293" s="225">
        <v>281</v>
      </c>
      <c r="B293" s="184" t="s">
        <v>454</v>
      </c>
      <c r="C293" s="184" t="s">
        <v>372</v>
      </c>
      <c r="D293" s="184">
        <v>4</v>
      </c>
      <c r="E293" s="184" t="s">
        <v>266</v>
      </c>
      <c r="F293" s="184">
        <v>3</v>
      </c>
      <c r="G293" s="184">
        <v>1</v>
      </c>
      <c r="H293" s="184">
        <v>1</v>
      </c>
      <c r="I293" s="184">
        <v>1</v>
      </c>
      <c r="J293" s="184">
        <v>3</v>
      </c>
      <c r="K293" s="184">
        <v>1</v>
      </c>
      <c r="L293" s="184">
        <v>3</v>
      </c>
      <c r="M293" s="184">
        <v>3</v>
      </c>
      <c r="N293" s="183"/>
      <c r="O293" s="183"/>
      <c r="P293" s="222">
        <f>SUM(Tabela2[[#This Row],[G]]+Tabela2[[#This Row],[D]]+Tabela2[[#This Row],[N]]+Tabela2[[#This Row],[HM]])</f>
        <v>6</v>
      </c>
      <c r="Q293" s="222">
        <f>SUM(Tabela2[[#This Row],[AO]]+Tabela2[[#This Row],[AD]]+Tabela2[[#This Row],[GWO]]+Tabela2[[#This Row],[GWD]])</f>
        <v>10</v>
      </c>
      <c r="R293" s="222">
        <f>Tabela2[[#This Row],[GWO]]+Tabela2[[#This Row],[GWD]]</f>
        <v>6</v>
      </c>
      <c r="S293" s="222">
        <f>SUM(Tabela2[[#This Row],[G]:[GWD]])</f>
        <v>16</v>
      </c>
    </row>
    <row r="294" spans="1:19">
      <c r="A294" s="225">
        <v>282</v>
      </c>
      <c r="B294" s="184" t="s">
        <v>453</v>
      </c>
      <c r="C294" s="184" t="s">
        <v>213</v>
      </c>
      <c r="D294" s="184">
        <v>4</v>
      </c>
      <c r="E294" s="184" t="s">
        <v>266</v>
      </c>
      <c r="F294" s="184">
        <v>1</v>
      </c>
      <c r="G294" s="184">
        <v>1</v>
      </c>
      <c r="H294" s="184">
        <v>1</v>
      </c>
      <c r="I294" s="184">
        <v>4</v>
      </c>
      <c r="J294" s="184">
        <v>1</v>
      </c>
      <c r="K294" s="184">
        <v>3</v>
      </c>
      <c r="L294" s="184">
        <v>4</v>
      </c>
      <c r="M294" s="184">
        <v>3</v>
      </c>
      <c r="N294" s="183"/>
      <c r="O294" s="183"/>
      <c r="P294" s="222">
        <f>SUM(Tabela2[[#This Row],[G]]+Tabela2[[#This Row],[D]]+Tabela2[[#This Row],[N]]+Tabela2[[#This Row],[HM]])</f>
        <v>6</v>
      </c>
      <c r="Q294" s="222">
        <f>SUM(Tabela2[[#This Row],[AO]]+Tabela2[[#This Row],[AD]]+Tabela2[[#This Row],[GWO]]+Tabela2[[#This Row],[GWD]])</f>
        <v>12</v>
      </c>
      <c r="R294" s="222">
        <f>Tabela2[[#This Row],[GWO]]+Tabela2[[#This Row],[GWD]]</f>
        <v>7</v>
      </c>
      <c r="S294" s="222">
        <f>SUM(Tabela2[[#This Row],[G]:[GWD]])</f>
        <v>18</v>
      </c>
    </row>
    <row r="295" spans="1:19">
      <c r="A295" s="225">
        <v>285</v>
      </c>
      <c r="B295" s="184" t="s">
        <v>450</v>
      </c>
      <c r="C295" s="184" t="s">
        <v>420</v>
      </c>
      <c r="D295" s="184">
        <v>4</v>
      </c>
      <c r="E295" s="184" t="s">
        <v>266</v>
      </c>
      <c r="F295" s="184">
        <v>1</v>
      </c>
      <c r="G295" s="184">
        <v>1</v>
      </c>
      <c r="H295" s="184">
        <v>1</v>
      </c>
      <c r="I295" s="184">
        <v>1</v>
      </c>
      <c r="J295" s="184">
        <v>3</v>
      </c>
      <c r="K295" s="184">
        <v>1</v>
      </c>
      <c r="L295" s="184">
        <v>3</v>
      </c>
      <c r="M295" s="184">
        <v>3</v>
      </c>
      <c r="N295" s="183"/>
      <c r="O295" s="183"/>
      <c r="P295" s="222">
        <f>SUM(Tabela2[[#This Row],[G]]+Tabela2[[#This Row],[D]]+Tabela2[[#This Row],[N]]+Tabela2[[#This Row],[HM]])</f>
        <v>4</v>
      </c>
      <c r="Q295" s="222">
        <f>SUM(Tabela2[[#This Row],[AO]]+Tabela2[[#This Row],[AD]]+Tabela2[[#This Row],[GWO]]+Tabela2[[#This Row],[GWD]])</f>
        <v>10</v>
      </c>
      <c r="R295" s="222">
        <f>Tabela2[[#This Row],[GWO]]+Tabela2[[#This Row],[GWD]]</f>
        <v>6</v>
      </c>
      <c r="S295" s="222">
        <f>SUM(Tabela2[[#This Row],[G]:[GWD]])</f>
        <v>14</v>
      </c>
    </row>
    <row r="296" spans="1:19" ht="30">
      <c r="A296" s="225">
        <v>287</v>
      </c>
      <c r="B296" s="184" t="s">
        <v>448</v>
      </c>
      <c r="C296" s="184" t="s">
        <v>415</v>
      </c>
      <c r="D296" s="184">
        <v>4</v>
      </c>
      <c r="E296" s="184" t="s">
        <v>266</v>
      </c>
      <c r="F296" s="184">
        <v>1</v>
      </c>
      <c r="G296" s="184">
        <v>1</v>
      </c>
      <c r="H296" s="184">
        <v>1</v>
      </c>
      <c r="I296" s="184">
        <v>2</v>
      </c>
      <c r="J296" s="184">
        <v>1</v>
      </c>
      <c r="K296" s="184">
        <v>1</v>
      </c>
      <c r="L296" s="184">
        <v>4</v>
      </c>
      <c r="M296" s="184">
        <v>1</v>
      </c>
      <c r="N296" s="183"/>
      <c r="O296" s="183"/>
      <c r="P296" s="222">
        <f>SUM(Tabela2[[#This Row],[G]]+Tabela2[[#This Row],[D]]+Tabela2[[#This Row],[N]]+Tabela2[[#This Row],[HM]])</f>
        <v>4</v>
      </c>
      <c r="Q296" s="222">
        <f>SUM(Tabela2[[#This Row],[AO]]+Tabela2[[#This Row],[AD]]+Tabela2[[#This Row],[GWO]]+Tabela2[[#This Row],[GWD]])</f>
        <v>8</v>
      </c>
      <c r="R296" s="222">
        <f>Tabela2[[#This Row],[GWO]]+Tabela2[[#This Row],[GWD]]</f>
        <v>5</v>
      </c>
      <c r="S296" s="222">
        <f>SUM(Tabela2[[#This Row],[G]:[GWD]])</f>
        <v>12</v>
      </c>
    </row>
    <row r="297" spans="1:19">
      <c r="A297" s="225">
        <v>288</v>
      </c>
      <c r="B297" s="184" t="s">
        <v>447</v>
      </c>
      <c r="C297" s="184" t="s">
        <v>413</v>
      </c>
      <c r="D297" s="184">
        <v>4</v>
      </c>
      <c r="E297" s="184" t="s">
        <v>266</v>
      </c>
      <c r="F297" s="184">
        <v>3</v>
      </c>
      <c r="G297" s="184">
        <v>2</v>
      </c>
      <c r="H297" s="184">
        <v>1</v>
      </c>
      <c r="I297" s="184">
        <v>1</v>
      </c>
      <c r="J297" s="184">
        <v>3</v>
      </c>
      <c r="K297" s="184">
        <v>1</v>
      </c>
      <c r="L297" s="184">
        <v>3</v>
      </c>
      <c r="M297" s="184">
        <v>5</v>
      </c>
      <c r="N297" s="183"/>
      <c r="O297" s="183"/>
      <c r="P297" s="222">
        <f>SUM(Tabela2[[#This Row],[G]]+Tabela2[[#This Row],[D]]+Tabela2[[#This Row],[N]]+Tabela2[[#This Row],[HM]])</f>
        <v>7</v>
      </c>
      <c r="Q297" s="222">
        <f>SUM(Tabela2[[#This Row],[AO]]+Tabela2[[#This Row],[AD]]+Tabela2[[#This Row],[GWO]]+Tabela2[[#This Row],[GWD]])</f>
        <v>12</v>
      </c>
      <c r="R297" s="222">
        <f>Tabela2[[#This Row],[GWO]]+Tabela2[[#This Row],[GWD]]</f>
        <v>8</v>
      </c>
      <c r="S297" s="222">
        <f>SUM(Tabela2[[#This Row],[G]:[GWD]])</f>
        <v>19</v>
      </c>
    </row>
    <row r="298" spans="1:19" ht="30">
      <c r="A298" s="225">
        <v>289</v>
      </c>
      <c r="B298" s="184" t="s">
        <v>446</v>
      </c>
      <c r="C298" s="184" t="s">
        <v>409</v>
      </c>
      <c r="D298" s="184">
        <v>4</v>
      </c>
      <c r="E298" s="184" t="s">
        <v>266</v>
      </c>
      <c r="F298" s="184">
        <v>1</v>
      </c>
      <c r="G298" s="184">
        <v>1</v>
      </c>
      <c r="H298" s="184">
        <v>1</v>
      </c>
      <c r="I298" s="184">
        <v>2</v>
      </c>
      <c r="J298" s="184">
        <v>1</v>
      </c>
      <c r="K298" s="184">
        <v>1</v>
      </c>
      <c r="L298" s="184">
        <v>4</v>
      </c>
      <c r="M298" s="184">
        <v>1</v>
      </c>
      <c r="N298" s="183"/>
      <c r="O298" s="183"/>
      <c r="P298" s="222">
        <f>SUM(Tabela2[[#This Row],[G]]+Tabela2[[#This Row],[D]]+Tabela2[[#This Row],[N]]+Tabela2[[#This Row],[HM]])</f>
        <v>4</v>
      </c>
      <c r="Q298" s="222">
        <f>SUM(Tabela2[[#This Row],[AO]]+Tabela2[[#This Row],[AD]]+Tabela2[[#This Row],[GWO]]+Tabela2[[#This Row],[GWD]])</f>
        <v>8</v>
      </c>
      <c r="R298" s="222">
        <f>Tabela2[[#This Row],[GWO]]+Tabela2[[#This Row],[GWD]]</f>
        <v>5</v>
      </c>
      <c r="S298" s="222">
        <f>SUM(Tabela2[[#This Row],[G]:[GWD]])</f>
        <v>12</v>
      </c>
    </row>
    <row r="299" spans="1:19" ht="30">
      <c r="A299" s="225">
        <v>290</v>
      </c>
      <c r="B299" s="184" t="s">
        <v>445</v>
      </c>
      <c r="C299" s="184" t="s">
        <v>407</v>
      </c>
      <c r="D299" s="184">
        <v>4</v>
      </c>
      <c r="E299" s="184" t="s">
        <v>266</v>
      </c>
      <c r="F299" s="184">
        <v>1</v>
      </c>
      <c r="G299" s="184">
        <v>1</v>
      </c>
      <c r="H299" s="184">
        <v>1</v>
      </c>
      <c r="I299" s="184">
        <v>1</v>
      </c>
      <c r="J299" s="184">
        <v>1</v>
      </c>
      <c r="K299" s="184">
        <v>1</v>
      </c>
      <c r="L299" s="184">
        <v>3</v>
      </c>
      <c r="M299" s="184">
        <v>1</v>
      </c>
      <c r="N299" s="183"/>
      <c r="O299" s="183"/>
      <c r="P299" s="222">
        <f>SUM(Tabela2[[#This Row],[G]]+Tabela2[[#This Row],[D]]+Tabela2[[#This Row],[N]]+Tabela2[[#This Row],[HM]])</f>
        <v>4</v>
      </c>
      <c r="Q299" s="222">
        <f>SUM(Tabela2[[#This Row],[AO]]+Tabela2[[#This Row],[AD]]+Tabela2[[#This Row],[GWO]]+Tabela2[[#This Row],[GWD]])</f>
        <v>6</v>
      </c>
      <c r="R299" s="222">
        <f>Tabela2[[#This Row],[GWO]]+Tabela2[[#This Row],[GWD]]</f>
        <v>4</v>
      </c>
      <c r="S299" s="222">
        <f>SUM(Tabela2[[#This Row],[G]:[GWD]])</f>
        <v>10</v>
      </c>
    </row>
    <row r="300" spans="1:19" ht="30">
      <c r="A300" s="225">
        <v>291</v>
      </c>
      <c r="B300" s="184" t="s">
        <v>444</v>
      </c>
      <c r="C300" s="184" t="s">
        <v>359</v>
      </c>
      <c r="D300" s="184">
        <v>4</v>
      </c>
      <c r="E300" s="184" t="s">
        <v>266</v>
      </c>
      <c r="F300" s="184">
        <v>1</v>
      </c>
      <c r="G300" s="184">
        <v>1</v>
      </c>
      <c r="H300" s="184">
        <v>1</v>
      </c>
      <c r="I300" s="184">
        <v>2</v>
      </c>
      <c r="J300" s="184">
        <v>1</v>
      </c>
      <c r="K300" s="184">
        <v>1</v>
      </c>
      <c r="L300" s="184">
        <v>4</v>
      </c>
      <c r="M300" s="184">
        <v>1</v>
      </c>
      <c r="N300" s="183"/>
      <c r="O300" s="183"/>
      <c r="P300" s="222">
        <f>SUM(Tabela2[[#This Row],[G]]+Tabela2[[#This Row],[D]]+Tabela2[[#This Row],[N]]+Tabela2[[#This Row],[HM]])</f>
        <v>4</v>
      </c>
      <c r="Q300" s="222">
        <f>SUM(Tabela2[[#This Row],[AO]]+Tabela2[[#This Row],[AD]]+Tabela2[[#This Row],[GWO]]+Tabela2[[#This Row],[GWD]])</f>
        <v>8</v>
      </c>
      <c r="R300" s="222">
        <f>Tabela2[[#This Row],[GWO]]+Tabela2[[#This Row],[GWD]]</f>
        <v>5</v>
      </c>
      <c r="S300" s="222">
        <f>SUM(Tabela2[[#This Row],[G]:[GWD]])</f>
        <v>12</v>
      </c>
    </row>
    <row r="301" spans="1:19" ht="30">
      <c r="A301" s="225">
        <v>293</v>
      </c>
      <c r="B301" s="184" t="s">
        <v>442</v>
      </c>
      <c r="C301" s="184" t="s">
        <v>401</v>
      </c>
      <c r="D301" s="184">
        <v>4</v>
      </c>
      <c r="E301" s="184" t="s">
        <v>266</v>
      </c>
      <c r="F301" s="184">
        <v>1</v>
      </c>
      <c r="G301" s="184">
        <v>1</v>
      </c>
      <c r="H301" s="184">
        <v>1</v>
      </c>
      <c r="I301" s="184">
        <v>4</v>
      </c>
      <c r="J301" s="184">
        <v>1</v>
      </c>
      <c r="K301" s="184">
        <v>1</v>
      </c>
      <c r="L301" s="184">
        <v>3</v>
      </c>
      <c r="M301" s="184">
        <v>1</v>
      </c>
      <c r="N301" s="183"/>
      <c r="O301" s="183"/>
      <c r="P301" s="222">
        <f>SUM(Tabela2[[#This Row],[G]]+Tabela2[[#This Row],[D]]+Tabela2[[#This Row],[N]]+Tabela2[[#This Row],[HM]])</f>
        <v>4</v>
      </c>
      <c r="Q301" s="222">
        <f>SUM(Tabela2[[#This Row],[AO]]+Tabela2[[#This Row],[AD]]+Tabela2[[#This Row],[GWO]]+Tabela2[[#This Row],[GWD]])</f>
        <v>9</v>
      </c>
      <c r="R301" s="222">
        <f>Tabela2[[#This Row],[GWO]]+Tabela2[[#This Row],[GWD]]</f>
        <v>4</v>
      </c>
      <c r="S301" s="222">
        <f>SUM(Tabela2[[#This Row],[G]:[GWD]])</f>
        <v>13</v>
      </c>
    </row>
    <row r="302" spans="1:19">
      <c r="A302" s="225">
        <v>296</v>
      </c>
      <c r="B302" s="184" t="s">
        <v>439</v>
      </c>
      <c r="C302" s="184" t="s">
        <v>239</v>
      </c>
      <c r="D302" s="184">
        <v>4</v>
      </c>
      <c r="E302" s="184" t="s">
        <v>266</v>
      </c>
      <c r="F302" s="184">
        <v>1</v>
      </c>
      <c r="G302" s="184">
        <v>1</v>
      </c>
      <c r="H302" s="184">
        <v>1</v>
      </c>
      <c r="I302" s="184">
        <v>2</v>
      </c>
      <c r="J302" s="184">
        <v>1</v>
      </c>
      <c r="K302" s="184">
        <v>1</v>
      </c>
      <c r="L302" s="184">
        <v>4</v>
      </c>
      <c r="M302" s="184">
        <v>1</v>
      </c>
      <c r="N302" s="183"/>
      <c r="O302" s="183"/>
      <c r="P302" s="222">
        <f>SUM(Tabela2[[#This Row],[G]]+Tabela2[[#This Row],[D]]+Tabela2[[#This Row],[N]]+Tabela2[[#This Row],[HM]])</f>
        <v>4</v>
      </c>
      <c r="Q302" s="222">
        <f>SUM(Tabela2[[#This Row],[AO]]+Tabela2[[#This Row],[AD]]+Tabela2[[#This Row],[GWO]]+Tabela2[[#This Row],[GWD]])</f>
        <v>8</v>
      </c>
      <c r="R302" s="222">
        <f>Tabela2[[#This Row],[GWO]]+Tabela2[[#This Row],[GWD]]</f>
        <v>5</v>
      </c>
      <c r="S302" s="222">
        <f>SUM(Tabela2[[#This Row],[G]:[GWD]])</f>
        <v>12</v>
      </c>
    </row>
    <row r="303" spans="1:19">
      <c r="A303" s="225">
        <v>297</v>
      </c>
      <c r="B303" s="184" t="s">
        <v>438</v>
      </c>
      <c r="C303" s="184" t="s">
        <v>237</v>
      </c>
      <c r="D303" s="184">
        <v>4</v>
      </c>
      <c r="E303" s="184" t="s">
        <v>266</v>
      </c>
      <c r="F303" s="184">
        <v>2</v>
      </c>
      <c r="G303" s="184">
        <v>1</v>
      </c>
      <c r="H303" s="184">
        <v>1</v>
      </c>
      <c r="I303" s="184">
        <v>3</v>
      </c>
      <c r="J303" s="184">
        <v>2</v>
      </c>
      <c r="K303" s="184">
        <v>1</v>
      </c>
      <c r="L303" s="184">
        <v>3</v>
      </c>
      <c r="M303" s="184">
        <v>2</v>
      </c>
      <c r="N303" s="183"/>
      <c r="O303" s="183"/>
      <c r="P303" s="222">
        <f>SUM(Tabela2[[#This Row],[G]]+Tabela2[[#This Row],[D]]+Tabela2[[#This Row],[N]]+Tabela2[[#This Row],[HM]])</f>
        <v>5</v>
      </c>
      <c r="Q303" s="222">
        <f>SUM(Tabela2[[#This Row],[AO]]+Tabela2[[#This Row],[AD]]+Tabela2[[#This Row],[GWO]]+Tabela2[[#This Row],[GWD]])</f>
        <v>10</v>
      </c>
      <c r="R303" s="222">
        <f>Tabela2[[#This Row],[GWO]]+Tabela2[[#This Row],[GWD]]</f>
        <v>5</v>
      </c>
      <c r="S303" s="222">
        <f>SUM(Tabela2[[#This Row],[G]:[GWD]])</f>
        <v>15</v>
      </c>
    </row>
    <row r="304" spans="1:19">
      <c r="A304" s="225">
        <v>298</v>
      </c>
      <c r="B304" s="184" t="s">
        <v>437</v>
      </c>
      <c r="C304" s="184" t="s">
        <v>393</v>
      </c>
      <c r="D304" s="184">
        <v>4</v>
      </c>
      <c r="E304" s="184" t="s">
        <v>266</v>
      </c>
      <c r="F304" s="184">
        <v>1</v>
      </c>
      <c r="G304" s="184">
        <v>1</v>
      </c>
      <c r="H304" s="184">
        <v>1</v>
      </c>
      <c r="I304" s="184">
        <v>3</v>
      </c>
      <c r="J304" s="184">
        <v>3</v>
      </c>
      <c r="K304" s="184">
        <v>3</v>
      </c>
      <c r="L304" s="184">
        <v>2</v>
      </c>
      <c r="M304" s="184">
        <v>1</v>
      </c>
      <c r="N304" s="183"/>
      <c r="O304" s="183"/>
      <c r="P304" s="222">
        <f>SUM(Tabela2[[#This Row],[G]]+Tabela2[[#This Row],[D]]+Tabela2[[#This Row],[N]]+Tabela2[[#This Row],[HM]])</f>
        <v>6</v>
      </c>
      <c r="Q304" s="222">
        <f>SUM(Tabela2[[#This Row],[AO]]+Tabela2[[#This Row],[AD]]+Tabela2[[#This Row],[GWO]]+Tabela2[[#This Row],[GWD]])</f>
        <v>9</v>
      </c>
      <c r="R304" s="222">
        <f>Tabela2[[#This Row],[GWO]]+Tabela2[[#This Row],[GWD]]</f>
        <v>3</v>
      </c>
      <c r="S304" s="222">
        <f>SUM(Tabela2[[#This Row],[G]:[GWD]])</f>
        <v>15</v>
      </c>
    </row>
    <row r="305" spans="1:19">
      <c r="A305" s="225">
        <v>299</v>
      </c>
      <c r="B305" s="184" t="s">
        <v>436</v>
      </c>
      <c r="C305" s="184" t="s">
        <v>238</v>
      </c>
      <c r="D305" s="184">
        <v>4</v>
      </c>
      <c r="E305" s="184" t="s">
        <v>266</v>
      </c>
      <c r="F305" s="184">
        <v>1</v>
      </c>
      <c r="G305" s="184">
        <v>1</v>
      </c>
      <c r="H305" s="184">
        <v>1</v>
      </c>
      <c r="I305" s="184">
        <v>2</v>
      </c>
      <c r="J305" s="184">
        <v>2</v>
      </c>
      <c r="K305" s="184">
        <v>1</v>
      </c>
      <c r="L305" s="184">
        <v>3</v>
      </c>
      <c r="M305" s="184">
        <v>2</v>
      </c>
      <c r="N305" s="183"/>
      <c r="O305" s="183"/>
      <c r="P305" s="222">
        <f>SUM(Tabela2[[#This Row],[G]]+Tabela2[[#This Row],[D]]+Tabela2[[#This Row],[N]]+Tabela2[[#This Row],[HM]])</f>
        <v>4</v>
      </c>
      <c r="Q305" s="222">
        <f>SUM(Tabela2[[#This Row],[AO]]+Tabela2[[#This Row],[AD]]+Tabela2[[#This Row],[GWO]]+Tabela2[[#This Row],[GWD]])</f>
        <v>9</v>
      </c>
      <c r="R305" s="222">
        <f>Tabela2[[#This Row],[GWO]]+Tabela2[[#This Row],[GWD]]</f>
        <v>5</v>
      </c>
      <c r="S305" s="222">
        <f>SUM(Tabela2[[#This Row],[G]:[GWD]])</f>
        <v>13</v>
      </c>
    </row>
    <row r="306" spans="1:19">
      <c r="A306" s="225">
        <v>300</v>
      </c>
      <c r="B306" s="183" t="s">
        <v>435</v>
      </c>
      <c r="C306" s="183" t="s">
        <v>434</v>
      </c>
      <c r="D306" s="183">
        <v>4</v>
      </c>
      <c r="E306" s="183" t="s">
        <v>287</v>
      </c>
      <c r="F306" s="183">
        <v>2</v>
      </c>
      <c r="G306" s="183">
        <v>2</v>
      </c>
      <c r="H306" s="183">
        <v>1</v>
      </c>
      <c r="I306" s="183">
        <v>2</v>
      </c>
      <c r="J306" s="183">
        <v>1</v>
      </c>
      <c r="K306" s="183">
        <v>2</v>
      </c>
      <c r="L306" s="183">
        <v>3</v>
      </c>
      <c r="M306" s="183">
        <v>1</v>
      </c>
      <c r="N306" s="183"/>
      <c r="O306" s="183"/>
      <c r="P306" s="222">
        <f>SUM(Tabela2[[#This Row],[G]]+Tabela2[[#This Row],[D]]+Tabela2[[#This Row],[N]]+Tabela2[[#This Row],[HM]])</f>
        <v>7</v>
      </c>
      <c r="Q306" s="222">
        <f>SUM(Tabela2[[#This Row],[AO]]+Tabela2[[#This Row],[AD]]+Tabela2[[#This Row],[GWO]]+Tabela2[[#This Row],[GWD]])</f>
        <v>7</v>
      </c>
      <c r="R306" s="222">
        <f>Tabela2[[#This Row],[GWO]]+Tabela2[[#This Row],[GWD]]</f>
        <v>4</v>
      </c>
      <c r="S306" s="222">
        <f>SUM(Tabela2[[#This Row],[G]:[GWD]])</f>
        <v>14</v>
      </c>
    </row>
    <row r="307" spans="1:19" ht="30">
      <c r="A307" s="225">
        <v>301</v>
      </c>
      <c r="B307" s="183" t="s">
        <v>433</v>
      </c>
      <c r="C307" s="183" t="s">
        <v>432</v>
      </c>
      <c r="D307" s="183">
        <v>4</v>
      </c>
      <c r="E307" s="183" t="s">
        <v>287</v>
      </c>
      <c r="F307" s="183">
        <v>2</v>
      </c>
      <c r="G307" s="183">
        <v>2</v>
      </c>
      <c r="H307" s="183">
        <v>1</v>
      </c>
      <c r="I307" s="183">
        <v>2</v>
      </c>
      <c r="J307" s="183">
        <v>1</v>
      </c>
      <c r="K307" s="183">
        <v>1</v>
      </c>
      <c r="L307" s="183">
        <v>4</v>
      </c>
      <c r="M307" s="183">
        <v>1</v>
      </c>
      <c r="N307" s="183"/>
      <c r="O307" s="183"/>
      <c r="P307" s="222">
        <f>SUM(Tabela2[[#This Row],[G]]+Tabela2[[#This Row],[D]]+Tabela2[[#This Row],[N]]+Tabela2[[#This Row],[HM]])</f>
        <v>6</v>
      </c>
      <c r="Q307" s="222">
        <f>SUM(Tabela2[[#This Row],[AO]]+Tabela2[[#This Row],[AD]]+Tabela2[[#This Row],[GWO]]+Tabela2[[#This Row],[GWD]])</f>
        <v>8</v>
      </c>
      <c r="R307" s="222">
        <f>Tabela2[[#This Row],[GWO]]+Tabela2[[#This Row],[GWD]]</f>
        <v>5</v>
      </c>
      <c r="S307" s="222">
        <f>SUM(Tabela2[[#This Row],[G]:[GWD]])</f>
        <v>14</v>
      </c>
    </row>
    <row r="308" spans="1:19" ht="30">
      <c r="A308" s="225">
        <v>302</v>
      </c>
      <c r="B308" s="183" t="s">
        <v>431</v>
      </c>
      <c r="C308" s="183" t="s">
        <v>430</v>
      </c>
      <c r="D308" s="183">
        <v>4</v>
      </c>
      <c r="E308" s="183" t="s">
        <v>287</v>
      </c>
      <c r="F308" s="183">
        <v>1</v>
      </c>
      <c r="G308" s="183">
        <v>1</v>
      </c>
      <c r="H308" s="183">
        <v>1</v>
      </c>
      <c r="I308" s="183">
        <v>2</v>
      </c>
      <c r="J308" s="183">
        <v>1</v>
      </c>
      <c r="K308" s="183">
        <v>1</v>
      </c>
      <c r="L308" s="183">
        <v>2</v>
      </c>
      <c r="M308" s="183">
        <v>1</v>
      </c>
      <c r="N308" s="183"/>
      <c r="O308" s="183"/>
      <c r="P308" s="222">
        <f>SUM(Tabela2[[#This Row],[G]]+Tabela2[[#This Row],[D]]+Tabela2[[#This Row],[N]]+Tabela2[[#This Row],[HM]])</f>
        <v>4</v>
      </c>
      <c r="Q308" s="222">
        <f>SUM(Tabela2[[#This Row],[AO]]+Tabela2[[#This Row],[AD]]+Tabela2[[#This Row],[GWO]]+Tabela2[[#This Row],[GWD]])</f>
        <v>6</v>
      </c>
      <c r="R308" s="222">
        <f>Tabela2[[#This Row],[GWO]]+Tabela2[[#This Row],[GWD]]</f>
        <v>3</v>
      </c>
      <c r="S308" s="222">
        <f>SUM(Tabela2[[#This Row],[G]:[GWD]])</f>
        <v>10</v>
      </c>
    </row>
    <row r="309" spans="1:19" ht="30">
      <c r="A309" s="225">
        <v>303</v>
      </c>
      <c r="B309" s="183" t="s">
        <v>429</v>
      </c>
      <c r="C309" s="183" t="s">
        <v>372</v>
      </c>
      <c r="D309" s="183">
        <v>4</v>
      </c>
      <c r="E309" s="183" t="s">
        <v>287</v>
      </c>
      <c r="F309" s="183">
        <v>1</v>
      </c>
      <c r="G309" s="183">
        <v>1</v>
      </c>
      <c r="H309" s="183">
        <v>1</v>
      </c>
      <c r="I309" s="183">
        <v>1</v>
      </c>
      <c r="J309" s="183">
        <v>1</v>
      </c>
      <c r="K309" s="183">
        <v>1</v>
      </c>
      <c r="L309" s="183">
        <v>1</v>
      </c>
      <c r="M309" s="183">
        <v>1</v>
      </c>
      <c r="N309" s="183"/>
      <c r="O309" s="183"/>
      <c r="P309" s="222">
        <f>SUM(Tabela2[[#This Row],[G]]+Tabela2[[#This Row],[D]]+Tabela2[[#This Row],[N]]+Tabela2[[#This Row],[HM]])</f>
        <v>4</v>
      </c>
      <c r="Q309" s="222">
        <f>SUM(Tabela2[[#This Row],[AO]]+Tabela2[[#This Row],[AD]]+Tabela2[[#This Row],[GWO]]+Tabela2[[#This Row],[GWD]])</f>
        <v>4</v>
      </c>
      <c r="R309" s="222">
        <f>Tabela2[[#This Row],[GWO]]+Tabela2[[#This Row],[GWD]]</f>
        <v>2</v>
      </c>
      <c r="S309" s="222">
        <f>SUM(Tabela2[[#This Row],[G]:[GWD]])</f>
        <v>8</v>
      </c>
    </row>
    <row r="310" spans="1:19" ht="30">
      <c r="A310" s="225">
        <v>304</v>
      </c>
      <c r="B310" s="183" t="s">
        <v>428</v>
      </c>
      <c r="C310" s="183" t="s">
        <v>427</v>
      </c>
      <c r="D310" s="183">
        <v>4</v>
      </c>
      <c r="E310" s="183" t="s">
        <v>287</v>
      </c>
      <c r="F310" s="183">
        <v>1</v>
      </c>
      <c r="G310" s="183">
        <v>2</v>
      </c>
      <c r="H310" s="183">
        <v>1</v>
      </c>
      <c r="I310" s="183">
        <v>2</v>
      </c>
      <c r="J310" s="183">
        <v>4</v>
      </c>
      <c r="K310" s="183">
        <v>4</v>
      </c>
      <c r="L310" s="183">
        <v>5</v>
      </c>
      <c r="M310" s="183">
        <v>5</v>
      </c>
      <c r="N310" s="183"/>
      <c r="O310" s="183"/>
      <c r="P310" s="222">
        <f>SUM(Tabela2[[#This Row],[G]]+Tabela2[[#This Row],[D]]+Tabela2[[#This Row],[N]]+Tabela2[[#This Row],[HM]])</f>
        <v>8</v>
      </c>
      <c r="Q310" s="222">
        <f>SUM(Tabela2[[#This Row],[AO]]+Tabela2[[#This Row],[AD]]+Tabela2[[#This Row],[GWO]]+Tabela2[[#This Row],[GWD]])</f>
        <v>16</v>
      </c>
      <c r="R310" s="222">
        <f>Tabela2[[#This Row],[GWO]]+Tabela2[[#This Row],[GWD]]</f>
        <v>10</v>
      </c>
      <c r="S310" s="222">
        <f>SUM(Tabela2[[#This Row],[G]:[GWD]])</f>
        <v>24</v>
      </c>
    </row>
    <row r="311" spans="1:19">
      <c r="A311" s="225">
        <v>305</v>
      </c>
      <c r="B311" s="183" t="s">
        <v>426</v>
      </c>
      <c r="C311" s="183" t="s">
        <v>213</v>
      </c>
      <c r="D311" s="183">
        <v>4</v>
      </c>
      <c r="E311" s="183" t="s">
        <v>287</v>
      </c>
      <c r="F311" s="183">
        <v>1</v>
      </c>
      <c r="G311" s="183">
        <v>1</v>
      </c>
      <c r="H311" s="183">
        <v>1</v>
      </c>
      <c r="I311" s="183">
        <v>2</v>
      </c>
      <c r="J311" s="183">
        <v>1</v>
      </c>
      <c r="K311" s="183">
        <v>1</v>
      </c>
      <c r="L311" s="183">
        <v>2</v>
      </c>
      <c r="M311" s="183">
        <v>1</v>
      </c>
      <c r="N311" s="183"/>
      <c r="O311" s="183"/>
      <c r="P311" s="222">
        <f>SUM(Tabela2[[#This Row],[G]]+Tabela2[[#This Row],[D]]+Tabela2[[#This Row],[N]]+Tabela2[[#This Row],[HM]])</f>
        <v>4</v>
      </c>
      <c r="Q311" s="222">
        <f>SUM(Tabela2[[#This Row],[AO]]+Tabela2[[#This Row],[AD]]+Tabela2[[#This Row],[GWO]]+Tabela2[[#This Row],[GWD]])</f>
        <v>6</v>
      </c>
      <c r="R311" s="222">
        <f>Tabela2[[#This Row],[GWO]]+Tabela2[[#This Row],[GWD]]</f>
        <v>3</v>
      </c>
      <c r="S311" s="222">
        <f>SUM(Tabela2[[#This Row],[G]:[GWD]])</f>
        <v>10</v>
      </c>
    </row>
    <row r="312" spans="1:19" ht="30">
      <c r="A312" s="225">
        <v>306</v>
      </c>
      <c r="B312" s="183" t="s">
        <v>425</v>
      </c>
      <c r="C312" s="183" t="s">
        <v>424</v>
      </c>
      <c r="D312" s="183">
        <v>4</v>
      </c>
      <c r="E312" s="183" t="s">
        <v>287</v>
      </c>
      <c r="F312" s="183">
        <v>1</v>
      </c>
      <c r="G312" s="183">
        <v>1</v>
      </c>
      <c r="H312" s="183">
        <v>1</v>
      </c>
      <c r="I312" s="183">
        <v>4</v>
      </c>
      <c r="J312" s="183">
        <v>1</v>
      </c>
      <c r="K312" s="183">
        <v>2</v>
      </c>
      <c r="L312" s="183">
        <v>4</v>
      </c>
      <c r="M312" s="183">
        <v>1</v>
      </c>
      <c r="N312" s="183"/>
      <c r="O312" s="183"/>
      <c r="P312" s="222">
        <f>SUM(Tabela2[[#This Row],[G]]+Tabela2[[#This Row],[D]]+Tabela2[[#This Row],[N]]+Tabela2[[#This Row],[HM]])</f>
        <v>5</v>
      </c>
      <c r="Q312" s="222">
        <f>SUM(Tabela2[[#This Row],[AO]]+Tabela2[[#This Row],[AD]]+Tabela2[[#This Row],[GWO]]+Tabela2[[#This Row],[GWD]])</f>
        <v>10</v>
      </c>
      <c r="R312" s="222">
        <f>Tabela2[[#This Row],[GWO]]+Tabela2[[#This Row],[GWD]]</f>
        <v>5</v>
      </c>
      <c r="S312" s="222">
        <f>SUM(Tabela2[[#This Row],[G]:[GWD]])</f>
        <v>15</v>
      </c>
    </row>
    <row r="313" spans="1:19">
      <c r="A313" s="225">
        <v>308</v>
      </c>
      <c r="B313" s="183" t="s">
        <v>421</v>
      </c>
      <c r="C313" s="183" t="s">
        <v>420</v>
      </c>
      <c r="D313" s="183">
        <v>4</v>
      </c>
      <c r="E313" s="183" t="s">
        <v>287</v>
      </c>
      <c r="F313" s="183">
        <v>1</v>
      </c>
      <c r="G313" s="183">
        <v>1</v>
      </c>
      <c r="H313" s="183">
        <v>1</v>
      </c>
      <c r="I313" s="183">
        <v>1</v>
      </c>
      <c r="J313" s="183">
        <v>1</v>
      </c>
      <c r="K313" s="183">
        <v>1</v>
      </c>
      <c r="L313" s="183">
        <v>1</v>
      </c>
      <c r="M313" s="183">
        <v>1</v>
      </c>
      <c r="N313" s="183"/>
      <c r="O313" s="183"/>
      <c r="P313" s="222">
        <f>SUM(Tabela2[[#This Row],[G]]+Tabela2[[#This Row],[D]]+Tabela2[[#This Row],[N]]+Tabela2[[#This Row],[HM]])</f>
        <v>4</v>
      </c>
      <c r="Q313" s="222">
        <f>SUM(Tabela2[[#This Row],[AO]]+Tabela2[[#This Row],[AD]]+Tabela2[[#This Row],[GWO]]+Tabela2[[#This Row],[GWD]])</f>
        <v>4</v>
      </c>
      <c r="R313" s="222">
        <f>Tabela2[[#This Row],[GWO]]+Tabela2[[#This Row],[GWD]]</f>
        <v>2</v>
      </c>
      <c r="S313" s="222">
        <f>SUM(Tabela2[[#This Row],[G]:[GWD]])</f>
        <v>8</v>
      </c>
    </row>
    <row r="314" spans="1:19" ht="30">
      <c r="A314" s="225">
        <v>310</v>
      </c>
      <c r="B314" s="183" t="s">
        <v>417</v>
      </c>
      <c r="C314" s="183" t="s">
        <v>415</v>
      </c>
      <c r="D314" s="183">
        <v>4</v>
      </c>
      <c r="E314" s="183" t="s">
        <v>287</v>
      </c>
      <c r="F314" s="183">
        <v>1</v>
      </c>
      <c r="G314" s="183">
        <v>1</v>
      </c>
      <c r="H314" s="183">
        <v>1</v>
      </c>
      <c r="I314" s="183">
        <v>2</v>
      </c>
      <c r="J314" s="183">
        <v>1</v>
      </c>
      <c r="K314" s="183">
        <v>1</v>
      </c>
      <c r="L314" s="183">
        <v>3</v>
      </c>
      <c r="M314" s="183">
        <v>1</v>
      </c>
      <c r="N314" s="183"/>
      <c r="O314" s="183"/>
      <c r="P314" s="222">
        <f>SUM(Tabela2[[#This Row],[G]]+Tabela2[[#This Row],[D]]+Tabela2[[#This Row],[N]]+Tabela2[[#This Row],[HM]])</f>
        <v>4</v>
      </c>
      <c r="Q314" s="222">
        <f>SUM(Tabela2[[#This Row],[AO]]+Tabela2[[#This Row],[AD]]+Tabela2[[#This Row],[GWO]]+Tabela2[[#This Row],[GWD]])</f>
        <v>7</v>
      </c>
      <c r="R314" s="222">
        <f>Tabela2[[#This Row],[GWO]]+Tabela2[[#This Row],[GWD]]</f>
        <v>4</v>
      </c>
      <c r="S314" s="222">
        <f>SUM(Tabela2[[#This Row],[G]:[GWD]])</f>
        <v>11</v>
      </c>
    </row>
    <row r="315" spans="1:19" ht="30">
      <c r="A315" s="225">
        <v>311</v>
      </c>
      <c r="B315" s="183" t="s">
        <v>416</v>
      </c>
      <c r="C315" s="183" t="s">
        <v>415</v>
      </c>
      <c r="D315" s="183">
        <v>4</v>
      </c>
      <c r="E315" s="183" t="s">
        <v>287</v>
      </c>
      <c r="F315" s="183">
        <v>1</v>
      </c>
      <c r="G315" s="183">
        <v>1</v>
      </c>
      <c r="H315" s="183">
        <v>1</v>
      </c>
      <c r="I315" s="183">
        <v>2</v>
      </c>
      <c r="J315" s="183">
        <v>1</v>
      </c>
      <c r="K315" s="183">
        <v>1</v>
      </c>
      <c r="L315" s="183">
        <v>3</v>
      </c>
      <c r="M315" s="183">
        <v>1</v>
      </c>
      <c r="N315" s="183"/>
      <c r="O315" s="183"/>
      <c r="P315" s="222">
        <f>SUM(Tabela2[[#This Row],[G]]+Tabela2[[#This Row],[D]]+Tabela2[[#This Row],[N]]+Tabela2[[#This Row],[HM]])</f>
        <v>4</v>
      </c>
      <c r="Q315" s="222">
        <f>SUM(Tabela2[[#This Row],[AO]]+Tabela2[[#This Row],[AD]]+Tabela2[[#This Row],[GWO]]+Tabela2[[#This Row],[GWD]])</f>
        <v>7</v>
      </c>
      <c r="R315" s="222">
        <f>Tabela2[[#This Row],[GWO]]+Tabela2[[#This Row],[GWD]]</f>
        <v>4</v>
      </c>
      <c r="S315" s="222">
        <f>SUM(Tabela2[[#This Row],[G]:[GWD]])</f>
        <v>11</v>
      </c>
    </row>
    <row r="316" spans="1:19">
      <c r="A316" s="225">
        <v>312</v>
      </c>
      <c r="B316" s="183" t="s">
        <v>414</v>
      </c>
      <c r="C316" s="183" t="s">
        <v>413</v>
      </c>
      <c r="D316" s="183">
        <v>4</v>
      </c>
      <c r="E316" s="183" t="s">
        <v>287</v>
      </c>
      <c r="F316" s="183">
        <v>1</v>
      </c>
      <c r="G316" s="183">
        <v>1</v>
      </c>
      <c r="H316" s="183">
        <v>1</v>
      </c>
      <c r="I316" s="183">
        <v>1</v>
      </c>
      <c r="J316" s="183">
        <v>4</v>
      </c>
      <c r="K316" s="183">
        <v>1</v>
      </c>
      <c r="L316" s="183">
        <v>1</v>
      </c>
      <c r="M316" s="183">
        <v>3</v>
      </c>
      <c r="N316" s="183"/>
      <c r="O316" s="183"/>
      <c r="P316" s="222">
        <f>SUM(Tabela2[[#This Row],[G]]+Tabela2[[#This Row],[D]]+Tabela2[[#This Row],[N]]+Tabela2[[#This Row],[HM]])</f>
        <v>4</v>
      </c>
      <c r="Q316" s="222">
        <f>SUM(Tabela2[[#This Row],[AO]]+Tabela2[[#This Row],[AD]]+Tabela2[[#This Row],[GWO]]+Tabela2[[#This Row],[GWD]])</f>
        <v>9</v>
      </c>
      <c r="R316" s="222">
        <f>Tabela2[[#This Row],[GWO]]+Tabela2[[#This Row],[GWD]]</f>
        <v>4</v>
      </c>
      <c r="S316" s="222">
        <f>SUM(Tabela2[[#This Row],[G]:[GWD]])</f>
        <v>13</v>
      </c>
    </row>
    <row r="317" spans="1:19" ht="30">
      <c r="A317" s="225">
        <v>313</v>
      </c>
      <c r="B317" s="183" t="s">
        <v>412</v>
      </c>
      <c r="C317" s="183" t="s">
        <v>411</v>
      </c>
      <c r="D317" s="183"/>
      <c r="E317" s="183" t="s">
        <v>287</v>
      </c>
      <c r="F317" s="183">
        <v>1</v>
      </c>
      <c r="G317" s="183">
        <v>1</v>
      </c>
      <c r="H317" s="183">
        <v>1</v>
      </c>
      <c r="I317" s="183">
        <v>1</v>
      </c>
      <c r="J317" s="183">
        <v>1</v>
      </c>
      <c r="K317" s="183">
        <v>3</v>
      </c>
      <c r="L317" s="183">
        <v>3</v>
      </c>
      <c r="M317" s="183">
        <v>1</v>
      </c>
      <c r="N317" s="183"/>
      <c r="O317" s="183"/>
      <c r="P317" s="222">
        <f>SUM(Tabela2[[#This Row],[G]]+Tabela2[[#This Row],[D]]+Tabela2[[#This Row],[N]]+Tabela2[[#This Row],[HM]])</f>
        <v>6</v>
      </c>
      <c r="Q317" s="222">
        <f>SUM(Tabela2[[#This Row],[AO]]+Tabela2[[#This Row],[AD]]+Tabela2[[#This Row],[GWO]]+Tabela2[[#This Row],[GWD]])</f>
        <v>6</v>
      </c>
      <c r="R317" s="222">
        <f>Tabela2[[#This Row],[GWO]]+Tabela2[[#This Row],[GWD]]</f>
        <v>4</v>
      </c>
      <c r="S317" s="222">
        <f>SUM(Tabela2[[#This Row],[G]:[GWD]])</f>
        <v>12</v>
      </c>
    </row>
    <row r="318" spans="1:19" ht="30">
      <c r="A318" s="225">
        <v>314</v>
      </c>
      <c r="B318" s="183" t="s">
        <v>410</v>
      </c>
      <c r="C318" s="183" t="s">
        <v>409</v>
      </c>
      <c r="D318" s="183">
        <v>4</v>
      </c>
      <c r="E318" s="183" t="s">
        <v>287</v>
      </c>
      <c r="F318" s="183">
        <v>1</v>
      </c>
      <c r="G318" s="183">
        <v>1</v>
      </c>
      <c r="H318" s="183">
        <v>1</v>
      </c>
      <c r="I318" s="183">
        <v>1</v>
      </c>
      <c r="J318" s="183">
        <v>1</v>
      </c>
      <c r="K318" s="183">
        <v>1</v>
      </c>
      <c r="L318" s="183">
        <v>3</v>
      </c>
      <c r="M318" s="183">
        <v>3</v>
      </c>
      <c r="N318" s="183"/>
      <c r="O318" s="183"/>
      <c r="P318" s="222">
        <f>SUM(Tabela2[[#This Row],[G]]+Tabela2[[#This Row],[D]]+Tabela2[[#This Row],[N]]+Tabela2[[#This Row],[HM]])</f>
        <v>4</v>
      </c>
      <c r="Q318" s="222">
        <f>SUM(Tabela2[[#This Row],[AO]]+Tabela2[[#This Row],[AD]]+Tabela2[[#This Row],[GWO]]+Tabela2[[#This Row],[GWD]])</f>
        <v>8</v>
      </c>
      <c r="R318" s="222">
        <f>Tabela2[[#This Row],[GWO]]+Tabela2[[#This Row],[GWD]]</f>
        <v>6</v>
      </c>
      <c r="S318" s="222">
        <f>SUM(Tabela2[[#This Row],[G]:[GWD]])</f>
        <v>12</v>
      </c>
    </row>
    <row r="319" spans="1:19">
      <c r="A319" s="225">
        <v>316</v>
      </c>
      <c r="B319" s="183" t="s">
        <v>406</v>
      </c>
      <c r="C319" s="183" t="s">
        <v>218</v>
      </c>
      <c r="D319" s="183">
        <v>4</v>
      </c>
      <c r="E319" s="183" t="s">
        <v>287</v>
      </c>
      <c r="F319" s="183">
        <v>1</v>
      </c>
      <c r="G319" s="183">
        <v>1</v>
      </c>
      <c r="H319" s="183">
        <v>1</v>
      </c>
      <c r="I319" s="183">
        <v>2</v>
      </c>
      <c r="J319" s="183">
        <v>1</v>
      </c>
      <c r="K319" s="183">
        <v>2</v>
      </c>
      <c r="L319" s="183">
        <v>2</v>
      </c>
      <c r="M319" s="183">
        <v>1</v>
      </c>
      <c r="N319" s="183"/>
      <c r="O319" s="183"/>
      <c r="P319" s="222">
        <f>SUM(Tabela2[[#This Row],[G]]+Tabela2[[#This Row],[D]]+Tabela2[[#This Row],[N]]+Tabela2[[#This Row],[HM]])</f>
        <v>5</v>
      </c>
      <c r="Q319" s="222">
        <f>SUM(Tabela2[[#This Row],[AO]]+Tabela2[[#This Row],[AD]]+Tabela2[[#This Row],[GWO]]+Tabela2[[#This Row],[GWD]])</f>
        <v>6</v>
      </c>
      <c r="R319" s="222">
        <f>Tabela2[[#This Row],[GWO]]+Tabela2[[#This Row],[GWD]]</f>
        <v>3</v>
      </c>
      <c r="S319" s="222">
        <f>SUM(Tabela2[[#This Row],[G]:[GWD]])</f>
        <v>11</v>
      </c>
    </row>
    <row r="320" spans="1:19" ht="30">
      <c r="A320" s="225">
        <v>317</v>
      </c>
      <c r="B320" s="183" t="s">
        <v>405</v>
      </c>
      <c r="C320" s="183" t="s">
        <v>359</v>
      </c>
      <c r="D320" s="183">
        <v>4</v>
      </c>
      <c r="E320" s="183" t="s">
        <v>287</v>
      </c>
      <c r="F320" s="183">
        <v>1</v>
      </c>
      <c r="G320" s="183">
        <v>1</v>
      </c>
      <c r="H320" s="183">
        <v>1</v>
      </c>
      <c r="I320" s="183">
        <v>2</v>
      </c>
      <c r="J320" s="183">
        <v>1</v>
      </c>
      <c r="K320" s="183">
        <v>3</v>
      </c>
      <c r="L320" s="183">
        <v>3</v>
      </c>
      <c r="M320" s="183">
        <v>1</v>
      </c>
      <c r="N320" s="183"/>
      <c r="O320" s="183"/>
      <c r="P320" s="222">
        <f>SUM(Tabela2[[#This Row],[G]]+Tabela2[[#This Row],[D]]+Tabela2[[#This Row],[N]]+Tabela2[[#This Row],[HM]])</f>
        <v>6</v>
      </c>
      <c r="Q320" s="222">
        <f>SUM(Tabela2[[#This Row],[AO]]+Tabela2[[#This Row],[AD]]+Tabela2[[#This Row],[GWO]]+Tabela2[[#This Row],[GWD]])</f>
        <v>7</v>
      </c>
      <c r="R320" s="222">
        <f>Tabela2[[#This Row],[GWO]]+Tabela2[[#This Row],[GWD]]</f>
        <v>4</v>
      </c>
      <c r="S320" s="222">
        <f>SUM(Tabela2[[#This Row],[G]:[GWD]])</f>
        <v>13</v>
      </c>
    </row>
    <row r="321" spans="1:19" ht="30">
      <c r="A321" s="225">
        <v>319</v>
      </c>
      <c r="B321" s="183" t="s">
        <v>402</v>
      </c>
      <c r="C321" s="183" t="s">
        <v>401</v>
      </c>
      <c r="D321" s="183">
        <v>4</v>
      </c>
      <c r="E321" s="183" t="s">
        <v>287</v>
      </c>
      <c r="F321" s="183">
        <v>2</v>
      </c>
      <c r="G321" s="183">
        <v>1</v>
      </c>
      <c r="H321" s="183">
        <v>1</v>
      </c>
      <c r="I321" s="183">
        <v>2</v>
      </c>
      <c r="J321" s="183">
        <v>1</v>
      </c>
      <c r="K321" s="183">
        <v>1</v>
      </c>
      <c r="L321" s="183">
        <v>3</v>
      </c>
      <c r="M321" s="183">
        <v>1</v>
      </c>
      <c r="N321" s="183"/>
      <c r="O321" s="183"/>
      <c r="P321" s="222">
        <f>SUM(Tabela2[[#This Row],[G]]+Tabela2[[#This Row],[D]]+Tabela2[[#This Row],[N]]+Tabela2[[#This Row],[HM]])</f>
        <v>5</v>
      </c>
      <c r="Q321" s="222">
        <f>SUM(Tabela2[[#This Row],[AO]]+Tabela2[[#This Row],[AD]]+Tabela2[[#This Row],[GWO]]+Tabela2[[#This Row],[GWD]])</f>
        <v>7</v>
      </c>
      <c r="R321" s="222">
        <f>Tabela2[[#This Row],[GWO]]+Tabela2[[#This Row],[GWD]]</f>
        <v>4</v>
      </c>
      <c r="S321" s="222">
        <f>SUM(Tabela2[[#This Row],[G]:[GWD]])</f>
        <v>12</v>
      </c>
    </row>
    <row r="322" spans="1:19">
      <c r="A322" s="225">
        <v>321</v>
      </c>
      <c r="B322" s="183" t="s">
        <v>398</v>
      </c>
      <c r="C322" s="183" t="s">
        <v>397</v>
      </c>
      <c r="D322" s="183">
        <v>4</v>
      </c>
      <c r="E322" s="183" t="s">
        <v>287</v>
      </c>
      <c r="F322" s="183">
        <v>2</v>
      </c>
      <c r="G322" s="183">
        <v>2</v>
      </c>
      <c r="H322" s="183">
        <v>1</v>
      </c>
      <c r="I322" s="183">
        <v>5</v>
      </c>
      <c r="J322" s="183">
        <v>1</v>
      </c>
      <c r="K322" s="183">
        <v>1</v>
      </c>
      <c r="L322" s="183">
        <v>4</v>
      </c>
      <c r="M322" s="183">
        <v>1</v>
      </c>
      <c r="N322" s="183"/>
      <c r="O322" s="183"/>
      <c r="P322" s="222">
        <f>SUM(Tabela2[[#This Row],[G]]+Tabela2[[#This Row],[D]]+Tabela2[[#This Row],[N]]+Tabela2[[#This Row],[HM]])</f>
        <v>6</v>
      </c>
      <c r="Q322" s="222">
        <f>SUM(Tabela2[[#This Row],[AO]]+Tabela2[[#This Row],[AD]]+Tabela2[[#This Row],[GWO]]+Tabela2[[#This Row],[GWD]])</f>
        <v>11</v>
      </c>
      <c r="R322" s="222">
        <f>Tabela2[[#This Row],[GWO]]+Tabela2[[#This Row],[GWD]]</f>
        <v>5</v>
      </c>
      <c r="S322" s="222">
        <f>SUM(Tabela2[[#This Row],[G]:[GWD]])</f>
        <v>17</v>
      </c>
    </row>
    <row r="323" spans="1:19">
      <c r="A323" s="225">
        <v>322</v>
      </c>
      <c r="B323" s="183" t="s">
        <v>396</v>
      </c>
      <c r="C323" s="183" t="s">
        <v>239</v>
      </c>
      <c r="D323" s="183">
        <v>4</v>
      </c>
      <c r="E323" s="183" t="s">
        <v>287</v>
      </c>
      <c r="F323" s="183">
        <v>2</v>
      </c>
      <c r="G323" s="183">
        <v>1</v>
      </c>
      <c r="H323" s="183">
        <v>1</v>
      </c>
      <c r="I323" s="183">
        <v>3</v>
      </c>
      <c r="J323" s="183">
        <v>3</v>
      </c>
      <c r="K323" s="183">
        <v>5</v>
      </c>
      <c r="L323" s="183">
        <v>3</v>
      </c>
      <c r="M323" s="183">
        <v>2</v>
      </c>
      <c r="N323" s="183"/>
      <c r="O323" s="183"/>
      <c r="P323" s="222">
        <f>SUM(Tabela2[[#This Row],[G]]+Tabela2[[#This Row],[D]]+Tabela2[[#This Row],[N]]+Tabela2[[#This Row],[HM]])</f>
        <v>9</v>
      </c>
      <c r="Q323" s="222">
        <f>SUM(Tabela2[[#This Row],[AO]]+Tabela2[[#This Row],[AD]]+Tabela2[[#This Row],[GWO]]+Tabela2[[#This Row],[GWD]])</f>
        <v>11</v>
      </c>
      <c r="R323" s="222">
        <f>Tabela2[[#This Row],[GWO]]+Tabela2[[#This Row],[GWD]]</f>
        <v>5</v>
      </c>
      <c r="S323" s="222">
        <f>SUM(Tabela2[[#This Row],[G]:[GWD]])</f>
        <v>20</v>
      </c>
    </row>
    <row r="324" spans="1:19">
      <c r="A324" s="225">
        <v>323</v>
      </c>
      <c r="B324" s="183" t="s">
        <v>395</v>
      </c>
      <c r="C324" s="183" t="s">
        <v>237</v>
      </c>
      <c r="D324" s="183">
        <v>4</v>
      </c>
      <c r="E324" s="183" t="s">
        <v>287</v>
      </c>
      <c r="F324" s="183">
        <v>2</v>
      </c>
      <c r="G324" s="183">
        <v>1</v>
      </c>
      <c r="H324" s="183">
        <v>1</v>
      </c>
      <c r="I324" s="183">
        <v>2</v>
      </c>
      <c r="J324" s="183">
        <v>3</v>
      </c>
      <c r="K324" s="183">
        <v>3</v>
      </c>
      <c r="L324" s="183">
        <v>2</v>
      </c>
      <c r="M324" s="183">
        <v>1</v>
      </c>
      <c r="N324" s="183"/>
      <c r="O324" s="183"/>
      <c r="P324" s="222">
        <f>SUM(Tabela2[[#This Row],[G]]+Tabela2[[#This Row],[D]]+Tabela2[[#This Row],[N]]+Tabela2[[#This Row],[HM]])</f>
        <v>7</v>
      </c>
      <c r="Q324" s="222">
        <f>SUM(Tabela2[[#This Row],[AO]]+Tabela2[[#This Row],[AD]]+Tabela2[[#This Row],[GWO]]+Tabela2[[#This Row],[GWD]])</f>
        <v>8</v>
      </c>
      <c r="R324" s="222">
        <f>Tabela2[[#This Row],[GWO]]+Tabela2[[#This Row],[GWD]]</f>
        <v>3</v>
      </c>
      <c r="S324" s="222">
        <f>SUM(Tabela2[[#This Row],[G]:[GWD]])</f>
        <v>15</v>
      </c>
    </row>
    <row r="325" spans="1:19">
      <c r="A325" s="225">
        <v>324</v>
      </c>
      <c r="B325" s="183" t="s">
        <v>394</v>
      </c>
      <c r="C325" s="183" t="s">
        <v>393</v>
      </c>
      <c r="D325" s="183">
        <v>4</v>
      </c>
      <c r="E325" s="183" t="s">
        <v>287</v>
      </c>
      <c r="F325" s="183">
        <v>3</v>
      </c>
      <c r="G325" s="183">
        <v>4</v>
      </c>
      <c r="H325" s="183">
        <v>1</v>
      </c>
      <c r="I325" s="183">
        <v>2</v>
      </c>
      <c r="J325" s="183">
        <v>4</v>
      </c>
      <c r="K325" s="183">
        <v>2</v>
      </c>
      <c r="L325" s="183">
        <v>5</v>
      </c>
      <c r="M325" s="183">
        <v>4</v>
      </c>
      <c r="N325" s="183"/>
      <c r="O325" s="183"/>
      <c r="P325" s="222">
        <f>SUM(Tabela2[[#This Row],[G]]+Tabela2[[#This Row],[D]]+Tabela2[[#This Row],[N]]+Tabela2[[#This Row],[HM]])</f>
        <v>10</v>
      </c>
      <c r="Q325" s="222">
        <f>SUM(Tabela2[[#This Row],[AO]]+Tabela2[[#This Row],[AD]]+Tabela2[[#This Row],[GWO]]+Tabela2[[#This Row],[GWD]])</f>
        <v>15</v>
      </c>
      <c r="R325" s="222">
        <f>Tabela2[[#This Row],[GWO]]+Tabela2[[#This Row],[GWD]]</f>
        <v>9</v>
      </c>
      <c r="S325" s="222">
        <f>SUM(Tabela2[[#This Row],[G]:[GWD]])</f>
        <v>25</v>
      </c>
    </row>
    <row r="326" spans="1:19">
      <c r="A326" s="225">
        <v>326</v>
      </c>
      <c r="B326" s="183" t="s">
        <v>390</v>
      </c>
      <c r="C326" s="183" t="s">
        <v>238</v>
      </c>
      <c r="D326" s="183">
        <v>4</v>
      </c>
      <c r="E326" s="183" t="s">
        <v>287</v>
      </c>
      <c r="F326" s="183">
        <v>1</v>
      </c>
      <c r="G326" s="183">
        <v>1</v>
      </c>
      <c r="H326" s="183">
        <v>1</v>
      </c>
      <c r="I326" s="183">
        <v>2</v>
      </c>
      <c r="J326" s="183">
        <v>1</v>
      </c>
      <c r="K326" s="183">
        <v>3</v>
      </c>
      <c r="L326" s="183">
        <v>3</v>
      </c>
      <c r="M326" s="183">
        <v>1</v>
      </c>
      <c r="N326" s="183"/>
      <c r="O326" s="183"/>
      <c r="P326" s="222">
        <f>SUM(Tabela2[[#This Row],[G]]+Tabela2[[#This Row],[D]]+Tabela2[[#This Row],[N]]+Tabela2[[#This Row],[HM]])</f>
        <v>6</v>
      </c>
      <c r="Q326" s="222">
        <f>SUM(Tabela2[[#This Row],[AO]]+Tabela2[[#This Row],[AD]]+Tabela2[[#This Row],[GWO]]+Tabela2[[#This Row],[GWD]])</f>
        <v>7</v>
      </c>
      <c r="R326" s="222">
        <f>Tabela2[[#This Row],[GWO]]+Tabela2[[#This Row],[GWD]]</f>
        <v>4</v>
      </c>
      <c r="S326" s="222">
        <f>SUM(Tabela2[[#This Row],[G]:[GWD]])</f>
        <v>13</v>
      </c>
    </row>
    <row r="327" spans="1:19">
      <c r="A327" s="225">
        <v>174</v>
      </c>
      <c r="B327" s="190" t="s">
        <v>580</v>
      </c>
      <c r="C327" s="190" t="s">
        <v>580</v>
      </c>
      <c r="D327" s="190">
        <v>3</v>
      </c>
      <c r="E327" s="190" t="s">
        <v>287</v>
      </c>
      <c r="F327" s="190"/>
      <c r="G327" s="190"/>
      <c r="H327" s="190"/>
      <c r="I327" s="190"/>
      <c r="J327" s="190"/>
      <c r="K327" s="190"/>
      <c r="L327" s="190"/>
      <c r="M327" s="190"/>
      <c r="N327" s="190"/>
      <c r="O327" s="190"/>
      <c r="P327" s="224">
        <f>SUM(Tabela2[[#This Row],[G]]+Tabela2[[#This Row],[D]]+Tabela2[[#This Row],[N]]+Tabela2[[#This Row],[HM]])</f>
        <v>0</v>
      </c>
      <c r="Q327" s="224">
        <f>SUM(Tabela2[[#This Row],[AO]]+Tabela2[[#This Row],[AD]]+Tabela2[[#This Row],[GWO]]+Tabela2[[#This Row],[GWD]])</f>
        <v>0</v>
      </c>
      <c r="R327" s="224">
        <f>Tabela2[[#This Row],[GWO]]+Tabela2[[#This Row],[GWD]]</f>
        <v>0</v>
      </c>
      <c r="S327" s="224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13</vt:i4>
      </vt:variant>
    </vt:vector>
  </HeadingPairs>
  <TitlesOfParts>
    <vt:vector size="13" baseType="lpstr">
      <vt:lpstr>EXP lvls</vt:lpstr>
      <vt:lpstr>Drop analityka</vt:lpstr>
      <vt:lpstr>Fusion</vt:lpstr>
      <vt:lpstr>Location features</vt:lpstr>
      <vt:lpstr>TabPrz</vt:lpstr>
      <vt:lpstr>Runes for DPS</vt:lpstr>
      <vt:lpstr>Runes stats</vt:lpstr>
      <vt:lpstr>Runes DB</vt:lpstr>
      <vt:lpstr>TP_Mon.Runes</vt:lpstr>
      <vt:lpstr>Grind.Summary</vt:lpstr>
      <vt:lpstr>Runes Mon.build</vt:lpstr>
      <vt:lpstr>Crystals</vt:lpstr>
      <vt:lpstr>Mon.Utilities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2015-11-09T16:05:33Z</dcterms:modified>
</cp:coreProperties>
</file>