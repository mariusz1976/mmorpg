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 activeTab="2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Summary" sheetId="2" r:id="rId6"/>
    <sheet name="Runes" sheetId="8" r:id="rId7"/>
    <sheet name="Runes for DPS" sheetId="6" r:id="rId8"/>
    <sheet name="Runes to mobs" sheetId="7" r:id="rId9"/>
  </sheets>
  <calcPr calcId="145621"/>
  <pivotCaches>
    <pivotCache cacheId="0" r:id="rId10"/>
  </pivotCaches>
</workbook>
</file>

<file path=xl/calcChain.xml><?xml version="1.0" encoding="utf-8"?>
<calcChain xmlns="http://schemas.openxmlformats.org/spreadsheetml/2006/main">
  <c r="K2" i="3" l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Q25" i="4"/>
  <c r="L25" i="4"/>
  <c r="K25" i="4"/>
  <c r="J25" i="4"/>
  <c r="Q24" i="4"/>
  <c r="L24" i="4"/>
  <c r="K24" i="4"/>
  <c r="J24" i="4"/>
  <c r="Q23" i="4"/>
  <c r="L23" i="4"/>
  <c r="K23" i="4"/>
  <c r="J23" i="4"/>
  <c r="Q22" i="4"/>
  <c r="L22" i="4"/>
  <c r="K22" i="4"/>
  <c r="J22" i="4"/>
  <c r="Q12" i="4"/>
  <c r="L12" i="4"/>
  <c r="K12" i="4"/>
  <c r="J12" i="4"/>
  <c r="W4" i="5"/>
  <c r="V6" i="5"/>
  <c r="U5" i="5"/>
  <c r="T4" i="5"/>
  <c r="R6" i="5"/>
  <c r="W6" i="5"/>
  <c r="V5" i="5"/>
  <c r="U4" i="5"/>
  <c r="S6" i="5"/>
  <c r="R5" i="5"/>
  <c r="W5" i="5"/>
  <c r="T6" i="5"/>
  <c r="T5" i="5"/>
  <c r="V4" i="5"/>
  <c r="S5" i="5"/>
  <c r="U6" i="5"/>
  <c r="S4" i="5"/>
  <c r="M25" i="4" l="1"/>
  <c r="P25" i="4" s="1"/>
  <c r="O25" i="4"/>
  <c r="R25" i="4" s="1"/>
  <c r="O24" i="4"/>
  <c r="R24" i="4" s="1"/>
  <c r="O22" i="4"/>
  <c r="O12" i="4"/>
  <c r="O23" i="4"/>
  <c r="R23" i="4" s="1"/>
  <c r="R22" i="4"/>
  <c r="R12" i="4"/>
  <c r="Q6" i="5"/>
  <c r="Q5" i="5"/>
  <c r="Q4" i="5"/>
  <c r="R4" i="5"/>
  <c r="M30" i="1" l="1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Q14" i="4"/>
  <c r="L14" i="4"/>
  <c r="K14" i="4"/>
  <c r="J14" i="4"/>
  <c r="J2" i="4"/>
  <c r="I25" i="4" l="1"/>
  <c r="N25" i="4" s="1"/>
  <c r="M23" i="4"/>
  <c r="P23" i="4" s="1"/>
  <c r="I23" i="4"/>
  <c r="N23" i="4" s="1"/>
  <c r="I24" i="4"/>
  <c r="N24" i="4" s="1"/>
  <c r="M24" i="4"/>
  <c r="P24" i="4" s="1"/>
  <c r="R14" i="4"/>
  <c r="O14" i="4"/>
  <c r="K2" i="4" l="1"/>
  <c r="Q2" i="4"/>
  <c r="L2" i="4"/>
  <c r="O2" i="4" l="1"/>
  <c r="R2" i="4" s="1"/>
  <c r="M31" i="1"/>
  <c r="M29" i="1"/>
  <c r="T36" i="9"/>
  <c r="T38" i="9" s="1"/>
  <c r="S36" i="9"/>
  <c r="S38" i="9" s="1"/>
  <c r="R36" i="9"/>
  <c r="R38" i="9" s="1"/>
  <c r="Q36" i="9"/>
  <c r="Q38" i="9" s="1"/>
  <c r="P36" i="9"/>
  <c r="P38" i="9" s="1"/>
  <c r="O36" i="9"/>
  <c r="O38" i="9" s="1"/>
  <c r="N36" i="9"/>
  <c r="N38" i="9" s="1"/>
  <c r="M36" i="9"/>
  <c r="M38" i="9" s="1"/>
  <c r="L36" i="9"/>
  <c r="L38" i="9" s="1"/>
  <c r="K36" i="9"/>
  <c r="K38" i="9" s="1"/>
  <c r="J36" i="9"/>
  <c r="J38" i="9" s="1"/>
  <c r="I36" i="9"/>
  <c r="I38" i="9" s="1"/>
  <c r="H36" i="9"/>
  <c r="H38" i="9" s="1"/>
  <c r="G36" i="9"/>
  <c r="G38" i="9" s="1"/>
  <c r="F36" i="9"/>
  <c r="F38" i="9" s="1"/>
  <c r="I47" i="9" l="1"/>
  <c r="I40" i="9"/>
  <c r="I45" i="9"/>
  <c r="I41" i="9"/>
  <c r="I42" i="9"/>
  <c r="I46" i="9"/>
  <c r="M42" i="9"/>
  <c r="M45" i="9"/>
  <c r="M40" i="9"/>
  <c r="M46" i="9"/>
  <c r="M47" i="9"/>
  <c r="M41" i="9"/>
  <c r="L45" i="9"/>
  <c r="L41" i="9"/>
  <c r="L46" i="9"/>
  <c r="L42" i="9"/>
  <c r="L47" i="9"/>
  <c r="L40" i="9"/>
  <c r="T47" i="9"/>
  <c r="T40" i="9"/>
  <c r="T45" i="9"/>
  <c r="T41" i="9"/>
  <c r="T46" i="9"/>
  <c r="T42" i="9"/>
  <c r="J41" i="9"/>
  <c r="J45" i="9"/>
  <c r="J46" i="9"/>
  <c r="J42" i="9"/>
  <c r="J47" i="9"/>
  <c r="J40" i="9"/>
  <c r="N46" i="9"/>
  <c r="N40" i="9"/>
  <c r="N41" i="9"/>
  <c r="N47" i="9"/>
  <c r="N42" i="9"/>
  <c r="N45" i="9"/>
  <c r="R47" i="9"/>
  <c r="R40" i="9"/>
  <c r="R41" i="9"/>
  <c r="R45" i="9"/>
  <c r="R46" i="9"/>
  <c r="R42" i="9"/>
  <c r="P40" i="9"/>
  <c r="P46" i="9"/>
  <c r="P47" i="9"/>
  <c r="P41" i="9"/>
  <c r="P42" i="9"/>
  <c r="P45" i="9"/>
  <c r="Q45" i="9"/>
  <c r="Q41" i="9"/>
  <c r="Q42" i="9"/>
  <c r="Q46" i="9"/>
  <c r="Q47" i="9"/>
  <c r="Q40" i="9"/>
  <c r="K47" i="9"/>
  <c r="K40" i="9"/>
  <c r="K45" i="9"/>
  <c r="K41" i="9"/>
  <c r="K42" i="9"/>
  <c r="K46" i="9"/>
  <c r="O42" i="9"/>
  <c r="O45" i="9"/>
  <c r="O46" i="9"/>
  <c r="O40" i="9"/>
  <c r="O47" i="9"/>
  <c r="O41" i="9"/>
  <c r="S45" i="9"/>
  <c r="S41" i="9"/>
  <c r="S42" i="9"/>
  <c r="S46" i="9"/>
  <c r="S47" i="9"/>
  <c r="S40" i="9"/>
  <c r="H47" i="9"/>
  <c r="H45" i="9"/>
  <c r="H42" i="9"/>
  <c r="H40" i="9"/>
  <c r="H46" i="9"/>
  <c r="H41" i="9"/>
  <c r="G46" i="9"/>
  <c r="G40" i="9"/>
  <c r="G42" i="9"/>
  <c r="G47" i="9"/>
  <c r="G45" i="9"/>
  <c r="G41" i="9"/>
  <c r="F45" i="9"/>
  <c r="F41" i="9"/>
  <c r="F47" i="9"/>
  <c r="F40" i="9"/>
  <c r="F46" i="9"/>
  <c r="F42" i="9"/>
  <c r="M32" i="1"/>
  <c r="M33" i="1" s="1"/>
  <c r="Q19" i="4"/>
  <c r="L19" i="4"/>
  <c r="K19" i="4"/>
  <c r="J19" i="4"/>
  <c r="U46" i="9" l="1"/>
  <c r="U47" i="9"/>
  <c r="U45" i="9"/>
  <c r="O19" i="4"/>
  <c r="R19" i="4" s="1"/>
  <c r="Q18" i="4"/>
  <c r="Q7" i="4"/>
  <c r="Q6" i="4"/>
  <c r="Q3" i="4"/>
  <c r="Q15" i="4"/>
  <c r="Q8" i="4"/>
  <c r="Q16" i="4"/>
  <c r="Q20" i="4"/>
  <c r="Q17" i="4"/>
  <c r="Q5" i="4"/>
  <c r="Q4" i="4"/>
  <c r="Q10" i="4"/>
  <c r="Q9" i="4"/>
  <c r="Q11" i="4"/>
  <c r="Q21" i="4"/>
  <c r="Q13" i="4"/>
  <c r="O29" i="1"/>
  <c r="M17" i="1"/>
  <c r="M18" i="1" s="1"/>
  <c r="J6" i="4"/>
  <c r="J18" i="4"/>
  <c r="J7" i="4"/>
  <c r="J5" i="4"/>
  <c r="J8" i="4"/>
  <c r="J15" i="4"/>
  <c r="J16" i="4"/>
  <c r="J20" i="4"/>
  <c r="J4" i="4"/>
  <c r="J3" i="4"/>
  <c r="J10" i="4"/>
  <c r="J11" i="4"/>
  <c r="J9" i="4"/>
  <c r="J21" i="4"/>
  <c r="J17" i="4"/>
  <c r="J13" i="4"/>
  <c r="L6" i="4"/>
  <c r="L18" i="4"/>
  <c r="L7" i="4"/>
  <c r="L5" i="4"/>
  <c r="L8" i="4"/>
  <c r="L15" i="4"/>
  <c r="L16" i="4"/>
  <c r="L20" i="4"/>
  <c r="L4" i="4"/>
  <c r="L3" i="4"/>
  <c r="L10" i="4"/>
  <c r="L11" i="4"/>
  <c r="L9" i="4"/>
  <c r="L21" i="4"/>
  <c r="L17" i="4"/>
  <c r="L13" i="4"/>
  <c r="O6" i="4" l="1"/>
  <c r="R6" i="4" s="1"/>
  <c r="O4" i="4"/>
  <c r="R4" i="4" s="1"/>
  <c r="O8" i="4"/>
  <c r="R8" i="4" s="1"/>
  <c r="M34" i="1"/>
  <c r="O9" i="4"/>
  <c r="R9" i="4" s="1"/>
  <c r="O13" i="4"/>
  <c r="R13" i="4" s="1"/>
  <c r="O15" i="4"/>
  <c r="R15" i="4" s="1"/>
  <c r="O18" i="4"/>
  <c r="R18" i="4" s="1"/>
  <c r="O3" i="4"/>
  <c r="R3" i="4" s="1"/>
  <c r="O21" i="4"/>
  <c r="R21" i="4" s="1"/>
  <c r="O10" i="4"/>
  <c r="R10" i="4" s="1"/>
  <c r="O16" i="4"/>
  <c r="R16" i="4" s="1"/>
  <c r="O7" i="4"/>
  <c r="R7" i="4" s="1"/>
  <c r="O17" i="4"/>
  <c r="R17" i="4" s="1"/>
  <c r="O11" i="4"/>
  <c r="R11" i="4" s="1"/>
  <c r="O20" i="4"/>
  <c r="R20" i="4" s="1"/>
  <c r="O5" i="4"/>
  <c r="R5" i="4" s="1"/>
  <c r="K7" i="4"/>
  <c r="O31" i="1" l="1"/>
  <c r="O33" i="1"/>
  <c r="K13" i="4"/>
  <c r="O37" i="1" l="1"/>
  <c r="O35" i="1"/>
  <c r="J543" i="3"/>
  <c r="M36" i="1" l="1"/>
  <c r="K10" i="4"/>
  <c r="I15" i="4" l="1"/>
  <c r="N15" i="4" s="1"/>
  <c r="I4" i="4"/>
  <c r="N4" i="4" s="1"/>
  <c r="M17" i="4"/>
  <c r="P17" i="4" s="1"/>
  <c r="M15" i="4"/>
  <c r="P15" i="4" s="1"/>
  <c r="M4" i="4"/>
  <c r="P4" i="4" s="1"/>
  <c r="M22" i="4"/>
  <c r="P22" i="4" s="1"/>
  <c r="M12" i="4" l="1"/>
  <c r="P12" i="4" s="1"/>
  <c r="M2" i="4"/>
  <c r="P2" i="4" s="1"/>
  <c r="I5" i="4"/>
  <c r="N5" i="4" s="1"/>
  <c r="M14" i="4"/>
  <c r="P14" i="4" s="1"/>
  <c r="M9" i="4"/>
  <c r="P9" i="4" s="1"/>
  <c r="M7" i="4"/>
  <c r="P7" i="4" s="1"/>
  <c r="M20" i="4"/>
  <c r="P20" i="4" s="1"/>
  <c r="M21" i="4"/>
  <c r="P21" i="4" s="1"/>
  <c r="M5" i="4"/>
  <c r="P5" i="4" s="1"/>
  <c r="M16" i="4"/>
  <c r="P16" i="4" s="1"/>
  <c r="M13" i="4"/>
  <c r="P13" i="4" s="1"/>
  <c r="M18" i="4"/>
  <c r="P18" i="4" s="1"/>
  <c r="M11" i="4"/>
  <c r="P11" i="4" s="1"/>
  <c r="M10" i="4"/>
  <c r="P10" i="4" s="1"/>
  <c r="M6" i="4"/>
  <c r="P6" i="4" s="1"/>
  <c r="M19" i="4"/>
  <c r="P19" i="4" s="1"/>
  <c r="M3" i="4"/>
  <c r="P3" i="4" s="1"/>
  <c r="M8" i="4"/>
  <c r="P8" i="4" s="1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2" i="3"/>
  <c r="J541" i="3"/>
  <c r="J540" i="3"/>
  <c r="J539" i="3"/>
  <c r="J538" i="3"/>
  <c r="J537" i="3"/>
  <c r="J536" i="3"/>
  <c r="J535" i="3"/>
  <c r="I22" i="4" s="1"/>
  <c r="N22" i="4" s="1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79" i="3"/>
  <c r="J372" i="3"/>
  <c r="J371" i="3"/>
  <c r="J364" i="3"/>
  <c r="J360" i="3"/>
  <c r="J354" i="3"/>
  <c r="J349" i="3"/>
  <c r="J343" i="3"/>
  <c r="J324" i="3"/>
  <c r="J319" i="3"/>
  <c r="J314" i="3"/>
  <c r="J307" i="3"/>
  <c r="J299" i="3"/>
  <c r="J296" i="3"/>
  <c r="J294" i="3"/>
  <c r="J283" i="3"/>
  <c r="J276" i="3"/>
  <c r="J273" i="3"/>
  <c r="J271" i="3"/>
  <c r="J269" i="3"/>
  <c r="J267" i="3"/>
  <c r="J253" i="3"/>
  <c r="J252" i="3"/>
  <c r="J249" i="3"/>
  <c r="J248" i="3"/>
  <c r="J240" i="3"/>
  <c r="J234" i="3"/>
  <c r="J233" i="3"/>
  <c r="J232" i="3"/>
  <c r="J221" i="3"/>
  <c r="J216" i="3"/>
  <c r="J201" i="3"/>
  <c r="J200" i="3"/>
  <c r="J197" i="3"/>
  <c r="J185" i="3"/>
  <c r="J181" i="3"/>
  <c r="J175" i="3"/>
  <c r="J173" i="3"/>
  <c r="J172" i="3"/>
  <c r="J171" i="3"/>
  <c r="J169" i="3"/>
  <c r="J167" i="3"/>
  <c r="J166" i="3"/>
  <c r="J162" i="3"/>
  <c r="J161" i="3"/>
  <c r="J160" i="3"/>
  <c r="J157" i="3"/>
  <c r="J154" i="3"/>
  <c r="J152" i="3"/>
  <c r="J15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I17" i="4" s="1"/>
  <c r="N17" i="4" s="1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I12" i="4" s="1"/>
  <c r="N12" i="4" s="1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2" i="3"/>
  <c r="K9" i="4"/>
  <c r="M16" i="1"/>
  <c r="M19" i="1" s="1"/>
  <c r="I2" i="4" l="1"/>
  <c r="N2" i="4" s="1"/>
  <c r="I14" i="4"/>
  <c r="N14" i="4" s="1"/>
  <c r="I11" i="4"/>
  <c r="N11" i="4" s="1"/>
  <c r="I9" i="4"/>
  <c r="N9" i="4" s="1"/>
  <c r="I10" i="4"/>
  <c r="N10" i="4" s="1"/>
  <c r="I19" i="4"/>
  <c r="N19" i="4" s="1"/>
  <c r="I21" i="4"/>
  <c r="N21" i="4" s="1"/>
  <c r="I20" i="4"/>
  <c r="N20" i="4" s="1"/>
  <c r="I13" i="4"/>
  <c r="N13" i="4" s="1"/>
  <c r="I7" i="4"/>
  <c r="N7" i="4" s="1"/>
  <c r="I16" i="4"/>
  <c r="N16" i="4" s="1"/>
  <c r="I6" i="4"/>
  <c r="N6" i="4" s="1"/>
  <c r="I18" i="4"/>
  <c r="N18" i="4" s="1"/>
  <c r="I8" i="4"/>
  <c r="N8" i="4" s="1"/>
  <c r="I3" i="4"/>
  <c r="N3" i="4" s="1"/>
  <c r="O16" i="1"/>
  <c r="M20" i="1"/>
  <c r="O18" i="1"/>
  <c r="M21" i="1" l="1"/>
  <c r="M22" i="1" s="1"/>
  <c r="M23" i="1" s="1"/>
  <c r="O20" i="1"/>
  <c r="U4" i="1"/>
  <c r="V4" i="1" s="1"/>
  <c r="U5" i="1"/>
  <c r="V5" i="1" s="1"/>
  <c r="U6" i="1"/>
  <c r="V6" i="1" s="1"/>
  <c r="U7" i="1"/>
  <c r="V7" i="1" s="1"/>
  <c r="U8" i="1"/>
  <c r="V8" i="1" s="1"/>
  <c r="K20" i="4"/>
  <c r="K21" i="4"/>
  <c r="K16" i="4"/>
  <c r="K8" i="4"/>
  <c r="K17" i="4"/>
  <c r="K18" i="4"/>
  <c r="K11" i="4"/>
  <c r="K15" i="4"/>
  <c r="K3" i="4"/>
  <c r="K4" i="4"/>
  <c r="K5" i="4"/>
  <c r="K6" i="4"/>
  <c r="Y8" i="1" l="1"/>
  <c r="Y7" i="1"/>
  <c r="Y6" i="1"/>
  <c r="Y5" i="1"/>
  <c r="Y4" i="1"/>
  <c r="X4" i="1"/>
  <c r="X8" i="1"/>
  <c r="X7" i="1"/>
  <c r="X6" i="1"/>
  <c r="X5" i="1"/>
  <c r="Q17" i="1"/>
  <c r="O22" i="1" l="1"/>
  <c r="O24" i="1" s="1"/>
  <c r="M3" i="1"/>
  <c r="O40" i="2"/>
  <c r="O39" i="2"/>
  <c r="S33" i="2"/>
  <c r="P38" i="2"/>
  <c r="P33" i="2"/>
  <c r="O38" i="2"/>
  <c r="M38" i="2"/>
  <c r="O33" i="2"/>
  <c r="O37" i="2"/>
  <c r="M37" i="2"/>
  <c r="O36" i="2"/>
  <c r="M36" i="2"/>
  <c r="O35" i="2"/>
  <c r="O34" i="2"/>
  <c r="O32" i="2"/>
  <c r="O31" i="2"/>
  <c r="M5" i="1" l="1"/>
  <c r="M4" i="1"/>
  <c r="AD2" i="6"/>
  <c r="Y2" i="6" s="1"/>
  <c r="O2" i="6" s="1"/>
  <c r="P2" i="6" s="1"/>
  <c r="R2" i="6" s="1"/>
  <c r="AC2" i="6"/>
  <c r="X2" i="6" s="1"/>
  <c r="AB2" i="6"/>
  <c r="W2" i="6" s="1"/>
  <c r="E3" i="6"/>
  <c r="E4" i="6" s="1"/>
  <c r="F3" i="6"/>
  <c r="G4" i="6"/>
  <c r="G5" i="6" s="1"/>
  <c r="G6" i="6" s="1"/>
  <c r="N4" i="6"/>
  <c r="N7" i="6" s="1"/>
  <c r="U3" i="1"/>
  <c r="V3" i="1" s="1"/>
  <c r="U2" i="1"/>
  <c r="M7" i="1" l="1"/>
  <c r="O4" i="1"/>
  <c r="M6" i="1"/>
  <c r="L38" i="2"/>
  <c r="Q38" i="2" s="1"/>
  <c r="Y2" i="1"/>
  <c r="V2" i="1"/>
  <c r="L36" i="2"/>
  <c r="L37" i="2"/>
  <c r="X2" i="1"/>
  <c r="G7" i="6"/>
  <c r="G8" i="6" s="1"/>
  <c r="G14" i="6" s="1"/>
  <c r="G15" i="6" s="1"/>
  <c r="D3" i="6"/>
  <c r="O3" i="6"/>
  <c r="N8" i="6"/>
  <c r="N5" i="6"/>
  <c r="O4" i="6"/>
  <c r="F4" i="6"/>
  <c r="D4" i="6" s="1"/>
  <c r="E5" i="6"/>
  <c r="C4" i="6"/>
  <c r="E7" i="6"/>
  <c r="C3" i="6"/>
  <c r="Y3" i="1"/>
  <c r="X3" i="1"/>
  <c r="O30" i="2"/>
  <c r="O29" i="2"/>
  <c r="O28" i="2"/>
  <c r="O27" i="2"/>
  <c r="O26" i="2"/>
  <c r="O25" i="2"/>
  <c r="O24" i="2"/>
  <c r="O23" i="2"/>
  <c r="O22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O21" i="2"/>
  <c r="O20" i="2"/>
  <c r="H20" i="2"/>
  <c r="O19" i="2"/>
  <c r="O18" i="2"/>
  <c r="M9" i="1" l="1"/>
  <c r="M8" i="1"/>
  <c r="N27" i="2"/>
  <c r="O6" i="1"/>
  <c r="N22" i="2"/>
  <c r="N34" i="2"/>
  <c r="N35" i="2"/>
  <c r="G9" i="6"/>
  <c r="G10" i="6" s="1"/>
  <c r="G16" i="6" s="1"/>
  <c r="G17" i="6" s="1"/>
  <c r="O7" i="6"/>
  <c r="O5" i="6"/>
  <c r="N6" i="6"/>
  <c r="O6" i="6" s="1"/>
  <c r="N9" i="6"/>
  <c r="O8" i="6"/>
  <c r="F7" i="6"/>
  <c r="D7" i="6" s="1"/>
  <c r="F5" i="6"/>
  <c r="D5" i="6" s="1"/>
  <c r="E6" i="6"/>
  <c r="C6" i="6" s="1"/>
  <c r="C5" i="6"/>
  <c r="L4" i="6"/>
  <c r="M4" i="6" s="1"/>
  <c r="P4" i="6" s="1"/>
  <c r="R4" i="6" s="1"/>
  <c r="K4" i="6"/>
  <c r="K3" i="6"/>
  <c r="L3" i="6"/>
  <c r="M3" i="6" s="1"/>
  <c r="P3" i="6" s="1"/>
  <c r="R3" i="6" s="1"/>
  <c r="C7" i="6"/>
  <c r="E8" i="6"/>
  <c r="N24" i="2"/>
  <c r="N18" i="2"/>
  <c r="N21" i="2"/>
  <c r="N23" i="2"/>
  <c r="N19" i="2"/>
  <c r="N20" i="2"/>
  <c r="G22" i="2"/>
  <c r="F23" i="2"/>
  <c r="N26" i="2"/>
  <c r="N25" i="2"/>
  <c r="M10" i="1" l="1"/>
  <c r="M11" i="1" s="1"/>
  <c r="O8" i="1"/>
  <c r="G11" i="6"/>
  <c r="G12" i="6" s="1"/>
  <c r="G13" i="6" s="1"/>
  <c r="G18" i="6"/>
  <c r="G19" i="6" s="1"/>
  <c r="G20" i="6" s="1"/>
  <c r="G21" i="6"/>
  <c r="G22" i="6" s="1"/>
  <c r="G23" i="6" s="1"/>
  <c r="G24" i="6" s="1"/>
  <c r="G25" i="6" s="1"/>
  <c r="G26" i="6" s="1"/>
  <c r="G27" i="6" s="1"/>
  <c r="O9" i="6"/>
  <c r="N10" i="6"/>
  <c r="F6" i="6"/>
  <c r="D6" i="6" s="1"/>
  <c r="F8" i="6"/>
  <c r="D8" i="6" s="1"/>
  <c r="L7" i="6"/>
  <c r="M7" i="6" s="1"/>
  <c r="P7" i="6" s="1"/>
  <c r="R7" i="6" s="1"/>
  <c r="K7" i="6"/>
  <c r="L5" i="6"/>
  <c r="M5" i="6" s="1"/>
  <c r="P5" i="6" s="1"/>
  <c r="R5" i="6" s="1"/>
  <c r="K5" i="6"/>
  <c r="L6" i="6"/>
  <c r="K6" i="6"/>
  <c r="C8" i="6"/>
  <c r="E14" i="6"/>
  <c r="E9" i="6"/>
  <c r="L27" i="2"/>
  <c r="L25" i="2"/>
  <c r="L26" i="2"/>
  <c r="G24" i="2"/>
  <c r="G23" i="2"/>
  <c r="F24" i="2"/>
  <c r="F25" i="2" s="1"/>
  <c r="M26" i="2"/>
  <c r="M27" i="2"/>
  <c r="M25" i="2"/>
  <c r="O10" i="1" l="1"/>
  <c r="O12" i="1" s="1"/>
  <c r="L35" i="2"/>
  <c r="L34" i="2"/>
  <c r="M35" i="2"/>
  <c r="M34" i="2"/>
  <c r="M6" i="6"/>
  <c r="P6" i="6" s="1"/>
  <c r="R6" i="6" s="1"/>
  <c r="O10" i="6"/>
  <c r="N11" i="6"/>
  <c r="N14" i="6"/>
  <c r="F14" i="6"/>
  <c r="D14" i="6" s="1"/>
  <c r="F9" i="6"/>
  <c r="D9" i="6" s="1"/>
  <c r="L8" i="6"/>
  <c r="K8" i="6"/>
  <c r="C9" i="6"/>
  <c r="E10" i="6"/>
  <c r="E15" i="6"/>
  <c r="C15" i="6" s="1"/>
  <c r="C14" i="6"/>
  <c r="L24" i="2"/>
  <c r="B24" i="2" s="1"/>
  <c r="L18" i="2"/>
  <c r="L23" i="2"/>
  <c r="B23" i="2" s="1"/>
  <c r="L21" i="2"/>
  <c r="L22" i="2"/>
  <c r="B22" i="2" s="1"/>
  <c r="L20" i="2"/>
  <c r="L19" i="2"/>
  <c r="F26" i="2"/>
  <c r="G25" i="2"/>
  <c r="B25" i="2" s="1"/>
  <c r="M23" i="2"/>
  <c r="C23" i="2" s="1"/>
  <c r="M22" i="2"/>
  <c r="C22" i="2" s="1"/>
  <c r="M19" i="2"/>
  <c r="M18" i="2"/>
  <c r="M21" i="2"/>
  <c r="M20" i="2"/>
  <c r="M24" i="2"/>
  <c r="C24" i="2" s="1"/>
  <c r="O17" i="2"/>
  <c r="C45" i="2"/>
  <c r="B45" i="2"/>
  <c r="C44" i="2"/>
  <c r="B44" i="2"/>
  <c r="O13" i="2"/>
  <c r="O12" i="2"/>
  <c r="O16" i="2"/>
  <c r="L39" i="2" l="1"/>
  <c r="L40" i="2"/>
  <c r="N39" i="2"/>
  <c r="N40" i="2"/>
  <c r="N32" i="2"/>
  <c r="N33" i="2"/>
  <c r="N31" i="2"/>
  <c r="L33" i="2"/>
  <c r="L32" i="2"/>
  <c r="L31" i="2"/>
  <c r="N12" i="6"/>
  <c r="O11" i="6"/>
  <c r="O14" i="6"/>
  <c r="N15" i="6"/>
  <c r="F15" i="6"/>
  <c r="D15" i="6" s="1"/>
  <c r="M8" i="6"/>
  <c r="P8" i="6" s="1"/>
  <c r="R8" i="6" s="1"/>
  <c r="F10" i="6"/>
  <c r="D10" i="6" s="1"/>
  <c r="K9" i="6"/>
  <c r="L9" i="6"/>
  <c r="C10" i="6"/>
  <c r="E16" i="6"/>
  <c r="E11" i="6"/>
  <c r="L14" i="6"/>
  <c r="M14" i="6" s="1"/>
  <c r="K14" i="6"/>
  <c r="L15" i="6"/>
  <c r="K15" i="6"/>
  <c r="L30" i="2"/>
  <c r="L29" i="2"/>
  <c r="L28" i="2"/>
  <c r="C25" i="2"/>
  <c r="N30" i="2"/>
  <c r="N29" i="2"/>
  <c r="N28" i="2"/>
  <c r="G27" i="2"/>
  <c r="G26" i="2"/>
  <c r="F27" i="2"/>
  <c r="F28" i="2" s="1"/>
  <c r="N17" i="2"/>
  <c r="H12" i="2"/>
  <c r="O15" i="2"/>
  <c r="O14" i="2"/>
  <c r="O11" i="2"/>
  <c r="O10" i="2"/>
  <c r="U33" i="2" l="1"/>
  <c r="R33" i="2"/>
  <c r="T33" i="2"/>
  <c r="Q33" i="2"/>
  <c r="N38" i="2"/>
  <c r="R38" i="2" s="1"/>
  <c r="N37" i="2"/>
  <c r="N36" i="2"/>
  <c r="N13" i="6"/>
  <c r="O13" i="6" s="1"/>
  <c r="O12" i="6"/>
  <c r="P14" i="6"/>
  <c r="R14" i="6" s="1"/>
  <c r="N16" i="6"/>
  <c r="O15" i="6"/>
  <c r="F11" i="6"/>
  <c r="D11" i="6" s="1"/>
  <c r="F16" i="6"/>
  <c r="D16" i="6" s="1"/>
  <c r="M15" i="6"/>
  <c r="M9" i="6"/>
  <c r="P9" i="6" s="1"/>
  <c r="R9" i="6" s="1"/>
  <c r="K10" i="6"/>
  <c r="L10" i="6"/>
  <c r="C11" i="6"/>
  <c r="E12" i="6"/>
  <c r="E17" i="6"/>
  <c r="E18" i="6" s="1"/>
  <c r="C16" i="6"/>
  <c r="F29" i="2"/>
  <c r="F30" i="2" s="1"/>
  <c r="F31" i="2" s="1"/>
  <c r="F32" i="2" s="1"/>
  <c r="G28" i="2"/>
  <c r="B27" i="2"/>
  <c r="C27" i="2"/>
  <c r="B26" i="2"/>
  <c r="C26" i="2"/>
  <c r="H16" i="2"/>
  <c r="L17" i="2"/>
  <c r="A3" i="2"/>
  <c r="B3" i="2" s="1"/>
  <c r="M40" i="2" l="1"/>
  <c r="M39" i="2"/>
  <c r="G36" i="2"/>
  <c r="C36" i="2" s="1"/>
  <c r="F34" i="2"/>
  <c r="F35" i="2" s="1"/>
  <c r="F36" i="2" s="1"/>
  <c r="F37" i="2" s="1"/>
  <c r="F33" i="2"/>
  <c r="H33" i="2" s="1"/>
  <c r="B33" i="2" s="1"/>
  <c r="M33" i="2"/>
  <c r="M32" i="2"/>
  <c r="M31" i="2"/>
  <c r="G31" i="2"/>
  <c r="H32" i="2"/>
  <c r="G34" i="2"/>
  <c r="H35" i="2"/>
  <c r="C12" i="6"/>
  <c r="L12" i="6" s="1"/>
  <c r="E13" i="6"/>
  <c r="C13" i="6" s="1"/>
  <c r="E19" i="6"/>
  <c r="C18" i="6"/>
  <c r="O16" i="6"/>
  <c r="N17" i="6"/>
  <c r="P15" i="6"/>
  <c r="R15" i="6" s="1"/>
  <c r="F17" i="6"/>
  <c r="D17" i="6" s="1"/>
  <c r="F12" i="6"/>
  <c r="M10" i="6"/>
  <c r="P10" i="6" s="1"/>
  <c r="R10" i="6" s="1"/>
  <c r="K11" i="6"/>
  <c r="L11" i="6"/>
  <c r="M11" i="6" s="1"/>
  <c r="P11" i="6" s="1"/>
  <c r="R11" i="6" s="1"/>
  <c r="E21" i="6"/>
  <c r="C17" i="6"/>
  <c r="L16" i="6"/>
  <c r="K16" i="6"/>
  <c r="M29" i="2"/>
  <c r="M28" i="2"/>
  <c r="C28" i="2" s="1"/>
  <c r="M30" i="2"/>
  <c r="B28" i="2"/>
  <c r="G30" i="2"/>
  <c r="G29" i="2"/>
  <c r="M17" i="2"/>
  <c r="L13" i="2"/>
  <c r="L12" i="2"/>
  <c r="L10" i="2"/>
  <c r="L11" i="2"/>
  <c r="L16" i="2"/>
  <c r="L14" i="2"/>
  <c r="L15" i="2"/>
  <c r="M12" i="2"/>
  <c r="M13" i="2"/>
  <c r="N16" i="2"/>
  <c r="N14" i="2"/>
  <c r="N15" i="2"/>
  <c r="M16" i="2"/>
  <c r="M14" i="2"/>
  <c r="M15" i="2"/>
  <c r="N12" i="2"/>
  <c r="N13" i="2"/>
  <c r="N10" i="2"/>
  <c r="N11" i="2"/>
  <c r="M10" i="2"/>
  <c r="M11" i="2"/>
  <c r="C3" i="2" l="1"/>
  <c r="D3" i="2" s="1"/>
  <c r="C33" i="2"/>
  <c r="B36" i="2"/>
  <c r="H37" i="2"/>
  <c r="F38" i="2"/>
  <c r="B34" i="2"/>
  <c r="C34" i="2"/>
  <c r="B31" i="2"/>
  <c r="C31" i="2"/>
  <c r="C32" i="2"/>
  <c r="B32" i="2"/>
  <c r="B35" i="2"/>
  <c r="C35" i="2"/>
  <c r="L18" i="6"/>
  <c r="K18" i="6"/>
  <c r="L13" i="6"/>
  <c r="K13" i="6"/>
  <c r="K12" i="6"/>
  <c r="E20" i="6"/>
  <c r="C20" i="6" s="1"/>
  <c r="C19" i="6"/>
  <c r="F13" i="6"/>
  <c r="D13" i="6" s="1"/>
  <c r="D12" i="6"/>
  <c r="M12" i="6" s="1"/>
  <c r="P12" i="6" s="1"/>
  <c r="R12" i="6" s="1"/>
  <c r="N18" i="6"/>
  <c r="N21" i="6"/>
  <c r="O17" i="6"/>
  <c r="F18" i="6"/>
  <c r="D18" i="6" s="1"/>
  <c r="F21" i="6"/>
  <c r="D21" i="6" s="1"/>
  <c r="M16" i="6"/>
  <c r="P16" i="6" s="1"/>
  <c r="R16" i="6" s="1"/>
  <c r="L17" i="6"/>
  <c r="K17" i="6"/>
  <c r="E22" i="6"/>
  <c r="C21" i="6"/>
  <c r="B29" i="2"/>
  <c r="C29" i="2"/>
  <c r="B30" i="2"/>
  <c r="C30" i="2"/>
  <c r="G19" i="2"/>
  <c r="H18" i="2"/>
  <c r="G21" i="2"/>
  <c r="H21" i="2"/>
  <c r="G20" i="2"/>
  <c r="H10" i="2"/>
  <c r="H17" i="2"/>
  <c r="G13" i="2"/>
  <c r="G12" i="2"/>
  <c r="H13" i="2"/>
  <c r="G11" i="2"/>
  <c r="H14" i="2"/>
  <c r="G15" i="2"/>
  <c r="G17" i="2"/>
  <c r="E44" i="2"/>
  <c r="F44" i="2" s="1"/>
  <c r="G16" i="2"/>
  <c r="H38" i="2" l="1"/>
  <c r="C38" i="2" s="1"/>
  <c r="F39" i="2"/>
  <c r="C37" i="2"/>
  <c r="B37" i="2"/>
  <c r="K20" i="6"/>
  <c r="L20" i="6"/>
  <c r="K19" i="6"/>
  <c r="L19" i="6"/>
  <c r="M13" i="6"/>
  <c r="P13" i="6" s="1"/>
  <c r="R13" i="6" s="1"/>
  <c r="O21" i="6"/>
  <c r="N22" i="6"/>
  <c r="N19" i="6"/>
  <c r="O18" i="6"/>
  <c r="F19" i="6"/>
  <c r="M18" i="6"/>
  <c r="M17" i="6"/>
  <c r="P17" i="6" s="1"/>
  <c r="R17" i="6" s="1"/>
  <c r="F22" i="6"/>
  <c r="D22" i="6" s="1"/>
  <c r="E23" i="6"/>
  <c r="C22" i="6"/>
  <c r="L21" i="6"/>
  <c r="K21" i="6"/>
  <c r="B20" i="2"/>
  <c r="C20" i="2"/>
  <c r="C19" i="2"/>
  <c r="B19" i="2"/>
  <c r="C18" i="2"/>
  <c r="B18" i="2"/>
  <c r="B21" i="2"/>
  <c r="C21" i="2"/>
  <c r="B10" i="2"/>
  <c r="C10" i="2"/>
  <c r="C11" i="2"/>
  <c r="B11" i="2"/>
  <c r="B13" i="2"/>
  <c r="C13" i="2"/>
  <c r="B12" i="2"/>
  <c r="C12" i="2"/>
  <c r="B17" i="2"/>
  <c r="C17" i="2"/>
  <c r="C14" i="2"/>
  <c r="B14" i="2"/>
  <c r="C16" i="2"/>
  <c r="B16" i="2"/>
  <c r="E45" i="2"/>
  <c r="F45" i="2" s="1"/>
  <c r="B15" i="2"/>
  <c r="C15" i="2"/>
  <c r="B38" i="2" l="1"/>
  <c r="F40" i="2"/>
  <c r="H40" i="2" s="1"/>
  <c r="G39" i="2"/>
  <c r="F20" i="6"/>
  <c r="D20" i="6" s="1"/>
  <c r="M20" i="6" s="1"/>
  <c r="D19" i="6"/>
  <c r="M19" i="6" s="1"/>
  <c r="N23" i="6"/>
  <c r="O23" i="6" s="1"/>
  <c r="O22" i="6"/>
  <c r="N20" i="6"/>
  <c r="O20" i="6" s="1"/>
  <c r="O19" i="6"/>
  <c r="P18" i="6"/>
  <c r="R18" i="6" s="1"/>
  <c r="F23" i="6"/>
  <c r="D23" i="6" s="1"/>
  <c r="M21" i="6"/>
  <c r="P21" i="6" s="1"/>
  <c r="R21" i="6" s="1"/>
  <c r="L22" i="6"/>
  <c r="K22" i="6"/>
  <c r="E24" i="6"/>
  <c r="C23" i="6"/>
  <c r="B39" i="2" l="1"/>
  <c r="C39" i="2"/>
  <c r="B40" i="2"/>
  <c r="C40" i="2"/>
  <c r="P19" i="6"/>
  <c r="R19" i="6" s="1"/>
  <c r="C24" i="6"/>
  <c r="K24" i="6" s="1"/>
  <c r="E25" i="6"/>
  <c r="P20" i="6"/>
  <c r="R20" i="6" s="1"/>
  <c r="N24" i="6"/>
  <c r="O24" i="6" s="1"/>
  <c r="F24" i="6"/>
  <c r="D24" i="6" s="1"/>
  <c r="M22" i="6"/>
  <c r="P22" i="6" s="1"/>
  <c r="R22" i="6" s="1"/>
  <c r="L23" i="6"/>
  <c r="M23" i="6" s="1"/>
  <c r="K23" i="6"/>
  <c r="L24" i="6" l="1"/>
  <c r="M24" i="6" s="1"/>
  <c r="E26" i="6"/>
  <c r="C25" i="6"/>
  <c r="N25" i="6"/>
  <c r="O25" i="6" s="1"/>
  <c r="P23" i="6"/>
  <c r="R23" i="6" s="1"/>
  <c r="F25" i="6"/>
  <c r="D25" i="6" s="1"/>
  <c r="C26" i="6" l="1"/>
  <c r="E27" i="6"/>
  <c r="C27" i="6" s="1"/>
  <c r="K25" i="6"/>
  <c r="L25" i="6"/>
  <c r="M25" i="6" s="1"/>
  <c r="N26" i="6"/>
  <c r="O26" i="6" s="1"/>
  <c r="P24" i="6"/>
  <c r="R24" i="6" s="1"/>
  <c r="F26" i="6"/>
  <c r="L27" i="6" l="1"/>
  <c r="K27" i="6"/>
  <c r="L26" i="6"/>
  <c r="K26" i="6"/>
  <c r="F27" i="6"/>
  <c r="D27" i="6" s="1"/>
  <c r="D26" i="6"/>
  <c r="N27" i="6"/>
  <c r="O27" i="6" s="1"/>
  <c r="P25" i="6"/>
  <c r="R25" i="6" s="1"/>
  <c r="M26" i="6" l="1"/>
  <c r="P26" i="6"/>
  <c r="R26" i="6" s="1"/>
  <c r="M27" i="6"/>
  <c r="P27" i="6" s="1"/>
  <c r="R27" i="6" s="1"/>
</calcChain>
</file>

<file path=xl/sharedStrings.xml><?xml version="1.0" encoding="utf-8"?>
<sst xmlns="http://schemas.openxmlformats.org/spreadsheetml/2006/main" count="3376" uniqueCount="327">
  <si>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</si>
  <si>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</si>
  <si>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</si>
  <si>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</si>
  <si>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</si>
  <si>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</si>
  <si>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</si>
  <si>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</si>
  <si>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</si>
  <si>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</si>
  <si>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</si>
  <si>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</si>
  <si>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</si>
  <si>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</si>
  <si>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</si>
  <si>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</si>
  <si>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</si>
  <si>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</si>
  <si>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</si>
  <si>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</si>
  <si>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</si>
  <si>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</si>
  <si>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</si>
  <si>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</si>
  <si>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</si>
  <si>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</si>
  <si>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</si>
  <si>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</si>
  <si>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</si>
  <si>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</si>
  <si>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</si>
  <si>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</si>
  <si>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</si>
  <si>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</si>
  <si>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</si>
  <si>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</si>
  <si>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</si>
  <si>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</si>
  <si>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</si>
  <si>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</si>
  <si>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</si>
  <si>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</si>
  <si>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</si>
  <si>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</si>
  <si>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</si>
  <si>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</si>
  <si>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</si>
  <si>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</si>
  <si>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</si>
  <si>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</si>
  <si>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</si>
  <si>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</si>
  <si>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</si>
  <si>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</si>
  <si>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</si>
  <si>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</si>
  <si>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</si>
  <si>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</si>
  <si>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</si>
  <si>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</si>
  <si>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</si>
  <si>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</si>
  <si>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</si>
  <si>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</si>
  <si>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</si>
  <si>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</si>
  <si>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</si>
  <si>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</si>
  <si>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</si>
  <si>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</si>
  <si>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</si>
  <si>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</si>
  <si>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</si>
  <si>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</si>
  <si>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</si>
  <si>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</si>
  <si>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</si>
  <si>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</si>
  <si>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</si>
  <si>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</si>
  <si>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</si>
  <si>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</si>
  <si>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</si>
  <si>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</si>
  <si>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</si>
  <si>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</si>
  <si>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</si>
  <si>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</si>
  <si>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</si>
  <si>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</si>
  <si>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</si>
  <si>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</si>
  <si>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</si>
  <si>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</si>
  <si>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</si>
  <si>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</si>
  <si>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</si>
  <si>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</si>
  <si>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</si>
  <si>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</si>
  <si>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</si>
  <si>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</si>
  <si>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</si>
  <si>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</si>
  <si>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</si>
  <si>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</si>
  <si>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</si>
  <si>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</si>
  <si>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</si>
  <si>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</si>
  <si>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</si>
  <si>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</si>
  <si>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</si>
  <si>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</si>
  <si>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</si>
  <si>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</si>
  <si>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</si>
  <si>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</si>
  <si>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</si>
  <si>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</si>
  <si>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</si>
  <si>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</si>
  <si>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</si>
  <si>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</si>
  <si>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</si>
  <si>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</si>
  <si>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</si>
  <si>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</si>
  <si>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</si>
  <si>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</si>
  <si>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</si>
  <si>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</si>
  <si>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</si>
  <si>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</si>
  <si>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</si>
  <si>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</si>
  <si>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</si>
  <si>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</si>
  <si>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</si>
  <si>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</si>
  <si>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</si>
  <si>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</si>
  <si>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</si>
  <si>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</si>
  <si>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</si>
  <si>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</si>
  <si>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</si>
  <si>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</si>
  <si>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</si>
  <si>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</si>
  <si>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</si>
  <si>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</si>
  <si>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</si>
  <si>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</si>
  <si>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</si>
  <si>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proc succ</t>
  </si>
  <si>
    <t>proc gain</t>
  </si>
  <si>
    <t>HoLight</t>
  </si>
  <si>
    <t>SD(sala)</t>
  </si>
  <si>
    <t>Evolve</t>
  </si>
  <si>
    <t>SummStone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</si>
  <si>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</si>
  <si>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</si>
  <si>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</si>
  <si>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</si>
  <si>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</si>
  <si>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</si>
  <si>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</si>
  <si>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</si>
  <si>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</si>
  <si>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</si>
  <si>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</si>
  <si>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</si>
  <si>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</si>
  <si>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</si>
  <si>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</si>
  <si>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</si>
  <si>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</si>
  <si>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</si>
  <si>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</si>
  <si>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</si>
  <si>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</si>
  <si>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</si>
  <si>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</si>
  <si>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</si>
  <si>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</si>
  <si>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</si>
  <si>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</si>
  <si>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</si>
  <si>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</si>
  <si>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</si>
  <si>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</si>
  <si>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</si>
  <si>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</si>
  <si>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</si>
  <si>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</si>
  <si>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</si>
  <si>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</si>
  <si>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</si>
  <si>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</si>
  <si>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</si>
  <si>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</si>
  <si>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</si>
  <si>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</si>
  <si>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</si>
  <si>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</si>
  <si>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</si>
  <si>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</si>
  <si>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</si>
  <si>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</si>
  <si>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</si>
  <si>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</si>
  <si>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</si>
  <si>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</si>
  <si>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</si>
  <si>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</si>
  <si>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</si>
  <si>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</si>
  <si>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</si>
  <si>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</si>
  <si>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</si>
  <si>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</si>
  <si>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</si>
  <si>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</si>
  <si>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</si>
  <si>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</si>
  <si>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</si>
  <si>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</si>
  <si>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SD(Bearman)</t>
  </si>
  <si>
    <t>Angelmon</t>
  </si>
  <si>
    <t>HoWater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</si>
  <si>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</si>
  <si>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</si>
  <si>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</si>
  <si>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</si>
  <si>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</si>
  <si>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</si>
  <si>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</si>
  <si>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</si>
  <si>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</si>
  <si>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</si>
  <si>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</si>
  <si>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</si>
  <si>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</si>
  <si>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</si>
  <si>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</si>
  <si>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</si>
  <si>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</si>
  <si>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</si>
  <si>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</si>
  <si>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</si>
  <si>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</si>
  <si>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</si>
  <si>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</si>
  <si>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</si>
  <si>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</si>
  <si>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</si>
  <si>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</si>
  <si>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</si>
  <si>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</si>
  <si>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</si>
  <si>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</si>
  <si>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</si>
  <si>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</si>
  <si>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</si>
  <si>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</si>
  <si>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</si>
  <si>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</si>
  <si>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</si>
  <si>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</si>
  <si>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</si>
  <si>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</si>
  <si>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</si>
  <si>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</si>
  <si>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</si>
  <si>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</si>
  <si>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</si>
  <si>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</si>
  <si>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</si>
  <si>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</si>
  <si>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</si>
  <si>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</si>
  <si>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</si>
  <si>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</si>
  <si>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</si>
  <si>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</si>
  <si>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</si>
  <si>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</si>
  <si>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</si>
  <si>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</si>
  <si>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</si>
  <si>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</si>
  <si>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</si>
  <si>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</si>
  <si>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</si>
  <si>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</si>
  <si>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</si>
  <si>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</si>
  <si>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</si>
  <si>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</si>
  <si>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</si>
  <si>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</si>
  <si>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</si>
  <si>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</si>
  <si>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</si>
  <si>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</si>
  <si>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Myst.Scroll</t>
  </si>
  <si>
    <t>Pixie</t>
  </si>
  <si>
    <t>(Wiele elementów)</t>
  </si>
  <si>
    <t>low</t>
  </si>
  <si>
    <t>med.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</si>
  <si>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</si>
  <si>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</si>
  <si>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</si>
  <si>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</si>
  <si>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</si>
  <si>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</si>
  <si>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</si>
  <si>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</si>
  <si>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</si>
  <si>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Med.</t>
  </si>
  <si>
    <t>Energy cost</t>
  </si>
  <si>
    <t>Runs number to finish</t>
  </si>
  <si>
    <t>Total Energy Req</t>
  </si>
  <si>
    <t>Golem</t>
  </si>
  <si>
    <t>Serpent</t>
  </si>
  <si>
    <t>HoWind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</si>
</sst>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ny" xfId="0" builtinId="0"/>
  </cellStyles>
  <dxfs count="21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98.776630787041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4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unt="6">
        <m/>
        <s v="low"/>
        <s v="med."/>
        <s v="high"/>
        <s v="Hero"/>
        <s v="s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tring="0" containsBlank="1" containsNumber="1" containsInteger="1" minValue="0" maxValue="1377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66062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s v="2*"/>
    <x v="0"/>
    <n v="0"/>
    <n v="0"/>
    <n v="11500"/>
    <n v="1512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0"/>
    <n v="0"/>
    <n v="2000"/>
    <n v="0"/>
    <n v="0"/>
    <m/>
  </r>
  <r>
    <x v="0"/>
    <x v="0"/>
    <x v="1"/>
    <n v="1401"/>
    <n v="0"/>
    <s v="Fod"/>
    <s v="2*"/>
    <x v="0"/>
    <n v="0"/>
    <n v="0"/>
    <n v="11500"/>
    <n v="15120"/>
    <m/>
  </r>
  <r>
    <x v="0"/>
    <x v="0"/>
    <x v="1"/>
    <n v="1705"/>
    <n v="1"/>
    <s v="Scroll"/>
    <n v="1"/>
    <x v="0"/>
    <n v="0"/>
    <n v="2000"/>
    <n v="0"/>
    <n v="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s v="2*"/>
    <x v="0"/>
    <n v="0"/>
    <n v="0"/>
    <n v="11500"/>
    <n v="1512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s v="1*"/>
    <x v="0"/>
    <n v="0"/>
    <n v="0"/>
    <n v="0"/>
    <n v="0"/>
    <m/>
  </r>
  <r>
    <x v="0"/>
    <x v="0"/>
    <x v="1"/>
    <n v="1881"/>
    <n v="2"/>
    <s v="Scroll"/>
    <n v="1"/>
    <x v="0"/>
    <n v="0"/>
    <n v="2000"/>
    <n v="0"/>
    <n v="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s v="1*"/>
    <x v="0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0"/>
    <n v="0"/>
    <n v="2000"/>
    <n v="0"/>
    <n v="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0"/>
    <n v="0"/>
    <n v="2000"/>
    <n v="0"/>
    <n v="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0"/>
    <n v="0"/>
    <n v="2000"/>
    <n v="0"/>
    <n v="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0"/>
    <n v="0"/>
    <n v="2000"/>
    <n v="0"/>
    <n v="0"/>
    <m/>
  </r>
  <r>
    <x v="0"/>
    <x v="0"/>
    <x v="1"/>
    <n v="999"/>
    <n v="1"/>
    <s v="Scroll"/>
    <n v="1"/>
    <x v="0"/>
    <n v="0"/>
    <n v="2000"/>
    <n v="0"/>
    <n v="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0"/>
    <n v="0"/>
    <n v="4000"/>
    <n v="0"/>
    <n v="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0"/>
    <n v="0"/>
    <n v="2000"/>
    <n v="0"/>
    <n v="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0"/>
    <n v="0"/>
    <n v="2000"/>
    <n v="0"/>
    <n v="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0"/>
    <n v="0"/>
    <n v="2000"/>
    <n v="0"/>
    <n v="0"/>
    <m/>
  </r>
  <r>
    <x v="1"/>
    <x v="0"/>
    <x v="0"/>
    <n v="1618"/>
    <n v="1"/>
    <s v="Scroll"/>
    <n v="1"/>
    <x v="0"/>
    <n v="0"/>
    <n v="2000"/>
    <n v="0"/>
    <n v="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0"/>
    <n v="0"/>
    <n v="2000"/>
    <n v="0"/>
    <n v="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0"/>
    <n v="0"/>
    <n v="2000"/>
    <n v="0"/>
    <n v="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s v="2*"/>
    <x v="0"/>
    <n v="0"/>
    <n v="0"/>
    <n v="11500"/>
    <n v="1512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s v="2*"/>
    <x v="0"/>
    <n v="0"/>
    <n v="0"/>
    <n v="11500"/>
    <n v="1512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0"/>
    <n v="0"/>
    <n v="4000"/>
    <n v="0"/>
    <n v="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0"/>
    <n v="0"/>
    <n v="2000"/>
    <n v="0"/>
    <n v="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0"/>
    <n v="0"/>
    <n v="4000"/>
    <n v="0"/>
    <n v="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0"/>
    <n v="0"/>
    <n v="4000"/>
    <n v="0"/>
    <n v="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0"/>
    <n v="0"/>
    <n v="4000"/>
    <n v="0"/>
    <n v="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0"/>
    <n v="0"/>
    <n v="4000"/>
    <n v="0"/>
    <n v="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0"/>
    <n v="0"/>
    <n v="4000"/>
    <n v="0"/>
    <n v="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0"/>
    <n v="0"/>
    <n v="4000"/>
    <n v="0"/>
    <n v="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0"/>
    <n v="0"/>
    <n v="2000"/>
    <n v="0"/>
    <n v="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0"/>
    <n v="0"/>
    <n v="2000"/>
    <n v="0"/>
    <n v="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0"/>
    <n v="0"/>
    <n v="2000"/>
    <n v="0"/>
    <n v="0"/>
    <m/>
  </r>
  <r>
    <x v="0"/>
    <x v="1"/>
    <x v="1"/>
    <n v="961"/>
    <n v="0"/>
    <m/>
    <m/>
    <x v="0"/>
    <n v="1159"/>
    <n v="1159"/>
    <n v="0"/>
    <n v="0"/>
    <m/>
  </r>
  <r>
    <x v="2"/>
    <x v="2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1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0"/>
    <n v="0"/>
    <n v="4000"/>
    <n v="0"/>
    <n v="0"/>
    <m/>
  </r>
  <r>
    <x v="0"/>
    <x v="1"/>
    <x v="1"/>
    <n v="621"/>
    <n v="1"/>
    <s v="Scroll"/>
    <n v="2"/>
    <x v="0"/>
    <n v="0"/>
    <n v="4000"/>
    <n v="0"/>
    <n v="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s v="2*"/>
    <x v="0"/>
    <n v="0"/>
    <n v="0"/>
    <n v="11500"/>
    <n v="15120"/>
    <m/>
  </r>
  <r>
    <x v="0"/>
    <x v="1"/>
    <x v="1"/>
    <n v="1295"/>
    <n v="0"/>
    <s v="Scroll"/>
    <n v="2"/>
    <x v="0"/>
    <n v="0"/>
    <n v="4000"/>
    <n v="0"/>
    <n v="0"/>
    <m/>
  </r>
  <r>
    <x v="0"/>
    <x v="1"/>
    <x v="1"/>
    <n v="2244"/>
    <n v="2"/>
    <s v="Rainb"/>
    <s v="2*"/>
    <x v="0"/>
    <n v="0"/>
    <n v="0"/>
    <n v="11500"/>
    <n v="66062"/>
    <m/>
  </r>
  <r>
    <x v="0"/>
    <x v="1"/>
    <x v="1"/>
    <n v="1719"/>
    <n v="1"/>
    <s v="Fod"/>
    <s v="1*"/>
    <x v="0"/>
    <n v="0"/>
    <n v="0"/>
    <n v="0"/>
    <n v="0"/>
    <m/>
  </r>
  <r>
    <x v="1"/>
    <x v="0"/>
    <x v="0"/>
    <n v="677"/>
    <n v="0"/>
    <s v="Fod"/>
    <s v="2*"/>
    <x v="0"/>
    <n v="0"/>
    <n v="0"/>
    <n v="11500"/>
    <n v="1512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0"/>
    <n v="0"/>
    <n v="2000"/>
    <n v="0"/>
    <n v="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s v="2*"/>
    <x v="0"/>
    <n v="0"/>
    <n v="0"/>
    <n v="11500"/>
    <n v="1512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0"/>
    <n v="0"/>
    <n v="2000"/>
    <n v="0"/>
    <n v="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0"/>
    <n v="0"/>
    <n v="2000"/>
    <n v="0"/>
    <n v="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0"/>
    <n v="0"/>
    <n v="2000"/>
    <n v="0"/>
    <n v="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0"/>
    <n v="0"/>
    <n v="2000"/>
    <n v="0"/>
    <n v="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0"/>
    <n v="0"/>
    <n v="2000"/>
    <n v="0"/>
    <n v="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0"/>
    <n v="0"/>
    <n v="2000"/>
    <n v="0"/>
    <n v="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0"/>
    <n v="0"/>
    <n v="2000"/>
    <n v="0"/>
    <n v="0"/>
    <m/>
  </r>
  <r>
    <x v="1"/>
    <x v="0"/>
    <x v="0"/>
    <n v="1954"/>
    <n v="1"/>
    <s v="Scroll"/>
    <n v="1"/>
    <x v="0"/>
    <n v="0"/>
    <n v="2000"/>
    <n v="0"/>
    <n v="0"/>
    <m/>
  </r>
  <r>
    <x v="1"/>
    <x v="0"/>
    <x v="0"/>
    <n v="1261"/>
    <n v="1"/>
    <s v="Scroll"/>
    <n v="1"/>
    <x v="0"/>
    <n v="0"/>
    <n v="2000"/>
    <n v="0"/>
    <n v="0"/>
    <m/>
  </r>
  <r>
    <x v="1"/>
    <x v="0"/>
    <x v="0"/>
    <n v="1559"/>
    <n v="1"/>
    <s v="Fod"/>
    <s v="2*"/>
    <x v="0"/>
    <n v="0"/>
    <n v="0"/>
    <n v="11500"/>
    <n v="1512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0"/>
    <n v="0"/>
    <n v="2000"/>
    <n v="0"/>
    <n v="0"/>
    <m/>
  </r>
  <r>
    <x v="1"/>
    <x v="0"/>
    <x v="0"/>
    <n v="1770"/>
    <n v="2"/>
    <s v="Scroll"/>
    <n v="1"/>
    <x v="0"/>
    <n v="0"/>
    <n v="2000"/>
    <n v="0"/>
    <n v="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0"/>
    <n v="0"/>
    <n v="2000"/>
    <n v="0"/>
    <n v="0"/>
    <m/>
  </r>
  <r>
    <x v="3"/>
    <x v="0"/>
    <x v="4"/>
    <n v="1346"/>
    <n v="1"/>
    <s v="Magic"/>
    <n v="2"/>
    <x v="1"/>
    <n v="0"/>
    <n v="0"/>
    <n v="0"/>
    <n v="0"/>
    <m/>
  </r>
  <r>
    <x v="3"/>
    <x v="0"/>
    <x v="4"/>
    <n v="1240"/>
    <n v="0"/>
    <s v="Scroll"/>
    <n v="2"/>
    <x v="0"/>
    <n v="0"/>
    <n v="4000"/>
    <n v="0"/>
    <n v="0"/>
    <m/>
  </r>
  <r>
    <x v="3"/>
    <x v="0"/>
    <x v="4"/>
    <n v="1238"/>
    <n v="0"/>
    <s v="Scroll"/>
    <n v="3"/>
    <x v="0"/>
    <n v="0"/>
    <n v="6000"/>
    <n v="0"/>
    <n v="0"/>
    <m/>
  </r>
  <r>
    <x v="3"/>
    <x v="0"/>
    <x v="4"/>
    <n v="1236"/>
    <n v="1"/>
    <s v="Scroll"/>
    <n v="2"/>
    <x v="0"/>
    <n v="0"/>
    <n v="4000"/>
    <n v="0"/>
    <n v="0"/>
    <m/>
  </r>
  <r>
    <x v="3"/>
    <x v="0"/>
    <x v="4"/>
    <n v="1365"/>
    <n v="1"/>
    <s v="Magic"/>
    <n v="1"/>
    <x v="2"/>
    <n v="0"/>
    <n v="0"/>
    <n v="0"/>
    <n v="0"/>
    <m/>
  </r>
  <r>
    <x v="3"/>
    <x v="0"/>
    <x v="4"/>
    <n v="1240"/>
    <n v="1"/>
    <s v="Scroll"/>
    <n v="3"/>
    <x v="0"/>
    <n v="0"/>
    <n v="6000"/>
    <n v="0"/>
    <n v="0"/>
    <m/>
  </r>
  <r>
    <x v="3"/>
    <x v="0"/>
    <x v="4"/>
    <n v="1209"/>
    <n v="1"/>
    <s v="Water"/>
    <n v="2"/>
    <x v="1"/>
    <n v="0"/>
    <n v="0"/>
    <n v="0"/>
    <n v="0"/>
    <m/>
  </r>
  <r>
    <x v="0"/>
    <x v="1"/>
    <x v="1"/>
    <n v="1206"/>
    <n v="0"/>
    <m/>
    <m/>
    <x v="0"/>
    <m/>
    <m/>
    <n v="0"/>
    <n v="0"/>
    <m/>
  </r>
  <r>
    <x v="4"/>
    <x v="3"/>
    <x v="5"/>
    <n v="1192"/>
    <n v="1"/>
    <s v="Rainb"/>
    <s v="2*"/>
    <x v="0"/>
    <n v="0"/>
    <n v="0"/>
    <n v="11500"/>
    <n v="6606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s v="2*"/>
    <x v="0"/>
    <n v="0"/>
    <n v="0"/>
    <n v="11500"/>
    <n v="15120"/>
    <m/>
  </r>
  <r>
    <x v="0"/>
    <x v="1"/>
    <x v="1"/>
    <n v="2224"/>
    <n v="2"/>
    <s v="Scroll"/>
    <n v="2"/>
    <x v="0"/>
    <n v="0"/>
    <n v="4000"/>
    <n v="0"/>
    <n v="0"/>
    <m/>
  </r>
  <r>
    <x v="0"/>
    <x v="1"/>
    <x v="1"/>
    <n v="1341"/>
    <n v="1"/>
    <s v="Fod"/>
    <s v="1*"/>
    <x v="0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0"/>
    <n v="0"/>
    <n v="4000"/>
    <n v="0"/>
    <n v="0"/>
    <m/>
  </r>
  <r>
    <x v="0"/>
    <x v="3"/>
    <x v="1"/>
    <n v="1597"/>
    <n v="1"/>
    <m/>
    <m/>
    <x v="0"/>
    <n v="2067"/>
    <n v="2067"/>
    <n v="0"/>
    <n v="0"/>
    <m/>
  </r>
  <r>
    <x v="0"/>
    <x v="3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0"/>
    <n v="0"/>
    <n v="2000"/>
    <n v="0"/>
    <n v="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0"/>
    <n v="0"/>
    <n v="2000"/>
    <n v="0"/>
    <n v="0"/>
    <m/>
  </r>
  <r>
    <x v="5"/>
    <x v="0"/>
    <x v="0"/>
    <n v="1156"/>
    <n v="0"/>
    <s v="Scroll"/>
    <n v="1"/>
    <x v="0"/>
    <n v="0"/>
    <n v="2000"/>
    <n v="0"/>
    <n v="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s v="2*"/>
    <x v="0"/>
    <n v="0"/>
    <n v="0"/>
    <n v="11500"/>
    <n v="15120"/>
    <m/>
  </r>
  <r>
    <x v="5"/>
    <x v="0"/>
    <x v="0"/>
    <n v="1291"/>
    <n v="1"/>
    <s v="Scroll"/>
    <n v="1"/>
    <x v="0"/>
    <n v="0"/>
    <n v="2000"/>
    <n v="0"/>
    <n v="0"/>
    <m/>
  </r>
  <r>
    <x v="5"/>
    <x v="0"/>
    <x v="0"/>
    <n v="1391"/>
    <n v="2"/>
    <s v="Fod"/>
    <s v="2*"/>
    <x v="0"/>
    <n v="0"/>
    <n v="0"/>
    <n v="11500"/>
    <n v="1512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0"/>
    <n v="0"/>
    <n v="2000"/>
    <n v="0"/>
    <n v="0"/>
    <m/>
  </r>
  <r>
    <x v="5"/>
    <x v="0"/>
    <x v="0"/>
    <n v="1376"/>
    <n v="1"/>
    <s v="Fod"/>
    <s v="2*"/>
    <x v="0"/>
    <n v="0"/>
    <n v="0"/>
    <n v="11500"/>
    <n v="1512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s v="2*"/>
    <x v="0"/>
    <n v="0"/>
    <n v="0"/>
    <n v="11500"/>
    <n v="15120"/>
    <m/>
  </r>
  <r>
    <x v="5"/>
    <x v="0"/>
    <x v="0"/>
    <n v="2414"/>
    <n v="0"/>
    <s v="Fod"/>
    <s v="2*"/>
    <x v="0"/>
    <n v="0"/>
    <n v="0"/>
    <n v="11500"/>
    <n v="15120"/>
    <m/>
  </r>
  <r>
    <x v="5"/>
    <x v="0"/>
    <x v="0"/>
    <n v="1779"/>
    <n v="1"/>
    <s v="Fod"/>
    <s v="2*"/>
    <x v="0"/>
    <n v="0"/>
    <n v="0"/>
    <n v="11500"/>
    <n v="1512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s v="2*"/>
    <x v="0"/>
    <n v="0"/>
    <n v="0"/>
    <n v="11500"/>
    <n v="1512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0"/>
    <n v="0"/>
    <n v="2000"/>
    <n v="0"/>
    <n v="0"/>
    <m/>
  </r>
  <r>
    <x v="5"/>
    <x v="0"/>
    <x v="0"/>
    <n v="1385"/>
    <n v="0"/>
    <s v="Scroll"/>
    <n v="1"/>
    <x v="0"/>
    <n v="0"/>
    <n v="2000"/>
    <n v="0"/>
    <n v="0"/>
    <m/>
  </r>
  <r>
    <x v="5"/>
    <x v="0"/>
    <x v="0"/>
    <n v="1562"/>
    <n v="1"/>
    <s v="Scroll"/>
    <n v="1"/>
    <x v="0"/>
    <n v="0"/>
    <n v="2000"/>
    <n v="0"/>
    <n v="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0"/>
    <n v="0"/>
    <n v="2000"/>
    <n v="0"/>
    <n v="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s v="2*"/>
    <x v="0"/>
    <n v="0"/>
    <n v="0"/>
    <n v="11500"/>
    <n v="1512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0"/>
    <n v="0"/>
    <n v="2000"/>
    <n v="0"/>
    <n v="0"/>
    <m/>
  </r>
  <r>
    <x v="5"/>
    <x v="0"/>
    <x v="0"/>
    <n v="1437"/>
    <n v="0"/>
    <s v="Scroll"/>
    <n v="1"/>
    <x v="0"/>
    <n v="0"/>
    <n v="2000"/>
    <n v="0"/>
    <n v="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0"/>
    <n v="0"/>
    <n v="2000"/>
    <n v="0"/>
    <n v="0"/>
    <m/>
  </r>
  <r>
    <x v="5"/>
    <x v="0"/>
    <x v="0"/>
    <n v="1913"/>
    <n v="1"/>
    <s v="Scroll"/>
    <n v="1"/>
    <x v="0"/>
    <n v="0"/>
    <n v="2000"/>
    <n v="0"/>
    <n v="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3"/>
    <x v="1"/>
    <n v="1484"/>
    <n v="2"/>
    <m/>
    <m/>
    <x v="0"/>
    <n v="1159"/>
    <n v="1159"/>
    <n v="0"/>
    <n v="0"/>
    <m/>
  </r>
  <r>
    <x v="0"/>
    <x v="3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0"/>
    <n v="0"/>
    <n v="2000"/>
    <n v="0"/>
    <n v="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0"/>
    <n v="0"/>
    <n v="2000"/>
    <n v="0"/>
    <n v="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0"/>
    <n v="0"/>
    <n v="2000"/>
    <n v="0"/>
    <n v="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0"/>
    <n v="0"/>
    <n v="2000"/>
    <n v="0"/>
    <n v="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0"/>
    <n v="0"/>
    <n v="2000"/>
    <n v="0"/>
    <n v="0"/>
    <m/>
  </r>
  <r>
    <x v="5"/>
    <x v="0"/>
    <x v="0"/>
    <n v="1054"/>
    <n v="0"/>
    <s v="Fod"/>
    <s v="2*"/>
    <x v="0"/>
    <n v="0"/>
    <n v="0"/>
    <n v="11500"/>
    <n v="1512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0"/>
    <n v="0"/>
    <n v="2000"/>
    <n v="0"/>
    <n v="0"/>
    <m/>
  </r>
  <r>
    <x v="3"/>
    <x v="0"/>
    <x v="3"/>
    <n v="1500"/>
    <n v="0"/>
    <s v="Magic"/>
    <n v="4"/>
    <x v="1"/>
    <n v="0"/>
    <n v="0"/>
    <n v="0"/>
    <n v="0"/>
    <m/>
  </r>
  <r>
    <x v="6"/>
    <x v="0"/>
    <x v="3"/>
    <n v="1500"/>
    <n v="0"/>
    <s v="Light"/>
    <n v="3"/>
    <x v="1"/>
    <n v="0"/>
    <n v="0"/>
    <n v="0"/>
    <n v="0"/>
    <m/>
  </r>
  <r>
    <x v="6"/>
    <x v="0"/>
    <x v="3"/>
    <n v="1782"/>
    <n v="0"/>
    <s v="Light"/>
    <n v="2"/>
    <x v="1"/>
    <n v="0"/>
    <n v="0"/>
    <n v="0"/>
    <n v="0"/>
    <m/>
  </r>
  <r>
    <x v="6"/>
    <x v="0"/>
    <x v="3"/>
    <n v="1666"/>
    <n v="1"/>
    <s v="Light"/>
    <n v="1"/>
    <x v="2"/>
    <n v="0"/>
    <n v="0"/>
    <n v="0"/>
    <n v="0"/>
    <m/>
  </r>
  <r>
    <x v="6"/>
    <x v="0"/>
    <x v="3"/>
    <n v="1556"/>
    <n v="0"/>
    <s v="Light"/>
    <n v="2"/>
    <x v="1"/>
    <n v="0"/>
    <n v="0"/>
    <n v="0"/>
    <n v="0"/>
    <m/>
  </r>
  <r>
    <x v="6"/>
    <x v="0"/>
    <x v="3"/>
    <n v="2860"/>
    <n v="0"/>
    <s v="Light"/>
    <n v="1"/>
    <x v="2"/>
    <n v="0"/>
    <n v="0"/>
    <n v="0"/>
    <n v="0"/>
    <m/>
  </r>
  <r>
    <x v="6"/>
    <x v="0"/>
    <x v="3"/>
    <n v="2986"/>
    <n v="0"/>
    <s v="Light"/>
    <n v="2"/>
    <x v="1"/>
    <n v="0"/>
    <n v="0"/>
    <n v="0"/>
    <n v="0"/>
    <m/>
  </r>
  <r>
    <x v="6"/>
    <x v="0"/>
    <x v="3"/>
    <n v="3172"/>
    <n v="1"/>
    <s v="SD(sala)"/>
    <s v="2*"/>
    <x v="0"/>
    <n v="0"/>
    <n v="0"/>
    <n v="0"/>
    <n v="0"/>
    <m/>
  </r>
  <r>
    <x v="6"/>
    <x v="0"/>
    <x v="3"/>
    <n v="1420"/>
    <n v="0"/>
    <s v="Light"/>
    <n v="2"/>
    <x v="2"/>
    <n v="0"/>
    <n v="0"/>
    <n v="0"/>
    <n v="0"/>
    <m/>
  </r>
  <r>
    <x v="6"/>
    <x v="0"/>
    <x v="3"/>
    <n v="1352"/>
    <n v="0"/>
    <s v="Light"/>
    <n v="1"/>
    <x v="2"/>
    <n v="0"/>
    <n v="0"/>
    <n v="0"/>
    <n v="0"/>
    <m/>
  </r>
  <r>
    <x v="6"/>
    <x v="0"/>
    <x v="3"/>
    <n v="1362"/>
    <n v="0"/>
    <s v="Scroll"/>
    <n v="4"/>
    <x v="0"/>
    <n v="0"/>
    <n v="8000"/>
    <n v="0"/>
    <n v="0"/>
    <m/>
  </r>
  <r>
    <x v="6"/>
    <x v="0"/>
    <x v="3"/>
    <n v="1428"/>
    <n v="1"/>
    <s v="SummStone"/>
    <n v="3"/>
    <x v="0"/>
    <n v="0"/>
    <n v="0"/>
    <n v="0"/>
    <n v="0"/>
    <m/>
  </r>
  <r>
    <x v="6"/>
    <x v="0"/>
    <x v="3"/>
    <n v="1500"/>
    <n v="4"/>
    <s v="Scroll"/>
    <n v="2"/>
    <x v="0"/>
    <n v="0"/>
    <n v="4000"/>
    <n v="0"/>
    <n v="0"/>
    <m/>
  </r>
  <r>
    <x v="6"/>
    <x v="0"/>
    <x v="3"/>
    <n v="1559"/>
    <n v="0"/>
    <s v="Light"/>
    <n v="1"/>
    <x v="2"/>
    <n v="0"/>
    <n v="0"/>
    <n v="0"/>
    <n v="0"/>
    <m/>
  </r>
  <r>
    <x v="6"/>
    <x v="0"/>
    <x v="3"/>
    <n v="1600"/>
    <n v="0"/>
    <s v="Light"/>
    <n v="3"/>
    <x v="2"/>
    <n v="0"/>
    <n v="0"/>
    <n v="0"/>
    <n v="0"/>
    <m/>
  </r>
  <r>
    <x v="6"/>
    <x v="0"/>
    <x v="3"/>
    <n v="1480"/>
    <n v="1"/>
    <s v="Scroll"/>
    <n v="2"/>
    <x v="0"/>
    <n v="0"/>
    <n v="4000"/>
    <n v="0"/>
    <n v="0"/>
    <m/>
  </r>
  <r>
    <x v="6"/>
    <x v="0"/>
    <x v="3"/>
    <n v="1389"/>
    <n v="0"/>
    <s v="Light"/>
    <n v="4"/>
    <x v="1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s v="2*"/>
    <x v="0"/>
    <n v="0"/>
    <n v="0"/>
    <n v="11500"/>
    <n v="1512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0"/>
    <n v="0"/>
    <n v="4000"/>
    <n v="0"/>
    <n v="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s v="3*"/>
    <x v="0"/>
    <n v="0"/>
    <n v="0"/>
    <n v="34500"/>
    <n v="6606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s v="2*"/>
    <x v="0"/>
    <n v="0"/>
    <n v="0"/>
    <n v="11500"/>
    <n v="6606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0"/>
    <n v="0"/>
    <n v="4000"/>
    <n v="0"/>
    <n v="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0"/>
    <n v="0"/>
    <n v="4000"/>
    <n v="0"/>
    <n v="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0"/>
    <n v="0"/>
    <n v="4000"/>
    <n v="0"/>
    <n v="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s v="2*"/>
    <x v="0"/>
    <n v="0"/>
    <n v="0"/>
    <n v="11500"/>
    <n v="15120"/>
    <m/>
  </r>
  <r>
    <x v="1"/>
    <x v="1"/>
    <x v="0"/>
    <n v="2502"/>
    <n v="2"/>
    <s v="Fod"/>
    <s v="2*"/>
    <x v="0"/>
    <n v="0"/>
    <n v="0"/>
    <n v="11500"/>
    <n v="1512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7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2"/>
    <n v="0"/>
    <n v="0"/>
    <n v="0"/>
    <n v="0"/>
    <m/>
  </r>
  <r>
    <x v="8"/>
    <x v="0"/>
    <x v="3"/>
    <n v="1000"/>
    <n v="0"/>
    <s v="Dark"/>
    <n v="5"/>
    <x v="1"/>
    <n v="0"/>
    <n v="0"/>
    <n v="0"/>
    <n v="0"/>
    <m/>
  </r>
  <r>
    <x v="0"/>
    <x v="3"/>
    <x v="1"/>
    <n v="1659"/>
    <n v="4"/>
    <m/>
    <m/>
    <x v="0"/>
    <n v="2067"/>
    <n v="2067"/>
    <n v="0"/>
    <n v="0"/>
    <m/>
  </r>
  <r>
    <x v="0"/>
    <x v="3"/>
    <x v="1"/>
    <n v="1881"/>
    <n v="1"/>
    <m/>
    <m/>
    <x v="0"/>
    <n v="1159"/>
    <n v="1159"/>
    <n v="0"/>
    <n v="0"/>
    <m/>
  </r>
  <r>
    <x v="0"/>
    <x v="3"/>
    <x v="1"/>
    <n v="2446"/>
    <n v="1"/>
    <m/>
    <m/>
    <x v="0"/>
    <n v="1159"/>
    <n v="1159"/>
    <n v="0"/>
    <n v="0"/>
    <m/>
  </r>
  <r>
    <x v="0"/>
    <x v="3"/>
    <x v="1"/>
    <n v="1899"/>
    <n v="0"/>
    <m/>
    <m/>
    <x v="0"/>
    <n v="1352"/>
    <n v="1352"/>
    <n v="0"/>
    <n v="0"/>
    <m/>
  </r>
  <r>
    <x v="0"/>
    <x v="3"/>
    <x v="1"/>
    <n v="1480"/>
    <n v="1"/>
    <m/>
    <m/>
    <x v="0"/>
    <n v="1159"/>
    <n v="1159"/>
    <n v="0"/>
    <n v="0"/>
    <m/>
  </r>
  <r>
    <x v="0"/>
    <x v="3"/>
    <x v="1"/>
    <n v="1725"/>
    <n v="2"/>
    <m/>
    <m/>
    <x v="0"/>
    <n v="1159"/>
    <n v="1159"/>
    <n v="0"/>
    <n v="0"/>
    <m/>
  </r>
  <r>
    <x v="0"/>
    <x v="3"/>
    <x v="1"/>
    <n v="1343"/>
    <n v="0"/>
    <s v="Scroll"/>
    <n v="3"/>
    <x v="0"/>
    <n v="0"/>
    <n v="6000"/>
    <n v="0"/>
    <n v="0"/>
    <m/>
  </r>
  <r>
    <x v="0"/>
    <x v="3"/>
    <x v="1"/>
    <n v="2733"/>
    <n v="0"/>
    <m/>
    <m/>
    <x v="0"/>
    <n v="1159"/>
    <n v="1159"/>
    <n v="0"/>
    <n v="0"/>
    <m/>
  </r>
  <r>
    <x v="0"/>
    <x v="3"/>
    <x v="1"/>
    <n v="2196"/>
    <n v="0"/>
    <m/>
    <m/>
    <x v="0"/>
    <n v="1159"/>
    <n v="1159"/>
    <n v="0"/>
    <n v="0"/>
    <m/>
  </r>
  <r>
    <x v="0"/>
    <x v="3"/>
    <x v="1"/>
    <n v="1326"/>
    <n v="0"/>
    <m/>
    <m/>
    <x v="0"/>
    <n v="1159"/>
    <n v="1159"/>
    <n v="0"/>
    <n v="0"/>
    <m/>
  </r>
  <r>
    <x v="0"/>
    <x v="3"/>
    <x v="1"/>
    <n v="2012"/>
    <n v="0"/>
    <s v="SweetCookie"/>
    <m/>
    <x v="0"/>
    <n v="0"/>
    <n v="0"/>
    <n v="0"/>
    <n v="0"/>
    <m/>
  </r>
  <r>
    <x v="0"/>
    <x v="3"/>
    <x v="1"/>
    <n v="1970"/>
    <n v="1"/>
    <m/>
    <m/>
    <x v="0"/>
    <n v="1546"/>
    <n v="1546"/>
    <n v="0"/>
    <n v="0"/>
    <m/>
  </r>
  <r>
    <x v="0"/>
    <x v="3"/>
    <x v="1"/>
    <n v="779"/>
    <n v="1"/>
    <s v="Scroll"/>
    <n v="3"/>
    <x v="0"/>
    <n v="0"/>
    <n v="6000"/>
    <n v="0"/>
    <n v="0"/>
    <m/>
  </r>
  <r>
    <x v="0"/>
    <x v="3"/>
    <x v="1"/>
    <n v="2074"/>
    <n v="1"/>
    <m/>
    <m/>
    <x v="0"/>
    <n v="1159"/>
    <n v="1159"/>
    <n v="0"/>
    <n v="0"/>
    <m/>
  </r>
  <r>
    <x v="0"/>
    <x v="3"/>
    <x v="1"/>
    <n v="1672"/>
    <n v="0"/>
    <m/>
    <m/>
    <x v="0"/>
    <n v="1159"/>
    <n v="1159"/>
    <n v="0"/>
    <n v="0"/>
    <m/>
  </r>
  <r>
    <x v="0"/>
    <x v="3"/>
    <x v="1"/>
    <n v="823"/>
    <n v="0"/>
    <m/>
    <m/>
    <x v="0"/>
    <n v="1159"/>
    <n v="1159"/>
    <n v="0"/>
    <n v="0"/>
    <m/>
  </r>
  <r>
    <x v="0"/>
    <x v="3"/>
    <x v="1"/>
    <n v="1454"/>
    <n v="3"/>
    <m/>
    <m/>
    <x v="0"/>
    <n v="1159"/>
    <n v="1159"/>
    <n v="0"/>
    <n v="0"/>
    <m/>
  </r>
  <r>
    <x v="0"/>
    <x v="3"/>
    <x v="1"/>
    <n v="1264"/>
    <n v="2"/>
    <s v="Scroll"/>
    <n v="3"/>
    <x v="0"/>
    <n v="0"/>
    <n v="6000"/>
    <n v="0"/>
    <n v="0"/>
    <m/>
  </r>
  <r>
    <x v="0"/>
    <x v="3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0"/>
    <n v="0"/>
    <n v="4000"/>
    <n v="0"/>
    <n v="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m/>
    <x v="0"/>
    <n v="0"/>
    <n v="0"/>
    <n v="0"/>
    <n v="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7"/>
    <x v="0"/>
    <x v="3"/>
    <n v="2351"/>
    <n v="2"/>
    <m/>
    <m/>
    <x v="0"/>
    <n v="3100"/>
    <n v="3100"/>
    <n v="0"/>
    <n v="0"/>
    <m/>
  </r>
  <r>
    <x v="7"/>
    <x v="0"/>
    <x v="3"/>
    <n v="2200"/>
    <n v="4"/>
    <m/>
    <m/>
    <x v="0"/>
    <n v="1300"/>
    <n v="1300"/>
    <n v="0"/>
    <n v="0"/>
    <m/>
  </r>
  <r>
    <x v="7"/>
    <x v="0"/>
    <x v="3"/>
    <n v="1737"/>
    <n v="2"/>
    <m/>
    <m/>
    <x v="0"/>
    <n v="1649"/>
    <n v="1649"/>
    <n v="0"/>
    <n v="0"/>
    <m/>
  </r>
  <r>
    <x v="7"/>
    <x v="0"/>
    <x v="3"/>
    <n v="2547"/>
    <n v="2"/>
    <s v="SweetCookie"/>
    <m/>
    <x v="0"/>
    <n v="0"/>
    <n v="0"/>
    <n v="0"/>
    <n v="0"/>
    <m/>
  </r>
  <r>
    <x v="7"/>
    <x v="0"/>
    <x v="3"/>
    <n v="2230"/>
    <n v="2"/>
    <s v="Scroll"/>
    <n v="2"/>
    <x v="0"/>
    <n v="0"/>
    <n v="4000"/>
    <n v="0"/>
    <n v="0"/>
    <m/>
  </r>
  <r>
    <x v="7"/>
    <x v="0"/>
    <x v="3"/>
    <n v="2500"/>
    <n v="2"/>
    <s v="Scroll"/>
    <n v="3"/>
    <x v="0"/>
    <n v="0"/>
    <n v="6000"/>
    <n v="0"/>
    <n v="0"/>
    <m/>
  </r>
  <r>
    <x v="7"/>
    <x v="0"/>
    <x v="3"/>
    <n v="2677"/>
    <n v="1"/>
    <m/>
    <m/>
    <x v="0"/>
    <n v="8882"/>
    <n v="8882"/>
    <n v="0"/>
    <n v="0"/>
    <m/>
  </r>
  <r>
    <x v="7"/>
    <x v="0"/>
    <x v="3"/>
    <n v="2500"/>
    <n v="1"/>
    <m/>
    <m/>
    <x v="0"/>
    <n v="4134"/>
    <n v="4134"/>
    <n v="0"/>
    <n v="0"/>
    <m/>
  </r>
  <r>
    <x v="7"/>
    <x v="0"/>
    <x v="3"/>
    <n v="2751"/>
    <n v="0"/>
    <m/>
    <m/>
    <x v="0"/>
    <n v="6615"/>
    <n v="6615"/>
    <n v="0"/>
    <n v="0"/>
    <m/>
  </r>
  <r>
    <x v="7"/>
    <x v="0"/>
    <x v="3"/>
    <n v="2004"/>
    <n v="2"/>
    <m/>
    <m/>
    <x v="0"/>
    <n v="13770"/>
    <n v="13770"/>
    <n v="0"/>
    <n v="0"/>
    <m/>
  </r>
  <r>
    <x v="7"/>
    <x v="0"/>
    <x v="3"/>
    <n v="1787"/>
    <n v="3"/>
    <m/>
    <m/>
    <x v="0"/>
    <n v="4134"/>
    <n v="4134"/>
    <n v="0"/>
    <n v="0"/>
    <m/>
  </r>
  <r>
    <x v="7"/>
    <x v="0"/>
    <x v="3"/>
    <n v="2747"/>
    <n v="1"/>
    <m/>
    <m/>
    <x v="0"/>
    <n v="3720"/>
    <n v="3720"/>
    <n v="0"/>
    <n v="0"/>
    <m/>
  </r>
  <r>
    <x v="7"/>
    <x v="0"/>
    <x v="3"/>
    <n v="2105"/>
    <n v="0"/>
    <s v="Scroll"/>
    <n v="3"/>
    <x v="0"/>
    <n v="0"/>
    <n v="6000"/>
    <n v="0"/>
    <n v="0"/>
    <m/>
  </r>
  <r>
    <x v="7"/>
    <x v="0"/>
    <x v="3"/>
    <n v="2230"/>
    <n v="2"/>
    <m/>
    <m/>
    <x v="0"/>
    <n v="2067"/>
    <n v="2067"/>
    <n v="0"/>
    <n v="0"/>
    <m/>
  </r>
  <r>
    <x v="7"/>
    <x v="0"/>
    <x v="3"/>
    <n v="2236"/>
    <n v="1"/>
    <s v="Scroll"/>
    <n v="4"/>
    <x v="0"/>
    <n v="0"/>
    <n v="8000"/>
    <n v="0"/>
    <n v="0"/>
    <m/>
  </r>
  <r>
    <x v="7"/>
    <x v="0"/>
    <x v="3"/>
    <n v="2339"/>
    <n v="3"/>
    <s v="Scroll"/>
    <n v="4"/>
    <x v="0"/>
    <n v="0"/>
    <n v="8000"/>
    <n v="0"/>
    <n v="0"/>
    <m/>
  </r>
  <r>
    <x v="0"/>
    <x v="3"/>
    <x v="1"/>
    <n v="1396"/>
    <n v="2"/>
    <m/>
    <m/>
    <x v="0"/>
    <n v="1159"/>
    <n v="1159"/>
    <n v="0"/>
    <n v="0"/>
    <m/>
  </r>
  <r>
    <x v="0"/>
    <x v="3"/>
    <x v="1"/>
    <n v="1382"/>
    <n v="1"/>
    <s v="Scroll"/>
    <n v="3"/>
    <x v="0"/>
    <n v="0"/>
    <n v="6000"/>
    <n v="0"/>
    <n v="0"/>
    <m/>
  </r>
  <r>
    <x v="0"/>
    <x v="3"/>
    <x v="1"/>
    <n v="823"/>
    <n v="1"/>
    <m/>
    <m/>
    <x v="0"/>
    <n v="1159"/>
    <n v="1159"/>
    <n v="0"/>
    <n v="0"/>
    <m/>
  </r>
  <r>
    <x v="0"/>
    <x v="3"/>
    <x v="1"/>
    <n v="1300"/>
    <n v="2"/>
    <m/>
    <m/>
    <x v="0"/>
    <n v="1159"/>
    <n v="1159"/>
    <n v="0"/>
    <n v="0"/>
    <m/>
  </r>
  <r>
    <x v="0"/>
    <x v="3"/>
    <x v="1"/>
    <n v="1617"/>
    <n v="0"/>
    <m/>
    <m/>
    <x v="0"/>
    <n v="1159"/>
    <n v="1159"/>
    <n v="0"/>
    <n v="0"/>
    <m/>
  </r>
  <r>
    <x v="0"/>
    <x v="3"/>
    <x v="1"/>
    <n v="1669"/>
    <n v="2"/>
    <m/>
    <m/>
    <x v="0"/>
    <n v="2067"/>
    <n v="2067"/>
    <n v="0"/>
    <n v="0"/>
    <m/>
  </r>
  <r>
    <x v="0"/>
    <x v="3"/>
    <x v="1"/>
    <n v="1400"/>
    <n v="0"/>
    <m/>
    <m/>
    <x v="0"/>
    <n v="2067"/>
    <n v="2067"/>
    <n v="0"/>
    <n v="0"/>
    <m/>
  </r>
  <r>
    <x v="0"/>
    <x v="3"/>
    <x v="1"/>
    <n v="1299"/>
    <n v="1"/>
    <m/>
    <m/>
    <x v="0"/>
    <n v="1159"/>
    <n v="1159"/>
    <n v="0"/>
    <n v="0"/>
    <m/>
  </r>
  <r>
    <x v="0"/>
    <x v="3"/>
    <x v="1"/>
    <n v="1135"/>
    <n v="1"/>
    <m/>
    <m/>
    <x v="0"/>
    <n v="1159"/>
    <n v="1159"/>
    <n v="0"/>
    <n v="0"/>
    <m/>
  </r>
  <r>
    <x v="0"/>
    <x v="3"/>
    <x v="1"/>
    <n v="1659"/>
    <n v="1"/>
    <m/>
    <m/>
    <x v="0"/>
    <n v="1546"/>
    <n v="1546"/>
    <n v="0"/>
    <n v="0"/>
    <m/>
  </r>
  <r>
    <x v="0"/>
    <x v="3"/>
    <x v="1"/>
    <n v="1820"/>
    <n v="2"/>
    <m/>
    <m/>
    <x v="0"/>
    <n v="1159"/>
    <n v="1159"/>
    <n v="0"/>
    <n v="0"/>
    <m/>
  </r>
  <r>
    <x v="0"/>
    <x v="3"/>
    <x v="1"/>
    <n v="1567"/>
    <n v="1"/>
    <m/>
    <m/>
    <x v="0"/>
    <n v="1352"/>
    <n v="1352"/>
    <n v="0"/>
    <n v="0"/>
    <m/>
  </r>
  <r>
    <x v="0"/>
    <x v="3"/>
    <x v="1"/>
    <n v="1417"/>
    <n v="1"/>
    <m/>
    <m/>
    <x v="0"/>
    <n v="2067"/>
    <n v="2067"/>
    <n v="0"/>
    <n v="0"/>
    <m/>
  </r>
  <r>
    <x v="0"/>
    <x v="3"/>
    <x v="1"/>
    <n v="1149"/>
    <n v="0"/>
    <m/>
    <m/>
    <x v="0"/>
    <n v="1546"/>
    <n v="1546"/>
    <n v="0"/>
    <n v="0"/>
    <m/>
  </r>
  <r>
    <x v="0"/>
    <x v="3"/>
    <x v="1"/>
    <n v="999"/>
    <n v="2"/>
    <m/>
    <m/>
    <x v="0"/>
    <n v="2067"/>
    <n v="2067"/>
    <n v="0"/>
    <n v="0"/>
    <m/>
  </r>
  <r>
    <x v="0"/>
    <x v="3"/>
    <x v="1"/>
    <n v="1041"/>
    <n v="1"/>
    <m/>
    <m/>
    <x v="0"/>
    <n v="1159"/>
    <n v="1159"/>
    <n v="0"/>
    <n v="0"/>
    <m/>
  </r>
  <r>
    <x v="0"/>
    <x v="3"/>
    <x v="1"/>
    <n v="1428"/>
    <n v="1"/>
    <m/>
    <m/>
    <x v="0"/>
    <n v="1352"/>
    <n v="1352"/>
    <n v="0"/>
    <n v="0"/>
    <m/>
  </r>
  <r>
    <x v="0"/>
    <x v="3"/>
    <x v="1"/>
    <n v="1853"/>
    <n v="0"/>
    <s v="Scroll"/>
    <n v="3"/>
    <x v="0"/>
    <n v="0"/>
    <n v="6000"/>
    <n v="0"/>
    <n v="0"/>
    <m/>
  </r>
  <r>
    <x v="0"/>
    <x v="3"/>
    <x v="1"/>
    <n v="2455"/>
    <n v="2"/>
    <m/>
    <m/>
    <x v="0"/>
    <n v="1159"/>
    <n v="1159"/>
    <n v="0"/>
    <n v="0"/>
    <m/>
  </r>
  <r>
    <x v="0"/>
    <x v="3"/>
    <x v="1"/>
    <n v="1681"/>
    <n v="1"/>
    <m/>
    <m/>
    <x v="0"/>
    <n v="1546"/>
    <n v="1546"/>
    <n v="0"/>
    <n v="0"/>
    <m/>
  </r>
  <r>
    <x v="0"/>
    <x v="3"/>
    <x v="1"/>
    <n v="824"/>
    <n v="0"/>
    <s v="Scroll"/>
    <n v="3"/>
    <x v="0"/>
    <n v="0"/>
    <n v="6000"/>
    <n v="0"/>
    <n v="0"/>
    <m/>
  </r>
  <r>
    <x v="0"/>
    <x v="3"/>
    <x v="1"/>
    <n v="1214"/>
    <n v="1"/>
    <m/>
    <m/>
    <x v="0"/>
    <n v="1159"/>
    <n v="1159"/>
    <n v="0"/>
    <n v="0"/>
    <m/>
  </r>
  <r>
    <x v="0"/>
    <x v="3"/>
    <x v="1"/>
    <n v="1917"/>
    <n v="2"/>
    <m/>
    <m/>
    <x v="0"/>
    <n v="1159"/>
    <n v="1159"/>
    <n v="0"/>
    <n v="0"/>
    <m/>
  </r>
  <r>
    <x v="0"/>
    <x v="3"/>
    <x v="1"/>
    <n v="404"/>
    <n v="0"/>
    <m/>
    <m/>
    <x v="0"/>
    <n v="2067"/>
    <n v="2067"/>
    <n v="0"/>
    <n v="0"/>
    <m/>
  </r>
  <r>
    <x v="0"/>
    <x v="3"/>
    <x v="1"/>
    <n v="991"/>
    <n v="0"/>
    <m/>
    <m/>
    <x v="0"/>
    <n v="1159"/>
    <n v="1159"/>
    <n v="0"/>
    <n v="0"/>
    <m/>
  </r>
  <r>
    <x v="0"/>
    <x v="3"/>
    <x v="1"/>
    <n v="1585"/>
    <n v="0"/>
    <m/>
    <m/>
    <x v="0"/>
    <n v="1159"/>
    <n v="1159"/>
    <n v="0"/>
    <n v="0"/>
    <m/>
  </r>
  <r>
    <x v="0"/>
    <x v="3"/>
    <x v="1"/>
    <n v="1099"/>
    <n v="1"/>
    <m/>
    <m/>
    <x v="0"/>
    <n v="1352"/>
    <n v="1352"/>
    <n v="0"/>
    <n v="0"/>
    <m/>
  </r>
  <r>
    <x v="0"/>
    <x v="3"/>
    <x v="1"/>
    <n v="1444"/>
    <n v="0"/>
    <m/>
    <m/>
    <x v="0"/>
    <n v="1739"/>
    <n v="1739"/>
    <n v="0"/>
    <n v="0"/>
    <m/>
  </r>
  <r>
    <x v="0"/>
    <x v="3"/>
    <x v="1"/>
    <n v="1206"/>
    <n v="1"/>
    <m/>
    <m/>
    <x v="0"/>
    <n v="1159"/>
    <n v="1159"/>
    <n v="0"/>
    <n v="0"/>
    <m/>
  </r>
  <r>
    <x v="0"/>
    <x v="3"/>
    <x v="1"/>
    <n v="2034"/>
    <n v="3"/>
    <m/>
    <m/>
    <x v="0"/>
    <n v="1159"/>
    <n v="1159"/>
    <n v="0"/>
    <n v="0"/>
    <m/>
  </r>
  <r>
    <x v="0"/>
    <x v="3"/>
    <x v="1"/>
    <n v="2474"/>
    <n v="0"/>
    <s v="Scroll"/>
    <n v="3"/>
    <x v="0"/>
    <n v="0"/>
    <n v="6000"/>
    <n v="0"/>
    <n v="0"/>
    <m/>
  </r>
  <r>
    <x v="0"/>
    <x v="3"/>
    <x v="1"/>
    <n v="1210"/>
    <n v="2"/>
    <m/>
    <m/>
    <x v="0"/>
    <n v="1352"/>
    <n v="1352"/>
    <n v="0"/>
    <n v="0"/>
    <m/>
  </r>
  <r>
    <x v="0"/>
    <x v="3"/>
    <x v="1"/>
    <n v="1838"/>
    <n v="0"/>
    <m/>
    <m/>
    <x v="0"/>
    <n v="1159"/>
    <n v="1159"/>
    <n v="0"/>
    <n v="0"/>
    <m/>
  </r>
  <r>
    <x v="0"/>
    <x v="3"/>
    <x v="1"/>
    <n v="1620"/>
    <n v="1"/>
    <m/>
    <m/>
    <x v="0"/>
    <n v="1159"/>
    <n v="1159"/>
    <n v="0"/>
    <n v="0"/>
    <m/>
  </r>
  <r>
    <x v="0"/>
    <x v="3"/>
    <x v="1"/>
    <n v="1629"/>
    <n v="1"/>
    <m/>
    <m/>
    <x v="0"/>
    <n v="2750"/>
    <n v="2750"/>
    <n v="0"/>
    <n v="0"/>
    <m/>
  </r>
  <r>
    <x v="0"/>
    <x v="3"/>
    <x v="1"/>
    <n v="1374"/>
    <n v="1"/>
    <s v="Scroll"/>
    <n v="3"/>
    <x v="0"/>
    <n v="0"/>
    <n v="6000"/>
    <n v="0"/>
    <n v="0"/>
    <m/>
  </r>
  <r>
    <x v="0"/>
    <x v="3"/>
    <x v="1"/>
    <n v="1637"/>
    <n v="0"/>
    <m/>
    <m/>
    <x v="0"/>
    <n v="1352"/>
    <n v="1352"/>
    <n v="0"/>
    <n v="0"/>
    <m/>
  </r>
  <r>
    <x v="0"/>
    <x v="3"/>
    <x v="1"/>
    <n v="1846"/>
    <n v="1"/>
    <m/>
    <m/>
    <x v="0"/>
    <n v="1159"/>
    <n v="1159"/>
    <n v="0"/>
    <n v="0"/>
    <m/>
  </r>
  <r>
    <x v="0"/>
    <x v="3"/>
    <x v="1"/>
    <n v="1617"/>
    <n v="1"/>
    <m/>
    <m/>
    <x v="0"/>
    <n v="2756"/>
    <n v="2756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990"/>
    <n v="0"/>
    <m/>
    <m/>
    <x v="0"/>
    <n v="1159"/>
    <n v="1159"/>
    <n v="0"/>
    <n v="0"/>
    <m/>
  </r>
  <r>
    <x v="0"/>
    <x v="3"/>
    <x v="1"/>
    <n v="1186"/>
    <n v="1"/>
    <m/>
    <m/>
    <x v="0"/>
    <n v="2756"/>
    <n v="2756"/>
    <n v="0"/>
    <n v="0"/>
    <m/>
  </r>
  <r>
    <x v="0"/>
    <x v="3"/>
    <x v="1"/>
    <n v="1193"/>
    <n v="2"/>
    <m/>
    <m/>
    <x v="0"/>
    <n v="1159"/>
    <n v="1159"/>
    <n v="0"/>
    <n v="0"/>
    <m/>
  </r>
  <r>
    <x v="0"/>
    <x v="3"/>
    <x v="1"/>
    <n v="1223"/>
    <n v="0"/>
    <m/>
    <m/>
    <x v="0"/>
    <n v="2067"/>
    <n v="2067"/>
    <n v="0"/>
    <n v="0"/>
    <m/>
  </r>
  <r>
    <x v="0"/>
    <x v="3"/>
    <x v="1"/>
    <n v="1833"/>
    <n v="0"/>
    <m/>
    <m/>
    <x v="0"/>
    <n v="2067"/>
    <n v="2067"/>
    <n v="0"/>
    <n v="0"/>
    <m/>
  </r>
  <r>
    <x v="0"/>
    <x v="3"/>
    <x v="1"/>
    <n v="1601"/>
    <n v="1"/>
    <m/>
    <m/>
    <x v="0"/>
    <n v="2067"/>
    <n v="2067"/>
    <n v="0"/>
    <n v="0"/>
    <m/>
  </r>
  <r>
    <x v="0"/>
    <x v="3"/>
    <x v="1"/>
    <n v="1381"/>
    <n v="0"/>
    <m/>
    <m/>
    <x v="0"/>
    <n v="2067"/>
    <n v="2067"/>
    <n v="0"/>
    <n v="0"/>
    <m/>
  </r>
  <r>
    <x v="0"/>
    <x v="3"/>
    <x v="1"/>
    <n v="1472"/>
    <n v="3"/>
    <m/>
    <m/>
    <x v="0"/>
    <n v="1159"/>
    <n v="1159"/>
    <n v="0"/>
    <n v="0"/>
    <m/>
  </r>
  <r>
    <x v="0"/>
    <x v="3"/>
    <x v="1"/>
    <n v="1210"/>
    <n v="1"/>
    <m/>
    <m/>
    <x v="0"/>
    <n v="1159"/>
    <n v="1159"/>
    <n v="0"/>
    <n v="0"/>
    <m/>
  </r>
  <r>
    <x v="0"/>
    <x v="3"/>
    <x v="1"/>
    <n v="1469"/>
    <n v="1"/>
    <s v="Fod"/>
    <s v="2*"/>
    <x v="0"/>
    <n v="0"/>
    <n v="0"/>
    <n v="11500"/>
    <n v="15120"/>
    <m/>
  </r>
  <r>
    <x v="0"/>
    <x v="3"/>
    <x v="1"/>
    <n v="1035"/>
    <n v="1"/>
    <m/>
    <m/>
    <x v="0"/>
    <n v="2067"/>
    <n v="2067"/>
    <n v="0"/>
    <n v="0"/>
    <m/>
  </r>
  <r>
    <x v="0"/>
    <x v="3"/>
    <x v="1"/>
    <n v="1877"/>
    <n v="1"/>
    <s v="Scroll"/>
    <n v="3"/>
    <x v="0"/>
    <n v="0"/>
    <n v="6000"/>
    <n v="0"/>
    <n v="0"/>
    <m/>
  </r>
  <r>
    <x v="0"/>
    <x v="3"/>
    <x v="1"/>
    <n v="849"/>
    <n v="1"/>
    <s v="Scroll"/>
    <n v="3"/>
    <x v="0"/>
    <n v="0"/>
    <n v="6000"/>
    <n v="0"/>
    <n v="0"/>
    <m/>
  </r>
  <r>
    <x v="0"/>
    <x v="3"/>
    <x v="1"/>
    <n v="1261"/>
    <n v="1"/>
    <s v="Scroll"/>
    <n v="3"/>
    <x v="0"/>
    <m/>
    <n v="6000"/>
    <n v="0"/>
    <n v="0"/>
    <m/>
  </r>
  <r>
    <x v="9"/>
    <x v="0"/>
    <x v="1"/>
    <n v="1940"/>
    <n v="0"/>
    <s v="Scroll"/>
    <n v="3"/>
    <x v="0"/>
    <n v="0"/>
    <n v="6000"/>
    <n v="0"/>
    <n v="0"/>
    <m/>
  </r>
  <r>
    <x v="0"/>
    <x v="3"/>
    <x v="1"/>
    <n v="2271"/>
    <n v="1"/>
    <s v="Scroll"/>
    <n v="3"/>
    <x v="0"/>
    <n v="0"/>
    <n v="6000"/>
    <n v="0"/>
    <n v="0"/>
    <m/>
  </r>
  <r>
    <x v="0"/>
    <x v="3"/>
    <x v="1"/>
    <n v="1066"/>
    <n v="0"/>
    <s v="Rainb"/>
    <s v="2*"/>
    <x v="0"/>
    <n v="0"/>
    <n v="0"/>
    <n v="11500"/>
    <n v="66062"/>
    <m/>
  </r>
  <r>
    <x v="0"/>
    <x v="3"/>
    <x v="1"/>
    <n v="1217"/>
    <n v="0"/>
    <m/>
    <m/>
    <x v="0"/>
    <n v="1159"/>
    <n v="1159"/>
    <n v="0"/>
    <n v="0"/>
    <m/>
  </r>
  <r>
    <x v="0"/>
    <x v="3"/>
    <x v="1"/>
    <n v="1369"/>
    <n v="0"/>
    <s v="Fod"/>
    <s v="3*"/>
    <x v="0"/>
    <m/>
    <n v="0"/>
    <n v="34500"/>
    <n v="66062"/>
    <m/>
  </r>
  <r>
    <x v="0"/>
    <x v="3"/>
    <x v="1"/>
    <n v="1200"/>
    <n v="1"/>
    <m/>
    <m/>
    <x v="0"/>
    <n v="1546"/>
    <n v="1546"/>
    <n v="0"/>
    <n v="0"/>
    <m/>
  </r>
  <r>
    <x v="0"/>
    <x v="3"/>
    <x v="1"/>
    <n v="2084"/>
    <n v="1"/>
    <m/>
    <m/>
    <x v="0"/>
    <n v="1159"/>
    <n v="1159"/>
    <n v="0"/>
    <n v="0"/>
    <m/>
  </r>
  <r>
    <x v="0"/>
    <x v="3"/>
    <x v="1"/>
    <n v="1041"/>
    <n v="2"/>
    <m/>
    <m/>
    <x v="0"/>
    <n v="1159"/>
    <n v="1159"/>
    <n v="0"/>
    <n v="0"/>
    <m/>
  </r>
  <r>
    <x v="0"/>
    <x v="3"/>
    <x v="1"/>
    <n v="1173"/>
    <n v="0"/>
    <s v="Scroll"/>
    <n v="3"/>
    <x v="0"/>
    <n v="0"/>
    <n v="6000"/>
    <n v="0"/>
    <n v="0"/>
    <m/>
  </r>
  <r>
    <x v="0"/>
    <x v="3"/>
    <x v="1"/>
    <n v="1203"/>
    <n v="0"/>
    <m/>
    <m/>
    <x v="0"/>
    <n v="1159"/>
    <n v="1159"/>
    <n v="0"/>
    <n v="0"/>
    <m/>
  </r>
  <r>
    <x v="0"/>
    <x v="3"/>
    <x v="1"/>
    <n v="1265"/>
    <n v="0"/>
    <m/>
    <m/>
    <x v="0"/>
    <n v="1159"/>
    <n v="1159"/>
    <n v="0"/>
    <n v="0"/>
    <m/>
  </r>
  <r>
    <x v="0"/>
    <x v="3"/>
    <x v="1"/>
    <n v="1133"/>
    <n v="0"/>
    <m/>
    <m/>
    <x v="0"/>
    <n v="1159"/>
    <n v="1159"/>
    <n v="0"/>
    <n v="0"/>
    <m/>
  </r>
  <r>
    <x v="0"/>
    <x v="3"/>
    <x v="1"/>
    <n v="967"/>
    <n v="1"/>
    <s v="Fod"/>
    <s v="1*"/>
    <x v="0"/>
    <n v="0"/>
    <n v="0"/>
    <n v="0"/>
    <n v="0"/>
    <m/>
  </r>
  <r>
    <x v="0"/>
    <x v="3"/>
    <x v="1"/>
    <n v="2246"/>
    <n v="1"/>
    <m/>
    <m/>
    <x v="0"/>
    <n v="2067"/>
    <n v="2067"/>
    <n v="0"/>
    <n v="0"/>
    <m/>
  </r>
  <r>
    <x v="0"/>
    <x v="3"/>
    <x v="1"/>
    <n v="1423"/>
    <n v="2"/>
    <m/>
    <m/>
    <x v="0"/>
    <n v="1159"/>
    <n v="1159"/>
    <n v="0"/>
    <n v="0"/>
    <m/>
  </r>
  <r>
    <x v="0"/>
    <x v="3"/>
    <x v="1"/>
    <n v="1858"/>
    <n v="0"/>
    <m/>
    <m/>
    <x v="0"/>
    <n v="2067"/>
    <n v="2067"/>
    <n v="0"/>
    <n v="0"/>
    <m/>
  </r>
  <r>
    <x v="0"/>
    <x v="3"/>
    <x v="1"/>
    <n v="1423"/>
    <n v="1"/>
    <m/>
    <m/>
    <x v="0"/>
    <n v="1546"/>
    <n v="1546"/>
    <n v="0"/>
    <n v="0"/>
    <m/>
  </r>
  <r>
    <x v="0"/>
    <x v="3"/>
    <x v="1"/>
    <n v="2042"/>
    <n v="1"/>
    <m/>
    <m/>
    <x v="0"/>
    <n v="1159"/>
    <n v="1159"/>
    <n v="0"/>
    <n v="0"/>
    <m/>
  </r>
  <r>
    <x v="0"/>
    <x v="3"/>
    <x v="1"/>
    <n v="2001"/>
    <n v="1"/>
    <s v="Fod"/>
    <s v="1*"/>
    <x v="0"/>
    <n v="0"/>
    <n v="0"/>
    <n v="0"/>
    <n v="0"/>
    <m/>
  </r>
  <r>
    <x v="0"/>
    <x v="3"/>
    <x v="1"/>
    <n v="1540"/>
    <n v="0"/>
    <s v="Fod"/>
    <s v="1*"/>
    <x v="0"/>
    <n v="0"/>
    <n v="0"/>
    <n v="0"/>
    <n v="0"/>
    <m/>
  </r>
  <r>
    <x v="0"/>
    <x v="3"/>
    <x v="1"/>
    <n v="1699"/>
    <n v="1"/>
    <m/>
    <m/>
    <x v="0"/>
    <n v="2067"/>
    <n v="2067"/>
    <n v="0"/>
    <n v="0"/>
    <m/>
  </r>
  <r>
    <x v="0"/>
    <x v="3"/>
    <x v="1"/>
    <n v="1916"/>
    <n v="1"/>
    <m/>
    <m/>
    <x v="0"/>
    <n v="1159"/>
    <n v="1159"/>
    <n v="0"/>
    <n v="0"/>
    <m/>
  </r>
  <r>
    <x v="0"/>
    <x v="3"/>
    <x v="1"/>
    <n v="2501"/>
    <n v="0"/>
    <m/>
    <m/>
    <x v="0"/>
    <n v="2067"/>
    <n v="2067"/>
    <n v="0"/>
    <n v="0"/>
    <m/>
  </r>
  <r>
    <x v="0"/>
    <x v="3"/>
    <x v="1"/>
    <n v="1812"/>
    <n v="1"/>
    <s v="Scroll"/>
    <n v="3"/>
    <x v="0"/>
    <m/>
    <n v="6000"/>
    <n v="0"/>
    <n v="0"/>
    <m/>
  </r>
  <r>
    <x v="0"/>
    <x v="3"/>
    <x v="1"/>
    <n v="1215"/>
    <n v="0"/>
    <m/>
    <m/>
    <x v="0"/>
    <n v="1159"/>
    <n v="1159"/>
    <n v="0"/>
    <n v="0"/>
    <m/>
  </r>
  <r>
    <x v="0"/>
    <x v="3"/>
    <x v="1"/>
    <n v="422"/>
    <n v="1"/>
    <m/>
    <m/>
    <x v="0"/>
    <n v="2756"/>
    <n v="2756"/>
    <n v="0"/>
    <n v="0"/>
    <m/>
  </r>
  <r>
    <x v="0"/>
    <x v="3"/>
    <x v="1"/>
    <n v="1105"/>
    <n v="0"/>
    <s v="Fod"/>
    <s v="2*"/>
    <x v="0"/>
    <n v="0"/>
    <n v="0"/>
    <n v="11500"/>
    <n v="15120"/>
    <m/>
  </r>
  <r>
    <x v="0"/>
    <x v="3"/>
    <x v="1"/>
    <n v="821"/>
    <n v="1"/>
    <m/>
    <m/>
    <x v="0"/>
    <n v="1159"/>
    <n v="1159"/>
    <n v="0"/>
    <n v="0"/>
    <m/>
  </r>
  <r>
    <x v="0"/>
    <x v="3"/>
    <x v="1"/>
    <n v="1748"/>
    <n v="1"/>
    <s v="SweetCookie"/>
    <m/>
    <x v="0"/>
    <n v="0"/>
    <n v="0"/>
    <n v="0"/>
    <n v="0"/>
    <m/>
  </r>
  <r>
    <x v="0"/>
    <x v="3"/>
    <x v="1"/>
    <n v="1840"/>
    <n v="0"/>
    <s v="SweetCookie"/>
    <m/>
    <x v="0"/>
    <n v="0"/>
    <n v="0"/>
    <n v="0"/>
    <n v="0"/>
    <m/>
  </r>
  <r>
    <x v="0"/>
    <x v="3"/>
    <x v="1"/>
    <n v="1395"/>
    <n v="2"/>
    <m/>
    <m/>
    <x v="0"/>
    <n v="1159"/>
    <n v="1159"/>
    <n v="0"/>
    <n v="0"/>
    <m/>
  </r>
  <r>
    <x v="0"/>
    <x v="3"/>
    <x v="1"/>
    <n v="1292"/>
    <n v="2"/>
    <m/>
    <m/>
    <x v="0"/>
    <n v="1159"/>
    <n v="1159"/>
    <n v="0"/>
    <n v="0"/>
    <m/>
  </r>
  <r>
    <x v="0"/>
    <x v="3"/>
    <x v="1"/>
    <n v="1574"/>
    <n v="0"/>
    <m/>
    <m/>
    <x v="0"/>
    <n v="1159"/>
    <n v="1159"/>
    <n v="0"/>
    <n v="0"/>
    <m/>
  </r>
  <r>
    <x v="0"/>
    <x v="3"/>
    <x v="1"/>
    <n v="1388"/>
    <n v="0"/>
    <m/>
    <m/>
    <x v="0"/>
    <n v="1159"/>
    <n v="1159"/>
    <n v="0"/>
    <n v="0"/>
    <m/>
  </r>
  <r>
    <x v="0"/>
    <x v="3"/>
    <x v="1"/>
    <n v="3326"/>
    <n v="0"/>
    <s v="Scroll"/>
    <n v="3"/>
    <x v="0"/>
    <n v="0"/>
    <n v="6000"/>
    <n v="0"/>
    <n v="0"/>
    <m/>
  </r>
  <r>
    <x v="0"/>
    <x v="3"/>
    <x v="1"/>
    <n v="999"/>
    <n v="1"/>
    <s v="SweetCookie"/>
    <m/>
    <x v="0"/>
    <n v="0"/>
    <n v="0"/>
    <n v="0"/>
    <n v="0"/>
    <m/>
  </r>
  <r>
    <x v="0"/>
    <x v="3"/>
    <x v="1"/>
    <n v="1225"/>
    <n v="0"/>
    <m/>
    <m/>
    <x v="0"/>
    <n v="2411"/>
    <n v="2411"/>
    <n v="0"/>
    <n v="0"/>
    <m/>
  </r>
  <r>
    <x v="0"/>
    <x v="3"/>
    <x v="1"/>
    <n v="1362"/>
    <n v="2"/>
    <s v="Fod"/>
    <s v="1*"/>
    <x v="0"/>
    <m/>
    <n v="0"/>
    <n v="0"/>
    <n v="0"/>
    <m/>
  </r>
  <r>
    <x v="0"/>
    <x v="3"/>
    <x v="1"/>
    <n v="1149"/>
    <n v="2"/>
    <m/>
    <m/>
    <x v="0"/>
    <n v="1159"/>
    <n v="1159"/>
    <n v="0"/>
    <n v="0"/>
    <m/>
  </r>
  <r>
    <x v="0"/>
    <x v="3"/>
    <x v="1"/>
    <n v="1186"/>
    <n v="1"/>
    <m/>
    <m/>
    <x v="0"/>
    <n v="2067"/>
    <n v="2067"/>
    <n v="0"/>
    <n v="0"/>
    <m/>
  </r>
  <r>
    <x v="0"/>
    <x v="3"/>
    <x v="1"/>
    <n v="1366"/>
    <n v="1"/>
    <m/>
    <m/>
    <x v="0"/>
    <n v="2411"/>
    <n v="2411"/>
    <n v="0"/>
    <n v="0"/>
    <m/>
  </r>
  <r>
    <x v="0"/>
    <x v="3"/>
    <x v="1"/>
    <n v="2407"/>
    <n v="4"/>
    <s v="Fod"/>
    <s v="2*"/>
    <x v="0"/>
    <n v="0"/>
    <n v="0"/>
    <n v="11500"/>
    <n v="15120"/>
    <m/>
  </r>
  <r>
    <x v="0"/>
    <x v="3"/>
    <x v="1"/>
    <n v="2050"/>
    <n v="1"/>
    <m/>
    <m/>
    <x v="0"/>
    <n v="2067"/>
    <n v="2067"/>
    <n v="0"/>
    <n v="0"/>
    <m/>
  </r>
  <r>
    <x v="0"/>
    <x v="3"/>
    <x v="1"/>
    <n v="2063"/>
    <n v="1"/>
    <s v="Fod"/>
    <s v="1*"/>
    <x v="0"/>
    <m/>
    <n v="0"/>
    <n v="0"/>
    <n v="0"/>
    <m/>
  </r>
  <r>
    <x v="0"/>
    <x v="3"/>
    <x v="1"/>
    <n v="1086"/>
    <n v="0"/>
    <m/>
    <m/>
    <x v="0"/>
    <n v="1546"/>
    <n v="1546"/>
    <n v="0"/>
    <n v="0"/>
    <m/>
  </r>
  <r>
    <x v="0"/>
    <x v="3"/>
    <x v="1"/>
    <n v="1248"/>
    <n v="2"/>
    <s v="Scroll"/>
    <n v="3"/>
    <x v="0"/>
    <n v="0"/>
    <n v="6000"/>
    <n v="0"/>
    <n v="0"/>
    <m/>
  </r>
  <r>
    <x v="0"/>
    <x v="3"/>
    <x v="1"/>
    <n v="1342"/>
    <n v="1"/>
    <s v="SweetCookie"/>
    <m/>
    <x v="0"/>
    <n v="0"/>
    <n v="0"/>
    <n v="0"/>
    <n v="0"/>
    <m/>
  </r>
  <r>
    <x v="0"/>
    <x v="3"/>
    <x v="1"/>
    <n v="2048"/>
    <n v="0"/>
    <m/>
    <m/>
    <x v="0"/>
    <n v="1159"/>
    <n v="1159"/>
    <n v="0"/>
    <n v="0"/>
    <m/>
  </r>
  <r>
    <x v="0"/>
    <x v="3"/>
    <x v="1"/>
    <n v="2152"/>
    <n v="2"/>
    <s v="Fod"/>
    <s v="1*"/>
    <x v="0"/>
    <n v="0"/>
    <n v="0"/>
    <n v="0"/>
    <n v="0"/>
    <m/>
  </r>
  <r>
    <x v="0"/>
    <x v="3"/>
    <x v="1"/>
    <n v="1171"/>
    <n v="1"/>
    <m/>
    <m/>
    <x v="0"/>
    <n v="2067"/>
    <n v="2067"/>
    <n v="0"/>
    <n v="0"/>
    <m/>
  </r>
  <r>
    <x v="0"/>
    <x v="3"/>
    <x v="1"/>
    <n v="2951"/>
    <n v="2"/>
    <m/>
    <m/>
    <x v="0"/>
    <n v="2411"/>
    <n v="2411"/>
    <n v="0"/>
    <n v="0"/>
    <m/>
  </r>
  <r>
    <x v="0"/>
    <x v="3"/>
    <x v="1"/>
    <n v="1340"/>
    <n v="0"/>
    <m/>
    <m/>
    <x v="0"/>
    <n v="1159"/>
    <n v="1159"/>
    <n v="0"/>
    <n v="0"/>
    <m/>
  </r>
  <r>
    <x v="0"/>
    <x v="3"/>
    <x v="1"/>
    <n v="1120"/>
    <n v="1"/>
    <m/>
    <m/>
    <x v="0"/>
    <n v="1546"/>
    <n v="1546"/>
    <n v="0"/>
    <n v="0"/>
    <m/>
  </r>
  <r>
    <x v="0"/>
    <x v="3"/>
    <x v="1"/>
    <n v="805"/>
    <n v="1"/>
    <m/>
    <m/>
    <x v="0"/>
    <n v="2067"/>
    <n v="2067"/>
    <n v="0"/>
    <n v="0"/>
    <m/>
  </r>
  <r>
    <x v="0"/>
    <x v="3"/>
    <x v="1"/>
    <n v="1611"/>
    <n v="3"/>
    <m/>
    <m/>
    <x v="0"/>
    <n v="1159"/>
    <n v="1159"/>
    <n v="0"/>
    <n v="0"/>
    <m/>
  </r>
  <r>
    <x v="0"/>
    <x v="3"/>
    <x v="1"/>
    <n v="1332"/>
    <n v="0"/>
    <m/>
    <m/>
    <x v="0"/>
    <n v="1159"/>
    <n v="1159"/>
    <n v="0"/>
    <n v="0"/>
    <m/>
  </r>
  <r>
    <x v="0"/>
    <x v="3"/>
    <x v="1"/>
    <n v="1613"/>
    <n v="1"/>
    <m/>
    <m/>
    <x v="0"/>
    <n v="2411"/>
    <n v="2411"/>
    <n v="0"/>
    <n v="0"/>
    <m/>
  </r>
  <r>
    <x v="0"/>
    <x v="3"/>
    <x v="1"/>
    <n v="1375"/>
    <n v="1"/>
    <m/>
    <m/>
    <x v="0"/>
    <n v="1159"/>
    <n v="1159"/>
    <n v="0"/>
    <n v="0"/>
    <m/>
  </r>
  <r>
    <x v="0"/>
    <x v="3"/>
    <x v="1"/>
    <n v="1277"/>
    <n v="1"/>
    <m/>
    <m/>
    <x v="0"/>
    <n v="1159"/>
    <n v="1159"/>
    <n v="0"/>
    <n v="0"/>
    <m/>
  </r>
  <r>
    <x v="0"/>
    <x v="3"/>
    <x v="1"/>
    <n v="1167"/>
    <n v="0"/>
    <m/>
    <m/>
    <x v="0"/>
    <n v="2067"/>
    <n v="2067"/>
    <n v="0"/>
    <n v="0"/>
    <m/>
  </r>
  <r>
    <x v="0"/>
    <x v="3"/>
    <x v="1"/>
    <n v="1156"/>
    <n v="2"/>
    <m/>
    <m/>
    <x v="0"/>
    <n v="1352"/>
    <n v="1352"/>
    <n v="0"/>
    <n v="0"/>
    <m/>
  </r>
  <r>
    <x v="0"/>
    <x v="3"/>
    <x v="1"/>
    <n v="1404"/>
    <n v="0"/>
    <s v="Fod"/>
    <s v="3*"/>
    <x v="0"/>
    <n v="0"/>
    <n v="0"/>
    <n v="34500"/>
    <n v="66062"/>
    <m/>
  </r>
  <r>
    <x v="0"/>
    <x v="3"/>
    <x v="1"/>
    <n v="1462"/>
    <n v="0"/>
    <m/>
    <m/>
    <x v="0"/>
    <n v="1159"/>
    <n v="1159"/>
    <n v="0"/>
    <n v="0"/>
    <m/>
  </r>
  <r>
    <x v="0"/>
    <x v="3"/>
    <x v="1"/>
    <n v="1957"/>
    <n v="2"/>
    <s v="SweetCookie"/>
    <m/>
    <x v="0"/>
    <n v="0"/>
    <n v="0"/>
    <n v="0"/>
    <n v="0"/>
    <m/>
  </r>
  <r>
    <x v="0"/>
    <x v="3"/>
    <x v="1"/>
    <n v="1051"/>
    <n v="0"/>
    <m/>
    <m/>
    <x v="0"/>
    <n v="2411"/>
    <n v="2411"/>
    <n v="0"/>
    <n v="0"/>
    <m/>
  </r>
  <r>
    <x v="0"/>
    <x v="3"/>
    <x v="1"/>
    <n v="1187"/>
    <n v="2"/>
    <m/>
    <m/>
    <x v="0"/>
    <n v="1159"/>
    <n v="1159"/>
    <n v="0"/>
    <n v="0"/>
    <m/>
  </r>
  <r>
    <x v="0"/>
    <x v="3"/>
    <x v="1"/>
    <n v="1798"/>
    <n v="2"/>
    <s v="Scroll"/>
    <n v="3"/>
    <x v="0"/>
    <m/>
    <n v="6000"/>
    <n v="0"/>
    <n v="0"/>
    <m/>
  </r>
  <r>
    <x v="0"/>
    <x v="3"/>
    <x v="1"/>
    <n v="1909"/>
    <n v="3"/>
    <m/>
    <m/>
    <x v="0"/>
    <n v="1159"/>
    <n v="1159"/>
    <n v="0"/>
    <n v="0"/>
    <m/>
  </r>
  <r>
    <x v="0"/>
    <x v="3"/>
    <x v="1"/>
    <n v="829"/>
    <n v="2"/>
    <m/>
    <m/>
    <x v="0"/>
    <n v="1159"/>
    <n v="1159"/>
    <n v="0"/>
    <n v="0"/>
    <m/>
  </r>
  <r>
    <x v="0"/>
    <x v="3"/>
    <x v="1"/>
    <n v="1201"/>
    <n v="2"/>
    <s v="Scroll"/>
    <n v="3"/>
    <x v="0"/>
    <n v="0"/>
    <n v="6000"/>
    <n v="0"/>
    <n v="0"/>
    <m/>
  </r>
  <r>
    <x v="0"/>
    <x v="3"/>
    <x v="1"/>
    <n v="1770"/>
    <n v="0"/>
    <m/>
    <m/>
    <x v="0"/>
    <n v="1159"/>
    <n v="1159"/>
    <n v="0"/>
    <n v="0"/>
    <m/>
  </r>
  <r>
    <x v="0"/>
    <x v="3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0"/>
    <n v="0"/>
    <n v="2000"/>
    <n v="0"/>
    <n v="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0"/>
    <n v="0"/>
    <n v="2000"/>
    <n v="0"/>
    <n v="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0"/>
    <n v="0"/>
    <n v="2000"/>
    <n v="0"/>
    <n v="0"/>
    <m/>
  </r>
  <r>
    <x v="0"/>
    <x v="1"/>
    <x v="1"/>
    <n v="2474"/>
    <n v="3"/>
    <s v="Scroll"/>
    <n v="2"/>
    <x v="0"/>
    <n v="0"/>
    <n v="4000"/>
    <n v="0"/>
    <n v="0"/>
    <m/>
  </r>
  <r>
    <x v="0"/>
    <x v="3"/>
    <x v="1"/>
    <n v="920"/>
    <n v="2"/>
    <s v="Scroll"/>
    <n v="3"/>
    <x v="0"/>
    <n v="0"/>
    <n v="6000"/>
    <n v="0"/>
    <n v="0"/>
    <m/>
  </r>
  <r>
    <x v="0"/>
    <x v="3"/>
    <x v="1"/>
    <n v="1475"/>
    <n v="3"/>
    <m/>
    <m/>
    <x v="0"/>
    <n v="2756"/>
    <n v="2756"/>
    <n v="0"/>
    <n v="0"/>
    <m/>
  </r>
  <r>
    <x v="0"/>
    <x v="3"/>
    <x v="1"/>
    <n v="1500"/>
    <n v="3"/>
    <s v="Fod"/>
    <s v="3*"/>
    <x v="0"/>
    <n v="0"/>
    <n v="0"/>
    <n v="34500"/>
    <n v="66062"/>
    <m/>
  </r>
  <r>
    <x v="0"/>
    <x v="3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182"/>
    <n v="0"/>
    <s v="Magic"/>
    <n v="4"/>
    <x v="1"/>
    <n v="0"/>
    <n v="0"/>
    <n v="0"/>
    <n v="0"/>
    <m/>
  </r>
  <r>
    <x v="7"/>
    <x v="0"/>
    <x v="2"/>
    <n v="2090"/>
    <n v="2"/>
    <m/>
    <m/>
    <x v="0"/>
    <n v="1971"/>
    <n v="1971"/>
    <n v="0"/>
    <n v="0"/>
    <m/>
  </r>
  <r>
    <x v="7"/>
    <x v="0"/>
    <x v="2"/>
    <n v="2783"/>
    <n v="2"/>
    <s v="Scroll"/>
    <n v="3"/>
    <x v="0"/>
    <n v="0"/>
    <n v="6000"/>
    <n v="0"/>
    <n v="0"/>
    <m/>
  </r>
  <r>
    <x v="7"/>
    <x v="0"/>
    <x v="2"/>
    <n v="2090"/>
    <n v="0"/>
    <m/>
    <m/>
    <x v="0"/>
    <n v="12000"/>
    <n v="12000"/>
    <n v="0"/>
    <n v="0"/>
    <m/>
  </r>
  <r>
    <x v="7"/>
    <x v="0"/>
    <x v="2"/>
    <n v="2367"/>
    <n v="0"/>
    <s v="Rainb"/>
    <s v="2*"/>
    <x v="0"/>
    <n v="0"/>
    <n v="0"/>
    <n v="11500"/>
    <n v="66062"/>
    <m/>
  </r>
  <r>
    <x v="7"/>
    <x v="0"/>
    <x v="2"/>
    <n v="3236"/>
    <n v="1"/>
    <m/>
    <m/>
    <x v="0"/>
    <n v="1236"/>
    <n v="1236"/>
    <n v="0"/>
    <n v="0"/>
    <m/>
  </r>
  <r>
    <x v="7"/>
    <x v="0"/>
    <x v="2"/>
    <n v="2638"/>
    <n v="0"/>
    <s v="SweetCookie"/>
    <m/>
    <x v="0"/>
    <n v="0"/>
    <n v="0"/>
    <n v="0"/>
    <n v="0"/>
    <m/>
  </r>
  <r>
    <x v="7"/>
    <x v="0"/>
    <x v="2"/>
    <n v="2603"/>
    <n v="0"/>
    <s v="Scroll"/>
    <n v="4"/>
    <x v="0"/>
    <n v="0"/>
    <n v="8000"/>
    <n v="0"/>
    <n v="0"/>
    <m/>
  </r>
  <r>
    <x v="7"/>
    <x v="0"/>
    <x v="2"/>
    <n v="2600"/>
    <n v="2"/>
    <m/>
    <m/>
    <x v="0"/>
    <n v="3916"/>
    <n v="3916"/>
    <n v="0"/>
    <n v="0"/>
    <m/>
  </r>
  <r>
    <x v="7"/>
    <x v="0"/>
    <x v="2"/>
    <n v="2913"/>
    <n v="0"/>
    <m/>
    <m/>
    <x v="0"/>
    <n v="3789"/>
    <n v="3789"/>
    <n v="0"/>
    <n v="0"/>
    <m/>
  </r>
  <r>
    <x v="7"/>
    <x v="0"/>
    <x v="2"/>
    <n v="2460"/>
    <n v="1"/>
    <s v="Scroll"/>
    <n v="4"/>
    <x v="0"/>
    <n v="0"/>
    <n v="8000"/>
    <n v="0"/>
    <n v="0"/>
    <m/>
  </r>
  <r>
    <x v="10"/>
    <x v="0"/>
    <x v="7"/>
    <n v="2498"/>
    <n v="2"/>
    <s v="Water"/>
    <n v="3"/>
    <x v="1"/>
    <n v="0"/>
    <n v="0"/>
    <n v="0"/>
    <n v="0"/>
    <m/>
  </r>
  <r>
    <x v="10"/>
    <x v="0"/>
    <x v="6"/>
    <n v="2073"/>
    <n v="0"/>
    <s v="Water"/>
    <n v="1"/>
    <x v="2"/>
    <n v="0"/>
    <n v="0"/>
    <n v="0"/>
    <n v="0"/>
    <m/>
  </r>
  <r>
    <x v="10"/>
    <x v="0"/>
    <x v="6"/>
    <n v="2143"/>
    <n v="0"/>
    <s v="Water"/>
    <n v="3"/>
    <x v="1"/>
    <n v="0"/>
    <n v="0"/>
    <n v="0"/>
    <n v="0"/>
    <m/>
  </r>
  <r>
    <x v="10"/>
    <x v="0"/>
    <x v="6"/>
    <n v="1852"/>
    <n v="1"/>
    <s v="Water"/>
    <n v="1"/>
    <x v="2"/>
    <n v="0"/>
    <n v="0"/>
    <n v="0"/>
    <n v="0"/>
    <m/>
  </r>
  <r>
    <x v="10"/>
    <x v="0"/>
    <x v="6"/>
    <n v="2417"/>
    <n v="0"/>
    <s v="SumStone"/>
    <n v="1"/>
    <x v="0"/>
    <n v="0"/>
    <n v="0"/>
    <n v="862.5"/>
    <n v="1651.5500000000002"/>
    <m/>
  </r>
  <r>
    <x v="10"/>
    <x v="0"/>
    <x v="7"/>
    <n v="2146"/>
    <n v="0"/>
    <s v="Water"/>
    <n v="2"/>
    <x v="2"/>
    <n v="0"/>
    <n v="0"/>
    <n v="0"/>
    <n v="0"/>
    <m/>
  </r>
  <r>
    <x v="10"/>
    <x v="0"/>
    <x v="7"/>
    <n v="2968"/>
    <n v="0"/>
    <s v="Scroll"/>
    <n v="4"/>
    <x v="0"/>
    <n v="0"/>
    <n v="8000"/>
    <n v="0"/>
    <n v="0"/>
    <m/>
  </r>
  <r>
    <x v="10"/>
    <x v="0"/>
    <x v="7"/>
    <n v="2237"/>
    <n v="0"/>
    <s v="Scroll"/>
    <n v="4"/>
    <x v="0"/>
    <n v="0"/>
    <n v="8000"/>
    <n v="0"/>
    <n v="0"/>
    <m/>
  </r>
  <r>
    <x v="10"/>
    <x v="0"/>
    <x v="7"/>
    <n v="2223"/>
    <n v="1"/>
    <s v="Water"/>
    <n v="5"/>
    <x v="1"/>
    <n v="0"/>
    <n v="0"/>
    <n v="0"/>
    <n v="0"/>
    <m/>
  </r>
  <r>
    <x v="10"/>
    <x v="0"/>
    <x v="7"/>
    <n v="2246"/>
    <n v="2"/>
    <s v="Scroll"/>
    <n v="4"/>
    <x v="0"/>
    <n v="0"/>
    <n v="8000"/>
    <n v="0"/>
    <n v="0"/>
    <m/>
  </r>
  <r>
    <x v="10"/>
    <x v="0"/>
    <x v="7"/>
    <n v="1945"/>
    <n v="0"/>
    <s v="Scroll"/>
    <n v="4"/>
    <x v="0"/>
    <n v="0"/>
    <n v="8000"/>
    <n v="0"/>
    <n v="0"/>
    <m/>
  </r>
  <r>
    <x v="10"/>
    <x v="0"/>
    <x v="7"/>
    <n v="2404"/>
    <n v="1"/>
    <s v="Water"/>
    <n v="4"/>
    <x v="1"/>
    <n v="0"/>
    <n v="0"/>
    <n v="0"/>
    <n v="0"/>
    <m/>
  </r>
  <r>
    <x v="10"/>
    <x v="0"/>
    <x v="7"/>
    <n v="3017"/>
    <n v="1"/>
    <s v="Water"/>
    <n v="4"/>
    <x v="1"/>
    <n v="0"/>
    <n v="0"/>
    <n v="0"/>
    <n v="0"/>
    <m/>
  </r>
  <r>
    <x v="10"/>
    <x v="0"/>
    <x v="7"/>
    <n v="2175"/>
    <n v="0"/>
    <s v="SweetCookie"/>
    <n v="1"/>
    <x v="0"/>
    <n v="0"/>
    <n v="0"/>
    <n v="0"/>
    <n v="0"/>
    <m/>
  </r>
  <r>
    <x v="10"/>
    <x v="0"/>
    <x v="7"/>
    <n v="2276"/>
    <n v="0"/>
    <s v="Water"/>
    <n v="4"/>
    <x v="1"/>
    <n v="0"/>
    <n v="0"/>
    <n v="0"/>
    <n v="0"/>
    <m/>
  </r>
  <r>
    <x v="10"/>
    <x v="0"/>
    <x v="7"/>
    <n v="2576"/>
    <n v="3"/>
    <s v="Water"/>
    <n v="4"/>
    <x v="1"/>
    <n v="0"/>
    <n v="0"/>
    <n v="0"/>
    <n v="0"/>
    <m/>
  </r>
  <r>
    <x v="10"/>
    <x v="0"/>
    <x v="7"/>
    <n v="2058"/>
    <n v="1"/>
    <s v="Water"/>
    <n v="5"/>
    <x v="1"/>
    <n v="0"/>
    <n v="0"/>
    <n v="0"/>
    <n v="0"/>
    <m/>
  </r>
  <r>
    <x v="10"/>
    <x v="0"/>
    <x v="7"/>
    <n v="2086"/>
    <n v="1"/>
    <s v="Scroll"/>
    <n v="4"/>
    <x v="0"/>
    <n v="0"/>
    <n v="8000"/>
    <n v="0"/>
    <n v="0"/>
    <m/>
  </r>
  <r>
    <x v="10"/>
    <x v="0"/>
    <x v="7"/>
    <n v="2586"/>
    <n v="3"/>
    <s v="Scroll"/>
    <n v="4"/>
    <x v="0"/>
    <n v="0"/>
    <n v="8000"/>
    <n v="0"/>
    <n v="0"/>
    <m/>
  </r>
  <r>
    <x v="10"/>
    <x v="0"/>
    <x v="7"/>
    <n v="2500"/>
    <n v="1"/>
    <s v="Scroll"/>
    <n v="5"/>
    <x v="0"/>
    <n v="0"/>
    <n v="10000"/>
    <n v="0"/>
    <n v="0"/>
    <m/>
  </r>
  <r>
    <x v="10"/>
    <x v="0"/>
    <x v="7"/>
    <n v="2526"/>
    <n v="0"/>
    <s v="Water"/>
    <n v="1"/>
    <x v="3"/>
    <n v="0"/>
    <n v="0"/>
    <n v="0"/>
    <n v="0"/>
    <m/>
  </r>
  <r>
    <x v="10"/>
    <x v="0"/>
    <x v="7"/>
    <n v="2483"/>
    <n v="3"/>
    <s v="Water"/>
    <n v="1"/>
    <x v="3"/>
    <n v="0"/>
    <n v="0"/>
    <n v="0"/>
    <n v="0"/>
    <m/>
  </r>
  <r>
    <x v="10"/>
    <x v="0"/>
    <x v="7"/>
    <n v="2491"/>
    <n v="0"/>
    <s v="SD(Bearman)"/>
    <n v="0"/>
    <x v="0"/>
    <n v="0"/>
    <n v="0"/>
    <n v="0"/>
    <n v="0"/>
    <m/>
  </r>
  <r>
    <x v="10"/>
    <x v="0"/>
    <x v="7"/>
    <n v="2730"/>
    <n v="0"/>
    <s v="Scroll"/>
    <n v="4"/>
    <x v="0"/>
    <n v="0"/>
    <n v="8000"/>
    <n v="0"/>
    <n v="0"/>
    <m/>
  </r>
  <r>
    <x v="10"/>
    <x v="0"/>
    <x v="7"/>
    <n v="2671"/>
    <n v="2"/>
    <s v="Water"/>
    <n v="4"/>
    <x v="1"/>
    <n v="0"/>
    <n v="0"/>
    <n v="0"/>
    <n v="0"/>
    <m/>
  </r>
  <r>
    <x v="10"/>
    <x v="0"/>
    <x v="7"/>
    <n v="2186"/>
    <n v="1"/>
    <s v="Angelmon"/>
    <s v="1*"/>
    <x v="0"/>
    <n v="0"/>
    <n v="0"/>
    <n v="0"/>
    <n v="0"/>
    <m/>
  </r>
  <r>
    <x v="10"/>
    <x v="0"/>
    <x v="7"/>
    <n v="2316"/>
    <n v="0"/>
    <s v="Water"/>
    <n v="3"/>
    <x v="1"/>
    <n v="0"/>
    <n v="0"/>
    <n v="0"/>
    <n v="0"/>
    <m/>
  </r>
  <r>
    <x v="10"/>
    <x v="0"/>
    <x v="7"/>
    <n v="2046"/>
    <n v="1"/>
    <s v="Water"/>
    <n v="4"/>
    <x v="1"/>
    <n v="0"/>
    <n v="0"/>
    <n v="0"/>
    <n v="0"/>
    <m/>
  </r>
  <r>
    <x v="10"/>
    <x v="0"/>
    <x v="7"/>
    <n v="2303"/>
    <n v="3"/>
    <s v="Water"/>
    <n v="1"/>
    <x v="2"/>
    <n v="0"/>
    <n v="0"/>
    <n v="0"/>
    <n v="0"/>
    <m/>
  </r>
  <r>
    <x v="10"/>
    <x v="0"/>
    <x v="7"/>
    <n v="2396"/>
    <n v="1"/>
    <s v="Water"/>
    <n v="1"/>
    <x v="2"/>
    <n v="0"/>
    <n v="0"/>
    <n v="0"/>
    <n v="0"/>
    <m/>
  </r>
  <r>
    <x v="10"/>
    <x v="0"/>
    <x v="7"/>
    <n v="2325"/>
    <n v="1"/>
    <s v="Water"/>
    <n v="2"/>
    <x v="3"/>
    <n v="0"/>
    <n v="0"/>
    <n v="0"/>
    <n v="0"/>
    <m/>
  </r>
  <r>
    <x v="10"/>
    <x v="0"/>
    <x v="7"/>
    <n v="2398"/>
    <n v="1"/>
    <s v="Water"/>
    <n v="3"/>
    <x v="1"/>
    <n v="0"/>
    <n v="0"/>
    <n v="0"/>
    <n v="0"/>
    <m/>
  </r>
  <r>
    <x v="10"/>
    <x v="0"/>
    <x v="7"/>
    <n v="2668"/>
    <n v="0"/>
    <s v="Water"/>
    <n v="3"/>
    <x v="3"/>
    <n v="0"/>
    <n v="0"/>
    <n v="0"/>
    <n v="0"/>
    <m/>
  </r>
  <r>
    <x v="3"/>
    <x v="0"/>
    <x v="6"/>
    <n v="3002"/>
    <n v="2"/>
    <s v="Magic"/>
    <n v="2"/>
    <x v="2"/>
    <n v="0"/>
    <n v="0"/>
    <n v="0"/>
    <n v="0"/>
    <m/>
  </r>
  <r>
    <x v="3"/>
    <x v="0"/>
    <x v="6"/>
    <n v="2021"/>
    <n v="1"/>
    <s v="Magic"/>
    <n v="1"/>
    <x v="2"/>
    <n v="0"/>
    <n v="0"/>
    <n v="0"/>
    <n v="0"/>
    <m/>
  </r>
  <r>
    <x v="3"/>
    <x v="0"/>
    <x v="6"/>
    <n v="2168"/>
    <n v="0"/>
    <s v="Magic"/>
    <n v="4"/>
    <x v="1"/>
    <n v="0"/>
    <n v="0"/>
    <n v="0"/>
    <n v="0"/>
    <m/>
  </r>
  <r>
    <x v="3"/>
    <x v="0"/>
    <x v="6"/>
    <n v="2540"/>
    <n v="3"/>
    <s v="Magic"/>
    <n v="1"/>
    <x v="2"/>
    <n v="0"/>
    <n v="0"/>
    <n v="0"/>
    <n v="0"/>
    <m/>
  </r>
  <r>
    <x v="3"/>
    <x v="0"/>
    <x v="6"/>
    <n v="2251"/>
    <n v="1"/>
    <s v="Magic"/>
    <n v="1"/>
    <x v="2"/>
    <n v="0"/>
    <n v="0"/>
    <n v="0"/>
    <n v="0"/>
    <m/>
  </r>
  <r>
    <x v="3"/>
    <x v="0"/>
    <x v="6"/>
    <n v="2591"/>
    <n v="1"/>
    <s v="Magic"/>
    <n v="4"/>
    <x v="1"/>
    <n v="0"/>
    <n v="0"/>
    <n v="0"/>
    <n v="0"/>
    <m/>
  </r>
  <r>
    <x v="3"/>
    <x v="0"/>
    <x v="6"/>
    <n v="2238"/>
    <n v="1"/>
    <s v="Magic"/>
    <n v="3"/>
    <x v="2"/>
    <n v="0"/>
    <n v="0"/>
    <n v="0"/>
    <n v="0"/>
    <m/>
  </r>
  <r>
    <x v="3"/>
    <x v="0"/>
    <x v="6"/>
    <n v="2506"/>
    <n v="0"/>
    <s v="Magic"/>
    <n v="3"/>
    <x v="2"/>
    <n v="0"/>
    <n v="0"/>
    <n v="0"/>
    <n v="0"/>
    <m/>
  </r>
  <r>
    <x v="3"/>
    <x v="0"/>
    <x v="6"/>
    <n v="2339"/>
    <n v="0"/>
    <s v="Magic"/>
    <n v="4"/>
    <x v="1"/>
    <n v="0"/>
    <n v="0"/>
    <n v="0"/>
    <n v="0"/>
    <m/>
  </r>
  <r>
    <x v="3"/>
    <x v="0"/>
    <x v="6"/>
    <n v="2207"/>
    <n v="1"/>
    <s v="Magic"/>
    <n v="3"/>
    <x v="1"/>
    <n v="0"/>
    <n v="0"/>
    <n v="0"/>
    <n v="0"/>
    <m/>
  </r>
  <r>
    <x v="3"/>
    <x v="0"/>
    <x v="6"/>
    <n v="1988"/>
    <n v="0"/>
    <s v="Water"/>
    <n v="3"/>
    <x v="1"/>
    <n v="0"/>
    <n v="0"/>
    <n v="0"/>
    <n v="0"/>
    <m/>
  </r>
  <r>
    <x v="3"/>
    <x v="0"/>
    <x v="6"/>
    <n v="2659"/>
    <n v="0"/>
    <s v="Magic"/>
    <n v="5"/>
    <x v="1"/>
    <n v="0"/>
    <n v="0"/>
    <n v="0"/>
    <n v="0"/>
    <m/>
  </r>
  <r>
    <x v="3"/>
    <x v="0"/>
    <x v="6"/>
    <n v="2237"/>
    <n v="0"/>
    <s v="Scroll"/>
    <n v="4"/>
    <x v="0"/>
    <n v="0"/>
    <n v="8000"/>
    <n v="0"/>
    <n v="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1"/>
    <n v="0"/>
    <n v="0"/>
    <n v="0"/>
    <n v="0"/>
    <m/>
  </r>
  <r>
    <x v="3"/>
    <x v="0"/>
    <x v="6"/>
    <n v="2248"/>
    <n v="1"/>
    <s v="Magic"/>
    <n v="2"/>
    <x v="3"/>
    <n v="0"/>
    <n v="0"/>
    <n v="0"/>
    <n v="0"/>
    <m/>
  </r>
  <r>
    <x v="7"/>
    <x v="0"/>
    <x v="2"/>
    <n v="2097"/>
    <n v="2"/>
    <s v="Fatal"/>
    <s v="4*"/>
    <x v="4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s v="2*"/>
    <x v="0"/>
    <n v="0"/>
    <n v="0"/>
    <n v="11500"/>
    <n v="15120"/>
    <m/>
  </r>
  <r>
    <x v="1"/>
    <x v="1"/>
    <x v="8"/>
    <n v="1442"/>
    <n v="1"/>
    <s v="Fod"/>
    <s v="2*"/>
    <x v="0"/>
    <n v="0"/>
    <n v="0"/>
    <n v="11500"/>
    <n v="1512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0"/>
    <n v="0"/>
    <n v="4000"/>
    <n v="0"/>
    <n v="0"/>
    <m/>
  </r>
  <r>
    <x v="1"/>
    <x v="1"/>
    <x v="8"/>
    <n v="1532"/>
    <n v="1"/>
    <s v="Scroll"/>
    <n v="2"/>
    <x v="0"/>
    <n v="0"/>
    <n v="4000"/>
    <n v="0"/>
    <n v="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0"/>
    <n v="0"/>
    <n v="4000"/>
    <n v="0"/>
    <n v="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0"/>
    <n v="0"/>
    <n v="4000"/>
    <n v="0"/>
    <n v="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s v="2*"/>
    <x v="0"/>
    <n v="0"/>
    <n v="0"/>
    <n v="11500"/>
    <n v="15120"/>
    <m/>
  </r>
  <r>
    <x v="1"/>
    <x v="1"/>
    <x v="8"/>
    <n v="1287"/>
    <n v="4"/>
    <s v="Scroll"/>
    <n v="2"/>
    <x v="0"/>
    <n v="0"/>
    <n v="4000"/>
    <n v="0"/>
    <n v="0"/>
    <m/>
  </r>
  <r>
    <x v="1"/>
    <x v="1"/>
    <x v="8"/>
    <n v="1485"/>
    <n v="1"/>
    <s v="Scroll"/>
    <n v="2"/>
    <x v="0"/>
    <n v="0"/>
    <n v="4000"/>
    <n v="0"/>
    <n v="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0"/>
    <n v="0"/>
    <n v="4000"/>
    <n v="0"/>
    <n v="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s v="2*"/>
    <x v="0"/>
    <n v="0"/>
    <n v="0"/>
    <n v="11500"/>
    <n v="1512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3"/>
    <x v="1"/>
    <n v="1628"/>
    <n v="2"/>
    <m/>
    <m/>
    <x v="0"/>
    <n v="1159"/>
    <n v="1159"/>
    <n v="0"/>
    <n v="0"/>
    <m/>
  </r>
  <r>
    <x v="0"/>
    <x v="3"/>
    <x v="1"/>
    <n v="1636"/>
    <n v="2"/>
    <m/>
    <m/>
    <x v="0"/>
    <n v="1159"/>
    <n v="1159"/>
    <n v="0"/>
    <n v="0"/>
    <m/>
  </r>
  <r>
    <x v="0"/>
    <x v="3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0"/>
    <n v="0"/>
    <n v="4000"/>
    <n v="0"/>
    <n v="0"/>
    <m/>
  </r>
  <r>
    <x v="1"/>
    <x v="1"/>
    <x v="8"/>
    <n v="1918"/>
    <n v="0"/>
    <s v="Scroll"/>
    <n v="2"/>
    <x v="0"/>
    <n v="0"/>
    <n v="4000"/>
    <n v="0"/>
    <n v="0"/>
    <m/>
  </r>
  <r>
    <x v="1"/>
    <x v="1"/>
    <x v="8"/>
    <n v="1961"/>
    <n v="1"/>
    <s v="Scroll"/>
    <n v="2"/>
    <x v="0"/>
    <n v="0"/>
    <n v="4000"/>
    <n v="0"/>
    <n v="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0"/>
    <n v="0"/>
    <n v="4000"/>
    <n v="0"/>
    <n v="0"/>
    <m/>
  </r>
  <r>
    <x v="0"/>
    <x v="3"/>
    <x v="9"/>
    <n v="1836"/>
    <n v="1"/>
    <m/>
    <m/>
    <x v="0"/>
    <n v="1352"/>
    <n v="1352"/>
    <n v="0"/>
    <n v="0"/>
    <m/>
  </r>
  <r>
    <x v="0"/>
    <x v="3"/>
    <x v="9"/>
    <n v="1596"/>
    <n v="1"/>
    <s v="Scroll"/>
    <n v="3"/>
    <x v="0"/>
    <n v="0"/>
    <n v="6000"/>
    <n v="0"/>
    <n v="0"/>
    <m/>
  </r>
  <r>
    <x v="0"/>
    <x v="3"/>
    <x v="9"/>
    <n v="1249"/>
    <n v="1"/>
    <m/>
    <m/>
    <x v="0"/>
    <n v="1352"/>
    <n v="1352"/>
    <n v="0"/>
    <n v="0"/>
    <m/>
  </r>
  <r>
    <x v="0"/>
    <x v="3"/>
    <x v="9"/>
    <n v="1211"/>
    <n v="1"/>
    <m/>
    <m/>
    <x v="0"/>
    <n v="1352"/>
    <n v="1352"/>
    <n v="0"/>
    <n v="0"/>
    <m/>
  </r>
  <r>
    <x v="0"/>
    <x v="3"/>
    <x v="9"/>
    <n v="1264"/>
    <n v="2"/>
    <m/>
    <m/>
    <x v="0"/>
    <n v="2411"/>
    <n v="2411"/>
    <n v="0"/>
    <n v="0"/>
    <m/>
  </r>
  <r>
    <x v="0"/>
    <x v="3"/>
    <x v="9"/>
    <n v="2595"/>
    <n v="0"/>
    <m/>
    <m/>
    <x v="0"/>
    <n v="2067"/>
    <n v="2067"/>
    <n v="0"/>
    <n v="0"/>
    <m/>
  </r>
  <r>
    <x v="0"/>
    <x v="3"/>
    <x v="9"/>
    <n v="1424"/>
    <n v="2"/>
    <m/>
    <m/>
    <x v="0"/>
    <n v="1159"/>
    <n v="1159"/>
    <n v="0"/>
    <n v="0"/>
    <m/>
  </r>
  <r>
    <x v="0"/>
    <x v="3"/>
    <x v="9"/>
    <n v="1971"/>
    <n v="1"/>
    <m/>
    <m/>
    <x v="0"/>
    <n v="1159"/>
    <n v="1159"/>
    <n v="0"/>
    <n v="0"/>
    <m/>
  </r>
  <r>
    <x v="0"/>
    <x v="3"/>
    <x v="9"/>
    <n v="2145"/>
    <n v="0"/>
    <m/>
    <m/>
    <x v="0"/>
    <n v="2067"/>
    <n v="2067"/>
    <n v="0"/>
    <n v="0"/>
    <m/>
  </r>
  <r>
    <x v="0"/>
    <x v="3"/>
    <x v="9"/>
    <n v="2223"/>
    <n v="0"/>
    <m/>
    <m/>
    <x v="0"/>
    <n v="1546"/>
    <n v="1546"/>
    <n v="0"/>
    <n v="0"/>
    <m/>
  </r>
  <r>
    <x v="0"/>
    <x v="3"/>
    <x v="9"/>
    <n v="2364"/>
    <n v="1"/>
    <m/>
    <m/>
    <x v="0"/>
    <n v="1159"/>
    <n v="1159"/>
    <n v="0"/>
    <n v="0"/>
    <m/>
  </r>
  <r>
    <x v="0"/>
    <x v="3"/>
    <x v="9"/>
    <n v="781"/>
    <n v="0"/>
    <m/>
    <m/>
    <x v="0"/>
    <n v="2067"/>
    <n v="2067"/>
    <n v="0"/>
    <n v="0"/>
    <m/>
  </r>
  <r>
    <x v="0"/>
    <x v="3"/>
    <x v="9"/>
    <n v="904"/>
    <n v="2"/>
    <s v="Scroll"/>
    <n v="3"/>
    <x v="0"/>
    <n v="0"/>
    <n v="6000"/>
    <n v="0"/>
    <n v="0"/>
    <m/>
  </r>
  <r>
    <x v="0"/>
    <x v="3"/>
    <x v="9"/>
    <n v="1500"/>
    <n v="0"/>
    <m/>
    <m/>
    <x v="0"/>
    <n v="1159"/>
    <n v="1159"/>
    <n v="0"/>
    <n v="0"/>
    <m/>
  </r>
  <r>
    <x v="0"/>
    <x v="3"/>
    <x v="9"/>
    <n v="1071"/>
    <n v="0"/>
    <m/>
    <m/>
    <x v="0"/>
    <n v="1159"/>
    <n v="1159"/>
    <n v="0"/>
    <n v="0"/>
    <m/>
  </r>
  <r>
    <x v="0"/>
    <x v="3"/>
    <x v="9"/>
    <n v="1683"/>
    <n v="2"/>
    <m/>
    <m/>
    <x v="0"/>
    <n v="1159"/>
    <n v="1159"/>
    <n v="0"/>
    <n v="0"/>
    <m/>
  </r>
  <r>
    <x v="0"/>
    <x v="3"/>
    <x v="9"/>
    <n v="1102"/>
    <n v="0"/>
    <m/>
    <m/>
    <x v="0"/>
    <n v="1159"/>
    <n v="1159"/>
    <n v="0"/>
    <n v="0"/>
    <m/>
  </r>
  <r>
    <x v="0"/>
    <x v="3"/>
    <x v="9"/>
    <n v="1495"/>
    <n v="1"/>
    <s v="Scroll"/>
    <n v="3"/>
    <x v="0"/>
    <n v="0"/>
    <n v="6000"/>
    <n v="0"/>
    <n v="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1"/>
    <n v="0"/>
    <n v="0"/>
    <n v="0"/>
    <n v="0"/>
    <m/>
  </r>
  <r>
    <x v="3"/>
    <x v="0"/>
    <x v="6"/>
    <n v="2191"/>
    <n v="1"/>
    <s v="Magic"/>
    <n v="1"/>
    <x v="3"/>
    <n v="0"/>
    <n v="0"/>
    <n v="0"/>
    <n v="0"/>
    <m/>
  </r>
  <r>
    <x v="3"/>
    <x v="0"/>
    <x v="6"/>
    <n v="2209"/>
    <n v="0"/>
    <s v="Magic"/>
    <n v="1"/>
    <x v="2"/>
    <n v="0"/>
    <n v="0"/>
    <n v="0"/>
    <n v="0"/>
    <m/>
  </r>
  <r>
    <x v="3"/>
    <x v="0"/>
    <x v="6"/>
    <n v="2202"/>
    <n v="1"/>
    <s v="Water"/>
    <n v="1"/>
    <x v="2"/>
    <n v="0"/>
    <n v="0"/>
    <n v="0"/>
    <n v="0"/>
    <m/>
  </r>
  <r>
    <x v="3"/>
    <x v="0"/>
    <x v="6"/>
    <n v="2118"/>
    <n v="0"/>
    <s v="Scroll"/>
    <n v="4"/>
    <x v="0"/>
    <n v="0"/>
    <n v="8000"/>
    <n v="0"/>
    <n v="0"/>
    <m/>
  </r>
  <r>
    <x v="3"/>
    <x v="0"/>
    <x v="6"/>
    <n v="2413"/>
    <n v="1"/>
    <s v="Magic"/>
    <n v="1"/>
    <x v="2"/>
    <n v="0"/>
    <n v="0"/>
    <n v="0"/>
    <n v="0"/>
    <m/>
  </r>
  <r>
    <x v="3"/>
    <x v="0"/>
    <x v="6"/>
    <n v="2546"/>
    <n v="2"/>
    <s v="Scroll"/>
    <n v="4"/>
    <x v="0"/>
    <n v="0"/>
    <n v="8000"/>
    <n v="0"/>
    <n v="0"/>
    <m/>
  </r>
  <r>
    <x v="3"/>
    <x v="0"/>
    <x v="6"/>
    <n v="1950"/>
    <n v="0"/>
    <s v="Magic"/>
    <n v="1"/>
    <x v="2"/>
    <n v="0"/>
    <n v="0"/>
    <n v="0"/>
    <n v="0"/>
    <m/>
  </r>
  <r>
    <x v="3"/>
    <x v="0"/>
    <x v="6"/>
    <n v="2444"/>
    <n v="1"/>
    <s v="Magic"/>
    <n v="5"/>
    <x v="1"/>
    <n v="0"/>
    <n v="0"/>
    <n v="0"/>
    <n v="0"/>
    <m/>
  </r>
  <r>
    <x v="3"/>
    <x v="0"/>
    <x v="6"/>
    <n v="2293"/>
    <n v="1"/>
    <s v="Magic"/>
    <n v="4"/>
    <x v="1"/>
    <n v="0"/>
    <n v="0"/>
    <n v="0"/>
    <n v="0"/>
    <m/>
  </r>
  <r>
    <x v="3"/>
    <x v="0"/>
    <x v="6"/>
    <n v="2100"/>
    <n v="0"/>
    <s v="Magic"/>
    <n v="2"/>
    <x v="2"/>
    <n v="0"/>
    <n v="0"/>
    <n v="0"/>
    <n v="0"/>
    <m/>
  </r>
  <r>
    <x v="3"/>
    <x v="0"/>
    <x v="6"/>
    <n v="2235"/>
    <n v="1"/>
    <s v="Magic"/>
    <n v="1"/>
    <x v="2"/>
    <n v="0"/>
    <n v="0"/>
    <n v="0"/>
    <n v="0"/>
    <m/>
  </r>
  <r>
    <x v="3"/>
    <x v="0"/>
    <x v="6"/>
    <n v="2213"/>
    <n v="0"/>
    <s v="Magic"/>
    <n v="3"/>
    <x v="1"/>
    <n v="0"/>
    <n v="0"/>
    <n v="0"/>
    <n v="0"/>
    <m/>
  </r>
  <r>
    <x v="3"/>
    <x v="0"/>
    <x v="6"/>
    <n v="2376"/>
    <n v="1"/>
    <s v="Wind"/>
    <n v="1"/>
    <x v="2"/>
    <n v="0"/>
    <n v="0"/>
    <n v="0"/>
    <n v="0"/>
    <m/>
  </r>
  <r>
    <x v="3"/>
    <x v="0"/>
    <x v="6"/>
    <n v="2190"/>
    <n v="0"/>
    <s v="Wind"/>
    <n v="2"/>
    <x v="2"/>
    <n v="0"/>
    <n v="0"/>
    <n v="0"/>
    <n v="0"/>
    <m/>
  </r>
  <r>
    <x v="3"/>
    <x v="0"/>
    <x v="6"/>
    <n v="2435"/>
    <n v="1"/>
    <s v="Magic"/>
    <n v="5"/>
    <x v="1"/>
    <n v="0"/>
    <n v="0"/>
    <n v="0"/>
    <n v="0"/>
    <m/>
  </r>
  <r>
    <x v="3"/>
    <x v="0"/>
    <x v="6"/>
    <n v="2777"/>
    <n v="0"/>
    <s v="Rainb"/>
    <s v="2*"/>
    <x v="0"/>
    <n v="0"/>
    <n v="0"/>
    <n v="11500"/>
    <n v="66062"/>
    <m/>
  </r>
  <r>
    <x v="3"/>
    <x v="0"/>
    <x v="6"/>
    <n v="2127"/>
    <n v="0"/>
    <s v="Magic"/>
    <n v="3"/>
    <x v="1"/>
    <n v="0"/>
    <n v="0"/>
    <n v="0"/>
    <n v="0"/>
    <m/>
  </r>
  <r>
    <x v="3"/>
    <x v="0"/>
    <x v="6"/>
    <n v="2217"/>
    <n v="1"/>
    <s v="Magic"/>
    <n v="4"/>
    <x v="1"/>
    <n v="0"/>
    <n v="0"/>
    <n v="0"/>
    <n v="0"/>
    <m/>
  </r>
  <r>
    <x v="3"/>
    <x v="0"/>
    <x v="6"/>
    <n v="2126"/>
    <n v="0"/>
    <s v="Wind"/>
    <n v="3"/>
    <x v="2"/>
    <n v="0"/>
    <n v="0"/>
    <n v="0"/>
    <n v="0"/>
    <m/>
  </r>
  <r>
    <x v="3"/>
    <x v="0"/>
    <x v="6"/>
    <n v="2061"/>
    <n v="0"/>
    <s v="Magic"/>
    <n v="5"/>
    <x v="1"/>
    <n v="0"/>
    <n v="0"/>
    <n v="0"/>
    <n v="0"/>
    <m/>
  </r>
  <r>
    <x v="3"/>
    <x v="0"/>
    <x v="6"/>
    <n v="1946"/>
    <n v="0"/>
    <s v="Fire"/>
    <n v="2"/>
    <x v="3"/>
    <n v="0"/>
    <n v="0"/>
    <n v="0"/>
    <n v="0"/>
    <m/>
  </r>
  <r>
    <x v="3"/>
    <x v="0"/>
    <x v="6"/>
    <n v="2497"/>
    <n v="1"/>
    <s v="Magic"/>
    <n v="5"/>
    <x v="1"/>
    <n v="0"/>
    <n v="0"/>
    <n v="0"/>
    <n v="0"/>
    <m/>
  </r>
  <r>
    <x v="3"/>
    <x v="0"/>
    <x v="6"/>
    <n v="1941"/>
    <n v="0"/>
    <s v="Wind"/>
    <n v="1"/>
    <x v="2"/>
    <n v="0"/>
    <n v="0"/>
    <n v="0"/>
    <n v="0"/>
    <m/>
  </r>
  <r>
    <x v="7"/>
    <x v="0"/>
    <x v="7"/>
    <n v="3681"/>
    <n v="1"/>
    <s v="Blue"/>
    <s v="4*"/>
    <x v="0"/>
    <m/>
    <n v="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0"/>
    <n v="0"/>
    <n v="8000"/>
    <n v="0"/>
    <n v="0"/>
    <m/>
  </r>
  <r>
    <x v="3"/>
    <x v="0"/>
    <x v="6"/>
    <n v="2683"/>
    <n v="0"/>
    <s v="Magic"/>
    <n v="1"/>
    <x v="2"/>
    <n v="0"/>
    <n v="0"/>
    <n v="0"/>
    <n v="0"/>
    <m/>
  </r>
  <r>
    <x v="3"/>
    <x v="0"/>
    <x v="6"/>
    <n v="2361"/>
    <n v="3"/>
    <s v="Magic"/>
    <n v="1"/>
    <x v="3"/>
    <n v="0"/>
    <n v="0"/>
    <n v="0"/>
    <n v="0"/>
    <m/>
  </r>
  <r>
    <x v="3"/>
    <x v="0"/>
    <x v="6"/>
    <n v="2012"/>
    <n v="1"/>
    <s v="Magic"/>
    <n v="1"/>
    <x v="2"/>
    <n v="0"/>
    <n v="0"/>
    <n v="0"/>
    <n v="0"/>
    <m/>
  </r>
  <r>
    <x v="3"/>
    <x v="0"/>
    <x v="6"/>
    <n v="2525"/>
    <n v="0"/>
    <s v="Wind"/>
    <n v="1"/>
    <x v="2"/>
    <n v="0"/>
    <n v="0"/>
    <n v="0"/>
    <n v="0"/>
    <m/>
  </r>
  <r>
    <x v="3"/>
    <x v="0"/>
    <x v="6"/>
    <n v="2271"/>
    <n v="0"/>
    <s v="Magic"/>
    <n v="4"/>
    <x v="1"/>
    <n v="0"/>
    <n v="0"/>
    <n v="0"/>
    <n v="0"/>
    <m/>
  </r>
  <r>
    <x v="3"/>
    <x v="0"/>
    <x v="6"/>
    <n v="2602"/>
    <n v="1"/>
    <s v="Fire"/>
    <n v="1"/>
    <x v="3"/>
    <n v="0"/>
    <n v="0"/>
    <n v="0"/>
    <n v="0"/>
    <m/>
  </r>
  <r>
    <x v="3"/>
    <x v="0"/>
    <x v="6"/>
    <n v="2453"/>
    <n v="0"/>
    <s v="Magic"/>
    <n v="1"/>
    <x v="2"/>
    <n v="0"/>
    <n v="0"/>
    <n v="0"/>
    <n v="0"/>
    <m/>
  </r>
  <r>
    <x v="3"/>
    <x v="0"/>
    <x v="6"/>
    <n v="2244"/>
    <n v="0"/>
    <s v="Magic"/>
    <n v="5"/>
    <x v="1"/>
    <n v="0"/>
    <n v="0"/>
    <n v="0"/>
    <n v="0"/>
    <m/>
  </r>
  <r>
    <x v="3"/>
    <x v="0"/>
    <x v="6"/>
    <n v="2817"/>
    <n v="0"/>
    <s v="Magic"/>
    <n v="1"/>
    <x v="3"/>
    <n v="0"/>
    <n v="0"/>
    <n v="0"/>
    <n v="0"/>
    <m/>
  </r>
  <r>
    <x v="3"/>
    <x v="0"/>
    <x v="6"/>
    <n v="2234"/>
    <n v="1"/>
    <s v="Magic"/>
    <n v="3"/>
    <x v="1"/>
    <n v="0"/>
    <n v="0"/>
    <n v="0"/>
    <n v="0"/>
    <m/>
  </r>
  <r>
    <x v="3"/>
    <x v="0"/>
    <x v="6"/>
    <n v="2463"/>
    <n v="0"/>
    <s v="Scroll"/>
    <n v="4"/>
    <x v="0"/>
    <n v="0"/>
    <n v="8000"/>
    <n v="0"/>
    <n v="0"/>
    <m/>
  </r>
  <r>
    <x v="3"/>
    <x v="0"/>
    <x v="6"/>
    <n v="2474"/>
    <n v="0"/>
    <s v="Magic"/>
    <n v="5"/>
    <x v="1"/>
    <n v="0"/>
    <n v="0"/>
    <n v="0"/>
    <n v="0"/>
    <m/>
  </r>
  <r>
    <x v="3"/>
    <x v="0"/>
    <x v="6"/>
    <n v="2455"/>
    <n v="0"/>
    <s v="Magic"/>
    <n v="1"/>
    <x v="2"/>
    <n v="0"/>
    <n v="0"/>
    <n v="0"/>
    <n v="0"/>
    <m/>
  </r>
  <r>
    <x v="3"/>
    <x v="0"/>
    <x v="6"/>
    <n v="2373"/>
    <n v="1"/>
    <s v="Magic"/>
    <n v="1"/>
    <x v="3"/>
    <n v="0"/>
    <n v="0"/>
    <n v="0"/>
    <n v="0"/>
    <m/>
  </r>
  <r>
    <x v="3"/>
    <x v="0"/>
    <x v="6"/>
    <n v="2131"/>
    <n v="1"/>
    <s v="Magic"/>
    <n v="1"/>
    <x v="2"/>
    <n v="0"/>
    <n v="0"/>
    <n v="0"/>
    <n v="0"/>
    <m/>
  </r>
  <r>
    <x v="3"/>
    <x v="0"/>
    <x v="6"/>
    <n v="2300"/>
    <n v="0"/>
    <s v="Scroll"/>
    <n v="4"/>
    <x v="0"/>
    <n v="0"/>
    <n v="8000"/>
    <n v="0"/>
    <n v="0"/>
    <m/>
  </r>
  <r>
    <x v="3"/>
    <x v="0"/>
    <x v="6"/>
    <n v="2089"/>
    <n v="0"/>
    <s v="Magic"/>
    <n v="3"/>
    <x v="1"/>
    <n v="0"/>
    <n v="0"/>
    <n v="0"/>
    <n v="0"/>
    <m/>
  </r>
  <r>
    <x v="3"/>
    <x v="0"/>
    <x v="6"/>
    <n v="2291"/>
    <n v="1"/>
    <s v="Magic"/>
    <n v="4"/>
    <x v="1"/>
    <n v="0"/>
    <n v="0"/>
    <n v="0"/>
    <n v="0"/>
    <m/>
  </r>
  <r>
    <x v="8"/>
    <x v="0"/>
    <x v="6"/>
    <n v="2217"/>
    <n v="0"/>
    <s v="Dark"/>
    <n v="2"/>
    <x v="2"/>
    <n v="0"/>
    <n v="0"/>
    <n v="0"/>
    <n v="0"/>
    <m/>
  </r>
  <r>
    <x v="8"/>
    <x v="0"/>
    <x v="7"/>
    <n v="2635"/>
    <n v="0"/>
    <s v="Scroll"/>
    <n v="5"/>
    <x v="0"/>
    <n v="0"/>
    <n v="10000"/>
    <n v="0"/>
    <n v="0"/>
    <m/>
  </r>
  <r>
    <x v="8"/>
    <x v="0"/>
    <x v="7"/>
    <n v="2286"/>
    <n v="0"/>
    <s v="Dark"/>
    <n v="2"/>
    <x v="2"/>
    <n v="0"/>
    <n v="0"/>
    <n v="0"/>
    <n v="0"/>
    <m/>
  </r>
  <r>
    <x v="8"/>
    <x v="0"/>
    <x v="7"/>
    <n v="2828"/>
    <n v="0"/>
    <s v="Dark"/>
    <n v="1"/>
    <x v="2"/>
    <n v="0"/>
    <n v="0"/>
    <n v="0"/>
    <n v="0"/>
    <m/>
  </r>
  <r>
    <x v="8"/>
    <x v="0"/>
    <x v="10"/>
    <n v="2917"/>
    <n v="2"/>
    <s v="Dark"/>
    <n v="3"/>
    <x v="2"/>
    <n v="0"/>
    <n v="0"/>
    <n v="0"/>
    <n v="0"/>
    <m/>
  </r>
  <r>
    <x v="8"/>
    <x v="0"/>
    <x v="11"/>
    <n v="2771"/>
    <n v="0"/>
    <s v="Dark"/>
    <n v="1"/>
    <x v="2"/>
    <n v="0"/>
    <n v="0"/>
    <n v="0"/>
    <n v="0"/>
    <m/>
  </r>
  <r>
    <x v="8"/>
    <x v="0"/>
    <x v="11"/>
    <n v="3158"/>
    <n v="1"/>
    <s v="Dark"/>
    <n v="3"/>
    <x v="3"/>
    <n v="0"/>
    <n v="0"/>
    <n v="0"/>
    <n v="0"/>
    <m/>
  </r>
  <r>
    <x v="8"/>
    <x v="0"/>
    <x v="11"/>
    <n v="3080"/>
    <n v="0"/>
    <s v="Dark"/>
    <n v="5"/>
    <x v="1"/>
    <n v="0"/>
    <n v="0"/>
    <n v="0"/>
    <n v="0"/>
    <m/>
  </r>
  <r>
    <x v="8"/>
    <x v="0"/>
    <x v="11"/>
    <n v="3091"/>
    <n v="2"/>
    <s v="Dark"/>
    <n v="5"/>
    <x v="1"/>
    <n v="0"/>
    <n v="0"/>
    <n v="0"/>
    <n v="0"/>
    <m/>
  </r>
  <r>
    <x v="3"/>
    <x v="0"/>
    <x v="10"/>
    <n v="2945"/>
    <n v="1"/>
    <s v="Magic"/>
    <n v="2"/>
    <x v="3"/>
    <n v="0"/>
    <n v="0"/>
    <n v="0"/>
    <n v="0"/>
    <m/>
  </r>
  <r>
    <x v="3"/>
    <x v="0"/>
    <x v="10"/>
    <n v="2556"/>
    <n v="1"/>
    <s v="Magic"/>
    <n v="1"/>
    <x v="2"/>
    <n v="0"/>
    <n v="0"/>
    <n v="0"/>
    <n v="0"/>
    <m/>
  </r>
  <r>
    <x v="3"/>
    <x v="0"/>
    <x v="10"/>
    <n v="2925"/>
    <n v="0"/>
    <s v="Magic"/>
    <n v="5"/>
    <x v="1"/>
    <n v="0"/>
    <n v="0"/>
    <n v="0"/>
    <n v="0"/>
    <m/>
  </r>
  <r>
    <x v="3"/>
    <x v="0"/>
    <x v="10"/>
    <n v="2776"/>
    <n v="1"/>
    <s v="Magic"/>
    <n v="5"/>
    <x v="1"/>
    <n v="0"/>
    <n v="0"/>
    <n v="0"/>
    <n v="0"/>
    <m/>
  </r>
  <r>
    <x v="3"/>
    <x v="0"/>
    <x v="10"/>
    <n v="2669"/>
    <n v="0"/>
    <s v="Magic"/>
    <n v="1"/>
    <x v="2"/>
    <n v="0"/>
    <n v="0"/>
    <n v="0"/>
    <n v="0"/>
    <m/>
  </r>
  <r>
    <x v="3"/>
    <x v="0"/>
    <x v="10"/>
    <n v="2813"/>
    <n v="1"/>
    <s v="Magic"/>
    <n v="5"/>
    <x v="1"/>
    <n v="0"/>
    <n v="0"/>
    <n v="0"/>
    <n v="0"/>
    <m/>
  </r>
  <r>
    <x v="3"/>
    <x v="0"/>
    <x v="10"/>
    <n v="2871"/>
    <n v="0"/>
    <s v="Magic"/>
    <n v="2"/>
    <x v="2"/>
    <n v="0"/>
    <n v="0"/>
    <n v="0"/>
    <n v="0"/>
    <m/>
  </r>
  <r>
    <x v="3"/>
    <x v="0"/>
    <x v="10"/>
    <n v="2829"/>
    <n v="0"/>
    <s v="Magic"/>
    <n v="3"/>
    <x v="1"/>
    <n v="0"/>
    <n v="0"/>
    <n v="0"/>
    <n v="0"/>
    <m/>
  </r>
  <r>
    <x v="3"/>
    <x v="0"/>
    <x v="10"/>
    <n v="2312"/>
    <n v="1"/>
    <s v="Rainb"/>
    <s v="2*"/>
    <x v="0"/>
    <n v="0"/>
    <n v="0"/>
    <n v="11500"/>
    <n v="66062"/>
    <m/>
  </r>
  <r>
    <x v="7"/>
    <x v="0"/>
    <x v="7"/>
    <n v="3502"/>
    <n v="1"/>
    <s v="Blue"/>
    <s v="5*"/>
    <x v="0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3"/>
    <n v="0"/>
    <n v="0"/>
    <n v="0"/>
    <n v="0"/>
    <m/>
  </r>
  <r>
    <x v="3"/>
    <x v="0"/>
    <x v="10"/>
    <n v="2958"/>
    <n v="0"/>
    <s v="Rainb"/>
    <s v="2*"/>
    <x v="0"/>
    <n v="0"/>
    <n v="0"/>
    <n v="11500"/>
    <n v="66062"/>
    <m/>
  </r>
  <r>
    <x v="3"/>
    <x v="0"/>
    <x v="10"/>
    <n v="2545"/>
    <n v="2"/>
    <s v="Magic"/>
    <n v="3"/>
    <x v="2"/>
    <n v="0"/>
    <n v="0"/>
    <n v="0"/>
    <n v="0"/>
    <m/>
  </r>
  <r>
    <x v="3"/>
    <x v="0"/>
    <x v="10"/>
    <n v="2649"/>
    <n v="3"/>
    <s v="Water"/>
    <n v="2"/>
    <x v="2"/>
    <n v="0"/>
    <n v="0"/>
    <n v="0"/>
    <n v="0"/>
    <m/>
  </r>
  <r>
    <x v="3"/>
    <x v="0"/>
    <x v="10"/>
    <n v="2432"/>
    <n v="0"/>
    <s v="Water"/>
    <n v="4"/>
    <x v="1"/>
    <n v="0"/>
    <n v="0"/>
    <n v="0"/>
    <n v="0"/>
    <m/>
  </r>
  <r>
    <x v="3"/>
    <x v="0"/>
    <x v="10"/>
    <n v="2881"/>
    <n v="0"/>
    <s v="Magic"/>
    <n v="1"/>
    <x v="3"/>
    <n v="0"/>
    <n v="0"/>
    <n v="0"/>
    <n v="0"/>
    <m/>
  </r>
  <r>
    <x v="1"/>
    <x v="1"/>
    <x v="8"/>
    <n v="1977"/>
    <n v="0"/>
    <s v="Fod"/>
    <s v="3*"/>
    <x v="0"/>
    <n v="0"/>
    <n v="0"/>
    <n v="34500"/>
    <n v="6606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0"/>
    <n v="0"/>
    <n v="4000"/>
    <n v="0"/>
    <n v="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s v="2*"/>
    <x v="0"/>
    <m/>
    <n v="0"/>
    <n v="11500"/>
    <n v="66062"/>
    <m/>
  </r>
  <r>
    <x v="5"/>
    <x v="1"/>
    <x v="8"/>
    <n v="1819"/>
    <n v="0"/>
    <s v="Fod"/>
    <s v="2*"/>
    <x v="0"/>
    <m/>
    <n v="0"/>
    <n v="11500"/>
    <n v="1512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7"/>
    <x v="0"/>
    <x v="7"/>
    <n v="3665"/>
    <n v="1"/>
    <s v="Blue"/>
    <s v="4*"/>
    <x v="0"/>
    <n v="3307"/>
    <n v="3307"/>
    <n v="0"/>
    <n v="0"/>
    <m/>
  </r>
  <r>
    <x v="3"/>
    <x v="0"/>
    <x v="10"/>
    <n v="2824"/>
    <n v="1"/>
    <s v="Magic"/>
    <n v="1"/>
    <x v="2"/>
    <n v="0"/>
    <n v="0"/>
    <n v="0"/>
    <n v="0"/>
    <m/>
  </r>
  <r>
    <x v="3"/>
    <x v="0"/>
    <x v="10"/>
    <n v="2951"/>
    <n v="3"/>
    <s v="Magic"/>
    <n v="2"/>
    <x v="2"/>
    <n v="0"/>
    <n v="0"/>
    <n v="0"/>
    <n v="0"/>
    <m/>
  </r>
  <r>
    <x v="3"/>
    <x v="0"/>
    <x v="10"/>
    <n v="2543"/>
    <n v="1"/>
    <s v="Magic"/>
    <n v="4"/>
    <x v="1"/>
    <n v="0"/>
    <n v="0"/>
    <n v="0"/>
    <n v="0"/>
    <m/>
  </r>
  <r>
    <x v="3"/>
    <x v="0"/>
    <x v="10"/>
    <n v="2872"/>
    <n v="1"/>
    <s v="Magic"/>
    <n v="1"/>
    <x v="3"/>
    <n v="0"/>
    <n v="0"/>
    <n v="0"/>
    <n v="0"/>
    <m/>
  </r>
  <r>
    <x v="3"/>
    <x v="0"/>
    <x v="10"/>
    <n v="2837"/>
    <n v="1"/>
    <s v="Scroll"/>
    <n v="4"/>
    <x v="0"/>
    <n v="0"/>
    <n v="8000"/>
    <n v="0"/>
    <n v="0"/>
    <m/>
  </r>
  <r>
    <x v="11"/>
    <x v="0"/>
    <x v="10"/>
    <n v="2891"/>
    <n v="0"/>
    <s v="Scroll"/>
    <n v="4"/>
    <x v="0"/>
    <n v="0"/>
    <n v="8000"/>
    <n v="0"/>
    <n v="0"/>
    <m/>
  </r>
  <r>
    <x v="11"/>
    <x v="0"/>
    <x v="10"/>
    <n v="2801"/>
    <n v="0"/>
    <s v="Fire"/>
    <n v="4"/>
    <x v="1"/>
    <n v="0"/>
    <n v="0"/>
    <n v="0"/>
    <n v="0"/>
    <m/>
  </r>
  <r>
    <x v="11"/>
    <x v="0"/>
    <x v="10"/>
    <n v="2407"/>
    <n v="0"/>
    <s v="Fire"/>
    <n v="1"/>
    <x v="2"/>
    <n v="0"/>
    <n v="0"/>
    <n v="0"/>
    <n v="0"/>
    <m/>
  </r>
  <r>
    <x v="11"/>
    <x v="0"/>
    <x v="10"/>
    <n v="2748"/>
    <n v="0"/>
    <m/>
    <m/>
    <x v="0"/>
    <n v="0"/>
    <n v="0"/>
    <n v="0"/>
    <n v="0"/>
    <m/>
  </r>
  <r>
    <x v="11"/>
    <x v="0"/>
    <x v="10"/>
    <n v="2679"/>
    <n v="1"/>
    <s v="Rainb"/>
    <s v="2*"/>
    <x v="0"/>
    <n v="0"/>
    <n v="0"/>
    <n v="11500"/>
    <n v="66062"/>
    <m/>
  </r>
  <r>
    <x v="11"/>
    <x v="0"/>
    <x v="11"/>
    <n v="2720"/>
    <n v="0"/>
    <s v="Fire"/>
    <n v="1"/>
    <x v="2"/>
    <n v="0"/>
    <n v="0"/>
    <n v="0"/>
    <n v="0"/>
    <m/>
  </r>
  <r>
    <x v="11"/>
    <x v="0"/>
    <x v="11"/>
    <n v="0"/>
    <n v="0"/>
    <m/>
    <m/>
    <x v="0"/>
    <n v="0"/>
    <n v="0"/>
    <n v="0"/>
    <n v="0"/>
    <s v="Y"/>
  </r>
  <r>
    <x v="11"/>
    <x v="0"/>
    <x v="10"/>
    <n v="2875"/>
    <n v="0"/>
    <s v="Angelmon"/>
    <s v="1*"/>
    <x v="0"/>
    <n v="0"/>
    <n v="0"/>
    <n v="0"/>
    <n v="0"/>
    <m/>
  </r>
  <r>
    <x v="11"/>
    <x v="0"/>
    <x v="10"/>
    <n v="2734"/>
    <n v="0"/>
    <s v="Fire"/>
    <n v="3"/>
    <x v="3"/>
    <n v="0"/>
    <n v="0"/>
    <n v="0"/>
    <n v="0"/>
    <m/>
  </r>
  <r>
    <x v="11"/>
    <x v="0"/>
    <x v="10"/>
    <n v="3073"/>
    <n v="0"/>
    <s v="Fire"/>
    <n v="2"/>
    <x v="2"/>
    <n v="0"/>
    <n v="0"/>
    <n v="0"/>
    <n v="0"/>
    <m/>
  </r>
  <r>
    <x v="11"/>
    <x v="0"/>
    <x v="10"/>
    <n v="2813"/>
    <n v="0"/>
    <s v="Fire"/>
    <n v="2"/>
    <x v="2"/>
    <n v="0"/>
    <n v="0"/>
    <n v="0"/>
    <n v="0"/>
    <m/>
  </r>
  <r>
    <x v="11"/>
    <x v="0"/>
    <x v="10"/>
    <n v="2758"/>
    <n v="0"/>
    <s v="Candy"/>
    <n v="3"/>
    <x v="0"/>
    <n v="0"/>
    <n v="0"/>
    <n v="0"/>
    <n v="0"/>
    <m/>
  </r>
  <r>
    <x v="11"/>
    <x v="0"/>
    <x v="10"/>
    <n v="2313"/>
    <n v="1"/>
    <s v="Fire"/>
    <n v="3"/>
    <x v="2"/>
    <n v="0"/>
    <n v="0"/>
    <n v="0"/>
    <n v="0"/>
    <m/>
  </r>
  <r>
    <x v="11"/>
    <x v="0"/>
    <x v="10"/>
    <n v="2625"/>
    <n v="1"/>
    <s v="Fire"/>
    <n v="3"/>
    <x v="2"/>
    <n v="0"/>
    <n v="0"/>
    <n v="0"/>
    <n v="0"/>
    <m/>
  </r>
  <r>
    <x v="11"/>
    <x v="0"/>
    <x v="10"/>
    <n v="2515"/>
    <n v="0"/>
    <s v="Fire"/>
    <n v="1"/>
    <x v="3"/>
    <n v="0"/>
    <n v="0"/>
    <n v="0"/>
    <n v="0"/>
    <m/>
  </r>
  <r>
    <x v="11"/>
    <x v="0"/>
    <x v="10"/>
    <n v="2516"/>
    <n v="1"/>
    <s v="Candy"/>
    <n v="1"/>
    <x v="0"/>
    <n v="0"/>
    <n v="0"/>
    <n v="0"/>
    <n v="0"/>
    <m/>
  </r>
  <r>
    <x v="11"/>
    <x v="0"/>
    <x v="10"/>
    <n v="2850"/>
    <n v="2"/>
    <s v="EoFire(low)"/>
    <n v="3"/>
    <x v="1"/>
    <n v="0"/>
    <n v="0"/>
    <n v="0"/>
    <n v="0"/>
    <m/>
  </r>
  <r>
    <x v="3"/>
    <x v="0"/>
    <x v="10"/>
    <n v="2559"/>
    <n v="3"/>
    <s v="Magic"/>
    <n v="3"/>
    <x v="2"/>
    <n v="0"/>
    <n v="0"/>
    <n v="0"/>
    <n v="0"/>
    <m/>
  </r>
  <r>
    <x v="7"/>
    <x v="0"/>
    <x v="7"/>
    <n v="3425"/>
    <n v="0"/>
    <s v="Blue"/>
    <s v="4*"/>
    <x v="0"/>
    <n v="3445"/>
    <n v="3445"/>
    <n v="0"/>
    <n v="0"/>
    <m/>
  </r>
  <r>
    <x v="11"/>
    <x v="0"/>
    <x v="10"/>
    <n v="2517"/>
    <n v="0"/>
    <s v="Candy"/>
    <n v="2"/>
    <x v="0"/>
    <n v="0"/>
    <n v="0"/>
    <n v="0"/>
    <n v="0"/>
    <m/>
  </r>
  <r>
    <x v="11"/>
    <x v="0"/>
    <x v="10"/>
    <n v="2615"/>
    <n v="2"/>
    <s v="Fire"/>
    <n v="2"/>
    <x v="3"/>
    <n v="0"/>
    <n v="0"/>
    <n v="0"/>
    <n v="0"/>
    <m/>
  </r>
  <r>
    <x v="11"/>
    <x v="0"/>
    <x v="10"/>
    <n v="2798"/>
    <n v="2"/>
    <s v="Rainb"/>
    <s v="2*"/>
    <x v="0"/>
    <n v="0"/>
    <n v="0"/>
    <n v="11500"/>
    <n v="66062"/>
    <m/>
  </r>
  <r>
    <x v="11"/>
    <x v="0"/>
    <x v="10"/>
    <n v="2602"/>
    <n v="0"/>
    <s v="Fire"/>
    <n v="3"/>
    <x v="2"/>
    <n v="0"/>
    <n v="0"/>
    <n v="0"/>
    <n v="0"/>
    <m/>
  </r>
  <r>
    <x v="11"/>
    <x v="0"/>
    <x v="10"/>
    <n v="2901"/>
    <n v="1"/>
    <s v="Fire"/>
    <n v="1"/>
    <x v="2"/>
    <n v="0"/>
    <n v="0"/>
    <n v="0"/>
    <n v="0"/>
    <m/>
  </r>
  <r>
    <x v="11"/>
    <x v="0"/>
    <x v="10"/>
    <n v="540"/>
    <n v="0"/>
    <m/>
    <m/>
    <x v="0"/>
    <n v="0"/>
    <n v="0"/>
    <n v="0"/>
    <n v="0"/>
    <s v="Y"/>
  </r>
  <r>
    <x v="11"/>
    <x v="0"/>
    <x v="10"/>
    <n v="3199"/>
    <n v="0"/>
    <s v="Fire"/>
    <n v="1"/>
    <x v="2"/>
    <n v="0"/>
    <n v="0"/>
    <n v="0"/>
    <n v="0"/>
    <m/>
  </r>
  <r>
    <x v="11"/>
    <x v="0"/>
    <x v="10"/>
    <n v="2926"/>
    <n v="1"/>
    <s v="Fire"/>
    <n v="1"/>
    <x v="2"/>
    <n v="0"/>
    <n v="0"/>
    <n v="0"/>
    <n v="0"/>
    <m/>
  </r>
  <r>
    <x v="11"/>
    <x v="0"/>
    <x v="10"/>
    <n v="2560"/>
    <n v="1"/>
    <s v="Fire"/>
    <n v="4"/>
    <x v="1"/>
    <n v="0"/>
    <n v="0"/>
    <n v="0"/>
    <n v="0"/>
    <m/>
  </r>
  <r>
    <x v="11"/>
    <x v="0"/>
    <x v="10"/>
    <n v="2313"/>
    <n v="1"/>
    <s v="Fire"/>
    <n v="4"/>
    <x v="1"/>
    <n v="0"/>
    <n v="0"/>
    <n v="0"/>
    <n v="0"/>
    <m/>
  </r>
  <r>
    <x v="11"/>
    <x v="0"/>
    <x v="10"/>
    <n v="3329"/>
    <n v="2"/>
    <s v="Fire"/>
    <n v="3"/>
    <x v="1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0"/>
    <n v="0"/>
    <n v="4000"/>
    <n v="0"/>
    <n v="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0"/>
    <n v="0"/>
    <n v="4000"/>
    <n v="0"/>
    <n v="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0"/>
    <m/>
    <n v="4000"/>
    <n v="0"/>
    <n v="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0"/>
    <n v="0"/>
    <n v="4000"/>
    <n v="0"/>
    <n v="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0"/>
    <n v="0"/>
    <n v="4000"/>
    <n v="0"/>
    <n v="0"/>
    <m/>
  </r>
  <r>
    <x v="11"/>
    <x v="0"/>
    <x v="10"/>
    <n v="2634"/>
    <n v="1"/>
    <s v="Fire"/>
    <n v="1"/>
    <x v="0"/>
    <n v="0"/>
    <n v="0"/>
    <n v="0"/>
    <n v="0"/>
    <m/>
  </r>
  <r>
    <x v="7"/>
    <x v="0"/>
    <x v="7"/>
    <n v="3118"/>
    <n v="0"/>
    <s v="Blue"/>
    <s v="5*"/>
    <x v="0"/>
    <m/>
    <n v="0"/>
    <n v="0"/>
    <n v="0"/>
    <m/>
  </r>
  <r>
    <x v="7"/>
    <x v="0"/>
    <x v="7"/>
    <n v="3166"/>
    <n v="3"/>
    <s v="Scroll"/>
    <n v="5"/>
    <x v="0"/>
    <m/>
    <n v="10000"/>
    <n v="0"/>
    <n v="0"/>
    <m/>
  </r>
  <r>
    <x v="7"/>
    <x v="0"/>
    <x v="7"/>
    <n v="3825"/>
    <n v="1"/>
    <s v="Candy"/>
    <n v="1"/>
    <x v="0"/>
    <m/>
    <n v="0"/>
    <n v="0"/>
    <n v="0"/>
    <m/>
  </r>
  <r>
    <x v="7"/>
    <x v="0"/>
    <x v="7"/>
    <n v="3553"/>
    <n v="0"/>
    <s v="Blue"/>
    <s v="5*"/>
    <x v="0"/>
    <m/>
    <n v="0"/>
    <n v="0"/>
    <n v="0"/>
    <m/>
  </r>
  <r>
    <x v="7"/>
    <x v="0"/>
    <x v="7"/>
    <n v="3574"/>
    <n v="1"/>
    <s v="Pink"/>
    <s v="4*"/>
    <x v="0"/>
    <n v="4134"/>
    <n v="4134"/>
    <n v="0"/>
    <n v="0"/>
    <m/>
  </r>
  <r>
    <x v="7"/>
    <x v="0"/>
    <x v="7"/>
    <n v="3456"/>
    <n v="3"/>
    <s v="Blue"/>
    <s v="4*"/>
    <x v="0"/>
    <n v="2411"/>
    <n v="2411"/>
    <n v="0"/>
    <n v="0"/>
    <m/>
  </r>
  <r>
    <x v="7"/>
    <x v="0"/>
    <x v="7"/>
    <n v="3185"/>
    <n v="0"/>
    <s v="Blue"/>
    <s v="5*"/>
    <x v="0"/>
    <n v="6502"/>
    <n v="6502"/>
    <n v="0"/>
    <n v="0"/>
    <m/>
  </r>
  <r>
    <x v="7"/>
    <x v="0"/>
    <x v="7"/>
    <n v="3742"/>
    <n v="4"/>
    <s v="Blue"/>
    <s v="4*"/>
    <x v="0"/>
    <n v="4593"/>
    <n v="4593"/>
    <n v="0"/>
    <n v="0"/>
    <m/>
  </r>
  <r>
    <x v="10"/>
    <x v="0"/>
    <x v="10"/>
    <n v="2924"/>
    <n v="1"/>
    <s v="Water"/>
    <n v="1"/>
    <x v="2"/>
    <n v="0"/>
    <n v="0"/>
    <n v="0"/>
    <n v="0"/>
    <m/>
  </r>
  <r>
    <x v="10"/>
    <x v="0"/>
    <x v="10"/>
    <n v="3192"/>
    <n v="2"/>
    <s v="Water"/>
    <n v="2"/>
    <x v="2"/>
    <n v="0"/>
    <n v="0"/>
    <n v="0"/>
    <n v="0"/>
    <m/>
  </r>
  <r>
    <x v="10"/>
    <x v="0"/>
    <x v="10"/>
    <n v="2967"/>
    <n v="1"/>
    <s v="Water"/>
    <n v="2"/>
    <x v="2"/>
    <n v="0"/>
    <n v="0"/>
    <n v="0"/>
    <n v="0"/>
    <m/>
  </r>
  <r>
    <x v="10"/>
    <x v="0"/>
    <x v="10"/>
    <n v="2926"/>
    <n v="0"/>
    <s v="Water"/>
    <n v="3"/>
    <x v="1"/>
    <n v="0"/>
    <n v="0"/>
    <n v="0"/>
    <n v="0"/>
    <m/>
  </r>
  <r>
    <x v="10"/>
    <x v="0"/>
    <x v="10"/>
    <n v="2801"/>
    <n v="1"/>
    <s v="Water"/>
    <n v="3"/>
    <x v="1"/>
    <n v="0"/>
    <n v="0"/>
    <n v="0"/>
    <n v="0"/>
    <m/>
  </r>
  <r>
    <x v="10"/>
    <x v="0"/>
    <x v="10"/>
    <n v="2800"/>
    <n v="0"/>
    <s v="SD"/>
    <s v="Vagabond"/>
    <x v="0"/>
    <n v="0"/>
    <n v="0"/>
    <n v="0"/>
    <n v="0"/>
    <m/>
  </r>
  <r>
    <x v="10"/>
    <x v="0"/>
    <x v="10"/>
    <n v="2913"/>
    <n v="0"/>
    <s v="Water"/>
    <n v="1"/>
    <x v="3"/>
    <n v="0"/>
    <n v="0"/>
    <n v="0"/>
    <n v="0"/>
    <m/>
  </r>
  <r>
    <x v="10"/>
    <x v="0"/>
    <x v="10"/>
    <n v="2812"/>
    <n v="1"/>
    <s v="Water"/>
    <n v="1"/>
    <x v="2"/>
    <n v="0"/>
    <n v="0"/>
    <n v="0"/>
    <n v="0"/>
    <m/>
  </r>
  <r>
    <x v="10"/>
    <x v="0"/>
    <x v="10"/>
    <n v="2449"/>
    <n v="0"/>
    <s v="Rainb"/>
    <s v="2*"/>
    <x v="0"/>
    <n v="0"/>
    <n v="0"/>
    <n v="11500"/>
    <n v="66062"/>
    <m/>
  </r>
  <r>
    <x v="10"/>
    <x v="0"/>
    <x v="10"/>
    <n v="2754"/>
    <n v="1"/>
    <s v="Myst.Scroll"/>
    <n v="1"/>
    <x v="0"/>
    <n v="0"/>
    <n v="0"/>
    <n v="0"/>
    <n v="0"/>
    <m/>
  </r>
  <r>
    <x v="10"/>
    <x v="0"/>
    <x v="10"/>
    <n v="2824"/>
    <n v="1"/>
    <s v="SD"/>
    <s v="Pixie"/>
    <x v="0"/>
    <n v="0"/>
    <n v="0"/>
    <n v="0"/>
    <n v="0"/>
    <m/>
  </r>
  <r>
    <x v="10"/>
    <x v="0"/>
    <x v="10"/>
    <n v="2980"/>
    <n v="0"/>
    <s v="Water"/>
    <n v="1"/>
    <x v="2"/>
    <n v="0"/>
    <n v="0"/>
    <n v="0"/>
    <n v="0"/>
    <m/>
  </r>
  <r>
    <x v="10"/>
    <x v="0"/>
    <x v="10"/>
    <n v="2957"/>
    <n v="0"/>
    <s v="Angelmon"/>
    <s v="1*"/>
    <x v="0"/>
    <n v="0"/>
    <n v="0"/>
    <n v="0"/>
    <n v="0"/>
    <m/>
  </r>
  <r>
    <x v="10"/>
    <x v="0"/>
    <x v="10"/>
    <n v="2417"/>
    <n v="0"/>
    <s v="Scroll"/>
    <n v="4"/>
    <x v="0"/>
    <n v="0"/>
    <n v="8000"/>
    <n v="0"/>
    <n v="0"/>
    <m/>
  </r>
  <r>
    <x v="10"/>
    <x v="0"/>
    <x v="10"/>
    <n v="2671"/>
    <n v="0"/>
    <s v="Water"/>
    <n v="5"/>
    <x v="1"/>
    <n v="0"/>
    <n v="0"/>
    <n v="0"/>
    <n v="0"/>
    <m/>
  </r>
  <r>
    <x v="10"/>
    <x v="0"/>
    <x v="10"/>
    <n v="2947"/>
    <n v="1"/>
    <s v="Water"/>
    <n v="1"/>
    <x v="3"/>
    <n v="0"/>
    <n v="0"/>
    <n v="0"/>
    <n v="0"/>
    <m/>
  </r>
  <r>
    <x v="10"/>
    <x v="0"/>
    <x v="10"/>
    <n v="3358"/>
    <n v="1"/>
    <s v="Scroll"/>
    <n v="4"/>
    <x v="0"/>
    <n v="0"/>
    <n v="8000"/>
    <n v="0"/>
    <n v="0"/>
    <m/>
  </r>
  <r>
    <x v="10"/>
    <x v="0"/>
    <x v="10"/>
    <n v="2184"/>
    <n v="0"/>
    <s v="Water"/>
    <n v="4"/>
    <x v="1"/>
    <n v="0"/>
    <n v="0"/>
    <n v="0"/>
    <n v="0"/>
    <m/>
  </r>
  <r>
    <x v="10"/>
    <x v="0"/>
    <x v="10"/>
    <n v="2654"/>
    <n v="3"/>
    <s v="Water"/>
    <n v="1"/>
    <x v="2"/>
    <n v="0"/>
    <n v="0"/>
    <n v="0"/>
    <n v="0"/>
    <m/>
  </r>
  <r>
    <x v="10"/>
    <x v="0"/>
    <x v="10"/>
    <n v="2592"/>
    <n v="1"/>
    <s v="Water"/>
    <n v="1"/>
    <x v="2"/>
    <n v="0"/>
    <n v="0"/>
    <n v="0"/>
    <n v="0"/>
    <m/>
  </r>
  <r>
    <x v="10"/>
    <x v="0"/>
    <x v="10"/>
    <n v="2625"/>
    <n v="0"/>
    <s v="Water"/>
    <n v="1"/>
    <x v="3"/>
    <n v="0"/>
    <n v="0"/>
    <n v="0"/>
    <n v="0"/>
    <m/>
  </r>
  <r>
    <x v="10"/>
    <x v="0"/>
    <x v="10"/>
    <n v="3029"/>
    <n v="0"/>
    <s v="Water"/>
    <n v="1"/>
    <x v="2"/>
    <n v="0"/>
    <n v="0"/>
    <n v="0"/>
    <n v="0"/>
    <m/>
  </r>
  <r>
    <x v="10"/>
    <x v="0"/>
    <x v="10"/>
    <n v="2865"/>
    <n v="1"/>
    <s v="Water"/>
    <n v="1"/>
    <x v="2"/>
    <n v="0"/>
    <n v="0"/>
    <n v="0"/>
    <n v="0"/>
    <m/>
  </r>
  <r>
    <x v="10"/>
    <x v="0"/>
    <x v="10"/>
    <n v="3075"/>
    <n v="3"/>
    <s v="Water"/>
    <n v="5"/>
    <x v="1"/>
    <n v="0"/>
    <n v="0"/>
    <n v="0"/>
    <n v="0"/>
    <m/>
  </r>
  <r>
    <x v="10"/>
    <x v="0"/>
    <x v="10"/>
    <n v="3767"/>
    <n v="2"/>
    <s v="Water"/>
    <n v="4"/>
    <x v="1"/>
    <n v="0"/>
    <n v="0"/>
    <n v="0"/>
    <n v="0"/>
    <m/>
  </r>
  <r>
    <x v="10"/>
    <x v="0"/>
    <x v="10"/>
    <n v="3007"/>
    <n v="2"/>
    <s v="Water"/>
    <n v="3"/>
    <x v="2"/>
    <n v="0"/>
    <n v="0"/>
    <n v="0"/>
    <n v="0"/>
    <m/>
  </r>
  <r>
    <x v="10"/>
    <x v="0"/>
    <x v="10"/>
    <n v="2942"/>
    <n v="0"/>
    <s v="Water"/>
    <n v="1"/>
    <x v="2"/>
    <n v="0"/>
    <n v="0"/>
    <n v="0"/>
    <n v="0"/>
    <m/>
  </r>
  <r>
    <x v="10"/>
    <x v="0"/>
    <x v="10"/>
    <n v="2701"/>
    <n v="0"/>
    <s v="Water"/>
    <n v="5"/>
    <x v="1"/>
    <n v="0"/>
    <n v="0"/>
    <n v="0"/>
    <n v="0"/>
    <m/>
  </r>
  <r>
    <x v="10"/>
    <x v="0"/>
    <x v="10"/>
    <n v="3320"/>
    <n v="0"/>
    <s v="Water"/>
    <n v="3"/>
    <x v="3"/>
    <n v="0"/>
    <n v="0"/>
    <n v="0"/>
    <n v="0"/>
    <m/>
  </r>
  <r>
    <x v="10"/>
    <x v="0"/>
    <x v="10"/>
    <n v="2890"/>
    <n v="2"/>
    <s v="Water"/>
    <n v="3"/>
    <x v="1"/>
    <n v="0"/>
    <n v="0"/>
    <n v="0"/>
    <n v="0"/>
    <m/>
  </r>
  <r>
    <x v="10"/>
    <x v="0"/>
    <x v="10"/>
    <n v="3274"/>
    <n v="1"/>
    <s v="Water"/>
    <n v="2"/>
    <x v="3"/>
    <n v="0"/>
    <n v="0"/>
    <n v="0"/>
    <n v="0"/>
    <m/>
  </r>
  <r>
    <x v="10"/>
    <x v="0"/>
    <x v="10"/>
    <n v="2847"/>
    <n v="1"/>
    <s v="Water"/>
    <n v="1"/>
    <x v="3"/>
    <n v="0"/>
    <n v="0"/>
    <n v="0"/>
    <n v="0"/>
    <m/>
  </r>
  <r>
    <x v="10"/>
    <x v="0"/>
    <x v="10"/>
    <n v="2602"/>
    <n v="0"/>
    <s v="Water"/>
    <n v="4"/>
    <x v="1"/>
    <n v="0"/>
    <n v="0"/>
    <n v="0"/>
    <n v="0"/>
    <m/>
  </r>
  <r>
    <x v="10"/>
    <x v="0"/>
    <x v="10"/>
    <n v="2901"/>
    <n v="1"/>
    <s v="SD"/>
    <s v="Golem"/>
    <x v="0"/>
    <n v="0"/>
    <n v="0"/>
    <n v="0"/>
    <n v="0"/>
    <m/>
  </r>
  <r>
    <x v="10"/>
    <x v="0"/>
    <x v="10"/>
    <n v="2768"/>
    <n v="0"/>
    <s v="Water"/>
    <n v="5"/>
    <x v="1"/>
    <n v="0"/>
    <n v="0"/>
    <n v="0"/>
    <n v="0"/>
    <m/>
  </r>
  <r>
    <x v="10"/>
    <x v="0"/>
    <x v="10"/>
    <n v="2401"/>
    <n v="1"/>
    <s v="Water"/>
    <n v="1"/>
    <x v="2"/>
    <n v="0"/>
    <n v="0"/>
    <n v="0"/>
    <n v="0"/>
    <m/>
  </r>
  <r>
    <x v="10"/>
    <x v="0"/>
    <x v="10"/>
    <n v="2915"/>
    <n v="0"/>
    <s v="SumStone"/>
    <n v="3"/>
    <x v="0"/>
    <n v="0"/>
    <n v="0"/>
    <n v="2587.5"/>
    <n v="4954.6499999999996"/>
    <m/>
  </r>
  <r>
    <x v="10"/>
    <x v="0"/>
    <x v="10"/>
    <n v="2978"/>
    <n v="0"/>
    <s v="Water"/>
    <n v="4"/>
    <x v="1"/>
    <n v="0"/>
    <n v="0"/>
    <n v="0"/>
    <n v="0"/>
    <m/>
  </r>
  <r>
    <x v="10"/>
    <x v="0"/>
    <x v="10"/>
    <n v="2956"/>
    <n v="0"/>
    <s v="Water"/>
    <n v="5"/>
    <x v="1"/>
    <n v="0"/>
    <n v="0"/>
    <n v="0"/>
    <n v="0"/>
    <m/>
  </r>
  <r>
    <x v="10"/>
    <x v="0"/>
    <x v="10"/>
    <n v="2657"/>
    <n v="1"/>
    <s v="Water"/>
    <n v="5"/>
    <x v="1"/>
    <n v="0"/>
    <n v="0"/>
    <n v="0"/>
    <n v="0"/>
    <m/>
  </r>
  <r>
    <x v="10"/>
    <x v="0"/>
    <x v="10"/>
    <n v="2789"/>
    <n v="0"/>
    <s v="Angelmon"/>
    <s v="1*"/>
    <x v="0"/>
    <n v="0"/>
    <n v="0"/>
    <n v="0"/>
    <n v="0"/>
    <m/>
  </r>
  <r>
    <x v="10"/>
    <x v="0"/>
    <x v="10"/>
    <n v="2793"/>
    <n v="1"/>
    <s v="Water"/>
    <n v="5"/>
    <x v="1"/>
    <n v="0"/>
    <n v="0"/>
    <n v="0"/>
    <n v="0"/>
    <m/>
  </r>
  <r>
    <x v="10"/>
    <x v="0"/>
    <x v="10"/>
    <n v="2869"/>
    <n v="2"/>
    <s v="Water"/>
    <n v="4"/>
    <x v="1"/>
    <n v="0"/>
    <n v="0"/>
    <n v="0"/>
    <n v="0"/>
    <m/>
  </r>
  <r>
    <x v="10"/>
    <x v="0"/>
    <x v="10"/>
    <n v="2638"/>
    <n v="1"/>
    <s v="Angelmon"/>
    <s v="1*"/>
    <x v="0"/>
    <n v="0"/>
    <n v="0"/>
    <n v="0"/>
    <n v="0"/>
    <m/>
  </r>
  <r>
    <x v="10"/>
    <x v="0"/>
    <x v="10"/>
    <n v="2929"/>
    <n v="1"/>
    <s v="Water"/>
    <n v="1"/>
    <x v="2"/>
    <n v="0"/>
    <n v="0"/>
    <n v="0"/>
    <n v="0"/>
    <m/>
  </r>
  <r>
    <x v="10"/>
    <x v="0"/>
    <x v="10"/>
    <n v="2423"/>
    <n v="1"/>
    <s v="Water"/>
    <n v="3"/>
    <x v="1"/>
    <n v="0"/>
    <n v="0"/>
    <n v="0"/>
    <n v="0"/>
    <m/>
  </r>
  <r>
    <x v="10"/>
    <x v="0"/>
    <x v="10"/>
    <n v="2881"/>
    <n v="0"/>
    <s v="Water"/>
    <n v="5"/>
    <x v="1"/>
    <n v="0"/>
    <n v="0"/>
    <n v="0"/>
    <n v="0"/>
    <m/>
  </r>
  <r>
    <x v="10"/>
    <x v="0"/>
    <x v="10"/>
    <n v="3128"/>
    <n v="1"/>
    <s v="Water"/>
    <n v="4"/>
    <x v="1"/>
    <n v="0"/>
    <n v="0"/>
    <n v="0"/>
    <n v="0"/>
    <m/>
  </r>
  <r>
    <x v="10"/>
    <x v="0"/>
    <x v="10"/>
    <n v="3042"/>
    <n v="0"/>
    <s v="Water"/>
    <n v="3"/>
    <x v="3"/>
    <n v="0"/>
    <n v="0"/>
    <n v="0"/>
    <n v="0"/>
    <m/>
  </r>
  <r>
    <x v="10"/>
    <x v="0"/>
    <x v="10"/>
    <n v="2846"/>
    <n v="1"/>
    <s v="Water"/>
    <n v="1"/>
    <x v="3"/>
    <n v="0"/>
    <n v="0"/>
    <n v="0"/>
    <n v="0"/>
    <m/>
  </r>
  <r>
    <x v="10"/>
    <x v="0"/>
    <x v="10"/>
    <n v="3112"/>
    <n v="1"/>
    <s v="Water"/>
    <n v="1"/>
    <x v="3"/>
    <n v="0"/>
    <n v="0"/>
    <n v="0"/>
    <n v="0"/>
    <m/>
  </r>
  <r>
    <x v="10"/>
    <x v="0"/>
    <x v="10"/>
    <n v="2928"/>
    <n v="1"/>
    <s v="Water"/>
    <n v="4"/>
    <x v="1"/>
    <n v="0"/>
    <n v="0"/>
    <n v="0"/>
    <n v="0"/>
    <m/>
  </r>
  <r>
    <x v="10"/>
    <x v="0"/>
    <x v="10"/>
    <n v="2702"/>
    <n v="1"/>
    <s v="Water"/>
    <n v="2"/>
    <x v="2"/>
    <n v="0"/>
    <n v="0"/>
    <n v="0"/>
    <n v="0"/>
    <m/>
  </r>
  <r>
    <x v="12"/>
    <x v="0"/>
    <x v="12"/>
    <n v="6071"/>
    <n v="0"/>
    <s v="SumStone"/>
    <n v="4"/>
    <x v="0"/>
    <n v="0"/>
    <n v="0"/>
    <n v="3450"/>
    <n v="6606.2000000000007"/>
    <m/>
  </r>
  <r>
    <x v="12"/>
    <x v="0"/>
    <x v="12"/>
    <n v="5719"/>
    <n v="0"/>
    <s v="SumStone"/>
    <n v="4"/>
    <x v="0"/>
    <n v="0"/>
    <n v="0"/>
    <n v="3450"/>
    <n v="6606.2000000000007"/>
    <m/>
  </r>
  <r>
    <x v="12"/>
    <x v="0"/>
    <x v="12"/>
    <n v="5444"/>
    <n v="0"/>
    <s v="SumStone"/>
    <n v="4"/>
    <x v="0"/>
    <n v="0"/>
    <n v="0"/>
    <n v="3450"/>
    <n v="6606.2000000000007"/>
    <m/>
  </r>
  <r>
    <x v="12"/>
    <x v="0"/>
    <x v="12"/>
    <n v="5741"/>
    <n v="0"/>
    <s v="SumStone"/>
    <n v="4"/>
    <x v="0"/>
    <n v="0"/>
    <n v="0"/>
    <n v="3450"/>
    <n v="6606.2000000000007"/>
    <m/>
  </r>
  <r>
    <x v="12"/>
    <x v="0"/>
    <x v="12"/>
    <n v="6031"/>
    <n v="0"/>
    <s v="SumStone"/>
    <n v="4"/>
    <x v="0"/>
    <n v="0"/>
    <n v="0"/>
    <n v="3450"/>
    <n v="6606.2000000000007"/>
    <m/>
  </r>
  <r>
    <x v="12"/>
    <x v="0"/>
    <x v="12"/>
    <n v="5574"/>
    <n v="0"/>
    <s v="SumStone"/>
    <n v="4"/>
    <x v="0"/>
    <n v="0"/>
    <n v="0"/>
    <n v="3450"/>
    <n v="6606.2000000000007"/>
    <m/>
  </r>
  <r>
    <x v="12"/>
    <x v="0"/>
    <x v="12"/>
    <n v="6065"/>
    <n v="0"/>
    <s v="SumStone"/>
    <n v="4"/>
    <x v="0"/>
    <n v="0"/>
    <n v="0"/>
    <n v="3450"/>
    <n v="6606.2000000000007"/>
    <m/>
  </r>
  <r>
    <x v="12"/>
    <x v="0"/>
    <x v="12"/>
    <n v="5631"/>
    <n v="0"/>
    <s v="SumStone"/>
    <n v="4"/>
    <x v="0"/>
    <n v="0"/>
    <n v="0"/>
    <n v="3450"/>
    <n v="6606.2000000000007"/>
    <m/>
  </r>
  <r>
    <x v="10"/>
    <x v="0"/>
    <x v="10"/>
    <n v="2671"/>
    <n v="0"/>
    <s v="Water"/>
    <n v="1"/>
    <x v="2"/>
    <n v="0"/>
    <n v="0"/>
    <n v="0"/>
    <n v="0"/>
    <m/>
  </r>
  <r>
    <x v="10"/>
    <x v="0"/>
    <x v="10"/>
    <n v="2940"/>
    <n v="0"/>
    <s v="Water"/>
    <n v="1"/>
    <x v="3"/>
    <n v="0"/>
    <n v="0"/>
    <n v="0"/>
    <n v="0"/>
    <m/>
  </r>
  <r>
    <x v="10"/>
    <x v="0"/>
    <x v="10"/>
    <n v="2643"/>
    <n v="2"/>
    <s v="Water"/>
    <n v="1"/>
    <x v="3"/>
    <n v="0"/>
    <n v="0"/>
    <n v="0"/>
    <n v="0"/>
    <m/>
  </r>
  <r>
    <x v="10"/>
    <x v="0"/>
    <x v="10"/>
    <n v="2968"/>
    <n v="0"/>
    <s v="Water"/>
    <n v="3"/>
    <x v="2"/>
    <n v="0"/>
    <n v="0"/>
    <n v="0"/>
    <n v="0"/>
    <m/>
  </r>
  <r>
    <x v="10"/>
    <x v="0"/>
    <x v="10"/>
    <n v="2502"/>
    <n v="2"/>
    <s v="Water"/>
    <n v="2"/>
    <x v="2"/>
    <n v="0"/>
    <n v="0"/>
    <n v="0"/>
    <n v="0"/>
    <m/>
  </r>
  <r>
    <x v="10"/>
    <x v="0"/>
    <x v="10"/>
    <n v="2719"/>
    <n v="3"/>
    <s v="SD"/>
    <s v="Serpent"/>
    <x v="0"/>
    <n v="0"/>
    <n v="0"/>
    <n v="0"/>
    <n v="0"/>
    <m/>
  </r>
  <r>
    <x v="10"/>
    <x v="0"/>
    <x v="10"/>
    <n v="2733"/>
    <n v="1"/>
    <s v="Water"/>
    <n v="1"/>
    <x v="2"/>
    <n v="0"/>
    <n v="0"/>
    <n v="0"/>
    <n v="0"/>
    <m/>
  </r>
  <r>
    <x v="10"/>
    <x v="0"/>
    <x v="10"/>
    <n v="2917"/>
    <n v="1"/>
    <s v="Water"/>
    <n v="1"/>
    <x v="2"/>
    <n v="0"/>
    <n v="0"/>
    <n v="0"/>
    <n v="0"/>
    <m/>
  </r>
  <r>
    <x v="10"/>
    <x v="0"/>
    <x v="10"/>
    <m/>
    <n v="0"/>
    <s v="Water"/>
    <m/>
    <x v="0"/>
    <n v="0"/>
    <n v="0"/>
    <n v="0"/>
    <n v="0"/>
    <m/>
  </r>
  <r>
    <x v="10"/>
    <x v="0"/>
    <x v="10"/>
    <m/>
    <n v="0"/>
    <s v="Water"/>
    <m/>
    <x v="0"/>
    <n v="0"/>
    <n v="0"/>
    <n v="0"/>
    <n v="0"/>
    <m/>
  </r>
  <r>
    <x v="10"/>
    <x v="0"/>
    <x v="10"/>
    <m/>
    <n v="0"/>
    <s v="Water"/>
    <m/>
    <x v="0"/>
    <n v="0"/>
    <n v="0"/>
    <n v="0"/>
    <n v="0"/>
    <m/>
  </r>
  <r>
    <x v="10"/>
    <x v="0"/>
    <x v="10"/>
    <m/>
    <n v="0"/>
    <s v="Water"/>
    <m/>
    <x v="0"/>
    <n v="0"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1:N38" firstHeaderRow="1" firstDataRow="2" firstDataCol="1"/>
  <pivotFields count="13">
    <pivotField axis="axisRow" showAll="0">
      <items count="15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3"/>
        <item x="11"/>
        <item h="1" x="12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9" firstHeaderRow="1" firstDataRow="2" firstDataCol="1" rowPageCount="1" colPageCount="1"/>
  <pivotFields count="13">
    <pivotField axis="axisPage" multipleItemSelectionAllowed="1" showAll="0">
      <items count="15">
        <item h="1" x="5"/>
        <item h="1" x="1"/>
        <item h="1" x="2"/>
        <item x="3"/>
        <item h="1" x="4"/>
        <item h="1" x="0"/>
        <item h="1" x="13"/>
        <item x="6"/>
        <item h="1" x="7"/>
        <item x="8"/>
        <item h="1" x="9"/>
        <item x="10"/>
        <item x="11"/>
        <item h="1" x="12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6">
        <item x="4"/>
        <item x="3"/>
        <item x="1"/>
        <item x="2"/>
        <item m="1" x="5"/>
        <item x="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5">
    <i>
      <x v="1"/>
    </i>
    <i>
      <x v="2"/>
    </i>
    <i>
      <x v="3"/>
    </i>
    <i>
      <x v="5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5">
        <item x="5"/>
        <item x="1"/>
        <item x="2"/>
        <item x="3"/>
        <item x="4"/>
        <item x="0"/>
        <item h="1" x="13"/>
        <item h="1" x="6"/>
        <item h="1" x="7"/>
        <item h="1" x="8"/>
        <item h="1" x="9"/>
        <item h="1" x="10"/>
        <item h="1" x="11"/>
        <item h="1" x="12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2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9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/>
    <tableColumn id="12" name="Fod Worth" dataDxfId="17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calculatedColumnFormula>
    </tableColumn>
    <tableColumn id="10" name="Exp Gain" dataDxfId="16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2" name="LocFeatures" displayName="LocFeatures" ref="A1:V96" totalsRowShown="0">
  <autoFilter ref="A1:V96"/>
  <sortState ref="A2:V107">
    <sortCondition ref="A2:A107"/>
    <sortCondition ref="B2:B107"/>
    <sortCondition ref="C2:C107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5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4">
      <calculatedColumnFormula>4*LocFeatures[[#This Row],[XP Gain per member]]</calculatedColumnFormula>
    </tableColumn>
    <tableColumn id="11" name="XP Train Gain"/>
    <tableColumn id="22" name="XP drop" dataDxfId="13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2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1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1" name="Tabela11" displayName="Tabela11" ref="Q3:W6" totalsRowShown="0" headerRowDxfId="7" tableBorderDxfId="6">
  <autoFilter ref="Q3:W6"/>
  <tableColumns count="7">
    <tableColumn id="1" name="Kolumna1">
      <calculatedColumnFormula>G5</calculatedColumnFormula>
    </tableColumn>
    <tableColumn id="2" name="4" dataDxfId="5"/>
    <tableColumn id="3" name="5" dataDxfId="4"/>
    <tableColumn id="4" name="7" dataDxfId="3"/>
    <tableColumn id="5" name="8" dataDxfId="2"/>
    <tableColumn id="6" name="9" dataDxfId="1"/>
    <tableColumn id="7" name="10" dataDxfId="0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workbookViewId="0">
      <selection activeCell="M32" sqref="M3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159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131</v>
      </c>
      <c r="N2" t="s">
        <v>132</v>
      </c>
      <c r="O2" t="s">
        <v>135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133</v>
      </c>
      <c r="M3">
        <f>5-N3</f>
        <v>5</v>
      </c>
      <c r="N3">
        <v>0</v>
      </c>
      <c r="O3" s="1">
        <v>0</v>
      </c>
      <c r="P3">
        <v>3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3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8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134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137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180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181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136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131</v>
      </c>
      <c r="N14" t="s">
        <v>132</v>
      </c>
      <c r="O14" t="s">
        <v>135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133</v>
      </c>
      <c r="M15">
        <v>0</v>
      </c>
      <c r="N15">
        <v>0</v>
      </c>
      <c r="O15" s="1">
        <v>0</v>
      </c>
      <c r="Q15" t="s">
        <v>155</v>
      </c>
      <c r="R15" t="s">
        <v>156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134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137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180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181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136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 ht="15">
      <c r="D26">
        <v>25</v>
      </c>
      <c r="H26">
        <v>13673</v>
      </c>
      <c r="I26">
        <v>16360</v>
      </c>
      <c r="J26">
        <v>19758</v>
      </c>
      <c r="L26" s="41" t="s">
        <v>257</v>
      </c>
    </row>
    <row r="27" spans="4:17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131</v>
      </c>
      <c r="N27" t="s">
        <v>132</v>
      </c>
      <c r="O27" t="s">
        <v>135</v>
      </c>
    </row>
    <row r="28" spans="4:17">
      <c r="D28">
        <v>27</v>
      </c>
      <c r="H28">
        <v>17844</v>
      </c>
      <c r="I28">
        <v>21350</v>
      </c>
      <c r="J28">
        <v>25786</v>
      </c>
      <c r="L28" t="s">
        <v>133</v>
      </c>
      <c r="M28">
        <v>4</v>
      </c>
      <c r="N28">
        <v>0</v>
      </c>
      <c r="O28" s="1">
        <v>0</v>
      </c>
    </row>
    <row r="29" spans="4:17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10</v>
      </c>
      <c r="N29">
        <v>3</v>
      </c>
      <c r="O29" s="1">
        <f>M29*$B$5</f>
        <v>1897500</v>
      </c>
    </row>
    <row r="30" spans="4:17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13</v>
      </c>
      <c r="N30">
        <v>3</v>
      </c>
      <c r="O30" s="1"/>
    </row>
    <row r="31" spans="4:17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0</v>
      </c>
      <c r="N31">
        <v>13</v>
      </c>
      <c r="O31" s="1">
        <f>M31*$B$4</f>
        <v>0</v>
      </c>
    </row>
    <row r="32" spans="4:17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38</v>
      </c>
      <c r="N32">
        <v>1</v>
      </c>
      <c r="O32" s="1"/>
    </row>
    <row r="33" spans="4:15">
      <c r="D33">
        <v>32</v>
      </c>
      <c r="I33">
        <v>43048</v>
      </c>
      <c r="J33">
        <v>51990</v>
      </c>
      <c r="L33" t="s">
        <v>134</v>
      </c>
      <c r="M33">
        <f>3+M32-Tabela610[[#This Row],[Done]]</f>
        <v>41</v>
      </c>
      <c r="N33">
        <v>0</v>
      </c>
      <c r="O33" s="1">
        <f>M33*$B$3</f>
        <v>1468702</v>
      </c>
    </row>
    <row r="34" spans="4:15">
      <c r="D34">
        <v>33</v>
      </c>
      <c r="I34">
        <v>49617</v>
      </c>
      <c r="J34">
        <v>59924</v>
      </c>
      <c r="L34" s="6" t="s">
        <v>137</v>
      </c>
      <c r="M34" s="6">
        <f>2*(M31+M32-10)-Tabela610[[#This Row],[Done]]</f>
        <v>31</v>
      </c>
      <c r="N34">
        <v>25</v>
      </c>
      <c r="O34" s="45"/>
    </row>
    <row r="35" spans="4:15">
      <c r="D35">
        <v>34</v>
      </c>
      <c r="I35">
        <v>57188</v>
      </c>
      <c r="J35">
        <v>69068</v>
      </c>
      <c r="L35" t="s">
        <v>180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181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136</v>
      </c>
      <c r="O37" s="44">
        <f>SUM(Tabela610[XP to gain])+4*B6</f>
        <v>5152790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00"/>
  <sheetViews>
    <sheetView zoomScale="85" zoomScaleNormal="85" workbookViewId="0">
      <pane ySplit="1" topLeftCell="A887" activePane="bottomLeft" state="frozen"/>
      <selection pane="bottomLeft" activeCell="H922" sqref="H922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</cols>
  <sheetData>
    <row r="1" spans="1:13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223</v>
      </c>
      <c r="I1" t="s">
        <v>194</v>
      </c>
      <c r="J1" t="s">
        <v>193</v>
      </c>
      <c r="K1" t="s">
        <v>200</v>
      </c>
      <c r="L1" t="s">
        <v>198</v>
      </c>
      <c r="M1" t="s">
        <v>299</v>
      </c>
    </row>
    <row r="2" spans="1:13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Drop]]+IF(DropAnalityka[[#This Row],[Drop]]="Scroll", 2000*DropAnalityka[[#This Row],[Quality/Quantity]],0)</f>
        <v>912</v>
      </c>
      <c r="K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" spans="1:13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Drop]]+IF(DropAnalityka[[#This Row],[Drop]]="Scroll", 2000*DropAnalityka[[#This Row],[Quality/Quantity]],0)</f>
        <v>325</v>
      </c>
      <c r="K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" spans="1:13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 t="s">
        <v>12</v>
      </c>
      <c r="I4">
        <v>0</v>
      </c>
      <c r="J4">
        <f>DropAnalityka[[#This Row],[Sell Drop]]+IF(DropAnalityka[[#This Row],[Drop]]="Scroll", 2000*DropAnalityka[[#This Row],[Quality/Quantity]],0)</f>
        <v>0</v>
      </c>
      <c r="K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5" spans="1:13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Drop]]+IF(DropAnalityka[[#This Row],[Drop]]="Scroll", 2000*DropAnalityka[[#This Row],[Quality/Quantity]],0)</f>
        <v>325</v>
      </c>
      <c r="K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" spans="1:13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Drop]]+IF(DropAnalityka[[#This Row],[Drop]]="Scroll", 2000*DropAnalityka[[#This Row],[Quality/Quantity]],0)</f>
        <v>325</v>
      </c>
      <c r="K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" spans="1:13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Drop]]+IF(DropAnalityka[[#This Row],[Drop]]="Scroll", 2000*DropAnalityka[[#This Row],[Quality/Quantity]],0)</f>
        <v>720</v>
      </c>
      <c r="K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" spans="1:13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I8">
        <v>0</v>
      </c>
      <c r="J8">
        <f>DropAnalityka[[#This Row],[Sell Drop]]+IF(DropAnalityka[[#This Row],[Drop]]="Scroll", 2000*DropAnalityka[[#This Row],[Quality/Quantity]],0)</f>
        <v>2000</v>
      </c>
      <c r="K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" spans="1:13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 t="s">
        <v>12</v>
      </c>
      <c r="I9">
        <v>0</v>
      </c>
      <c r="J9">
        <f>DropAnalityka[[#This Row],[Sell Drop]]+IF(DropAnalityka[[#This Row],[Drop]]="Scroll", 2000*DropAnalityka[[#This Row],[Quality/Quantity]],0)</f>
        <v>0</v>
      </c>
      <c r="K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0" spans="1:13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I10">
        <v>0</v>
      </c>
      <c r="J10">
        <f>DropAnalityka[[#This Row],[Sell Drop]]+IF(DropAnalityka[[#This Row],[Drop]]="Scroll", 2000*DropAnalityka[[#This Row],[Quality/Quantity]],0)</f>
        <v>2000</v>
      </c>
      <c r="K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" spans="1:13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Drop]]+IF(DropAnalityka[[#This Row],[Drop]]="Scroll", 2000*DropAnalityka[[#This Row],[Quality/Quantity]],0)</f>
        <v>720</v>
      </c>
      <c r="K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" spans="1:13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 t="s">
        <v>12</v>
      </c>
      <c r="I12">
        <v>0</v>
      </c>
      <c r="J12">
        <f>DropAnalityka[[#This Row],[Sell Drop]]+IF(DropAnalityka[[#This Row],[Drop]]="Scroll", 2000*DropAnalityka[[#This Row],[Quality/Quantity]],0)</f>
        <v>0</v>
      </c>
      <c r="K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3" spans="1:13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Drop]]+IF(DropAnalityka[[#This Row],[Drop]]="Scroll", 2000*DropAnalityka[[#This Row],[Quality/Quantity]],0)</f>
        <v>325</v>
      </c>
      <c r="K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" spans="1:13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Drop]]+IF(DropAnalityka[[#This Row],[Drop]]="Scroll", 2000*DropAnalityka[[#This Row],[Quality/Quantity]],0)</f>
        <v>487</v>
      </c>
      <c r="K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" spans="1:13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Drop]]+IF(DropAnalityka[[#This Row],[Drop]]="Scroll", 2000*DropAnalityka[[#This Row],[Quality/Quantity]],0)</f>
        <v>325</v>
      </c>
      <c r="K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" spans="1:13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Drop]]+IF(DropAnalityka[[#This Row],[Drop]]="Scroll", 2000*DropAnalityka[[#This Row],[Quality/Quantity]],0)</f>
        <v>325</v>
      </c>
      <c r="K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 t="s">
        <v>17</v>
      </c>
      <c r="I17">
        <v>0</v>
      </c>
      <c r="J17">
        <f>DropAnalityka[[#This Row],[Sell Drop]]+IF(DropAnalityka[[#This Row],[Drop]]="Scroll", 2000*DropAnalityka[[#This Row],[Quality/Quantity]],0)</f>
        <v>0</v>
      </c>
      <c r="K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I18">
        <v>0</v>
      </c>
      <c r="J18">
        <f>DropAnalityka[[#This Row],[Sell Drop]]+IF(DropAnalityka[[#This Row],[Drop]]="Scroll", 2000*DropAnalityka[[#This Row],[Quality/Quantity]],0)</f>
        <v>2000</v>
      </c>
      <c r="K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Drop]]+IF(DropAnalityka[[#This Row],[Drop]]="Scroll", 2000*DropAnalityka[[#This Row],[Quality/Quantity]],0)</f>
        <v>325</v>
      </c>
      <c r="K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Drop]]+IF(DropAnalityka[[#This Row],[Drop]]="Scroll", 2000*DropAnalityka[[#This Row],[Quality/Quantity]],0)</f>
        <v>433</v>
      </c>
      <c r="K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Drop]]+IF(DropAnalityka[[#This Row],[Drop]]="Scroll", 2000*DropAnalityka[[#This Row],[Quality/Quantity]],0)</f>
        <v>379</v>
      </c>
      <c r="K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 t="s">
        <v>17</v>
      </c>
      <c r="I22">
        <v>0</v>
      </c>
      <c r="J22">
        <f>DropAnalityka[[#This Row],[Sell Drop]]+IF(DropAnalityka[[#This Row],[Drop]]="Scroll", 2000*DropAnalityka[[#This Row],[Quality/Quantity]],0)</f>
        <v>0</v>
      </c>
      <c r="K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Drop]]+IF(DropAnalityka[[#This Row],[Drop]]="Scroll", 2000*DropAnalityka[[#This Row],[Quality/Quantity]],0)</f>
        <v>325</v>
      </c>
      <c r="K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Drop]]+IF(DropAnalityka[[#This Row],[Drop]]="Scroll", 2000*DropAnalityka[[#This Row],[Quality/Quantity]],0)</f>
        <v>325</v>
      </c>
      <c r="K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I25">
        <v>0</v>
      </c>
      <c r="J25">
        <f>DropAnalityka[[#This Row],[Sell Drop]]+IF(DropAnalityka[[#This Row],[Drop]]="Scroll", 2000*DropAnalityka[[#This Row],[Quality/Quantity]],0)</f>
        <v>2000</v>
      </c>
      <c r="K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Drop]]+IF(DropAnalityka[[#This Row],[Drop]]="Scroll", 2000*DropAnalityka[[#This Row],[Quality/Quantity]],0)</f>
        <v>325</v>
      </c>
      <c r="K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I27">
        <v>0</v>
      </c>
      <c r="J27">
        <f>DropAnalityka[[#This Row],[Sell Drop]]+IF(DropAnalityka[[#This Row],[Drop]]="Scroll", 2000*DropAnalityka[[#This Row],[Quality/Quantity]],0)</f>
        <v>2000</v>
      </c>
      <c r="K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Drop]]+IF(DropAnalityka[[#This Row],[Drop]]="Scroll", 2000*DropAnalityka[[#This Row],[Quality/Quantity]],0)</f>
        <v>325</v>
      </c>
      <c r="K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Drop]]+IF(DropAnalityka[[#This Row],[Drop]]="Scroll", 2000*DropAnalityka[[#This Row],[Quality/Quantity]],0)</f>
        <v>379</v>
      </c>
      <c r="K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Drop]]+IF(DropAnalityka[[#This Row],[Drop]]="Scroll", 2000*DropAnalityka[[#This Row],[Quality/Quantity]],0)</f>
        <v>487</v>
      </c>
      <c r="K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I31">
        <v>0</v>
      </c>
      <c r="J31">
        <f>DropAnalityka[[#This Row],[Sell Drop]]+IF(DropAnalityka[[#This Row],[Drop]]="Scroll", 2000*DropAnalityka[[#This Row],[Quality/Quantity]],0)</f>
        <v>2000</v>
      </c>
      <c r="K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Drop]]+IF(DropAnalityka[[#This Row],[Drop]]="Scroll", 2000*DropAnalityka[[#This Row],[Quality/Quantity]],0)</f>
        <v>720</v>
      </c>
      <c r="K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Drop]]+IF(DropAnalityka[[#This Row],[Drop]]="Scroll", 2000*DropAnalityka[[#This Row],[Quality/Quantity]],0)</f>
        <v>325</v>
      </c>
      <c r="K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I34">
        <v>0</v>
      </c>
      <c r="J34">
        <f>DropAnalityka[[#This Row],[Sell Drop]]+IF(DropAnalityka[[#This Row],[Drop]]="Scroll", 2000*DropAnalityka[[#This Row],[Quality/Quantity]],0)</f>
        <v>2000</v>
      </c>
      <c r="K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I35">
        <v>0</v>
      </c>
      <c r="J35">
        <f>DropAnalityka[[#This Row],[Sell Drop]]+IF(DropAnalityka[[#This Row],[Drop]]="Scroll", 2000*DropAnalityka[[#This Row],[Quality/Quantity]],0)</f>
        <v>2000</v>
      </c>
      <c r="K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Drop]]+IF(DropAnalityka[[#This Row],[Drop]]="Scroll", 2000*DropAnalityka[[#This Row],[Quality/Quantity]],0)</f>
        <v>325</v>
      </c>
      <c r="K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Drop]]+IF(DropAnalityka[[#This Row],[Drop]]="Scroll", 2000*DropAnalityka[[#This Row],[Quality/Quantity]],0)</f>
        <v>325</v>
      </c>
      <c r="K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Drop]]+IF(DropAnalityka[[#This Row],[Drop]]="Scroll", 2000*DropAnalityka[[#This Row],[Quality/Quantity]],0)</f>
        <v>325</v>
      </c>
      <c r="K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Drop]]+IF(DropAnalityka[[#This Row],[Drop]]="Scroll", 2000*DropAnalityka[[#This Row],[Quality/Quantity]],0)</f>
        <v>433</v>
      </c>
      <c r="K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Drop]]+IF(DropAnalityka[[#This Row],[Drop]]="Scroll", 2000*DropAnalityka[[#This Row],[Quality/Quantity]],0)</f>
        <v>379</v>
      </c>
      <c r="K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Drop]]+IF(DropAnalityka[[#This Row],[Drop]]="Scroll", 2000*DropAnalityka[[#This Row],[Quality/Quantity]],0)</f>
        <v>720</v>
      </c>
      <c r="K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Drop]]+IF(DropAnalityka[[#This Row],[Drop]]="Scroll", 2000*DropAnalityka[[#This Row],[Quality/Quantity]],0)</f>
        <v>1080</v>
      </c>
      <c r="K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I43">
        <v>0</v>
      </c>
      <c r="J43">
        <f>DropAnalityka[[#This Row],[Sell Drop]]+IF(DropAnalityka[[#This Row],[Drop]]="Scroll", 2000*DropAnalityka[[#This Row],[Quality/Quantity]],0)</f>
        <v>4000</v>
      </c>
      <c r="K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Drop]]+IF(DropAnalityka[[#This Row],[Drop]]="Scroll", 2000*DropAnalityka[[#This Row],[Quality/Quantity]],0)</f>
        <v>2128</v>
      </c>
      <c r="K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I45">
        <v>0</v>
      </c>
      <c r="J45">
        <f>DropAnalityka[[#This Row],[Sell Drop]]+IF(DropAnalityka[[#This Row],[Drop]]="Scroll", 2000*DropAnalityka[[#This Row],[Quality/Quantity]],0)</f>
        <v>2000</v>
      </c>
      <c r="K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Drop]]+IF(DropAnalityka[[#This Row],[Drop]]="Scroll", 2000*DropAnalityka[[#This Row],[Quality/Quantity]],0)</f>
        <v>0</v>
      </c>
      <c r="K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Drop]]+IF(DropAnalityka[[#This Row],[Drop]]="Scroll", 2000*DropAnalityka[[#This Row],[Quality/Quantity]],0)</f>
        <v>1824</v>
      </c>
      <c r="K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Drop]]+IF(DropAnalityka[[#This Row],[Drop]]="Scroll", 2000*DropAnalityka[[#This Row],[Quality/Quantity]],0)</f>
        <v>0</v>
      </c>
      <c r="K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Drop]]+IF(DropAnalityka[[#This Row],[Drop]]="Scroll", 2000*DropAnalityka[[#This Row],[Quality/Quantity]],0)</f>
        <v>892</v>
      </c>
      <c r="K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Drop]]+IF(DropAnalityka[[#This Row],[Drop]]="Scroll", 2000*DropAnalityka[[#This Row],[Quality/Quantity]],0)</f>
        <v>2128</v>
      </c>
      <c r="K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I51">
        <v>0</v>
      </c>
      <c r="J51">
        <f>DropAnalityka[[#This Row],[Sell Drop]]+IF(DropAnalityka[[#This Row],[Drop]]="Scroll", 2000*DropAnalityka[[#This Row],[Quality/Quantity]],0)</f>
        <v>2000</v>
      </c>
      <c r="K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Drop]]+IF(DropAnalityka[[#This Row],[Drop]]="Scroll", 2000*DropAnalityka[[#This Row],[Quality/Quantity]],0)</f>
        <v>823</v>
      </c>
      <c r="K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Drop]]+IF(DropAnalityka[[#This Row],[Drop]]="Scroll", 2000*DropAnalityka[[#This Row],[Quality/Quantity]],0)</f>
        <v>1824</v>
      </c>
      <c r="K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I54">
        <v>0</v>
      </c>
      <c r="J54">
        <f>DropAnalityka[[#This Row],[Sell Drop]]+IF(DropAnalityka[[#This Row],[Drop]]="Scroll", 2000*DropAnalityka[[#This Row],[Quality/Quantity]],0)</f>
        <v>2000</v>
      </c>
      <c r="K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I55">
        <v>0</v>
      </c>
      <c r="J55">
        <f>DropAnalityka[[#This Row],[Sell Drop]]+IF(DropAnalityka[[#This Row],[Drop]]="Scroll", 2000*DropAnalityka[[#This Row],[Quality/Quantity]],0)</f>
        <v>2000</v>
      </c>
      <c r="K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Drop]]+IF(DropAnalityka[[#This Row],[Drop]]="Scroll", 2000*DropAnalityka[[#This Row],[Quality/Quantity]],0)</f>
        <v>1824</v>
      </c>
      <c r="K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Drop]]+IF(DropAnalityka[[#This Row],[Drop]]="Scroll", 2000*DropAnalityka[[#This Row],[Quality/Quantity]],0)</f>
        <v>823</v>
      </c>
      <c r="K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Drop]]+IF(DropAnalityka[[#This Row],[Drop]]="Scroll", 2000*DropAnalityka[[#This Row],[Quality/Quantity]],0)</f>
        <v>1152</v>
      </c>
      <c r="K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Drop]]+IF(DropAnalityka[[#This Row],[Drop]]="Scroll", 2000*DropAnalityka[[#This Row],[Quality/Quantity]],0)</f>
        <v>823</v>
      </c>
      <c r="K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Drop]]+IF(DropAnalityka[[#This Row],[Drop]]="Scroll", 2000*DropAnalityka[[#This Row],[Quality/Quantity]],0)</f>
        <v>1824</v>
      </c>
      <c r="K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Drop]]+IF(DropAnalityka[[#This Row],[Drop]]="Scroll", 2000*DropAnalityka[[#This Row],[Quality/Quantity]],0)</f>
        <v>960</v>
      </c>
      <c r="K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Drop]]+IF(DropAnalityka[[#This Row],[Drop]]="Scroll", 2000*DropAnalityka[[#This Row],[Quality/Quantity]],0)</f>
        <v>1824</v>
      </c>
      <c r="K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Drop]]+IF(DropAnalityka[[#This Row],[Drop]]="Scroll", 2000*DropAnalityka[[#This Row],[Quality/Quantity]],0)</f>
        <v>823</v>
      </c>
      <c r="K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Drop]]+IF(DropAnalityka[[#This Row],[Drop]]="Scroll", 2000*DropAnalityka[[#This Row],[Quality/Quantity]],0)</f>
        <v>892</v>
      </c>
      <c r="K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Drop]]+IF(DropAnalityka[[#This Row],[Drop]]="Scroll", 2000*DropAnalityka[[#This Row],[Quality/Quantity]],0)</f>
        <v>823</v>
      </c>
      <c r="K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I66">
        <v>0</v>
      </c>
      <c r="J66">
        <f>DropAnalityka[[#This Row],[Sell Drop]]+IF(DropAnalityka[[#This Row],[Drop]]="Scroll", 2000*DropAnalityka[[#This Row],[Quality/Quantity]],0)</f>
        <v>2000</v>
      </c>
      <c r="K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Drop]]+IF(DropAnalityka[[#This Row],[Drop]]="Scroll", 2000*DropAnalityka[[#This Row],[Quality/Quantity]],0)</f>
        <v>960</v>
      </c>
      <c r="K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I68">
        <v>0</v>
      </c>
      <c r="J68">
        <f>DropAnalityka[[#This Row],[Sell Drop]]+IF(DropAnalityka[[#This Row],[Drop]]="Scroll", 2000*DropAnalityka[[#This Row],[Quality/Quantity]],0)</f>
        <v>2000</v>
      </c>
      <c r="K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Drop]]+IF(DropAnalityka[[#This Row],[Drop]]="Scroll", 2000*DropAnalityka[[#This Row],[Quality/Quantity]],0)</f>
        <v>823</v>
      </c>
      <c r="K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Drop]]+IF(DropAnalityka[[#This Row],[Drop]]="Scroll", 2000*DropAnalityka[[#This Row],[Quality/Quantity]],0)</f>
        <v>720</v>
      </c>
      <c r="K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 t="s">
        <v>12</v>
      </c>
      <c r="I71">
        <v>0</v>
      </c>
      <c r="J71">
        <f>DropAnalityka[[#This Row],[Sell Drop]]+IF(DropAnalityka[[#This Row],[Drop]]="Scroll", 2000*DropAnalityka[[#This Row],[Quality/Quantity]],0)</f>
        <v>0</v>
      </c>
      <c r="K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Drop]]+IF(DropAnalityka[[#This Row],[Drop]]="Scroll", 2000*DropAnalityka[[#This Row],[Quality/Quantity]],0)</f>
        <v>720</v>
      </c>
      <c r="K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Drop]]+IF(DropAnalityka[[#This Row],[Drop]]="Scroll", 2000*DropAnalityka[[#This Row],[Quality/Quantity]],0)</f>
        <v>720</v>
      </c>
      <c r="K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Drop]]+IF(DropAnalityka[[#This Row],[Drop]]="Scroll", 2000*DropAnalityka[[#This Row],[Quality/Quantity]],0)</f>
        <v>720</v>
      </c>
      <c r="K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 t="s">
        <v>12</v>
      </c>
      <c r="I75">
        <v>0</v>
      </c>
      <c r="J75">
        <f>DropAnalityka[[#This Row],[Sell Drop]]+IF(DropAnalityka[[#This Row],[Drop]]="Scroll", 2000*DropAnalityka[[#This Row],[Quality/Quantity]],0)</f>
        <v>0</v>
      </c>
      <c r="K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Drop]]+IF(DropAnalityka[[#This Row],[Drop]]="Scroll", 2000*DropAnalityka[[#This Row],[Quality/Quantity]],0)</f>
        <v>1159</v>
      </c>
      <c r="K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I77">
        <v>0</v>
      </c>
      <c r="J77">
        <f>DropAnalityka[[#This Row],[Sell Drop]]+IF(DropAnalityka[[#This Row],[Drop]]="Scroll", 2000*DropAnalityka[[#This Row],[Quality/Quantity]],0)</f>
        <v>4000</v>
      </c>
      <c r="K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Drop]]+IF(DropAnalityka[[#This Row],[Drop]]="Scroll", 2000*DropAnalityka[[#This Row],[Quality/Quantity]],0)</f>
        <v>720</v>
      </c>
      <c r="K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Drop]]+IF(DropAnalityka[[#This Row],[Drop]]="Scroll", 2000*DropAnalityka[[#This Row],[Quality/Quantity]],0)</f>
        <v>720</v>
      </c>
      <c r="K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I80">
        <v>0</v>
      </c>
      <c r="J80">
        <f>DropAnalityka[[#This Row],[Sell Drop]]+IF(DropAnalityka[[#This Row],[Drop]]="Scroll", 2000*DropAnalityka[[#This Row],[Quality/Quantity]],0)</f>
        <v>2000</v>
      </c>
      <c r="K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Drop]]+IF(DropAnalityka[[#This Row],[Drop]]="Scroll", 2000*DropAnalityka[[#This Row],[Quality/Quantity]],0)</f>
        <v>720</v>
      </c>
      <c r="K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Drop]]+IF(DropAnalityka[[#This Row],[Drop]]="Scroll", 2000*DropAnalityka[[#This Row],[Quality/Quantity]],0)</f>
        <v>960</v>
      </c>
      <c r="K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Drop]]+IF(DropAnalityka[[#This Row],[Drop]]="Scroll", 2000*DropAnalityka[[#This Row],[Quality/Quantity]],0)</f>
        <v>1159</v>
      </c>
      <c r="K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I84">
        <v>0</v>
      </c>
      <c r="J84">
        <f>DropAnalityka[[#This Row],[Sell Drop]]+IF(DropAnalityka[[#This Row],[Drop]]="Scroll", 2000*DropAnalityka[[#This Row],[Quality/Quantity]],0)</f>
        <v>4000</v>
      </c>
      <c r="K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Drop]]+IF(DropAnalityka[[#This Row],[Drop]]="Scroll", 2000*DropAnalityka[[#This Row],[Quality/Quantity]],0)</f>
        <v>1546</v>
      </c>
      <c r="K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Drop]]+IF(DropAnalityka[[#This Row],[Drop]]="Scroll", 2000*DropAnalityka[[#This Row],[Quality/Quantity]],0)</f>
        <v>1159</v>
      </c>
      <c r="K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I87">
        <v>0</v>
      </c>
      <c r="J87">
        <f>DropAnalityka[[#This Row],[Sell Drop]]+IF(DropAnalityka[[#This Row],[Drop]]="Scroll", 2000*DropAnalityka[[#This Row],[Quality/Quantity]],0)</f>
        <v>4000</v>
      </c>
      <c r="K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Drop]]+IF(DropAnalityka[[#This Row],[Drop]]="Scroll", 2000*DropAnalityka[[#This Row],[Quality/Quantity]],0)</f>
        <v>720</v>
      </c>
      <c r="K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Drop]]+IF(DropAnalityka[[#This Row],[Drop]]="Scroll", 2000*DropAnalityka[[#This Row],[Quality/Quantity]],0)</f>
        <v>840</v>
      </c>
      <c r="K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I90">
        <v>0</v>
      </c>
      <c r="J90">
        <f>DropAnalityka[[#This Row],[Sell Drop]]+IF(DropAnalityka[[#This Row],[Drop]]="Scroll", 2000*DropAnalityka[[#This Row],[Quality/Quantity]],0)</f>
        <v>4000</v>
      </c>
      <c r="K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Drop]]+IF(DropAnalityka[[#This Row],[Drop]]="Scroll", 2000*DropAnalityka[[#This Row],[Quality/Quantity]],0)</f>
        <v>1159</v>
      </c>
      <c r="K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Drop]]+IF(DropAnalityka[[#This Row],[Drop]]="Scroll", 2000*DropAnalityka[[#This Row],[Quality/Quantity]],0)</f>
        <v>1159</v>
      </c>
      <c r="K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I93">
        <v>0</v>
      </c>
      <c r="J93">
        <f>DropAnalityka[[#This Row],[Sell Drop]]+IF(DropAnalityka[[#This Row],[Drop]]="Scroll", 2000*DropAnalityka[[#This Row],[Quality/Quantity]],0)</f>
        <v>4000</v>
      </c>
      <c r="K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Drop]]+IF(DropAnalityka[[#This Row],[Drop]]="Scroll", 2000*DropAnalityka[[#This Row],[Quality/Quantity]],0)</f>
        <v>720</v>
      </c>
      <c r="K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I95">
        <v>0</v>
      </c>
      <c r="J95">
        <f>DropAnalityka[[#This Row],[Sell Drop]]+IF(DropAnalityka[[#This Row],[Drop]]="Scroll", 2000*DropAnalityka[[#This Row],[Quality/Quantity]],0)</f>
        <v>4000</v>
      </c>
      <c r="K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Drop]]+IF(DropAnalityka[[#This Row],[Drop]]="Scroll", 2000*DropAnalityka[[#This Row],[Quality/Quantity]],0)</f>
        <v>720</v>
      </c>
      <c r="K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Drop]]+IF(DropAnalityka[[#This Row],[Drop]]="Scroll", 2000*DropAnalityka[[#This Row],[Quality/Quantity]],0)</f>
        <v>720</v>
      </c>
      <c r="K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Drop]]+IF(DropAnalityka[[#This Row],[Drop]]="Scroll", 2000*DropAnalityka[[#This Row],[Quality/Quantity]],0)</f>
        <v>1159</v>
      </c>
      <c r="K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Drop]]+IF(DropAnalityka[[#This Row],[Drop]]="Scroll", 2000*DropAnalityka[[#This Row],[Quality/Quantity]],0)</f>
        <v>1546</v>
      </c>
      <c r="K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I100">
        <v>0</v>
      </c>
      <c r="J100">
        <f>DropAnalityka[[#This Row],[Sell Drop]]+IF(DropAnalityka[[#This Row],[Drop]]="Scroll", 2000*DropAnalityka[[#This Row],[Quality/Quantity]],0)</f>
        <v>4000</v>
      </c>
      <c r="K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Drop]]+IF(DropAnalityka[[#This Row],[Drop]]="Scroll", 2000*DropAnalityka[[#This Row],[Quality/Quantity]],0)</f>
        <v>2128</v>
      </c>
      <c r="K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Drop]]+IF(DropAnalityka[[#This Row],[Drop]]="Scroll", 2000*DropAnalityka[[#This Row],[Quality/Quantity]],0)</f>
        <v>1976</v>
      </c>
      <c r="K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Drop]]+IF(DropAnalityka[[#This Row],[Drop]]="Scroll", 2000*DropAnalityka[[#This Row],[Quality/Quantity]],0)</f>
        <v>1824</v>
      </c>
      <c r="K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Drop]]+IF(DropAnalityka[[#This Row],[Drop]]="Scroll", 2000*DropAnalityka[[#This Row],[Quality/Quantity]],0)</f>
        <v>823</v>
      </c>
      <c r="K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Drop]]+IF(DropAnalityka[[#This Row],[Drop]]="Scroll", 2000*DropAnalityka[[#This Row],[Quality/Quantity]],0)</f>
        <v>1824</v>
      </c>
      <c r="K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Drop]]+IF(DropAnalityka[[#This Row],[Drop]]="Scroll", 2000*DropAnalityka[[#This Row],[Quality/Quantity]],0)</f>
        <v>2128</v>
      </c>
      <c r="K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Drop]]+IF(DropAnalityka[[#This Row],[Drop]]="Scroll", 2000*DropAnalityka[[#This Row],[Quality/Quantity]],0)</f>
        <v>823</v>
      </c>
      <c r="K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Drop]]+IF(DropAnalityka[[#This Row],[Drop]]="Scroll", 2000*DropAnalityka[[#This Row],[Quality/Quantity]],0)</f>
        <v>1824</v>
      </c>
      <c r="K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I109">
        <v>0</v>
      </c>
      <c r="J109">
        <f>DropAnalityka[[#This Row],[Sell Drop]]+IF(DropAnalityka[[#This Row],[Drop]]="Scroll", 2000*DropAnalityka[[#This Row],[Quality/Quantity]],0)</f>
        <v>2000</v>
      </c>
      <c r="K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Drop]]+IF(DropAnalityka[[#This Row],[Drop]]="Scroll", 2000*DropAnalityka[[#This Row],[Quality/Quantity]],0)</f>
        <v>1824</v>
      </c>
      <c r="K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Drop]]+IF(DropAnalityka[[#This Row],[Drop]]="Scroll", 2000*DropAnalityka[[#This Row],[Quality/Quantity]],0)</f>
        <v>1824</v>
      </c>
      <c r="K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Drop]]+IF(DropAnalityka[[#This Row],[Drop]]="Scroll", 2000*DropAnalityka[[#This Row],[Quality/Quantity]],0)</f>
        <v>960</v>
      </c>
      <c r="K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Drop]]+IF(DropAnalityka[[#This Row],[Drop]]="Scroll", 2000*DropAnalityka[[#This Row],[Quality/Quantity]],0)</f>
        <v>823</v>
      </c>
      <c r="K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I114">
        <v>0</v>
      </c>
      <c r="J114">
        <f>DropAnalityka[[#This Row],[Sell Drop]]+IF(DropAnalityka[[#This Row],[Drop]]="Scroll", 2000*DropAnalityka[[#This Row],[Quality/Quantity]],0)</f>
        <v>2000</v>
      </c>
      <c r="K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Drop]]+IF(DropAnalityka[[#This Row],[Drop]]="Scroll", 2000*DropAnalityka[[#This Row],[Quality/Quantity]],0)</f>
        <v>1824</v>
      </c>
      <c r="K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Drop]]+IF(DropAnalityka[[#This Row],[Drop]]="Scroll", 2000*DropAnalityka[[#This Row],[Quality/Quantity]],0)</f>
        <v>892</v>
      </c>
      <c r="K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I117">
        <v>0</v>
      </c>
      <c r="J117">
        <f>DropAnalityka[[#This Row],[Sell Drop]]+IF(DropAnalityka[[#This Row],[Drop]]="Scroll", 2000*DropAnalityka[[#This Row],[Quality/Quantity]],0)</f>
        <v>2000</v>
      </c>
      <c r="K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Drop]]+IF(DropAnalityka[[#This Row],[Drop]]="Scroll", 2000*DropAnalityka[[#This Row],[Quality/Quantity]],0)</f>
        <v>1159</v>
      </c>
      <c r="K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Drop]]+IF(DropAnalityka[[#This Row],[Drop]]="Scroll", 2000*DropAnalityka[[#This Row],[Quality/Quantity]],0)</f>
        <v>1752</v>
      </c>
      <c r="K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288</v>
      </c>
      <c r="G120">
        <v>2</v>
      </c>
      <c r="H120" t="s">
        <v>309</v>
      </c>
      <c r="I120">
        <v>0</v>
      </c>
      <c r="J120">
        <f>DropAnalityka[[#This Row],[Sell Drop]]+IF(DropAnalityka[[#This Row],[Drop]]="Scroll", 2000*DropAnalityka[[#This Row],[Quality/Quantity]],0)</f>
        <v>0</v>
      </c>
      <c r="K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Drop]]+IF(DropAnalityka[[#This Row],[Drop]]="Scroll", 2000*DropAnalityka[[#This Row],[Quality/Quantity]],0)</f>
        <v>720</v>
      </c>
      <c r="K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Drop]]+IF(DropAnalityka[[#This Row],[Drop]]="Scroll", 2000*DropAnalityka[[#This Row],[Quality/Quantity]],0)</f>
        <v>1739</v>
      </c>
      <c r="K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Drop]]+IF(DropAnalityka[[#This Row],[Drop]]="Scroll", 2000*DropAnalityka[[#This Row],[Quality/Quantity]],0)</f>
        <v>840</v>
      </c>
      <c r="K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I124">
        <v>0</v>
      </c>
      <c r="J124">
        <f>DropAnalityka[[#This Row],[Sell Drop]]+IF(DropAnalityka[[#This Row],[Drop]]="Scroll", 2000*DropAnalityka[[#This Row],[Quality/Quantity]],0)</f>
        <v>4000</v>
      </c>
      <c r="K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I125">
        <v>0</v>
      </c>
      <c r="J125">
        <f>DropAnalityka[[#This Row],[Sell Drop]]+IF(DropAnalityka[[#This Row],[Drop]]="Scroll", 2000*DropAnalityka[[#This Row],[Quality/Quantity]],0)</f>
        <v>4000</v>
      </c>
      <c r="K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Drop]]+IF(DropAnalityka[[#This Row],[Drop]]="Scroll", 2000*DropAnalityka[[#This Row],[Quality/Quantity]],0)</f>
        <v>1159</v>
      </c>
      <c r="K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Drop]]+IF(DropAnalityka[[#This Row],[Drop]]="Scroll", 2000*DropAnalityka[[#This Row],[Quality/Quantity]],0)</f>
        <v>1159</v>
      </c>
      <c r="K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Drop]]+IF(DropAnalityka[[#This Row],[Drop]]="Scroll", 2000*DropAnalityka[[#This Row],[Quality/Quantity]],0)</f>
        <v>1352</v>
      </c>
      <c r="K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 t="s">
        <v>12</v>
      </c>
      <c r="I129">
        <v>0</v>
      </c>
      <c r="J129">
        <f>DropAnalityka[[#This Row],[Sell Drop]]+IF(DropAnalityka[[#This Row],[Drop]]="Scroll", 2000*DropAnalityka[[#This Row],[Quality/Quantity]],0)</f>
        <v>0</v>
      </c>
      <c r="K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I130">
        <v>0</v>
      </c>
      <c r="J130">
        <f>DropAnalityka[[#This Row],[Sell Drop]]+IF(DropAnalityka[[#This Row],[Drop]]="Scroll", 2000*DropAnalityka[[#This Row],[Quality/Quantity]],0)</f>
        <v>4000</v>
      </c>
      <c r="K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 t="s">
        <v>12</v>
      </c>
      <c r="I131">
        <v>0</v>
      </c>
      <c r="J131">
        <f>DropAnalityka[[#This Row],[Sell Drop]]+IF(DropAnalityka[[#This Row],[Drop]]="Scroll", 2000*DropAnalityka[[#This Row],[Quality/Quantity]],0)</f>
        <v>0</v>
      </c>
      <c r="K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 t="s">
        <v>17</v>
      </c>
      <c r="I132">
        <v>0</v>
      </c>
      <c r="J132">
        <f>DropAnalityka[[#This Row],[Sell Drop]]+IF(DropAnalityka[[#This Row],[Drop]]="Scroll", 2000*DropAnalityka[[#This Row],[Quality/Quantity]],0)</f>
        <v>0</v>
      </c>
      <c r="K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 t="s">
        <v>12</v>
      </c>
      <c r="I133">
        <v>0</v>
      </c>
      <c r="J133">
        <f>DropAnalityka[[#This Row],[Sell Drop]]+IF(DropAnalityka[[#This Row],[Drop]]="Scroll", 2000*DropAnalityka[[#This Row],[Quality/Quantity]],0)</f>
        <v>0</v>
      </c>
      <c r="K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Drop]]+IF(DropAnalityka[[#This Row],[Drop]]="Scroll", 2000*DropAnalityka[[#This Row],[Quality/Quantity]],0)</f>
        <v>823</v>
      </c>
      <c r="K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I135">
        <v>0</v>
      </c>
      <c r="J135">
        <f>DropAnalityka[[#This Row],[Sell Drop]]+IF(DropAnalityka[[#This Row],[Drop]]="Scroll", 2000*DropAnalityka[[#This Row],[Quality/Quantity]],0)</f>
        <v>2000</v>
      </c>
      <c r="K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Drop]]+IF(DropAnalityka[[#This Row],[Drop]]="Scroll", 2000*DropAnalityka[[#This Row],[Quality/Quantity]],0)</f>
        <v>823</v>
      </c>
      <c r="K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 t="s">
        <v>12</v>
      </c>
      <c r="I137">
        <v>0</v>
      </c>
      <c r="J137">
        <f>DropAnalityka[[#This Row],[Sell Drop]]+IF(DropAnalityka[[#This Row],[Drop]]="Scroll", 2000*DropAnalityka[[#This Row],[Quality/Quantity]],0)</f>
        <v>0</v>
      </c>
      <c r="K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Drop]]+IF(DropAnalityka[[#This Row],[Drop]]="Scroll", 2000*DropAnalityka[[#This Row],[Quality/Quantity]],0)</f>
        <v>823</v>
      </c>
      <c r="K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Drop]]+IF(DropAnalityka[[#This Row],[Drop]]="Scroll", 2000*DropAnalityka[[#This Row],[Quality/Quantity]],0)</f>
        <v>823</v>
      </c>
      <c r="K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I140">
        <v>0</v>
      </c>
      <c r="J140">
        <f>DropAnalityka[[#This Row],[Sell Drop]]+IF(DropAnalityka[[#This Row],[Drop]]="Scroll", 2000*DropAnalityka[[#This Row],[Quality/Quantity]],0)</f>
        <v>2000</v>
      </c>
      <c r="K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Drop]]+IF(DropAnalityka[[#This Row],[Drop]]="Scroll", 2000*DropAnalityka[[#This Row],[Quality/Quantity]],0)</f>
        <v>1824</v>
      </c>
      <c r="K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Drop]]+IF(DropAnalityka[[#This Row],[Drop]]="Scroll", 2000*DropAnalityka[[#This Row],[Quality/Quantity]],0)</f>
        <v>960</v>
      </c>
      <c r="K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Drop]]+IF(DropAnalityka[[#This Row],[Drop]]="Scroll", 2000*DropAnalityka[[#This Row],[Quality/Quantity]],0)</f>
        <v>823</v>
      </c>
      <c r="K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Drop]]+IF(DropAnalityka[[#This Row],[Drop]]="Scroll", 2000*DropAnalityka[[#This Row],[Quality/Quantity]],0)</f>
        <v>892</v>
      </c>
      <c r="K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I145">
        <v>0</v>
      </c>
      <c r="J145">
        <f>DropAnalityka[[#This Row],[Sell Drop]]+IF(DropAnalityka[[#This Row],[Drop]]="Scroll", 2000*DropAnalityka[[#This Row],[Quality/Quantity]],0)</f>
        <v>2000</v>
      </c>
      <c r="K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Drop]]+IF(DropAnalityka[[#This Row],[Drop]]="Scroll", 2000*DropAnalityka[[#This Row],[Quality/Quantity]],0)</f>
        <v>823</v>
      </c>
      <c r="K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Drop]]+IF(DropAnalityka[[#This Row],[Drop]]="Scroll", 2000*DropAnalityka[[#This Row],[Quality/Quantity]],0)</f>
        <v>1824</v>
      </c>
      <c r="K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Drop]]+IF(DropAnalityka[[#This Row],[Drop]]="Scroll", 2000*DropAnalityka[[#This Row],[Quality/Quantity]],0)</f>
        <v>823</v>
      </c>
      <c r="K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Drop]]+IF(DropAnalityka[[#This Row],[Drop]]="Scroll", 2000*DropAnalityka[[#This Row],[Quality/Quantity]],0)</f>
        <v>823</v>
      </c>
      <c r="K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I150">
        <v>0</v>
      </c>
      <c r="J150">
        <f>DropAnalityka[[#This Row],[Sell Drop]]+IF(DropAnalityka[[#This Row],[Drop]]="Scroll", 2000*DropAnalityka[[#This Row],[Quality/Quantity]],0)</f>
        <v>2000</v>
      </c>
      <c r="K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v>1824</v>
      </c>
      <c r="K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I152">
        <v>0</v>
      </c>
      <c r="J152">
        <f>DropAnalityka[[#This Row],[Sell Drop]]+IF(DropAnalityka[[#This Row],[Drop]]="Scroll", 2000*DropAnalityka[[#This Row],[Quality/Quantity]],0)</f>
        <v>2000</v>
      </c>
      <c r="K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v>823</v>
      </c>
      <c r="K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I154">
        <v>0</v>
      </c>
      <c r="J154">
        <f>DropAnalityka[[#This Row],[Sell Drop]]+IF(DropAnalityka[[#This Row],[Drop]]="Scroll", 2000*DropAnalityka[[#This Row],[Quality/Quantity]],0)</f>
        <v>2000</v>
      </c>
      <c r="K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v>960</v>
      </c>
      <c r="K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v>2128</v>
      </c>
      <c r="K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I157">
        <v>0</v>
      </c>
      <c r="J157">
        <f>DropAnalityka[[#This Row],[Sell Drop]]+IF(DropAnalityka[[#This Row],[Drop]]="Scroll", 2000*DropAnalityka[[#This Row],[Quality/Quantity]],0)</f>
        <v>2000</v>
      </c>
      <c r="K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v>823</v>
      </c>
      <c r="K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v>1824</v>
      </c>
      <c r="K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I160">
        <v>0</v>
      </c>
      <c r="J160">
        <f>DropAnalityka[[#This Row],[Sell Drop]]+IF(DropAnalityka[[#This Row],[Drop]]="Scroll", 2000*DropAnalityka[[#This Row],[Quality/Quantity]],0)</f>
        <v>2000</v>
      </c>
      <c r="K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I161">
        <v>0</v>
      </c>
      <c r="J161">
        <f>DropAnalityka[[#This Row],[Sell Drop]]+IF(DropAnalityka[[#This Row],[Drop]]="Scroll", 2000*DropAnalityka[[#This Row],[Quality/Quantity]],0)</f>
        <v>2000</v>
      </c>
      <c r="K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I162">
        <v>0</v>
      </c>
      <c r="J162">
        <f>DropAnalityka[[#This Row],[Sell Drop]]+IF(DropAnalityka[[#This Row],[Drop]]="Scroll", 2000*DropAnalityka[[#This Row],[Quality/Quantity]],0)</f>
        <v>2000</v>
      </c>
      <c r="K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 t="s">
        <v>12</v>
      </c>
      <c r="I163">
        <v>0</v>
      </c>
      <c r="J163">
        <v>0</v>
      </c>
      <c r="K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v>892</v>
      </c>
      <c r="K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v>823</v>
      </c>
      <c r="K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I166">
        <v>0</v>
      </c>
      <c r="J166">
        <f>DropAnalityka[[#This Row],[Sell Drop]]+IF(DropAnalityka[[#This Row],[Drop]]="Scroll", 2000*DropAnalityka[[#This Row],[Quality/Quantity]],0)</f>
        <v>2000</v>
      </c>
      <c r="K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I167">
        <v>0</v>
      </c>
      <c r="J167">
        <f>DropAnalityka[[#This Row],[Sell Drop]]+IF(DropAnalityka[[#This Row],[Drop]]="Scroll", 2000*DropAnalityka[[#This Row],[Quality/Quantity]],0)</f>
        <v>2000</v>
      </c>
      <c r="K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v>823</v>
      </c>
      <c r="K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I169">
        <v>0</v>
      </c>
      <c r="J169">
        <f>DropAnalityka[[#This Row],[Sell Drop]]+IF(DropAnalityka[[#This Row],[Drop]]="Scroll", 2000*DropAnalityka[[#This Row],[Quality/Quantity]],0)</f>
        <v>2000</v>
      </c>
      <c r="K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288</v>
      </c>
      <c r="G170">
        <v>2</v>
      </c>
      <c r="H170" t="s">
        <v>309</v>
      </c>
      <c r="I170">
        <v>0</v>
      </c>
      <c r="J170">
        <v>0</v>
      </c>
      <c r="K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I171">
        <v>0</v>
      </c>
      <c r="J171">
        <f>DropAnalityka[[#This Row],[Sell Drop]]+IF(DropAnalityka[[#This Row],[Drop]]="Scroll", 2000*DropAnalityka[[#This Row],[Quality/Quantity]],0)</f>
        <v>4000</v>
      </c>
      <c r="K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I172">
        <v>0</v>
      </c>
      <c r="J172">
        <f>DropAnalityka[[#This Row],[Sell Drop]]+IF(DropAnalityka[[#This Row],[Drop]]="Scroll", 2000*DropAnalityka[[#This Row],[Quality/Quantity]],0)</f>
        <v>6000</v>
      </c>
      <c r="K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I173">
        <v>0</v>
      </c>
      <c r="J173">
        <f>DropAnalityka[[#This Row],[Sell Drop]]+IF(DropAnalityka[[#This Row],[Drop]]="Scroll", 2000*DropAnalityka[[#This Row],[Quality/Quantity]],0)</f>
        <v>4000</v>
      </c>
      <c r="K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288</v>
      </c>
      <c r="G174">
        <v>1</v>
      </c>
      <c r="H174" t="s">
        <v>310</v>
      </c>
      <c r="I174">
        <v>0</v>
      </c>
      <c r="J174">
        <v>0</v>
      </c>
      <c r="K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I175">
        <v>0</v>
      </c>
      <c r="J175">
        <f>DropAnalityka[[#This Row],[Sell Drop]]+IF(DropAnalityka[[#This Row],[Drop]]="Scroll", 2000*DropAnalityka[[#This Row],[Quality/Quantity]],0)</f>
        <v>6000</v>
      </c>
      <c r="K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285</v>
      </c>
      <c r="G176">
        <v>2</v>
      </c>
      <c r="H176" t="s">
        <v>309</v>
      </c>
      <c r="I176">
        <v>0</v>
      </c>
      <c r="J176">
        <v>0</v>
      </c>
      <c r="K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K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" spans="1:12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 t="s">
        <v>12</v>
      </c>
      <c r="I178">
        <v>0</v>
      </c>
      <c r="J178">
        <v>0</v>
      </c>
      <c r="K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v>1352</v>
      </c>
      <c r="K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 t="s">
        <v>12</v>
      </c>
      <c r="I180">
        <v>0</v>
      </c>
      <c r="J180">
        <v>0</v>
      </c>
      <c r="K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I181">
        <v>0</v>
      </c>
      <c r="J181">
        <f>DropAnalityka[[#This Row],[Sell Drop]]+IF(DropAnalityka[[#This Row],[Drop]]="Scroll", 2000*DropAnalityka[[#This Row],[Quality/Quantity]],0)</f>
        <v>4000</v>
      </c>
      <c r="K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 t="s">
        <v>17</v>
      </c>
      <c r="I182">
        <v>0</v>
      </c>
      <c r="J182">
        <v>0</v>
      </c>
      <c r="K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v>720</v>
      </c>
      <c r="K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v>720</v>
      </c>
      <c r="K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I185">
        <v>0</v>
      </c>
      <c r="J185">
        <f>DropAnalityka[[#This Row],[Sell Drop]]+IF(DropAnalityka[[#This Row],[Drop]]="Scroll", 2000*DropAnalityka[[#This Row],[Quality/Quantity]],0)</f>
        <v>4000</v>
      </c>
      <c r="K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v>2067</v>
      </c>
      <c r="K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v>1159</v>
      </c>
      <c r="K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" spans="1:12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v>1824</v>
      </c>
      <c r="K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" spans="1:12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v>866</v>
      </c>
      <c r="K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" spans="1:12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v>1440</v>
      </c>
      <c r="K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" spans="1:12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v>1440</v>
      </c>
      <c r="K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" spans="1:12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v>823</v>
      </c>
      <c r="K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" spans="1:12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v>1976</v>
      </c>
      <c r="K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" spans="1:12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v>823</v>
      </c>
      <c r="K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" spans="1:12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v>823</v>
      </c>
      <c r="K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" spans="1:12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v>2128</v>
      </c>
      <c r="K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" spans="1:12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I197">
        <v>0</v>
      </c>
      <c r="J197">
        <f>DropAnalityka[[#This Row],[Sell Drop]]+IF(DropAnalityka[[#This Row],[Drop]]="Scroll", 2000*DropAnalityka[[#This Row],[Quality/Quantity]],0)</f>
        <v>2000</v>
      </c>
      <c r="K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" spans="1:12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v>823</v>
      </c>
      <c r="K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" spans="1:12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v>892</v>
      </c>
      <c r="K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0" spans="1:12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I200">
        <v>0</v>
      </c>
      <c r="J200">
        <f>DropAnalityka[[#This Row],[Sell Drop]]+IF(DropAnalityka[[#This Row],[Drop]]="Scroll", 2000*DropAnalityka[[#This Row],[Quality/Quantity]],0)</f>
        <v>2000</v>
      </c>
      <c r="K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1" spans="1:12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I201">
        <v>0</v>
      </c>
      <c r="J201">
        <f>DropAnalityka[[#This Row],[Sell Drop]]+IF(DropAnalityka[[#This Row],[Drop]]="Scroll", 2000*DropAnalityka[[#This Row],[Quality/Quantity]],0)</f>
        <v>2000</v>
      </c>
      <c r="K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2" spans="1:12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v>823</v>
      </c>
      <c r="K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3" spans="1:12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v>960</v>
      </c>
      <c r="K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4" spans="1:12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v>2128</v>
      </c>
      <c r="K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5" spans="1:12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v>892</v>
      </c>
      <c r="K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6" spans="1:12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v>960</v>
      </c>
      <c r="K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7" spans="1:12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v>2280</v>
      </c>
      <c r="K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8" spans="1:12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v>823</v>
      </c>
      <c r="K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9" spans="1:12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v>823</v>
      </c>
      <c r="K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0" spans="1:12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v>892</v>
      </c>
      <c r="K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1" spans="1:12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v>823</v>
      </c>
      <c r="K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2" spans="1:12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v>823</v>
      </c>
      <c r="K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3" spans="1:12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v>2280</v>
      </c>
      <c r="K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4" spans="1:12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v>2128</v>
      </c>
      <c r="K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5" spans="1:12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 t="s">
        <v>12</v>
      </c>
      <c r="I215">
        <v>0</v>
      </c>
      <c r="J215">
        <v>0</v>
      </c>
      <c r="K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16" spans="1:12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I216">
        <v>0</v>
      </c>
      <c r="J216">
        <f>DropAnalityka[[#This Row],[Sell Drop]]+IF(DropAnalityka[[#This Row],[Drop]]="Scroll", 2000*DropAnalityka[[#This Row],[Quality/Quantity]],0)</f>
        <v>2000</v>
      </c>
      <c r="K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7" spans="1:12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 t="s">
        <v>12</v>
      </c>
      <c r="I217">
        <v>0</v>
      </c>
      <c r="J217">
        <v>0</v>
      </c>
      <c r="K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18" spans="1:12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v>892</v>
      </c>
      <c r="K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9" spans="1:12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v>823</v>
      </c>
      <c r="K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0" spans="1:12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v>823</v>
      </c>
      <c r="K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1" spans="1:12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I221">
        <v>0</v>
      </c>
      <c r="J221">
        <f>DropAnalityka[[#This Row],[Sell Drop]]+IF(DropAnalityka[[#This Row],[Drop]]="Scroll", 2000*DropAnalityka[[#This Row],[Quality/Quantity]],0)</f>
        <v>2000</v>
      </c>
      <c r="K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2" spans="1:12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 t="s">
        <v>12</v>
      </c>
      <c r="I222">
        <v>0</v>
      </c>
      <c r="J222">
        <v>0</v>
      </c>
      <c r="K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23" spans="1:12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v>823</v>
      </c>
      <c r="K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4" spans="1:12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v>823</v>
      </c>
      <c r="K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5" spans="1:12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 t="s">
        <v>12</v>
      </c>
      <c r="I225">
        <v>0</v>
      </c>
      <c r="J225">
        <v>0</v>
      </c>
      <c r="K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26" spans="1:12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 t="s">
        <v>12</v>
      </c>
      <c r="I226">
        <v>0</v>
      </c>
      <c r="J226">
        <v>0</v>
      </c>
      <c r="K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27" spans="1:12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 t="s">
        <v>12</v>
      </c>
      <c r="I227">
        <v>0</v>
      </c>
      <c r="J227">
        <v>0</v>
      </c>
      <c r="K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28" spans="1:12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v>823</v>
      </c>
      <c r="K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9" spans="1:12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v>1824</v>
      </c>
      <c r="K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0" spans="1:12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 t="s">
        <v>12</v>
      </c>
      <c r="I230">
        <v>0</v>
      </c>
      <c r="J230">
        <v>0</v>
      </c>
      <c r="K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31" spans="1:12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v>823</v>
      </c>
      <c r="K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2" spans="1:12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I232">
        <v>0</v>
      </c>
      <c r="J232">
        <f>DropAnalityka[[#This Row],[Sell Drop]]+IF(DropAnalityka[[#This Row],[Drop]]="Scroll", 2000*DropAnalityka[[#This Row],[Quality/Quantity]],0)</f>
        <v>2000</v>
      </c>
      <c r="K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3" spans="1:12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I233">
        <v>0</v>
      </c>
      <c r="J233">
        <f>DropAnalityka[[#This Row],[Sell Drop]]+IF(DropAnalityka[[#This Row],[Drop]]="Scroll", 2000*DropAnalityka[[#This Row],[Quality/Quantity]],0)</f>
        <v>2000</v>
      </c>
      <c r="K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4" spans="1:12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I234">
        <v>0</v>
      </c>
      <c r="J234">
        <f>DropAnalityka[[#This Row],[Sell Drop]]+IF(DropAnalityka[[#This Row],[Drop]]="Scroll", 2000*DropAnalityka[[#This Row],[Quality/Quantity]],0)</f>
        <v>2000</v>
      </c>
      <c r="K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5" spans="1:12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v>823</v>
      </c>
      <c r="K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6" spans="1:12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v>0</v>
      </c>
      <c r="K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7" spans="1:12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v>823</v>
      </c>
      <c r="K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8" spans="1:12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v>823</v>
      </c>
      <c r="K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9" spans="1:12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v>1824</v>
      </c>
      <c r="K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0" spans="1:12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I240">
        <v>0</v>
      </c>
      <c r="J240">
        <f>DropAnalityka[[#This Row],[Sell Drop]]+IF(DropAnalityka[[#This Row],[Drop]]="Scroll", 2000*DropAnalityka[[#This Row],[Quality/Quantity]],0)</f>
        <v>2000</v>
      </c>
      <c r="K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1" spans="1:12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v>0</v>
      </c>
      <c r="K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2" spans="1:12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v>1824</v>
      </c>
      <c r="K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3" spans="1:12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v>960</v>
      </c>
      <c r="K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4" spans="1:12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v>823</v>
      </c>
      <c r="K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5" spans="1:12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 t="s">
        <v>12</v>
      </c>
      <c r="I245">
        <v>0</v>
      </c>
      <c r="J245">
        <v>0</v>
      </c>
      <c r="K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46" spans="1:12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v>823</v>
      </c>
      <c r="K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7" spans="1:12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v>823</v>
      </c>
      <c r="K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8" spans="1:12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I248">
        <v>0</v>
      </c>
      <c r="J248">
        <f>DropAnalityka[[#This Row],[Sell Drop]]+IF(DropAnalityka[[#This Row],[Drop]]="Scroll", 2000*DropAnalityka[[#This Row],[Quality/Quantity]],0)</f>
        <v>2000</v>
      </c>
      <c r="K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9" spans="1:12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I249">
        <v>0</v>
      </c>
      <c r="J249">
        <f>DropAnalityka[[#This Row],[Sell Drop]]+IF(DropAnalityka[[#This Row],[Drop]]="Scroll", 2000*DropAnalityka[[#This Row],[Quality/Quantity]],0)</f>
        <v>2000</v>
      </c>
      <c r="K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0" spans="1:12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v>1824</v>
      </c>
      <c r="K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1" spans="1:12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v>823</v>
      </c>
      <c r="K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2" spans="1:12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I252">
        <v>0</v>
      </c>
      <c r="J252">
        <f>DropAnalityka[[#This Row],[Sell Drop]]+IF(DropAnalityka[[#This Row],[Drop]]="Scroll", 2000*DropAnalityka[[#This Row],[Quality/Quantity]],0)</f>
        <v>2000</v>
      </c>
      <c r="K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3" spans="1:12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I253">
        <v>0</v>
      </c>
      <c r="J253">
        <f>DropAnalityka[[#This Row],[Sell Drop]]+IF(DropAnalityka[[#This Row],[Drop]]="Scroll", 2000*DropAnalityka[[#This Row],[Quality/Quantity]],0)</f>
        <v>2000</v>
      </c>
      <c r="K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4" spans="1:12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v>823</v>
      </c>
      <c r="K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5" spans="1:12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v>823</v>
      </c>
      <c r="K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6" spans="1:12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v>2128</v>
      </c>
      <c r="K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7" spans="1:13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v>892</v>
      </c>
      <c r="K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8" spans="1:13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v>823</v>
      </c>
      <c r="K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9" spans="1:13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v>823</v>
      </c>
      <c r="K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0" spans="1:13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v>1976</v>
      </c>
      <c r="K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1" spans="1:13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v>823</v>
      </c>
      <c r="K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2" spans="1:13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v>1824</v>
      </c>
      <c r="K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v>1159</v>
      </c>
      <c r="K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v>1159</v>
      </c>
      <c r="K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5" spans="1:13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v>1824</v>
      </c>
      <c r="K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6" spans="1:13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v>823</v>
      </c>
      <c r="K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7" spans="1:13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I267">
        <v>0</v>
      </c>
      <c r="J267">
        <f>DropAnalityka[[#This Row],[Sell Drop]]+IF(DropAnalityka[[#This Row],[Drop]]="Scroll", 2000*DropAnalityka[[#This Row],[Quality/Quantity]],0)</f>
        <v>2000</v>
      </c>
      <c r="K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8" spans="1:13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v>823</v>
      </c>
      <c r="K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68" s="16">
        <v>0.33078703703703705</v>
      </c>
    </row>
    <row r="269" spans="1:13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I269">
        <v>0</v>
      </c>
      <c r="J269">
        <f>DropAnalityka[[#This Row],[Sell Drop]]+IF(DropAnalityka[[#This Row],[Drop]]="Scroll", 2000*DropAnalityka[[#This Row],[Quality/Quantity]],0)</f>
        <v>2000</v>
      </c>
      <c r="K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69" s="16">
        <v>0.33269675925925929</v>
      </c>
    </row>
    <row r="270" spans="1:13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v>823</v>
      </c>
      <c r="K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1" spans="1:13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I271">
        <v>0</v>
      </c>
      <c r="J271">
        <f>DropAnalityka[[#This Row],[Sell Drop]]+IF(DropAnalityka[[#This Row],[Drop]]="Scroll", 2000*DropAnalityka[[#This Row],[Quality/Quantity]],0)</f>
        <v>2000</v>
      </c>
      <c r="K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2" spans="1:13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v>1824</v>
      </c>
      <c r="K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3" spans="1:13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I273">
        <v>0</v>
      </c>
      <c r="J273">
        <f>DropAnalityka[[#This Row],[Sell Drop]]+IF(DropAnalityka[[#This Row],[Drop]]="Scroll", 2000*DropAnalityka[[#This Row],[Quality/Quantity]],0)</f>
        <v>2000</v>
      </c>
      <c r="K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4" spans="1:13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v>1824</v>
      </c>
      <c r="K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74" s="16">
        <v>0.34259259259259256</v>
      </c>
    </row>
    <row r="275" spans="1:13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v>1824</v>
      </c>
      <c r="K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6" spans="1:13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I276">
        <v>0</v>
      </c>
      <c r="J276">
        <f>DropAnalityka[[#This Row],[Sell Drop]]+IF(DropAnalityka[[#This Row],[Drop]]="Scroll", 2000*DropAnalityka[[#This Row],[Quality/Quantity]],0)</f>
        <v>2000</v>
      </c>
      <c r="K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7" spans="1:13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 t="s">
        <v>12</v>
      </c>
      <c r="I277">
        <v>0</v>
      </c>
      <c r="J277">
        <v>0</v>
      </c>
      <c r="K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78" spans="1:13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v>1824</v>
      </c>
      <c r="K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9" spans="1:13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v>1824</v>
      </c>
      <c r="K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0" spans="1:13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v>960</v>
      </c>
      <c r="K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1" spans="1:13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v>823</v>
      </c>
      <c r="K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v>823</v>
      </c>
      <c r="K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I283">
        <v>0</v>
      </c>
      <c r="J283">
        <f>DropAnalityka[[#This Row],[Sell Drop]]+IF(DropAnalityka[[#This Row],[Drop]]="Scroll", 2000*DropAnalityka[[#This Row],[Quality/Quantity]],0)</f>
        <v>2000</v>
      </c>
      <c r="K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288</v>
      </c>
      <c r="G284">
        <v>4</v>
      </c>
      <c r="H284" t="s">
        <v>309</v>
      </c>
      <c r="I284">
        <v>0</v>
      </c>
      <c r="J284">
        <v>0</v>
      </c>
      <c r="K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5" spans="1:13">
      <c r="A285" t="s">
        <v>157</v>
      </c>
      <c r="B285" t="s">
        <v>9</v>
      </c>
      <c r="C285">
        <v>5</v>
      </c>
      <c r="D285">
        <v>1500</v>
      </c>
      <c r="E285">
        <v>0</v>
      </c>
      <c r="F285" t="s">
        <v>312</v>
      </c>
      <c r="G285">
        <v>3</v>
      </c>
      <c r="H285" t="s">
        <v>309</v>
      </c>
      <c r="I285">
        <v>0</v>
      </c>
      <c r="J285">
        <v>0</v>
      </c>
      <c r="K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6" spans="1:13">
      <c r="A286" t="s">
        <v>157</v>
      </c>
      <c r="B286" t="s">
        <v>9</v>
      </c>
      <c r="C286">
        <v>5</v>
      </c>
      <c r="D286">
        <v>1782</v>
      </c>
      <c r="E286">
        <v>0</v>
      </c>
      <c r="F286" t="s">
        <v>312</v>
      </c>
      <c r="G286">
        <v>2</v>
      </c>
      <c r="H286" t="s">
        <v>309</v>
      </c>
      <c r="I286">
        <v>0</v>
      </c>
      <c r="J286">
        <v>0</v>
      </c>
      <c r="K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7" spans="1:13">
      <c r="A287" t="s">
        <v>157</v>
      </c>
      <c r="B287" t="s">
        <v>9</v>
      </c>
      <c r="C287">
        <v>5</v>
      </c>
      <c r="D287">
        <v>1666</v>
      </c>
      <c r="E287">
        <v>1</v>
      </c>
      <c r="F287" t="s">
        <v>312</v>
      </c>
      <c r="G287">
        <v>1</v>
      </c>
      <c r="H287" t="s">
        <v>310</v>
      </c>
      <c r="I287">
        <v>0</v>
      </c>
      <c r="J287">
        <v>0</v>
      </c>
      <c r="K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8" spans="1:13">
      <c r="A288" t="s">
        <v>157</v>
      </c>
      <c r="B288" t="s">
        <v>9</v>
      </c>
      <c r="C288">
        <v>5</v>
      </c>
      <c r="D288">
        <v>1556</v>
      </c>
      <c r="E288">
        <v>0</v>
      </c>
      <c r="F288" t="s">
        <v>312</v>
      </c>
      <c r="G288">
        <v>2</v>
      </c>
      <c r="H288" t="s">
        <v>309</v>
      </c>
      <c r="I288">
        <v>0</v>
      </c>
      <c r="J288">
        <v>0</v>
      </c>
      <c r="K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9" spans="1:12">
      <c r="A289" t="s">
        <v>157</v>
      </c>
      <c r="B289" t="s">
        <v>9</v>
      </c>
      <c r="C289">
        <v>5</v>
      </c>
      <c r="D289">
        <v>2860</v>
      </c>
      <c r="E289">
        <v>0</v>
      </c>
      <c r="F289" t="s">
        <v>312</v>
      </c>
      <c r="G289">
        <v>1</v>
      </c>
      <c r="H289" t="s">
        <v>310</v>
      </c>
      <c r="I289">
        <v>0</v>
      </c>
      <c r="J289">
        <v>0</v>
      </c>
      <c r="K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0" spans="1:12">
      <c r="A290" t="s">
        <v>157</v>
      </c>
      <c r="B290" t="s">
        <v>9</v>
      </c>
      <c r="C290">
        <v>5</v>
      </c>
      <c r="D290">
        <v>2986</v>
      </c>
      <c r="E290">
        <v>0</v>
      </c>
      <c r="F290" t="s">
        <v>312</v>
      </c>
      <c r="G290">
        <v>2</v>
      </c>
      <c r="H290" t="s">
        <v>309</v>
      </c>
      <c r="I290">
        <v>0</v>
      </c>
      <c r="J290">
        <v>0</v>
      </c>
      <c r="K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1" spans="1:12">
      <c r="A291" t="s">
        <v>157</v>
      </c>
      <c r="B291" t="s">
        <v>9</v>
      </c>
      <c r="C291">
        <v>5</v>
      </c>
      <c r="D291">
        <v>3172</v>
      </c>
      <c r="E291">
        <v>1</v>
      </c>
      <c r="F291" t="s">
        <v>158</v>
      </c>
      <c r="G291" t="s">
        <v>12</v>
      </c>
      <c r="I291">
        <v>0</v>
      </c>
      <c r="J291">
        <v>0</v>
      </c>
      <c r="K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2" spans="1:12">
      <c r="A292" t="s">
        <v>157</v>
      </c>
      <c r="B292" t="s">
        <v>9</v>
      </c>
      <c r="C292">
        <v>5</v>
      </c>
      <c r="D292">
        <v>1420</v>
      </c>
      <c r="E292">
        <v>0</v>
      </c>
      <c r="F292" t="s">
        <v>312</v>
      </c>
      <c r="G292">
        <v>2</v>
      </c>
      <c r="H292" t="s">
        <v>310</v>
      </c>
      <c r="I292">
        <v>0</v>
      </c>
      <c r="J292">
        <v>0</v>
      </c>
      <c r="K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3" spans="1:12">
      <c r="A293" t="s">
        <v>157</v>
      </c>
      <c r="B293" t="s">
        <v>9</v>
      </c>
      <c r="C293">
        <v>5</v>
      </c>
      <c r="D293">
        <v>1352</v>
      </c>
      <c r="E293">
        <v>0</v>
      </c>
      <c r="F293" t="s">
        <v>312</v>
      </c>
      <c r="G293">
        <v>1</v>
      </c>
      <c r="H293" t="s">
        <v>310</v>
      </c>
      <c r="I293">
        <v>0</v>
      </c>
      <c r="J293">
        <v>0</v>
      </c>
      <c r="K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4" spans="1:12">
      <c r="A294" t="s">
        <v>157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I294">
        <v>0</v>
      </c>
      <c r="J294">
        <f>DropAnalityka[[#This Row],[Sell Drop]]+IF(DropAnalityka[[#This Row],[Drop]]="Scroll", 2000*DropAnalityka[[#This Row],[Quality/Quantity]],0)</f>
        <v>8000</v>
      </c>
      <c r="K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5" spans="1:12">
      <c r="A295" t="s">
        <v>157</v>
      </c>
      <c r="B295" t="s">
        <v>9</v>
      </c>
      <c r="C295">
        <v>5</v>
      </c>
      <c r="D295">
        <v>1428</v>
      </c>
      <c r="E295">
        <v>1</v>
      </c>
      <c r="F295" t="s">
        <v>160</v>
      </c>
      <c r="G295">
        <v>3</v>
      </c>
      <c r="I295">
        <v>0</v>
      </c>
      <c r="J295">
        <v>0</v>
      </c>
      <c r="K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6" spans="1:12">
      <c r="A296" t="s">
        <v>157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I296">
        <v>0</v>
      </c>
      <c r="J296">
        <f>DropAnalityka[[#This Row],[Sell Drop]]+IF(DropAnalityka[[#This Row],[Drop]]="Scroll", 2000*DropAnalityka[[#This Row],[Quality/Quantity]],0)</f>
        <v>4000</v>
      </c>
      <c r="K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7" spans="1:12">
      <c r="A297" t="s">
        <v>157</v>
      </c>
      <c r="B297" t="s">
        <v>9</v>
      </c>
      <c r="C297">
        <v>5</v>
      </c>
      <c r="D297">
        <v>1559</v>
      </c>
      <c r="E297">
        <v>0</v>
      </c>
      <c r="F297" t="s">
        <v>312</v>
      </c>
      <c r="G297">
        <v>1</v>
      </c>
      <c r="H297" t="s">
        <v>310</v>
      </c>
      <c r="I297">
        <v>0</v>
      </c>
      <c r="J297">
        <v>0</v>
      </c>
      <c r="K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8" spans="1:12">
      <c r="A298" t="s">
        <v>157</v>
      </c>
      <c r="B298" t="s">
        <v>9</v>
      </c>
      <c r="C298">
        <v>5</v>
      </c>
      <c r="D298">
        <v>1600</v>
      </c>
      <c r="E298">
        <v>0</v>
      </c>
      <c r="F298" t="s">
        <v>312</v>
      </c>
      <c r="G298">
        <v>3</v>
      </c>
      <c r="H298" t="s">
        <v>310</v>
      </c>
      <c r="I298">
        <v>0</v>
      </c>
      <c r="J298">
        <v>0</v>
      </c>
      <c r="K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9" spans="1:12">
      <c r="A299" t="s">
        <v>157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I299">
        <v>0</v>
      </c>
      <c r="J299">
        <f>DropAnalityka[[#This Row],[Sell Drop]]+IF(DropAnalityka[[#This Row],[Drop]]="Scroll", 2000*DropAnalityka[[#This Row],[Quality/Quantity]],0)</f>
        <v>4000</v>
      </c>
      <c r="K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0" spans="1:12">
      <c r="A300" t="s">
        <v>157</v>
      </c>
      <c r="B300" t="s">
        <v>9</v>
      </c>
      <c r="C300">
        <v>5</v>
      </c>
      <c r="D300">
        <v>1389</v>
      </c>
      <c r="E300">
        <v>0</v>
      </c>
      <c r="F300" t="s">
        <v>312</v>
      </c>
      <c r="G300">
        <v>4</v>
      </c>
      <c r="H300" t="s">
        <v>309</v>
      </c>
      <c r="I300">
        <v>0</v>
      </c>
      <c r="J300">
        <v>0</v>
      </c>
      <c r="K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v>1824</v>
      </c>
      <c r="K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 t="s">
        <v>12</v>
      </c>
      <c r="I302">
        <v>0</v>
      </c>
      <c r="J302">
        <v>0</v>
      </c>
      <c r="K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v>3182</v>
      </c>
      <c r="K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v>2937</v>
      </c>
      <c r="K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v>2937</v>
      </c>
      <c r="K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v>1824</v>
      </c>
      <c r="K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I307">
        <v>0</v>
      </c>
      <c r="J307">
        <f>DropAnalityka[[#This Row],[Sell Drop]]+IF(DropAnalityka[[#This Row],[Drop]]="Scroll", 2000*DropAnalityka[[#This Row],[Quality/Quantity]],0)</f>
        <v>4000</v>
      </c>
      <c r="K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v>3182</v>
      </c>
      <c r="K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162</v>
      </c>
      <c r="G309">
        <v>1</v>
      </c>
      <c r="I309">
        <v>0</v>
      </c>
      <c r="J309">
        <v>0</v>
      </c>
      <c r="K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 t="s">
        <v>26</v>
      </c>
      <c r="I310">
        <v>0</v>
      </c>
      <c r="J310">
        <v>0</v>
      </c>
      <c r="K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v>1824</v>
      </c>
      <c r="K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 t="s">
        <v>12</v>
      </c>
      <c r="I312">
        <v>0</v>
      </c>
      <c r="J312">
        <v>0</v>
      </c>
      <c r="K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v>1824</v>
      </c>
      <c r="K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I314">
        <v>0</v>
      </c>
      <c r="J314">
        <f>DropAnalityka[[#This Row],[Sell Drop]]+IF(DropAnalityka[[#This Row],[Drop]]="Scroll", 2000*DropAnalityka[[#This Row],[Quality/Quantity]],0)</f>
        <v>4000</v>
      </c>
      <c r="K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v>2937</v>
      </c>
      <c r="K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v>1824</v>
      </c>
      <c r="K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v>1824</v>
      </c>
      <c r="K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v>2937</v>
      </c>
      <c r="K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I319">
        <v>0</v>
      </c>
      <c r="J319">
        <f>DropAnalityka[[#This Row],[Sell Drop]]+IF(DropAnalityka[[#This Row],[Drop]]="Scroll", 2000*DropAnalityka[[#This Row],[Quality/Quantity]],0)</f>
        <v>4000</v>
      </c>
      <c r="K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v>2128</v>
      </c>
      <c r="K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v>1824</v>
      </c>
      <c r="K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v>1824</v>
      </c>
      <c r="K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v>2937</v>
      </c>
      <c r="K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I324">
        <v>0</v>
      </c>
      <c r="J324">
        <f>DropAnalityka[[#This Row],[Sell Drop]]+IF(DropAnalityka[[#This Row],[Drop]]="Scroll", 2000*DropAnalityka[[#This Row],[Quality/Quantity]],0)</f>
        <v>4000</v>
      </c>
      <c r="K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v>1834</v>
      </c>
      <c r="K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v>1834</v>
      </c>
      <c r="K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v>2937</v>
      </c>
      <c r="K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v>1834</v>
      </c>
      <c r="K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 t="s">
        <v>12</v>
      </c>
      <c r="I329">
        <v>0</v>
      </c>
      <c r="J329">
        <v>0</v>
      </c>
      <c r="K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 t="s">
        <v>12</v>
      </c>
      <c r="I330">
        <v>0</v>
      </c>
      <c r="J330">
        <v>0</v>
      </c>
      <c r="K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v>1834</v>
      </c>
      <c r="K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v>2280</v>
      </c>
      <c r="K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v>2080</v>
      </c>
      <c r="K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4" spans="1:12">
      <c r="A334" t="s">
        <v>191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v>3168</v>
      </c>
      <c r="K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288</v>
      </c>
      <c r="G335">
        <v>1</v>
      </c>
      <c r="H335" t="s">
        <v>310</v>
      </c>
      <c r="I335">
        <v>0</v>
      </c>
      <c r="J335">
        <v>0</v>
      </c>
      <c r="K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6" spans="1:12">
      <c r="A336" t="s">
        <v>192</v>
      </c>
      <c r="B336" t="s">
        <v>9</v>
      </c>
      <c r="C336">
        <v>5</v>
      </c>
      <c r="D336">
        <v>1000</v>
      </c>
      <c r="E336">
        <v>0</v>
      </c>
      <c r="F336" t="s">
        <v>287</v>
      </c>
      <c r="G336">
        <v>5</v>
      </c>
      <c r="H336" t="s">
        <v>309</v>
      </c>
      <c r="I336">
        <v>0</v>
      </c>
      <c r="J336">
        <v>0</v>
      </c>
      <c r="K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v>2067</v>
      </c>
      <c r="K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v>1159</v>
      </c>
      <c r="K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v>1159</v>
      </c>
      <c r="K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v>1352</v>
      </c>
      <c r="K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v>1159</v>
      </c>
      <c r="K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v>1159</v>
      </c>
      <c r="K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I343">
        <v>0</v>
      </c>
      <c r="J343">
        <f>DropAnalityka[[#This Row],[Sell Drop]]+IF(DropAnalityka[[#This Row],[Drop]]="Scroll", 2000*DropAnalityka[[#This Row],[Quality/Quantity]],0)</f>
        <v>6000</v>
      </c>
      <c r="K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v>1159</v>
      </c>
      <c r="K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v>1159</v>
      </c>
      <c r="K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v>1159</v>
      </c>
      <c r="K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162</v>
      </c>
      <c r="I347">
        <v>0</v>
      </c>
      <c r="J347">
        <v>0</v>
      </c>
      <c r="K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v>1546</v>
      </c>
      <c r="K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I349">
        <v>0</v>
      </c>
      <c r="J349">
        <f>DropAnalityka[[#This Row],[Sell Drop]]+IF(DropAnalityka[[#This Row],[Drop]]="Scroll", 2000*DropAnalityka[[#This Row],[Quality/Quantity]],0)</f>
        <v>6000</v>
      </c>
      <c r="K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v>1159</v>
      </c>
      <c r="K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v>1159</v>
      </c>
      <c r="K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v>1159</v>
      </c>
      <c r="K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v>1159</v>
      </c>
      <c r="K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I354">
        <v>0</v>
      </c>
      <c r="J354">
        <f>DropAnalityka[[#This Row],[Sell Drop]]+IF(DropAnalityka[[#This Row],[Drop]]="Scroll", 2000*DropAnalityka[[#This Row],[Quality/Quantity]],0)</f>
        <v>6000</v>
      </c>
      <c r="K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v>2757</v>
      </c>
      <c r="K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v>1824</v>
      </c>
      <c r="K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v>2937</v>
      </c>
      <c r="K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v>3400</v>
      </c>
      <c r="K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v>1824</v>
      </c>
      <c r="K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I360">
        <v>0</v>
      </c>
      <c r="J360">
        <f>DropAnalityka[[#This Row],[Sell Drop]]+IF(DropAnalityka[[#This Row],[Drop]]="Scroll", 2000*DropAnalityka[[#This Row],[Quality/Quantity]],0)</f>
        <v>4000</v>
      </c>
      <c r="K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v>1824</v>
      </c>
      <c r="K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v>1824</v>
      </c>
      <c r="K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v>1976</v>
      </c>
      <c r="K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I364">
        <v>0</v>
      </c>
      <c r="J364">
        <f>DropAnalityka[[#This Row],[Sell Drop]]+IF(DropAnalityka[[#This Row],[Drop]]="Scroll", 2000*DropAnalityka[[#This Row],[Quality/Quantity]],0)</f>
        <v>0</v>
      </c>
      <c r="K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v>1834</v>
      </c>
      <c r="K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v>1834</v>
      </c>
      <c r="K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7" spans="1:12">
      <c r="A367" t="s">
        <v>191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v>3100</v>
      </c>
      <c r="K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8" spans="1:12">
      <c r="A368" t="s">
        <v>191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v>1300</v>
      </c>
      <c r="K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9" spans="1:12">
      <c r="A369" t="s">
        <v>191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v>1649</v>
      </c>
      <c r="K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0" spans="1:12">
      <c r="A370" t="s">
        <v>191</v>
      </c>
      <c r="B370" t="s">
        <v>9</v>
      </c>
      <c r="C370">
        <v>5</v>
      </c>
      <c r="D370">
        <v>2547</v>
      </c>
      <c r="E370">
        <v>2</v>
      </c>
      <c r="F370" t="s">
        <v>162</v>
      </c>
      <c r="I370">
        <v>0</v>
      </c>
      <c r="J370">
        <v>0</v>
      </c>
      <c r="K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1" spans="1:12">
      <c r="A371" t="s">
        <v>191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I371">
        <v>0</v>
      </c>
      <c r="J371">
        <f>DropAnalityka[[#This Row],[Sell Drop]]+IF(DropAnalityka[[#This Row],[Drop]]="Scroll", 2000*DropAnalityka[[#This Row],[Quality/Quantity]],0)</f>
        <v>4000</v>
      </c>
      <c r="K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2" spans="1:12">
      <c r="A372" t="s">
        <v>191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I372">
        <v>0</v>
      </c>
      <c r="J372">
        <f>DropAnalityka[[#This Row],[Sell Drop]]+IF(DropAnalityka[[#This Row],[Drop]]="Scroll", 2000*DropAnalityka[[#This Row],[Quality/Quantity]],0)</f>
        <v>6000</v>
      </c>
      <c r="K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3" spans="1:12">
      <c r="A373" t="s">
        <v>191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v>8882</v>
      </c>
      <c r="K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4" spans="1:12">
      <c r="A374" t="s">
        <v>191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v>4134</v>
      </c>
      <c r="K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5" spans="1:12">
      <c r="A375" t="s">
        <v>191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v>6615</v>
      </c>
      <c r="K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6" spans="1:12">
      <c r="A376" t="s">
        <v>191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v>13770</v>
      </c>
      <c r="K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7" spans="1:12">
      <c r="A377" t="s">
        <v>191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v>4134</v>
      </c>
      <c r="K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8" spans="1:12">
      <c r="A378" t="s">
        <v>191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v>3720</v>
      </c>
      <c r="K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9" spans="1:12">
      <c r="A379" t="s">
        <v>191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I379">
        <v>0</v>
      </c>
      <c r="J379">
        <f>DropAnalityka[[#This Row],[Sell Drop]]+IF(DropAnalityka[[#This Row],[Drop]]="Scroll", 2000*DropAnalityka[[#This Row],[Quality/Quantity]],0)</f>
        <v>6000</v>
      </c>
      <c r="K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0" spans="1:12">
      <c r="A380" t="s">
        <v>191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v>2067</v>
      </c>
      <c r="K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1" spans="1:12">
      <c r="A381" t="s">
        <v>191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I381">
        <v>0</v>
      </c>
      <c r="J381">
        <f>DropAnalityka[[#This Row],[Sell Drop]]+IF(DropAnalityka[[#This Row],[Drop]]="Scroll", 2000*DropAnalityka[[#This Row],[Quality/Quantity]],0)</f>
        <v>8000</v>
      </c>
      <c r="K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2" spans="1:12">
      <c r="A382" t="s">
        <v>191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I382">
        <v>0</v>
      </c>
      <c r="J382">
        <f>DropAnalityka[[#This Row],[Sell Drop]]+IF(DropAnalityka[[#This Row],[Drop]]="Scroll", 2000*DropAnalityka[[#This Row],[Quality/Quantity]],0)</f>
        <v>8000</v>
      </c>
      <c r="K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Drop]]+IF(DropAnalityka[[#This Row],[Drop]]="Scroll", 2000*DropAnalityka[[#This Row],[Quality/Quantity]],0)</f>
        <v>1159</v>
      </c>
      <c r="K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I384">
        <v>0</v>
      </c>
      <c r="J384">
        <f>DropAnalityka[[#This Row],[Sell Drop]]+IF(DropAnalityka[[#This Row],[Drop]]="Scroll", 2000*DropAnalityka[[#This Row],[Quality/Quantity]],0)</f>
        <v>6000</v>
      </c>
      <c r="K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Drop]]+IF(DropAnalityka[[#This Row],[Drop]]="Scroll", 2000*DropAnalityka[[#This Row],[Quality/Quantity]],0)</f>
        <v>1159</v>
      </c>
      <c r="K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Drop]]+IF(DropAnalityka[[#This Row],[Drop]]="Scroll", 2000*DropAnalityka[[#This Row],[Quality/Quantity]],0)</f>
        <v>1159</v>
      </c>
      <c r="K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Drop]]+IF(DropAnalityka[[#This Row],[Drop]]="Scroll", 2000*DropAnalityka[[#This Row],[Quality/Quantity]],0)</f>
        <v>1159</v>
      </c>
      <c r="K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Drop]]+IF(DropAnalityka[[#This Row],[Drop]]="Scroll", 2000*DropAnalityka[[#This Row],[Quality/Quantity]],0)</f>
        <v>2067</v>
      </c>
      <c r="K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Drop]]+IF(DropAnalityka[[#This Row],[Drop]]="Scroll", 2000*DropAnalityka[[#This Row],[Quality/Quantity]],0)</f>
        <v>2067</v>
      </c>
      <c r="K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Drop]]+IF(DropAnalityka[[#This Row],[Drop]]="Scroll", 2000*DropAnalityka[[#This Row],[Quality/Quantity]],0)</f>
        <v>1159</v>
      </c>
      <c r="K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Drop]]+IF(DropAnalityka[[#This Row],[Drop]]="Scroll", 2000*DropAnalityka[[#This Row],[Quality/Quantity]],0)</f>
        <v>1159</v>
      </c>
      <c r="K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Drop]]+IF(DropAnalityka[[#This Row],[Drop]]="Scroll", 2000*DropAnalityka[[#This Row],[Quality/Quantity]],0)</f>
        <v>1546</v>
      </c>
      <c r="K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Drop]]+IF(DropAnalityka[[#This Row],[Drop]]="Scroll", 2000*DropAnalityka[[#This Row],[Quality/Quantity]],0)</f>
        <v>1159</v>
      </c>
      <c r="K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Drop]]+IF(DropAnalityka[[#This Row],[Drop]]="Scroll", 2000*DropAnalityka[[#This Row],[Quality/Quantity]],0)</f>
        <v>1352</v>
      </c>
      <c r="K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Drop]]+IF(DropAnalityka[[#This Row],[Drop]]="Scroll", 2000*DropAnalityka[[#This Row],[Quality/Quantity]],0)</f>
        <v>2067</v>
      </c>
      <c r="K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Drop]]+IF(DropAnalityka[[#This Row],[Drop]]="Scroll", 2000*DropAnalityka[[#This Row],[Quality/Quantity]],0)</f>
        <v>1546</v>
      </c>
      <c r="K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Drop]]+IF(DropAnalityka[[#This Row],[Drop]]="Scroll", 2000*DropAnalityka[[#This Row],[Quality/Quantity]],0)</f>
        <v>2067</v>
      </c>
      <c r="K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Drop]]+IF(DropAnalityka[[#This Row],[Drop]]="Scroll", 2000*DropAnalityka[[#This Row],[Quality/Quantity]],0)</f>
        <v>1159</v>
      </c>
      <c r="K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Drop]]+IF(DropAnalityka[[#This Row],[Drop]]="Scroll", 2000*DropAnalityka[[#This Row],[Quality/Quantity]],0)</f>
        <v>1352</v>
      </c>
      <c r="K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I400">
        <v>0</v>
      </c>
      <c r="J400">
        <f>DropAnalityka[[#This Row],[Sell Drop]]+IF(DropAnalityka[[#This Row],[Drop]]="Scroll", 2000*DropAnalityka[[#This Row],[Quality/Quantity]],0)</f>
        <v>6000</v>
      </c>
      <c r="K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Drop]]+IF(DropAnalityka[[#This Row],[Drop]]="Scroll", 2000*DropAnalityka[[#This Row],[Quality/Quantity]],0)</f>
        <v>1159</v>
      </c>
      <c r="K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Drop]]+IF(DropAnalityka[[#This Row],[Drop]]="Scroll", 2000*DropAnalityka[[#This Row],[Quality/Quantity]],0)</f>
        <v>1546</v>
      </c>
      <c r="K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I403">
        <v>0</v>
      </c>
      <c r="J403">
        <f>DropAnalityka[[#This Row],[Sell Drop]]+IF(DropAnalityka[[#This Row],[Drop]]="Scroll", 2000*DropAnalityka[[#This Row],[Quality/Quantity]],0)</f>
        <v>6000</v>
      </c>
      <c r="K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Drop]]+IF(DropAnalityka[[#This Row],[Drop]]="Scroll", 2000*DropAnalityka[[#This Row],[Quality/Quantity]],0)</f>
        <v>1159</v>
      </c>
      <c r="K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Drop]]+IF(DropAnalityka[[#This Row],[Drop]]="Scroll", 2000*DropAnalityka[[#This Row],[Quality/Quantity]],0)</f>
        <v>1159</v>
      </c>
      <c r="K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Drop]]+IF(DropAnalityka[[#This Row],[Drop]]="Scroll", 2000*DropAnalityka[[#This Row],[Quality/Quantity]],0)</f>
        <v>2067</v>
      </c>
      <c r="K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Drop]]+IF(DropAnalityka[[#This Row],[Drop]]="Scroll", 2000*DropAnalityka[[#This Row],[Quality/Quantity]],0)</f>
        <v>1159</v>
      </c>
      <c r="K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Drop]]+IF(DropAnalityka[[#This Row],[Drop]]="Scroll", 2000*DropAnalityka[[#This Row],[Quality/Quantity]],0)</f>
        <v>1159</v>
      </c>
      <c r="K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Drop]]+IF(DropAnalityka[[#This Row],[Drop]]="Scroll", 2000*DropAnalityka[[#This Row],[Quality/Quantity]],0)</f>
        <v>1352</v>
      </c>
      <c r="K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Drop]]+IF(DropAnalityka[[#This Row],[Drop]]="Scroll", 2000*DropAnalityka[[#This Row],[Quality/Quantity]],0)</f>
        <v>1739</v>
      </c>
      <c r="K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Drop]]+IF(DropAnalityka[[#This Row],[Drop]]="Scroll", 2000*DropAnalityka[[#This Row],[Quality/Quantity]],0)</f>
        <v>1159</v>
      </c>
      <c r="K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Drop]]+IF(DropAnalityka[[#This Row],[Drop]]="Scroll", 2000*DropAnalityka[[#This Row],[Quality/Quantity]],0)</f>
        <v>1159</v>
      </c>
      <c r="K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I413">
        <v>0</v>
      </c>
      <c r="J413">
        <f>DropAnalityka[[#This Row],[Sell Drop]]+IF(DropAnalityka[[#This Row],[Drop]]="Scroll", 2000*DropAnalityka[[#This Row],[Quality/Quantity]],0)</f>
        <v>6000</v>
      </c>
      <c r="K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Drop]]+IF(DropAnalityka[[#This Row],[Drop]]="Scroll", 2000*DropAnalityka[[#This Row],[Quality/Quantity]],0)</f>
        <v>1352</v>
      </c>
      <c r="K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Drop]]+IF(DropAnalityka[[#This Row],[Drop]]="Scroll", 2000*DropAnalityka[[#This Row],[Quality/Quantity]],0)</f>
        <v>1159</v>
      </c>
      <c r="K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Drop]]+IF(DropAnalityka[[#This Row],[Drop]]="Scroll", 2000*DropAnalityka[[#This Row],[Quality/Quantity]],0)</f>
        <v>1159</v>
      </c>
      <c r="K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Drop]]+IF(DropAnalityka[[#This Row],[Drop]]="Scroll", 2000*DropAnalityka[[#This Row],[Quality/Quantity]],0)</f>
        <v>2750</v>
      </c>
      <c r="K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I418">
        <v>0</v>
      </c>
      <c r="J418">
        <f>DropAnalityka[[#This Row],[Sell Drop]]+IF(DropAnalityka[[#This Row],[Drop]]="Scroll", 2000*DropAnalityka[[#This Row],[Quality/Quantity]],0)</f>
        <v>6000</v>
      </c>
      <c r="K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Drop]]+IF(DropAnalityka[[#This Row],[Drop]]="Scroll", 2000*DropAnalityka[[#This Row],[Quality/Quantity]],0)</f>
        <v>1352</v>
      </c>
      <c r="K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Drop]]+IF(DropAnalityka[[#This Row],[Drop]]="Scroll", 2000*DropAnalityka[[#This Row],[Quality/Quantity]],0)</f>
        <v>1159</v>
      </c>
      <c r="K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Drop]]+IF(DropAnalityka[[#This Row],[Drop]]="Scroll", 2000*DropAnalityka[[#This Row],[Quality/Quantity]],0)</f>
        <v>2756</v>
      </c>
      <c r="K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I422">
        <v>0</v>
      </c>
      <c r="J422">
        <f>DropAnalityka[[#This Row],[Sell Drop]]+IF(DropAnalityka[[#This Row],[Drop]]="Scroll", 2000*DropAnalityka[[#This Row],[Quality/Quantity]],0)</f>
        <v>6000</v>
      </c>
      <c r="K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I423">
        <v>0</v>
      </c>
      <c r="J423">
        <f>DropAnalityka[[#This Row],[Sell Drop]]+IF(DropAnalityka[[#This Row],[Drop]]="Scroll", 2000*DropAnalityka[[#This Row],[Quality/Quantity]],0)</f>
        <v>6000</v>
      </c>
      <c r="K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Drop]]+IF(DropAnalityka[[#This Row],[Drop]]="Scroll", 2000*DropAnalityka[[#This Row],[Quality/Quantity]],0)</f>
        <v>1159</v>
      </c>
      <c r="K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Drop]]+IF(DropAnalityka[[#This Row],[Drop]]="Scroll", 2000*DropAnalityka[[#This Row],[Quality/Quantity]],0)</f>
        <v>2756</v>
      </c>
      <c r="K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Drop]]+IF(DropAnalityka[[#This Row],[Drop]]="Scroll", 2000*DropAnalityka[[#This Row],[Quality/Quantity]],0)</f>
        <v>1159</v>
      </c>
      <c r="K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Drop]]+IF(DropAnalityka[[#This Row],[Drop]]="Scroll", 2000*DropAnalityka[[#This Row],[Quality/Quantity]],0)</f>
        <v>2067</v>
      </c>
      <c r="K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Drop]]+IF(DropAnalityka[[#This Row],[Drop]]="Scroll", 2000*DropAnalityka[[#This Row],[Quality/Quantity]],0)</f>
        <v>2067</v>
      </c>
      <c r="K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Drop]]+IF(DropAnalityka[[#This Row],[Drop]]="Scroll", 2000*DropAnalityka[[#This Row],[Quality/Quantity]],0)</f>
        <v>2067</v>
      </c>
      <c r="K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Drop]]+IF(DropAnalityka[[#This Row],[Drop]]="Scroll", 2000*DropAnalityka[[#This Row],[Quality/Quantity]],0)</f>
        <v>2067</v>
      </c>
      <c r="K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Drop]]+IF(DropAnalityka[[#This Row],[Drop]]="Scroll", 2000*DropAnalityka[[#This Row],[Quality/Quantity]],0)</f>
        <v>1159</v>
      </c>
      <c r="K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Drop]]+IF(DropAnalityka[[#This Row],[Drop]]="Scroll", 2000*DropAnalityka[[#This Row],[Quality/Quantity]],0)</f>
        <v>1159</v>
      </c>
      <c r="K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 t="s">
        <v>12</v>
      </c>
      <c r="I433">
        <v>0</v>
      </c>
      <c r="J433">
        <f>DropAnalityka[[#This Row],[Sell Drop]]+IF(DropAnalityka[[#This Row],[Drop]]="Scroll", 2000*DropAnalityka[[#This Row],[Quality/Quantity]],0)</f>
        <v>0</v>
      </c>
      <c r="K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Drop]]+IF(DropAnalityka[[#This Row],[Drop]]="Scroll", 2000*DropAnalityka[[#This Row],[Quality/Quantity]],0)</f>
        <v>2067</v>
      </c>
      <c r="K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I435">
        <v>0</v>
      </c>
      <c r="J435">
        <f>DropAnalityka[[#This Row],[Sell Drop]]+IF(DropAnalityka[[#This Row],[Drop]]="Scroll", 2000*DropAnalityka[[#This Row],[Quality/Quantity]],0)</f>
        <v>6000</v>
      </c>
      <c r="K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I436">
        <v>0</v>
      </c>
      <c r="J436">
        <f>DropAnalityka[[#This Row],[Sell Drop]]+IF(DropAnalityka[[#This Row],[Drop]]="Scroll", 2000*DropAnalityka[[#This Row],[Quality/Quantity]],0)</f>
        <v>6000</v>
      </c>
      <c r="K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J437">
        <f>DropAnalityka[[#This Row],[Sell Drop]]+IF(DropAnalityka[[#This Row],[Drop]]="Scroll", 2000*DropAnalityka[[#This Row],[Quality/Quantity]],0)</f>
        <v>6000</v>
      </c>
      <c r="K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8" spans="1:12">
      <c r="A438" t="s">
        <v>197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I438">
        <v>0</v>
      </c>
      <c r="J438">
        <f>DropAnalityka[[#This Row],[Sell Drop]]+IF(DropAnalityka[[#This Row],[Drop]]="Scroll", 2000*DropAnalityka[[#This Row],[Quality/Quantity]],0)</f>
        <v>6000</v>
      </c>
      <c r="K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I439">
        <v>0</v>
      </c>
      <c r="J439">
        <f>DropAnalityka[[#This Row],[Sell Drop]]+IF(DropAnalityka[[#This Row],[Drop]]="Scroll", 2000*DropAnalityka[[#This Row],[Quality/Quantity]],0)</f>
        <v>6000</v>
      </c>
      <c r="K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 t="s">
        <v>12</v>
      </c>
      <c r="I440">
        <v>0</v>
      </c>
      <c r="J440">
        <f>DropAnalityka[[#This Row],[Sell Drop]]+IF(DropAnalityka[[#This Row],[Drop]]="Scroll", 2000*DropAnalityka[[#This Row],[Quality/Quantity]],0)</f>
        <v>0</v>
      </c>
      <c r="K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Drop]]+IF(DropAnalityka[[#This Row],[Drop]]="Scroll", 2000*DropAnalityka[[#This Row],[Quality/Quantity]],0)</f>
        <v>1159</v>
      </c>
      <c r="K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 t="s">
        <v>26</v>
      </c>
      <c r="J442">
        <f>DropAnalityka[[#This Row],[Sell Drop]]+IF(DropAnalityka[[#This Row],[Drop]]="Scroll", 2000*DropAnalityka[[#This Row],[Quality/Quantity]],0)</f>
        <v>0</v>
      </c>
      <c r="K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Drop]]+IF(DropAnalityka[[#This Row],[Drop]]="Scroll", 2000*DropAnalityka[[#This Row],[Quality/Quantity]],0)</f>
        <v>1546</v>
      </c>
      <c r="K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Drop]]+IF(DropAnalityka[[#This Row],[Drop]]="Scroll", 2000*DropAnalityka[[#This Row],[Quality/Quantity]],0)</f>
        <v>1159</v>
      </c>
      <c r="K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Drop]]+IF(DropAnalityka[[#This Row],[Drop]]="Scroll", 2000*DropAnalityka[[#This Row],[Quality/Quantity]],0)</f>
        <v>1159</v>
      </c>
      <c r="K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I446">
        <v>0</v>
      </c>
      <c r="J446">
        <f>DropAnalityka[[#This Row],[Sell Drop]]+IF(DropAnalityka[[#This Row],[Drop]]="Scroll", 2000*DropAnalityka[[#This Row],[Quality/Quantity]],0)</f>
        <v>6000</v>
      </c>
      <c r="K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Drop]]+IF(DropAnalityka[[#This Row],[Drop]]="Scroll", 2000*DropAnalityka[[#This Row],[Quality/Quantity]],0)</f>
        <v>1159</v>
      </c>
      <c r="K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Drop]]+IF(DropAnalityka[[#This Row],[Drop]]="Scroll", 2000*DropAnalityka[[#This Row],[Quality/Quantity]],0)</f>
        <v>1159</v>
      </c>
      <c r="K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Drop]]+IF(DropAnalityka[[#This Row],[Drop]]="Scroll", 2000*DropAnalityka[[#This Row],[Quality/Quantity]],0)</f>
        <v>1159</v>
      </c>
      <c r="K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 t="s">
        <v>17</v>
      </c>
      <c r="I450">
        <v>0</v>
      </c>
      <c r="J450">
        <f>DropAnalityka[[#This Row],[Sell Drop]]+IF(DropAnalityka[[#This Row],[Drop]]="Scroll", 2000*DropAnalityka[[#This Row],[Quality/Quantity]],0)</f>
        <v>0</v>
      </c>
      <c r="K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Drop]]+IF(DropAnalityka[[#This Row],[Drop]]="Scroll", 2000*DropAnalityka[[#This Row],[Quality/Quantity]],0)</f>
        <v>2067</v>
      </c>
      <c r="K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Drop]]+IF(DropAnalityka[[#This Row],[Drop]]="Scroll", 2000*DropAnalityka[[#This Row],[Quality/Quantity]],0)</f>
        <v>1159</v>
      </c>
      <c r="K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Drop]]+IF(DropAnalityka[[#This Row],[Drop]]="Scroll", 2000*DropAnalityka[[#This Row],[Quality/Quantity]],0)</f>
        <v>2067</v>
      </c>
      <c r="K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Drop]]+IF(DropAnalityka[[#This Row],[Drop]]="Scroll", 2000*DropAnalityka[[#This Row],[Quality/Quantity]],0)</f>
        <v>1546</v>
      </c>
      <c r="K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Drop]]+IF(DropAnalityka[[#This Row],[Drop]]="Scroll", 2000*DropAnalityka[[#This Row],[Quality/Quantity]],0)</f>
        <v>1159</v>
      </c>
      <c r="K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 t="s">
        <v>17</v>
      </c>
      <c r="I456">
        <v>0</v>
      </c>
      <c r="J456">
        <f>DropAnalityka[[#This Row],[Sell Drop]]+IF(DropAnalityka[[#This Row],[Drop]]="Scroll", 2000*DropAnalityka[[#This Row],[Quality/Quantity]],0)</f>
        <v>0</v>
      </c>
      <c r="K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 t="s">
        <v>17</v>
      </c>
      <c r="I457">
        <v>0</v>
      </c>
      <c r="J457">
        <f>DropAnalityka[[#This Row],[Sell Drop]]+IF(DropAnalityka[[#This Row],[Drop]]="Scroll", 2000*DropAnalityka[[#This Row],[Quality/Quantity]],0)</f>
        <v>0</v>
      </c>
      <c r="K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Drop]]+IF(DropAnalityka[[#This Row],[Drop]]="Scroll", 2000*DropAnalityka[[#This Row],[Quality/Quantity]],0)</f>
        <v>2067</v>
      </c>
      <c r="K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Drop]]+IF(DropAnalityka[[#This Row],[Drop]]="Scroll", 2000*DropAnalityka[[#This Row],[Quality/Quantity]],0)</f>
        <v>1159</v>
      </c>
      <c r="K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Drop]]+IF(DropAnalityka[[#This Row],[Drop]]="Scroll", 2000*DropAnalityka[[#This Row],[Quality/Quantity]],0)</f>
        <v>2067</v>
      </c>
      <c r="K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J461">
        <f>DropAnalityka[[#This Row],[Sell Drop]]+IF(DropAnalityka[[#This Row],[Drop]]="Scroll", 2000*DropAnalityka[[#This Row],[Quality/Quantity]],0)</f>
        <v>6000</v>
      </c>
      <c r="K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Drop]]+IF(DropAnalityka[[#This Row],[Drop]]="Scroll", 2000*DropAnalityka[[#This Row],[Quality/Quantity]],0)</f>
        <v>1159</v>
      </c>
      <c r="K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Drop]]+IF(DropAnalityka[[#This Row],[Drop]]="Scroll", 2000*DropAnalityka[[#This Row],[Quality/Quantity]],0)</f>
        <v>2756</v>
      </c>
      <c r="K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 t="s">
        <v>12</v>
      </c>
      <c r="I464">
        <v>0</v>
      </c>
      <c r="J464">
        <f>DropAnalityka[[#This Row],[Sell Drop]]+IF(DropAnalityka[[#This Row],[Drop]]="Scroll", 2000*DropAnalityka[[#This Row],[Quality/Quantity]],0)</f>
        <v>0</v>
      </c>
      <c r="K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Drop]]+IF(DropAnalityka[[#This Row],[Drop]]="Scroll", 2000*DropAnalityka[[#This Row],[Quality/Quantity]],0)</f>
        <v>1159</v>
      </c>
      <c r="K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162</v>
      </c>
      <c r="I466">
        <v>0</v>
      </c>
      <c r="J466">
        <f>DropAnalityka[[#This Row],[Sell Drop]]+IF(DropAnalityka[[#This Row],[Drop]]="Scroll", 2000*DropAnalityka[[#This Row],[Quality/Quantity]],0)</f>
        <v>0</v>
      </c>
      <c r="K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162</v>
      </c>
      <c r="I467">
        <v>0</v>
      </c>
      <c r="J467">
        <f>DropAnalityka[[#This Row],[Sell Drop]]+IF(DropAnalityka[[#This Row],[Drop]]="Scroll", 2000*DropAnalityka[[#This Row],[Quality/Quantity]],0)</f>
        <v>0</v>
      </c>
      <c r="K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Drop]]+IF(DropAnalityka[[#This Row],[Drop]]="Scroll", 2000*DropAnalityka[[#This Row],[Quality/Quantity]],0)</f>
        <v>1159</v>
      </c>
      <c r="K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Drop]]+IF(DropAnalityka[[#This Row],[Drop]]="Scroll", 2000*DropAnalityka[[#This Row],[Quality/Quantity]],0)</f>
        <v>1159</v>
      </c>
      <c r="K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Drop]]+IF(DropAnalityka[[#This Row],[Drop]]="Scroll", 2000*DropAnalityka[[#This Row],[Quality/Quantity]],0)</f>
        <v>1159</v>
      </c>
      <c r="K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Drop]]+IF(DropAnalityka[[#This Row],[Drop]]="Scroll", 2000*DropAnalityka[[#This Row],[Quality/Quantity]],0)</f>
        <v>1159</v>
      </c>
      <c r="K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I472">
        <v>0</v>
      </c>
      <c r="J472">
        <f>DropAnalityka[[#This Row],[Sell Drop]]+IF(DropAnalityka[[#This Row],[Drop]]="Scroll", 2000*DropAnalityka[[#This Row],[Quality/Quantity]],0)</f>
        <v>6000</v>
      </c>
      <c r="K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162</v>
      </c>
      <c r="I473">
        <v>0</v>
      </c>
      <c r="J473">
        <f>DropAnalityka[[#This Row],[Sell Drop]]+IF(DropAnalityka[[#This Row],[Drop]]="Scroll", 2000*DropAnalityka[[#This Row],[Quality/Quantity]],0)</f>
        <v>0</v>
      </c>
      <c r="K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Drop]]+IF(DropAnalityka[[#This Row],[Drop]]="Scroll", 2000*DropAnalityka[[#This Row],[Quality/Quantity]],0)</f>
        <v>2411</v>
      </c>
      <c r="K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 t="s">
        <v>17</v>
      </c>
      <c r="J475">
        <f>DropAnalityka[[#This Row],[Sell Drop]]+IF(DropAnalityka[[#This Row],[Drop]]="Scroll", 2000*DropAnalityka[[#This Row],[Quality/Quantity]],0)</f>
        <v>0</v>
      </c>
      <c r="K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Drop]]+IF(DropAnalityka[[#This Row],[Drop]]="Scroll", 2000*DropAnalityka[[#This Row],[Quality/Quantity]],0)</f>
        <v>1159</v>
      </c>
      <c r="K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Drop]]+IF(DropAnalityka[[#This Row],[Drop]]="Scroll", 2000*DropAnalityka[[#This Row],[Quality/Quantity]],0)</f>
        <v>2067</v>
      </c>
      <c r="K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Drop]]+IF(DropAnalityka[[#This Row],[Drop]]="Scroll", 2000*DropAnalityka[[#This Row],[Quality/Quantity]],0)</f>
        <v>2411</v>
      </c>
      <c r="K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 t="s">
        <v>12</v>
      </c>
      <c r="I479">
        <v>0</v>
      </c>
      <c r="J479">
        <f>DropAnalityka[[#This Row],[Sell Drop]]+IF(DropAnalityka[[#This Row],[Drop]]="Scroll", 2000*DropAnalityka[[#This Row],[Quality/Quantity]],0)</f>
        <v>0</v>
      </c>
      <c r="K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Drop]]+IF(DropAnalityka[[#This Row],[Drop]]="Scroll", 2000*DropAnalityka[[#This Row],[Quality/Quantity]],0)</f>
        <v>2067</v>
      </c>
      <c r="K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 t="s">
        <v>17</v>
      </c>
      <c r="J481">
        <f>DropAnalityka[[#This Row],[Sell Drop]]+IF(DropAnalityka[[#This Row],[Drop]]="Scroll", 2000*DropAnalityka[[#This Row],[Quality/Quantity]],0)</f>
        <v>0</v>
      </c>
      <c r="K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Drop]]+IF(DropAnalityka[[#This Row],[Drop]]="Scroll", 2000*DropAnalityka[[#This Row],[Quality/Quantity]],0)</f>
        <v>1546</v>
      </c>
      <c r="K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I483">
        <v>0</v>
      </c>
      <c r="J483">
        <f>DropAnalityka[[#This Row],[Sell Drop]]+IF(DropAnalityka[[#This Row],[Drop]]="Scroll", 2000*DropAnalityka[[#This Row],[Quality/Quantity]],0)</f>
        <v>6000</v>
      </c>
      <c r="K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162</v>
      </c>
      <c r="I484">
        <v>0</v>
      </c>
      <c r="J484">
        <f>DropAnalityka[[#This Row],[Sell Drop]]+IF(DropAnalityka[[#This Row],[Drop]]="Scroll", 2000*DropAnalityka[[#This Row],[Quality/Quantity]],0)</f>
        <v>0</v>
      </c>
      <c r="K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Drop]]+IF(DropAnalityka[[#This Row],[Drop]]="Scroll", 2000*DropAnalityka[[#This Row],[Quality/Quantity]],0)</f>
        <v>1159</v>
      </c>
      <c r="K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 t="s">
        <v>17</v>
      </c>
      <c r="I486">
        <v>0</v>
      </c>
      <c r="J486">
        <f>DropAnalityka[[#This Row],[Sell Drop]]+IF(DropAnalityka[[#This Row],[Drop]]="Scroll", 2000*DropAnalityka[[#This Row],[Quality/Quantity]],0)</f>
        <v>0</v>
      </c>
      <c r="K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Drop]]+IF(DropAnalityka[[#This Row],[Drop]]="Scroll", 2000*DropAnalityka[[#This Row],[Quality/Quantity]],0)</f>
        <v>2067</v>
      </c>
      <c r="K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Drop]]+IF(DropAnalityka[[#This Row],[Drop]]="Scroll", 2000*DropAnalityka[[#This Row],[Quality/Quantity]],0)</f>
        <v>2411</v>
      </c>
      <c r="K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Drop]]+IF(DropAnalityka[[#This Row],[Drop]]="Scroll", 2000*DropAnalityka[[#This Row],[Quality/Quantity]],0)</f>
        <v>1159</v>
      </c>
      <c r="K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Drop]]+IF(DropAnalityka[[#This Row],[Drop]]="Scroll", 2000*DropAnalityka[[#This Row],[Quality/Quantity]],0)</f>
        <v>1546</v>
      </c>
      <c r="K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Drop]]+IF(DropAnalityka[[#This Row],[Drop]]="Scroll", 2000*DropAnalityka[[#This Row],[Quality/Quantity]],0)</f>
        <v>2067</v>
      </c>
      <c r="K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Drop]]+IF(DropAnalityka[[#This Row],[Drop]]="Scroll", 2000*DropAnalityka[[#This Row],[Quality/Quantity]],0)</f>
        <v>1159</v>
      </c>
      <c r="K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Drop]]+IF(DropAnalityka[[#This Row],[Drop]]="Scroll", 2000*DropAnalityka[[#This Row],[Quality/Quantity]],0)</f>
        <v>1159</v>
      </c>
      <c r="K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Drop]]+IF(DropAnalityka[[#This Row],[Drop]]="Scroll", 2000*DropAnalityka[[#This Row],[Quality/Quantity]],0)</f>
        <v>2411</v>
      </c>
      <c r="K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Drop]]+IF(DropAnalityka[[#This Row],[Drop]]="Scroll", 2000*DropAnalityka[[#This Row],[Quality/Quantity]],0)</f>
        <v>1159</v>
      </c>
      <c r="K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Drop]]+IF(DropAnalityka[[#This Row],[Drop]]="Scroll", 2000*DropAnalityka[[#This Row],[Quality/Quantity]],0)</f>
        <v>1159</v>
      </c>
      <c r="K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Drop]]+IF(DropAnalityka[[#This Row],[Drop]]="Scroll", 2000*DropAnalityka[[#This Row],[Quality/Quantity]],0)</f>
        <v>2067</v>
      </c>
      <c r="K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Drop]]+IF(DropAnalityka[[#This Row],[Drop]]="Scroll", 2000*DropAnalityka[[#This Row],[Quality/Quantity]],0)</f>
        <v>1352</v>
      </c>
      <c r="K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 t="s">
        <v>26</v>
      </c>
      <c r="I499">
        <v>0</v>
      </c>
      <c r="J499">
        <f>DropAnalityka[[#This Row],[Sell Drop]]+IF(DropAnalityka[[#This Row],[Drop]]="Scroll", 2000*DropAnalityka[[#This Row],[Quality/Quantity]],0)</f>
        <v>0</v>
      </c>
      <c r="K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Drop]]+IF(DropAnalityka[[#This Row],[Drop]]="Scroll", 2000*DropAnalityka[[#This Row],[Quality/Quantity]],0)</f>
        <v>1159</v>
      </c>
      <c r="K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162</v>
      </c>
      <c r="I501">
        <v>0</v>
      </c>
      <c r="J501">
        <f>DropAnalityka[[#This Row],[Sell Drop]]+IF(DropAnalityka[[#This Row],[Drop]]="Scroll", 2000*DropAnalityka[[#This Row],[Quality/Quantity]],0)</f>
        <v>0</v>
      </c>
      <c r="K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Drop]]+IF(DropAnalityka[[#This Row],[Drop]]="Scroll", 2000*DropAnalityka[[#This Row],[Quality/Quantity]],0)</f>
        <v>2411</v>
      </c>
      <c r="K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Drop]]+IF(DropAnalityka[[#This Row],[Drop]]="Scroll", 2000*DropAnalityka[[#This Row],[Quality/Quantity]],0)</f>
        <v>1159</v>
      </c>
      <c r="K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J504">
        <f>DropAnalityka[[#This Row],[Sell Drop]]+IF(DropAnalityka[[#This Row],[Drop]]="Scroll", 2000*DropAnalityka[[#This Row],[Quality/Quantity]],0)</f>
        <v>6000</v>
      </c>
      <c r="K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Drop]]+IF(DropAnalityka[[#This Row],[Drop]]="Scroll", 2000*DropAnalityka[[#This Row],[Quality/Quantity]],0)</f>
        <v>1159</v>
      </c>
      <c r="K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Drop]]+IF(DropAnalityka[[#This Row],[Drop]]="Scroll", 2000*DropAnalityka[[#This Row],[Quality/Quantity]],0)</f>
        <v>1159</v>
      </c>
      <c r="K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I507">
        <v>0</v>
      </c>
      <c r="J507">
        <f>DropAnalityka[[#This Row],[Sell Drop]]+IF(DropAnalityka[[#This Row],[Drop]]="Scroll", 2000*DropAnalityka[[#This Row],[Quality/Quantity]],0)</f>
        <v>6000</v>
      </c>
      <c r="K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Drop]]+IF(DropAnalityka[[#This Row],[Drop]]="Scroll", 2000*DropAnalityka[[#This Row],[Quality/Quantity]],0)</f>
        <v>1159</v>
      </c>
      <c r="K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Drop]]+IF(DropAnalityka[[#This Row],[Drop]]="Scroll", 2000*DropAnalityka[[#This Row],[Quality/Quantity]],0)</f>
        <v>1739</v>
      </c>
      <c r="K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0" spans="1:12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Drop]]+IF(DropAnalityka[[#This Row],[Drop]]="Scroll", 2000*DropAnalityka[[#This Row],[Quality/Quantity]],0)</f>
        <v>823</v>
      </c>
      <c r="K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1" spans="1:12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Drop]]+IF(DropAnalityka[[#This Row],[Drop]]="Scroll", 2000*DropAnalityka[[#This Row],[Quality/Quantity]],0)</f>
        <v>1976</v>
      </c>
      <c r="K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2" spans="1:12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I512">
        <v>0</v>
      </c>
      <c r="J512">
        <f>DropAnalityka[[#This Row],[Sell Drop]]+IF(DropAnalityka[[#This Row],[Drop]]="Scroll", 2000*DropAnalityka[[#This Row],[Quality/Quantity]],0)</f>
        <v>2000</v>
      </c>
      <c r="K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3" spans="1:12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Drop]]+IF(DropAnalityka[[#This Row],[Drop]]="Scroll", 2000*DropAnalityka[[#This Row],[Quality/Quantity]],0)</f>
        <v>1976</v>
      </c>
      <c r="K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4" spans="1:12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I514">
        <v>0</v>
      </c>
      <c r="J514">
        <f>DropAnalityka[[#This Row],[Sell Drop]]+IF(DropAnalityka[[#This Row],[Drop]]="Scroll", 2000*DropAnalityka[[#This Row],[Quality/Quantity]],0)</f>
        <v>2000</v>
      </c>
      <c r="K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5" spans="1:12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Drop]]+IF(DropAnalityka[[#This Row],[Drop]]="Scroll", 2000*DropAnalityka[[#This Row],[Quality/Quantity]],0)</f>
        <v>892</v>
      </c>
      <c r="K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6" spans="1:12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I516">
        <v>0</v>
      </c>
      <c r="J516">
        <f>DropAnalityka[[#This Row],[Sell Drop]]+IF(DropAnalityka[[#This Row],[Drop]]="Scroll", 2000*DropAnalityka[[#This Row],[Quality/Quantity]],0)</f>
        <v>2000</v>
      </c>
      <c r="K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I517">
        <v>0</v>
      </c>
      <c r="J517">
        <f>DropAnalityka[[#This Row],[Sell Drop]]+IF(DropAnalityka[[#This Row],[Drop]]="Scroll", 2000*DropAnalityka[[#This Row],[Quality/Quantity]],0)</f>
        <v>4000</v>
      </c>
      <c r="K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I518">
        <v>0</v>
      </c>
      <c r="J518">
        <f>DropAnalityka[[#This Row],[Sell Drop]]+IF(DropAnalityka[[#This Row],[Drop]]="Scroll", 2000*DropAnalityka[[#This Row],[Quality/Quantity]],0)</f>
        <v>6000</v>
      </c>
      <c r="K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Drop]]+IF(DropAnalityka[[#This Row],[Drop]]="Scroll", 2000*DropAnalityka[[#This Row],[Quality/Quantity]],0)</f>
        <v>2756</v>
      </c>
      <c r="K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 t="s">
        <v>26</v>
      </c>
      <c r="I520">
        <v>0</v>
      </c>
      <c r="J520">
        <f>DropAnalityka[[#This Row],[Sell Drop]]+IF(DropAnalityka[[#This Row],[Drop]]="Scroll", 2000*DropAnalityka[[#This Row],[Quality/Quantity]],0)</f>
        <v>0</v>
      </c>
      <c r="K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Drop]]+IF(DropAnalityka[[#This Row],[Drop]]="Scroll", 2000*DropAnalityka[[#This Row],[Quality/Quantity]],0)</f>
        <v>2067</v>
      </c>
      <c r="K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288</v>
      </c>
      <c r="G522">
        <v>1</v>
      </c>
      <c r="H522" t="s">
        <v>310</v>
      </c>
      <c r="I522">
        <v>0</v>
      </c>
      <c r="J522">
        <f>DropAnalityka[[#This Row],[Sell Drop]]+IF(DropAnalityka[[#This Row],[Drop]]="Scroll", 2000*DropAnalityka[[#This Row],[Quality/Quantity]],0)</f>
        <v>0</v>
      </c>
      <c r="K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288</v>
      </c>
      <c r="G523">
        <v>1</v>
      </c>
      <c r="H523" t="s">
        <v>310</v>
      </c>
      <c r="I523">
        <v>0</v>
      </c>
      <c r="J523">
        <f>DropAnalityka[[#This Row],[Sell Drop]]+IF(DropAnalityka[[#This Row],[Drop]]="Scroll", 2000*DropAnalityka[[#This Row],[Quality/Quantity]],0)</f>
        <v>0</v>
      </c>
      <c r="K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288</v>
      </c>
      <c r="G524">
        <v>4</v>
      </c>
      <c r="H524" t="s">
        <v>309</v>
      </c>
      <c r="I524">
        <v>0</v>
      </c>
      <c r="J524">
        <f>DropAnalityka[[#This Row],[Sell Drop]]+IF(DropAnalityka[[#This Row],[Drop]]="Scroll", 2000*DropAnalityka[[#This Row],[Quality/Quantity]],0)</f>
        <v>0</v>
      </c>
      <c r="K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5" spans="1:12">
      <c r="A525" s="10" t="s">
        <v>191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Drop]]+IF(DropAnalityka[[#This Row],[Drop]]="Scroll", 2000*DropAnalityka[[#This Row],[Quality/Quantity]],0)</f>
        <v>1971</v>
      </c>
      <c r="K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6" spans="1:12">
      <c r="A526" s="10" t="s">
        <v>191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I526">
        <v>0</v>
      </c>
      <c r="J526">
        <f>DropAnalityka[[#This Row],[Sell Drop]]+IF(DropAnalityka[[#This Row],[Drop]]="Scroll", 2000*DropAnalityka[[#This Row],[Quality/Quantity]],0)</f>
        <v>6000</v>
      </c>
      <c r="K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7" spans="1:12">
      <c r="A527" s="10" t="s">
        <v>191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Drop]]+IF(DropAnalityka[[#This Row],[Drop]]="Scroll", 2000*DropAnalityka[[#This Row],[Quality/Quantity]],0)</f>
        <v>12000</v>
      </c>
      <c r="K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8" spans="1:12">
      <c r="A528" s="10" t="s">
        <v>191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 t="s">
        <v>12</v>
      </c>
      <c r="I528">
        <v>0</v>
      </c>
      <c r="J528">
        <f>DropAnalityka[[#This Row],[Sell Drop]]+IF(DropAnalityka[[#This Row],[Drop]]="Scroll", 2000*DropAnalityka[[#This Row],[Quality/Quantity]],0)</f>
        <v>0</v>
      </c>
      <c r="K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529" spans="1:12">
      <c r="A529" s="10" t="s">
        <v>191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Drop]]+IF(DropAnalityka[[#This Row],[Drop]]="Scroll", 2000*DropAnalityka[[#This Row],[Quality/Quantity]],0)</f>
        <v>1236</v>
      </c>
      <c r="K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0" spans="1:12">
      <c r="A530" s="10" t="s">
        <v>191</v>
      </c>
      <c r="B530" t="s">
        <v>9</v>
      </c>
      <c r="C530">
        <v>6</v>
      </c>
      <c r="D530">
        <v>2638</v>
      </c>
      <c r="E530">
        <v>0</v>
      </c>
      <c r="F530" t="s">
        <v>162</v>
      </c>
      <c r="I530">
        <v>0</v>
      </c>
      <c r="J530">
        <f>DropAnalityka[[#This Row],[Sell Drop]]+IF(DropAnalityka[[#This Row],[Drop]]="Scroll", 2000*DropAnalityka[[#This Row],[Quality/Quantity]],0)</f>
        <v>0</v>
      </c>
      <c r="K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1" spans="1:12">
      <c r="A531" s="10" t="s">
        <v>191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I531">
        <v>0</v>
      </c>
      <c r="J531">
        <f>DropAnalityka[[#This Row],[Sell Drop]]+IF(DropAnalityka[[#This Row],[Drop]]="Scroll", 2000*DropAnalityka[[#This Row],[Quality/Quantity]],0)</f>
        <v>8000</v>
      </c>
      <c r="K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2" spans="1:12">
      <c r="A532" s="10" t="s">
        <v>191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Drop]]+IF(DropAnalityka[[#This Row],[Drop]]="Scroll", 2000*DropAnalityka[[#This Row],[Quality/Quantity]],0)</f>
        <v>3916</v>
      </c>
      <c r="K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3" spans="1:12">
      <c r="A533" s="10" t="s">
        <v>191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Drop]]+IF(DropAnalityka[[#This Row],[Drop]]="Scroll", 2000*DropAnalityka[[#This Row],[Quality/Quantity]],0)</f>
        <v>3789</v>
      </c>
      <c r="K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4" spans="1:12">
      <c r="A534" s="10" t="s">
        <v>191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I534">
        <v>0</v>
      </c>
      <c r="J534">
        <f>DropAnalityka[[#This Row],[Sell Drop]]+IF(DropAnalityka[[#This Row],[Drop]]="Scroll", 2000*DropAnalityka[[#This Row],[Quality/Quantity]],0)</f>
        <v>8000</v>
      </c>
      <c r="K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5" spans="1:12">
      <c r="A535" s="10" t="s">
        <v>230</v>
      </c>
      <c r="B535" t="s">
        <v>9</v>
      </c>
      <c r="C535">
        <v>8</v>
      </c>
      <c r="D535">
        <v>2498</v>
      </c>
      <c r="E535">
        <v>2</v>
      </c>
      <c r="F535" t="s">
        <v>285</v>
      </c>
      <c r="G535">
        <v>3</v>
      </c>
      <c r="H535" t="s">
        <v>309</v>
      </c>
      <c r="I535">
        <v>0</v>
      </c>
      <c r="J535">
        <f>DropAnalityka[[#This Row],[Sell Drop]]+IF(DropAnalityka[[#This Row],[Drop]]="Scroll", 2000*DropAnalityka[[#This Row],[Quality/Quantity]],0)</f>
        <v>0</v>
      </c>
      <c r="K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6" spans="1:12">
      <c r="A536" s="10" t="s">
        <v>230</v>
      </c>
      <c r="B536" t="s">
        <v>9</v>
      </c>
      <c r="C536">
        <v>7</v>
      </c>
      <c r="D536">
        <v>2073</v>
      </c>
      <c r="E536">
        <v>0</v>
      </c>
      <c r="F536" t="s">
        <v>285</v>
      </c>
      <c r="G536">
        <v>1</v>
      </c>
      <c r="H536" t="s">
        <v>310</v>
      </c>
      <c r="I536">
        <v>0</v>
      </c>
      <c r="J536">
        <f>DropAnalityka[[#This Row],[Sell Drop]]+IF(DropAnalityka[[#This Row],[Drop]]="Scroll", 2000*DropAnalityka[[#This Row],[Quality/Quantity]],0)</f>
        <v>0</v>
      </c>
      <c r="K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7" spans="1:12">
      <c r="A537" s="10" t="s">
        <v>230</v>
      </c>
      <c r="B537" t="s">
        <v>9</v>
      </c>
      <c r="C537">
        <v>7</v>
      </c>
      <c r="D537">
        <v>2143</v>
      </c>
      <c r="E537">
        <v>0</v>
      </c>
      <c r="F537" t="s">
        <v>285</v>
      </c>
      <c r="G537">
        <v>3</v>
      </c>
      <c r="H537" t="s">
        <v>309</v>
      </c>
      <c r="I537">
        <v>0</v>
      </c>
      <c r="J537">
        <f>DropAnalityka[[#This Row],[Sell Drop]]+IF(DropAnalityka[[#This Row],[Drop]]="Scroll", 2000*DropAnalityka[[#This Row],[Quality/Quantity]],0)</f>
        <v>0</v>
      </c>
      <c r="K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8" spans="1:12">
      <c r="A538" s="10" t="s">
        <v>230</v>
      </c>
      <c r="B538" t="s">
        <v>9</v>
      </c>
      <c r="C538">
        <v>7</v>
      </c>
      <c r="D538">
        <v>1852</v>
      </c>
      <c r="E538">
        <v>1</v>
      </c>
      <c r="F538" t="s">
        <v>285</v>
      </c>
      <c r="G538">
        <v>1</v>
      </c>
      <c r="H538" t="s">
        <v>310</v>
      </c>
      <c r="I538">
        <v>0</v>
      </c>
      <c r="J538">
        <f>DropAnalityka[[#This Row],[Sell Drop]]+IF(DropAnalityka[[#This Row],[Drop]]="Scroll", 2000*DropAnalityka[[#This Row],[Quality/Quantity]],0)</f>
        <v>0</v>
      </c>
      <c r="K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9" spans="1:12">
      <c r="A539" s="10" t="s">
        <v>230</v>
      </c>
      <c r="B539" t="s">
        <v>9</v>
      </c>
      <c r="C539">
        <v>7</v>
      </c>
      <c r="D539">
        <v>2417</v>
      </c>
      <c r="E539">
        <v>0</v>
      </c>
      <c r="F539" t="s">
        <v>227</v>
      </c>
      <c r="G539">
        <v>1</v>
      </c>
      <c r="I539">
        <v>0</v>
      </c>
      <c r="J539">
        <f>DropAnalityka[[#This Row],[Sell Drop]]+IF(DropAnalityka[[#This Row],[Drop]]="Scroll", 2000*DropAnalityka[[#This Row],[Quality/Quantity]],0)</f>
        <v>0</v>
      </c>
      <c r="K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862.5</v>
      </c>
      <c r="L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1651.5500000000002</v>
      </c>
    </row>
    <row r="540" spans="1:12">
      <c r="A540" s="10" t="s">
        <v>230</v>
      </c>
      <c r="B540" t="s">
        <v>9</v>
      </c>
      <c r="C540">
        <v>8</v>
      </c>
      <c r="D540">
        <v>2146</v>
      </c>
      <c r="E540">
        <v>0</v>
      </c>
      <c r="F540" t="s">
        <v>285</v>
      </c>
      <c r="G540">
        <v>2</v>
      </c>
      <c r="H540" t="s">
        <v>310</v>
      </c>
      <c r="I540">
        <v>0</v>
      </c>
      <c r="J540">
        <f>DropAnalityka[[#This Row],[Sell Drop]]+IF(DropAnalityka[[#This Row],[Drop]]="Scroll", 2000*DropAnalityka[[#This Row],[Quality/Quantity]],0)</f>
        <v>0</v>
      </c>
      <c r="K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1" spans="1:12">
      <c r="A541" s="10" t="s">
        <v>230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I541">
        <v>0</v>
      </c>
      <c r="J541">
        <f>DropAnalityka[[#This Row],[Sell Drop]]+IF(DropAnalityka[[#This Row],[Drop]]="Scroll", 2000*DropAnalityka[[#This Row],[Quality/Quantity]],0)</f>
        <v>8000</v>
      </c>
      <c r="K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2" spans="1:12">
      <c r="A542" s="10" t="s">
        <v>230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I542">
        <v>0</v>
      </c>
      <c r="J542">
        <f>DropAnalityka[[#This Row],[Sell Drop]]+IF(DropAnalityka[[#This Row],[Drop]]="Scroll", 2000*DropAnalityka[[#This Row],[Quality/Quantity]],0)</f>
        <v>8000</v>
      </c>
      <c r="K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3" spans="1:12">
      <c r="A543" s="10" t="s">
        <v>230</v>
      </c>
      <c r="B543" t="s">
        <v>9</v>
      </c>
      <c r="C543">
        <v>8</v>
      </c>
      <c r="D543">
        <v>2223</v>
      </c>
      <c r="E543">
        <v>1</v>
      </c>
      <c r="F543" t="s">
        <v>285</v>
      </c>
      <c r="G543">
        <v>5</v>
      </c>
      <c r="H543" t="s">
        <v>309</v>
      </c>
      <c r="I543">
        <v>0</v>
      </c>
      <c r="J543">
        <f>DropAnalityka[[#This Row],[Sell Drop]]+IF(DropAnalityka[[#This Row],[Drop]]="Scroll", 2000*DropAnalityka[[#This Row],[Quality/Quantity]],0)</f>
        <v>0</v>
      </c>
      <c r="K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4" spans="1:12">
      <c r="A544" s="10" t="s">
        <v>230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I544">
        <v>0</v>
      </c>
      <c r="J544">
        <f>DropAnalityka[[#This Row],[Sell Drop]]+IF(DropAnalityka[[#This Row],[Drop]]="Scroll", 2000*DropAnalityka[[#This Row],[Quality/Quantity]],0)</f>
        <v>8000</v>
      </c>
      <c r="K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5" spans="1:12">
      <c r="A545" s="10" t="s">
        <v>230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I545">
        <v>0</v>
      </c>
      <c r="J545">
        <f>DropAnalityka[[#This Row],[Sell Drop]]+IF(DropAnalityka[[#This Row],[Drop]]="Scroll", 2000*DropAnalityka[[#This Row],[Quality/Quantity]],0)</f>
        <v>8000</v>
      </c>
      <c r="K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6" spans="1:12">
      <c r="A546" s="10" t="s">
        <v>230</v>
      </c>
      <c r="B546" t="s">
        <v>9</v>
      </c>
      <c r="C546">
        <v>8</v>
      </c>
      <c r="D546">
        <v>2404</v>
      </c>
      <c r="E546">
        <v>1</v>
      </c>
      <c r="F546" t="s">
        <v>285</v>
      </c>
      <c r="G546">
        <v>4</v>
      </c>
      <c r="H546" t="s">
        <v>309</v>
      </c>
      <c r="I546">
        <v>0</v>
      </c>
      <c r="J546">
        <f>DropAnalityka[[#This Row],[Sell Drop]]+IF(DropAnalityka[[#This Row],[Drop]]="Scroll", 2000*DropAnalityka[[#This Row],[Quality/Quantity]],0)</f>
        <v>0</v>
      </c>
      <c r="K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7" spans="1:12">
      <c r="A547" s="10" t="s">
        <v>230</v>
      </c>
      <c r="B547" t="s">
        <v>9</v>
      </c>
      <c r="C547">
        <v>8</v>
      </c>
      <c r="D547">
        <v>3017</v>
      </c>
      <c r="E547">
        <v>1</v>
      </c>
      <c r="F547" t="s">
        <v>285</v>
      </c>
      <c r="G547">
        <v>4</v>
      </c>
      <c r="H547" t="s">
        <v>309</v>
      </c>
      <c r="I547">
        <v>0</v>
      </c>
      <c r="J547">
        <f>DropAnalityka[[#This Row],[Sell Drop]]+IF(DropAnalityka[[#This Row],[Drop]]="Scroll", 2000*DropAnalityka[[#This Row],[Quality/Quantity]],0)</f>
        <v>0</v>
      </c>
      <c r="K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8" spans="1:12">
      <c r="A548" s="10" t="s">
        <v>230</v>
      </c>
      <c r="B548" t="s">
        <v>9</v>
      </c>
      <c r="C548">
        <v>8</v>
      </c>
      <c r="D548">
        <v>2175</v>
      </c>
      <c r="E548">
        <v>0</v>
      </c>
      <c r="F548" t="s">
        <v>162</v>
      </c>
      <c r="G548">
        <v>1</v>
      </c>
      <c r="I548">
        <v>0</v>
      </c>
      <c r="J548">
        <f>DropAnalityka[[#This Row],[Sell Drop]]+IF(DropAnalityka[[#This Row],[Drop]]="Scroll", 2000*DropAnalityka[[#This Row],[Quality/Quantity]],0)</f>
        <v>0</v>
      </c>
      <c r="K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9" spans="1:12">
      <c r="A549" s="10" t="s">
        <v>230</v>
      </c>
      <c r="B549" t="s">
        <v>9</v>
      </c>
      <c r="C549">
        <v>8</v>
      </c>
      <c r="D549">
        <v>2276</v>
      </c>
      <c r="E549">
        <v>0</v>
      </c>
      <c r="F549" t="s">
        <v>285</v>
      </c>
      <c r="G549">
        <v>4</v>
      </c>
      <c r="H549" t="s">
        <v>309</v>
      </c>
      <c r="I549">
        <v>0</v>
      </c>
      <c r="J549">
        <f>DropAnalityka[[#This Row],[Sell Drop]]+IF(DropAnalityka[[#This Row],[Drop]]="Scroll", 2000*DropAnalityka[[#This Row],[Quality/Quantity]],0)</f>
        <v>0</v>
      </c>
      <c r="K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0" spans="1:12">
      <c r="A550" s="10" t="s">
        <v>230</v>
      </c>
      <c r="B550" t="s">
        <v>9</v>
      </c>
      <c r="C550">
        <v>8</v>
      </c>
      <c r="D550">
        <v>2576</v>
      </c>
      <c r="E550">
        <v>3</v>
      </c>
      <c r="F550" t="s">
        <v>285</v>
      </c>
      <c r="G550">
        <v>4</v>
      </c>
      <c r="H550" t="s">
        <v>309</v>
      </c>
      <c r="I550">
        <v>0</v>
      </c>
      <c r="J550">
        <f>DropAnalityka[[#This Row],[Sell Drop]]+IF(DropAnalityka[[#This Row],[Drop]]="Scroll", 2000*DropAnalityka[[#This Row],[Quality/Quantity]],0)</f>
        <v>0</v>
      </c>
      <c r="K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1" spans="1:12">
      <c r="A551" s="10" t="s">
        <v>230</v>
      </c>
      <c r="B551" t="s">
        <v>9</v>
      </c>
      <c r="C551">
        <v>8</v>
      </c>
      <c r="D551">
        <v>2058</v>
      </c>
      <c r="E551">
        <v>1</v>
      </c>
      <c r="F551" t="s">
        <v>285</v>
      </c>
      <c r="G551">
        <v>5</v>
      </c>
      <c r="H551" t="s">
        <v>309</v>
      </c>
      <c r="I551">
        <v>0</v>
      </c>
      <c r="J551">
        <f>DropAnalityka[[#This Row],[Sell Drop]]+IF(DropAnalityka[[#This Row],[Drop]]="Scroll", 2000*DropAnalityka[[#This Row],[Quality/Quantity]],0)</f>
        <v>0</v>
      </c>
      <c r="K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2" spans="1:12">
      <c r="A552" s="10" t="s">
        <v>230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I552">
        <v>0</v>
      </c>
      <c r="J552">
        <f>DropAnalityka[[#This Row],[Sell Drop]]+IF(DropAnalityka[[#This Row],[Drop]]="Scroll", 2000*DropAnalityka[[#This Row],[Quality/Quantity]],0)</f>
        <v>8000</v>
      </c>
      <c r="K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3" spans="1:12">
      <c r="A553" s="10" t="s">
        <v>230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I553">
        <v>0</v>
      </c>
      <c r="J553">
        <f>DropAnalityka[[#This Row],[Sell Drop]]+IF(DropAnalityka[[#This Row],[Drop]]="Scroll", 2000*DropAnalityka[[#This Row],[Quality/Quantity]],0)</f>
        <v>8000</v>
      </c>
      <c r="K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4" spans="1:12">
      <c r="A554" s="10" t="s">
        <v>230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I554">
        <v>0</v>
      </c>
      <c r="J554">
        <f>DropAnalityka[[#This Row],[Sell Drop]]+IF(DropAnalityka[[#This Row],[Drop]]="Scroll", 2000*DropAnalityka[[#This Row],[Quality/Quantity]],0)</f>
        <v>10000</v>
      </c>
      <c r="K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5" spans="1:12">
      <c r="A555" s="10" t="s">
        <v>230</v>
      </c>
      <c r="B555" t="s">
        <v>9</v>
      </c>
      <c r="C555">
        <v>8</v>
      </c>
      <c r="D555">
        <v>2526</v>
      </c>
      <c r="E555">
        <v>0</v>
      </c>
      <c r="F555" t="s">
        <v>285</v>
      </c>
      <c r="G555">
        <v>1</v>
      </c>
      <c r="H555" t="s">
        <v>311</v>
      </c>
      <c r="I555">
        <v>0</v>
      </c>
      <c r="J555">
        <f>DropAnalityka[[#This Row],[Sell Drop]]+IF(DropAnalityka[[#This Row],[Drop]]="Scroll", 2000*DropAnalityka[[#This Row],[Quality/Quantity]],0)</f>
        <v>0</v>
      </c>
      <c r="K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6" spans="1:12">
      <c r="A556" s="10" t="s">
        <v>230</v>
      </c>
      <c r="B556" t="s">
        <v>9</v>
      </c>
      <c r="C556">
        <v>8</v>
      </c>
      <c r="D556">
        <v>2483</v>
      </c>
      <c r="E556">
        <v>3</v>
      </c>
      <c r="F556" t="s">
        <v>285</v>
      </c>
      <c r="G556">
        <v>1</v>
      </c>
      <c r="H556" t="s">
        <v>311</v>
      </c>
      <c r="I556">
        <v>0</v>
      </c>
      <c r="J556">
        <f>DropAnalityka[[#This Row],[Sell Drop]]+IF(DropAnalityka[[#This Row],[Drop]]="Scroll", 2000*DropAnalityka[[#This Row],[Quality/Quantity]],0)</f>
        <v>0</v>
      </c>
      <c r="K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7" spans="1:12">
      <c r="A557" s="10" t="s">
        <v>230</v>
      </c>
      <c r="B557" t="s">
        <v>9</v>
      </c>
      <c r="C557">
        <v>8</v>
      </c>
      <c r="D557">
        <v>2491</v>
      </c>
      <c r="E557">
        <v>0</v>
      </c>
      <c r="F557" t="s">
        <v>228</v>
      </c>
      <c r="G557">
        <v>0</v>
      </c>
      <c r="I557">
        <v>0</v>
      </c>
      <c r="J557">
        <f>DropAnalityka[[#This Row],[Sell Drop]]+IF(DropAnalityka[[#This Row],[Drop]]="Scroll", 2000*DropAnalityka[[#This Row],[Quality/Quantity]],0)</f>
        <v>0</v>
      </c>
      <c r="K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8" spans="1:12">
      <c r="A558" s="10" t="s">
        <v>230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I558">
        <v>0</v>
      </c>
      <c r="J558">
        <f>DropAnalityka[[#This Row],[Sell Drop]]+IF(DropAnalityka[[#This Row],[Drop]]="Scroll", 2000*DropAnalityka[[#This Row],[Quality/Quantity]],0)</f>
        <v>8000</v>
      </c>
      <c r="K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9" spans="1:12">
      <c r="A559" s="10" t="s">
        <v>230</v>
      </c>
      <c r="B559" t="s">
        <v>9</v>
      </c>
      <c r="C559">
        <v>8</v>
      </c>
      <c r="D559">
        <v>2671</v>
      </c>
      <c r="E559">
        <v>2</v>
      </c>
      <c r="F559" t="s">
        <v>285</v>
      </c>
      <c r="G559">
        <v>4</v>
      </c>
      <c r="H559" t="s">
        <v>309</v>
      </c>
      <c r="I559">
        <v>0</v>
      </c>
      <c r="J559">
        <f>DropAnalityka[[#This Row],[Sell Drop]]+IF(DropAnalityka[[#This Row],[Drop]]="Scroll", 2000*DropAnalityka[[#This Row],[Quality/Quantity]],0)</f>
        <v>0</v>
      </c>
      <c r="K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0" spans="1:12">
      <c r="A560" s="10" t="s">
        <v>230</v>
      </c>
      <c r="B560" t="s">
        <v>9</v>
      </c>
      <c r="C560">
        <v>8</v>
      </c>
      <c r="D560">
        <v>2186</v>
      </c>
      <c r="E560">
        <v>1</v>
      </c>
      <c r="F560" t="s">
        <v>229</v>
      </c>
      <c r="G560" t="s">
        <v>17</v>
      </c>
      <c r="I560">
        <v>0</v>
      </c>
      <c r="J560">
        <f>DropAnalityka[[#This Row],[Sell Drop]]+IF(DropAnalityka[[#This Row],[Drop]]="Scroll", 2000*DropAnalityka[[#This Row],[Quality/Quantity]],0)</f>
        <v>0</v>
      </c>
      <c r="K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1" spans="1:12">
      <c r="A561" s="10" t="s">
        <v>230</v>
      </c>
      <c r="B561" t="s">
        <v>9</v>
      </c>
      <c r="C561">
        <v>8</v>
      </c>
      <c r="D561">
        <v>2316</v>
      </c>
      <c r="E561">
        <v>0</v>
      </c>
      <c r="F561" t="s">
        <v>285</v>
      </c>
      <c r="G561">
        <v>3</v>
      </c>
      <c r="H561" t="s">
        <v>309</v>
      </c>
      <c r="I561">
        <v>0</v>
      </c>
      <c r="J561">
        <f>DropAnalityka[[#This Row],[Sell Drop]]+IF(DropAnalityka[[#This Row],[Drop]]="Scroll", 2000*DropAnalityka[[#This Row],[Quality/Quantity]],0)</f>
        <v>0</v>
      </c>
      <c r="K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2" spans="1:12">
      <c r="A562" s="10" t="s">
        <v>230</v>
      </c>
      <c r="B562" t="s">
        <v>9</v>
      </c>
      <c r="C562">
        <v>8</v>
      </c>
      <c r="D562">
        <v>2046</v>
      </c>
      <c r="E562">
        <v>1</v>
      </c>
      <c r="F562" t="s">
        <v>285</v>
      </c>
      <c r="G562">
        <v>4</v>
      </c>
      <c r="H562" t="s">
        <v>309</v>
      </c>
      <c r="I562">
        <v>0</v>
      </c>
      <c r="J562">
        <f>DropAnalityka[[#This Row],[Sell Drop]]+IF(DropAnalityka[[#This Row],[Drop]]="Scroll", 2000*DropAnalityka[[#This Row],[Quality/Quantity]],0)</f>
        <v>0</v>
      </c>
      <c r="K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3" spans="1:12">
      <c r="A563" s="10" t="s">
        <v>230</v>
      </c>
      <c r="B563" t="s">
        <v>9</v>
      </c>
      <c r="C563">
        <v>8</v>
      </c>
      <c r="D563">
        <v>2303</v>
      </c>
      <c r="E563">
        <v>3</v>
      </c>
      <c r="F563" t="s">
        <v>285</v>
      </c>
      <c r="G563">
        <v>1</v>
      </c>
      <c r="H563" t="s">
        <v>310</v>
      </c>
      <c r="I563">
        <v>0</v>
      </c>
      <c r="J563">
        <f>DropAnalityka[[#This Row],[Sell Drop]]+IF(DropAnalityka[[#This Row],[Drop]]="Scroll", 2000*DropAnalityka[[#This Row],[Quality/Quantity]],0)</f>
        <v>0</v>
      </c>
      <c r="K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4" spans="1:12">
      <c r="A564" s="10" t="s">
        <v>230</v>
      </c>
      <c r="B564" t="s">
        <v>9</v>
      </c>
      <c r="C564">
        <v>8</v>
      </c>
      <c r="D564">
        <v>2396</v>
      </c>
      <c r="E564">
        <v>1</v>
      </c>
      <c r="F564" t="s">
        <v>285</v>
      </c>
      <c r="G564">
        <v>1</v>
      </c>
      <c r="H564" t="s">
        <v>310</v>
      </c>
      <c r="I564">
        <v>0</v>
      </c>
      <c r="J564">
        <f>DropAnalityka[[#This Row],[Sell Drop]]+IF(DropAnalityka[[#This Row],[Drop]]="Scroll", 2000*DropAnalityka[[#This Row],[Quality/Quantity]],0)</f>
        <v>0</v>
      </c>
      <c r="K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5" spans="1:12">
      <c r="A565" s="10" t="s">
        <v>230</v>
      </c>
      <c r="B565" t="s">
        <v>9</v>
      </c>
      <c r="C565">
        <v>8</v>
      </c>
      <c r="D565">
        <v>2325</v>
      </c>
      <c r="E565">
        <v>1</v>
      </c>
      <c r="F565" t="s">
        <v>285</v>
      </c>
      <c r="G565">
        <v>2</v>
      </c>
      <c r="H565" t="s">
        <v>311</v>
      </c>
      <c r="I565">
        <v>0</v>
      </c>
      <c r="J565">
        <f>DropAnalityka[[#This Row],[Sell Drop]]+IF(DropAnalityka[[#This Row],[Drop]]="Scroll", 2000*DropAnalityka[[#This Row],[Quality/Quantity]],0)</f>
        <v>0</v>
      </c>
      <c r="K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6" spans="1:12">
      <c r="A566" s="10" t="s">
        <v>230</v>
      </c>
      <c r="B566" t="s">
        <v>9</v>
      </c>
      <c r="C566">
        <v>8</v>
      </c>
      <c r="D566">
        <v>2398</v>
      </c>
      <c r="E566">
        <v>1</v>
      </c>
      <c r="F566" t="s">
        <v>285</v>
      </c>
      <c r="G566">
        <v>3</v>
      </c>
      <c r="H566" t="s">
        <v>309</v>
      </c>
      <c r="I566">
        <v>0</v>
      </c>
      <c r="J566">
        <f>DropAnalityka[[#This Row],[Sell Drop]]+IF(DropAnalityka[[#This Row],[Drop]]="Scroll", 2000*DropAnalityka[[#This Row],[Quality/Quantity]],0)</f>
        <v>0</v>
      </c>
      <c r="K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7" spans="1:12">
      <c r="A567" s="10" t="s">
        <v>230</v>
      </c>
      <c r="B567" t="s">
        <v>9</v>
      </c>
      <c r="C567">
        <v>8</v>
      </c>
      <c r="D567">
        <v>2668</v>
      </c>
      <c r="E567">
        <v>0</v>
      </c>
      <c r="F567" t="s">
        <v>285</v>
      </c>
      <c r="G567">
        <v>3</v>
      </c>
      <c r="H567" t="s">
        <v>311</v>
      </c>
      <c r="I567">
        <v>0</v>
      </c>
      <c r="J567">
        <f>DropAnalityka[[#This Row],[Sell Drop]]+IF(DropAnalityka[[#This Row],[Drop]]="Scroll", 2000*DropAnalityka[[#This Row],[Quality/Quantity]],0)</f>
        <v>0</v>
      </c>
      <c r="K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288</v>
      </c>
      <c r="G568">
        <v>2</v>
      </c>
      <c r="H568" t="s">
        <v>310</v>
      </c>
      <c r="I568">
        <v>0</v>
      </c>
      <c r="J568">
        <f>DropAnalityka[[#This Row],[Sell Drop]]+IF(DropAnalityka[[#This Row],[Drop]]="Scroll", 2000*DropAnalityka[[#This Row],[Quality/Quantity]],0)</f>
        <v>0</v>
      </c>
      <c r="K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288</v>
      </c>
      <c r="G569">
        <v>1</v>
      </c>
      <c r="H569" t="s">
        <v>310</v>
      </c>
      <c r="I569">
        <v>0</v>
      </c>
      <c r="J569">
        <f>DropAnalityka[[#This Row],[Sell Drop]]+IF(DropAnalityka[[#This Row],[Drop]]="Scroll", 2000*DropAnalityka[[#This Row],[Quality/Quantity]],0)</f>
        <v>0</v>
      </c>
      <c r="K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288</v>
      </c>
      <c r="G570">
        <v>4</v>
      </c>
      <c r="H570" t="s">
        <v>309</v>
      </c>
      <c r="I570">
        <v>0</v>
      </c>
      <c r="J570">
        <f>DropAnalityka[[#This Row],[Sell Drop]]+IF(DropAnalityka[[#This Row],[Drop]]="Scroll", 2000*DropAnalityka[[#This Row],[Quality/Quantity]],0)</f>
        <v>0</v>
      </c>
      <c r="K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288</v>
      </c>
      <c r="G571">
        <v>1</v>
      </c>
      <c r="H571" t="s">
        <v>310</v>
      </c>
      <c r="I571">
        <v>0</v>
      </c>
      <c r="J571">
        <f>DropAnalityka[[#This Row],[Sell Drop]]+IF(DropAnalityka[[#This Row],[Drop]]="Scroll", 2000*DropAnalityka[[#This Row],[Quality/Quantity]],0)</f>
        <v>0</v>
      </c>
      <c r="K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288</v>
      </c>
      <c r="G572">
        <v>1</v>
      </c>
      <c r="H572" t="s">
        <v>310</v>
      </c>
      <c r="I572">
        <v>0</v>
      </c>
      <c r="J572">
        <f>DropAnalityka[[#This Row],[Sell Drop]]+IF(DropAnalityka[[#This Row],[Drop]]="Scroll", 2000*DropAnalityka[[#This Row],[Quality/Quantity]],0)</f>
        <v>0</v>
      </c>
      <c r="K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288</v>
      </c>
      <c r="G573">
        <v>4</v>
      </c>
      <c r="H573" t="s">
        <v>309</v>
      </c>
      <c r="I573">
        <v>0</v>
      </c>
      <c r="J573">
        <f>DropAnalityka[[#This Row],[Sell Drop]]+IF(DropAnalityka[[#This Row],[Drop]]="Scroll", 2000*DropAnalityka[[#This Row],[Quality/Quantity]],0)</f>
        <v>0</v>
      </c>
      <c r="K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288</v>
      </c>
      <c r="G574">
        <v>3</v>
      </c>
      <c r="H574" t="s">
        <v>310</v>
      </c>
      <c r="I574">
        <v>0</v>
      </c>
      <c r="J574">
        <f>DropAnalityka[[#This Row],[Sell Drop]]+IF(DropAnalityka[[#This Row],[Drop]]="Scroll", 2000*DropAnalityka[[#This Row],[Quality/Quantity]],0)</f>
        <v>0</v>
      </c>
      <c r="K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288</v>
      </c>
      <c r="G575">
        <v>3</v>
      </c>
      <c r="H575" t="s">
        <v>310</v>
      </c>
      <c r="I575">
        <v>0</v>
      </c>
      <c r="J575">
        <f>DropAnalityka[[#This Row],[Sell Drop]]+IF(DropAnalityka[[#This Row],[Drop]]="Scroll", 2000*DropAnalityka[[#This Row],[Quality/Quantity]],0)</f>
        <v>0</v>
      </c>
      <c r="K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288</v>
      </c>
      <c r="G576">
        <v>4</v>
      </c>
      <c r="H576" t="s">
        <v>309</v>
      </c>
      <c r="I576">
        <v>0</v>
      </c>
      <c r="J576">
        <f>DropAnalityka[[#This Row],[Sell Drop]]+IF(DropAnalityka[[#This Row],[Drop]]="Scroll", 2000*DropAnalityka[[#This Row],[Quality/Quantity]],0)</f>
        <v>0</v>
      </c>
      <c r="K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288</v>
      </c>
      <c r="G577">
        <v>3</v>
      </c>
      <c r="H577" t="s">
        <v>309</v>
      </c>
      <c r="I577">
        <v>0</v>
      </c>
      <c r="J577">
        <f>DropAnalityka[[#This Row],[Sell Drop]]+IF(DropAnalityka[[#This Row],[Drop]]="Scroll", 2000*DropAnalityka[[#This Row],[Quality/Quantity]],0)</f>
        <v>0</v>
      </c>
      <c r="K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285</v>
      </c>
      <c r="G578">
        <v>3</v>
      </c>
      <c r="H578" t="s">
        <v>309</v>
      </c>
      <c r="I578">
        <v>0</v>
      </c>
      <c r="J578">
        <f>DropAnalityka[[#This Row],[Sell Drop]]+IF(DropAnalityka[[#This Row],[Drop]]="Scroll", 2000*DropAnalityka[[#This Row],[Quality/Quantity]],0)</f>
        <v>0</v>
      </c>
      <c r="K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288</v>
      </c>
      <c r="G579">
        <v>5</v>
      </c>
      <c r="H579" t="s">
        <v>309</v>
      </c>
      <c r="I579">
        <v>0</v>
      </c>
      <c r="J579">
        <f>DropAnalityka[[#This Row],[Sell Drop]]+IF(DropAnalityka[[#This Row],[Drop]]="Scroll", 2000*DropAnalityka[[#This Row],[Quality/Quantity]],0)</f>
        <v>0</v>
      </c>
      <c r="K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I580">
        <v>0</v>
      </c>
      <c r="J580">
        <f>DropAnalityka[[#This Row],[Sell Drop]]+IF(DropAnalityka[[#This Row],[Drop]]="Scroll", 2000*DropAnalityka[[#This Row],[Quality/Quantity]],0)</f>
        <v>8000</v>
      </c>
      <c r="K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162</v>
      </c>
      <c r="G581">
        <v>1</v>
      </c>
      <c r="I581">
        <v>0</v>
      </c>
      <c r="J581">
        <f>DropAnalityka[[#This Row],[Sell Drop]]+IF(DropAnalityka[[#This Row],[Drop]]="Scroll", 2000*DropAnalityka[[#This Row],[Quality/Quantity]],0)</f>
        <v>0</v>
      </c>
      <c r="K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288</v>
      </c>
      <c r="G582">
        <v>3</v>
      </c>
      <c r="H582" t="s">
        <v>309</v>
      </c>
      <c r="I582">
        <v>0</v>
      </c>
      <c r="J582">
        <f>DropAnalityka[[#This Row],[Sell Drop]]+IF(DropAnalityka[[#This Row],[Drop]]="Scroll", 2000*DropAnalityka[[#This Row],[Quality/Quantity]],0)</f>
        <v>0</v>
      </c>
      <c r="K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288</v>
      </c>
      <c r="G583">
        <v>2</v>
      </c>
      <c r="H583" t="s">
        <v>311</v>
      </c>
      <c r="I583">
        <v>0</v>
      </c>
      <c r="J583">
        <f>DropAnalityka[[#This Row],[Sell Drop]]+IF(DropAnalityka[[#This Row],[Drop]]="Scroll", 2000*DropAnalityka[[#This Row],[Quality/Quantity]],0)</f>
        <v>0</v>
      </c>
      <c r="K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4" spans="1:12">
      <c r="A584" s="10" t="s">
        <v>191</v>
      </c>
      <c r="B584" t="s">
        <v>9</v>
      </c>
      <c r="C584">
        <v>6</v>
      </c>
      <c r="D584">
        <v>2097</v>
      </c>
      <c r="E584">
        <v>2</v>
      </c>
      <c r="F584" t="s">
        <v>93</v>
      </c>
      <c r="G584" t="s">
        <v>27</v>
      </c>
      <c r="H584" t="s">
        <v>233</v>
      </c>
      <c r="I584">
        <v>3307</v>
      </c>
      <c r="J584">
        <f>DropAnalityka[[#This Row],[Sell Drop]]+IF(DropAnalityka[[#This Row],[Drop]]="Scroll", 2000*DropAnalityka[[#This Row],[Quality/Quantity]],0)</f>
        <v>3307</v>
      </c>
      <c r="K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Drop]]+IF(DropAnalityka[[#This Row],[Drop]]="Scroll", 2000*DropAnalityka[[#This Row],[Quality/Quantity]],0)</f>
        <v>1824</v>
      </c>
      <c r="K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 t="s">
        <v>12</v>
      </c>
      <c r="I586">
        <v>0</v>
      </c>
      <c r="J586">
        <f>DropAnalityka[[#This Row],[Sell Drop]]+IF(DropAnalityka[[#This Row],[Drop]]="Scroll", 2000*DropAnalityka[[#This Row],[Quality/Quantity]],0)</f>
        <v>0</v>
      </c>
      <c r="K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 t="s">
        <v>12</v>
      </c>
      <c r="I587">
        <v>0</v>
      </c>
      <c r="J587">
        <f>DropAnalityka[[#This Row],[Sell Drop]]+IF(DropAnalityka[[#This Row],[Drop]]="Scroll", 2000*DropAnalityka[[#This Row],[Quality/Quantity]],0)</f>
        <v>0</v>
      </c>
      <c r="K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Drop]]+IF(DropAnalityka[[#This Row],[Drop]]="Scroll", 2000*DropAnalityka[[#This Row],[Quality/Quantity]],0)</f>
        <v>1824</v>
      </c>
      <c r="K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I589">
        <v>0</v>
      </c>
      <c r="J589">
        <f>DropAnalityka[[#This Row],[Sell Drop]]+IF(DropAnalityka[[#This Row],[Drop]]="Scroll", 2000*DropAnalityka[[#This Row],[Quality/Quantity]],0)</f>
        <v>4000</v>
      </c>
      <c r="K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I590">
        <v>0</v>
      </c>
      <c r="J590">
        <f>DropAnalityka[[#This Row],[Sell Drop]]+IF(DropAnalityka[[#This Row],[Drop]]="Scroll", 2000*DropAnalityka[[#This Row],[Quality/Quantity]],0)</f>
        <v>4000</v>
      </c>
      <c r="K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Drop]]+IF(DropAnalityka[[#This Row],[Drop]]="Scroll", 2000*DropAnalityka[[#This Row],[Quality/Quantity]],0)</f>
        <v>1824</v>
      </c>
      <c r="K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I592">
        <v>0</v>
      </c>
      <c r="J592">
        <f>DropAnalityka[[#This Row],[Sell Drop]]+IF(DropAnalityka[[#This Row],[Drop]]="Scroll", 2000*DropAnalityka[[#This Row],[Quality/Quantity]],0)</f>
        <v>4000</v>
      </c>
      <c r="K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Drop]]+IF(DropAnalityka[[#This Row],[Drop]]="Scroll", 2000*DropAnalityka[[#This Row],[Quality/Quantity]],0)</f>
        <v>3182</v>
      </c>
      <c r="K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Drop]]+IF(DropAnalityka[[#This Row],[Drop]]="Scroll", 2000*DropAnalityka[[#This Row],[Quality/Quantity]],0)</f>
        <v>3427</v>
      </c>
      <c r="K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Drop]]+IF(DropAnalityka[[#This Row],[Drop]]="Scroll", 2000*DropAnalityka[[#This Row],[Quality/Quantity]],0)</f>
        <v>1824</v>
      </c>
      <c r="K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Drop]]+IF(DropAnalityka[[#This Row],[Drop]]="Scroll", 2000*DropAnalityka[[#This Row],[Quality/Quantity]],0)</f>
        <v>1824</v>
      </c>
      <c r="K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Drop]]+IF(DropAnalityka[[#This Row],[Drop]]="Scroll", 2000*DropAnalityka[[#This Row],[Quality/Quantity]],0)</f>
        <v>1824</v>
      </c>
      <c r="K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Drop]]+IF(DropAnalityka[[#This Row],[Drop]]="Scroll", 2000*DropAnalityka[[#This Row],[Quality/Quantity]],0)</f>
        <v>1824</v>
      </c>
      <c r="K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I599">
        <v>0</v>
      </c>
      <c r="J599">
        <f>DropAnalityka[[#This Row],[Sell Drop]]+IF(DropAnalityka[[#This Row],[Drop]]="Scroll", 2000*DropAnalityka[[#This Row],[Quality/Quantity]],0)</f>
        <v>4000</v>
      </c>
      <c r="K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Drop]]+IF(DropAnalityka[[#This Row],[Drop]]="Scroll", 2000*DropAnalityka[[#This Row],[Quality/Quantity]],0)</f>
        <v>2280</v>
      </c>
      <c r="K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Drop]]+IF(DropAnalityka[[#This Row],[Drop]]="Scroll", 2000*DropAnalityka[[#This Row],[Quality/Quantity]],0)</f>
        <v>1824</v>
      </c>
      <c r="K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Drop]]+IF(DropAnalityka[[#This Row],[Drop]]="Scroll", 2000*DropAnalityka[[#This Row],[Quality/Quantity]],0)</f>
        <v>1824</v>
      </c>
      <c r="K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Drop]]+IF(DropAnalityka[[#This Row],[Drop]]="Scroll", 2000*DropAnalityka[[#This Row],[Quality/Quantity]],0)</f>
        <v>2128</v>
      </c>
      <c r="K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 t="s">
        <v>12</v>
      </c>
      <c r="I604">
        <v>0</v>
      </c>
      <c r="J604">
        <f>DropAnalityka[[#This Row],[Sell Drop]]+IF(DropAnalityka[[#This Row],[Drop]]="Scroll", 2000*DropAnalityka[[#This Row],[Quality/Quantity]],0)</f>
        <v>0</v>
      </c>
      <c r="K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I605">
        <v>0</v>
      </c>
      <c r="J605">
        <f>DropAnalityka[[#This Row],[Sell Drop]]+IF(DropAnalityka[[#This Row],[Drop]]="Scroll", 2000*DropAnalityka[[#This Row],[Quality/Quantity]],0)</f>
        <v>4000</v>
      </c>
      <c r="K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I606">
        <v>0</v>
      </c>
      <c r="J606">
        <f>DropAnalityka[[#This Row],[Sell Drop]]+IF(DropAnalityka[[#This Row],[Drop]]="Scroll", 2000*DropAnalityka[[#This Row],[Quality/Quantity]],0)</f>
        <v>4000</v>
      </c>
      <c r="K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Drop]]+IF(DropAnalityka[[#This Row],[Drop]]="Scroll", 2000*DropAnalityka[[#This Row],[Quality/Quantity]],0)</f>
        <v>1824</v>
      </c>
      <c r="K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I608">
        <v>0</v>
      </c>
      <c r="J608">
        <f>DropAnalityka[[#This Row],[Sell Drop]]+IF(DropAnalityka[[#This Row],[Drop]]="Scroll", 2000*DropAnalityka[[#This Row],[Quality/Quantity]],0)</f>
        <v>4000</v>
      </c>
      <c r="K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Drop]]+IF(DropAnalityka[[#This Row],[Drop]]="Scroll", 2000*DropAnalityka[[#This Row],[Quality/Quantity]],0)</f>
        <v>1976</v>
      </c>
      <c r="K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Drop]]+IF(DropAnalityka[[#This Row],[Drop]]="Scroll", 2000*DropAnalityka[[#This Row],[Quality/Quantity]],0)</f>
        <v>1824</v>
      </c>
      <c r="K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 t="s">
        <v>12</v>
      </c>
      <c r="I611">
        <v>0</v>
      </c>
      <c r="J611">
        <f>DropAnalityka[[#This Row],[Sell Drop]]+IF(DropAnalityka[[#This Row],[Drop]]="Scroll", 2000*DropAnalityka[[#This Row],[Quality/Quantity]],0)</f>
        <v>0</v>
      </c>
      <c r="K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Drop]]+IF(DropAnalityka[[#This Row],[Drop]]="Scroll", 2000*DropAnalityka[[#This Row],[Quality/Quantity]],0)</f>
        <v>2937</v>
      </c>
      <c r="K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Drop]]+IF(DropAnalityka[[#This Row],[Drop]]="Scroll", 2000*DropAnalityka[[#This Row],[Quality/Quantity]],0)</f>
        <v>1824</v>
      </c>
      <c r="K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Drop]]+IF(DropAnalityka[[#This Row],[Drop]]="Scroll", 2000*DropAnalityka[[#This Row],[Quality/Quantity]],0)</f>
        <v>1824</v>
      </c>
      <c r="K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Drop]]+IF(DropAnalityka[[#This Row],[Drop]]="Scroll", 2000*DropAnalityka[[#This Row],[Quality/Quantity]],0)</f>
        <v>3427</v>
      </c>
      <c r="K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Drop]]+IF(DropAnalityka[[#This Row],[Drop]]="Scroll", 2000*DropAnalityka[[#This Row],[Quality/Quantity]],0)</f>
        <v>1159</v>
      </c>
      <c r="K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Drop]]+IF(DropAnalityka[[#This Row],[Drop]]="Scroll", 2000*DropAnalityka[[#This Row],[Quality/Quantity]],0)</f>
        <v>1159</v>
      </c>
      <c r="K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Drop]]+IF(DropAnalityka[[#This Row],[Drop]]="Scroll", 2000*DropAnalityka[[#This Row],[Quality/Quantity]],0)</f>
        <v>1159</v>
      </c>
      <c r="K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I619">
        <v>0</v>
      </c>
      <c r="J619">
        <f>DropAnalityka[[#This Row],[Sell Drop]]+IF(DropAnalityka[[#This Row],[Drop]]="Scroll", 2000*DropAnalityka[[#This Row],[Quality/Quantity]],0)</f>
        <v>4000</v>
      </c>
      <c r="K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I620">
        <v>0</v>
      </c>
      <c r="J620">
        <f>DropAnalityka[[#This Row],[Sell Drop]]+IF(DropAnalityka[[#This Row],[Drop]]="Scroll", 2000*DropAnalityka[[#This Row],[Quality/Quantity]],0)</f>
        <v>4000</v>
      </c>
      <c r="K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I621">
        <v>0</v>
      </c>
      <c r="J621">
        <f>DropAnalityka[[#This Row],[Sell Drop]]+IF(DropAnalityka[[#This Row],[Drop]]="Scroll", 2000*DropAnalityka[[#This Row],[Quality/Quantity]],0)</f>
        <v>4000</v>
      </c>
      <c r="K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Drop]]+IF(DropAnalityka[[#This Row],[Drop]]="Scroll", 2000*DropAnalityka[[#This Row],[Quality/Quantity]],0)</f>
        <v>1824</v>
      </c>
      <c r="K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Drop]]+IF(DropAnalityka[[#This Row],[Drop]]="Scroll", 2000*DropAnalityka[[#This Row],[Quality/Quantity]],0)</f>
        <v>1976</v>
      </c>
      <c r="K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Drop]]+IF(DropAnalityka[[#This Row],[Drop]]="Scroll", 2000*DropAnalityka[[#This Row],[Quality/Quantity]],0)</f>
        <v>1976</v>
      </c>
      <c r="K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Drop]]+IF(DropAnalityka[[#This Row],[Drop]]="Scroll", 2000*DropAnalityka[[#This Row],[Quality/Quantity]],0)</f>
        <v>1824</v>
      </c>
      <c r="K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Drop]]+IF(DropAnalityka[[#This Row],[Drop]]="Scroll", 2000*DropAnalityka[[#This Row],[Quality/Quantity]],0)</f>
        <v>1824</v>
      </c>
      <c r="K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Drop]]+IF(DropAnalityka[[#This Row],[Drop]]="Scroll", 2000*DropAnalityka[[#This Row],[Quality/Quantity]],0)</f>
        <v>2937</v>
      </c>
      <c r="K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Drop]]+IF(DropAnalityka[[#This Row],[Drop]]="Scroll", 2000*DropAnalityka[[#This Row],[Quality/Quantity]],0)</f>
        <v>1824</v>
      </c>
      <c r="K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Drop]]+IF(DropAnalityka[[#This Row],[Drop]]="Scroll", 2000*DropAnalityka[[#This Row],[Quality/Quantity]],0)</f>
        <v>1824</v>
      </c>
      <c r="K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Drop]]+IF(DropAnalityka[[#This Row],[Drop]]="Scroll", 2000*DropAnalityka[[#This Row],[Quality/Quantity]],0)</f>
        <v>1824</v>
      </c>
      <c r="K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Drop]]+IF(DropAnalityka[[#This Row],[Drop]]="Scroll", 2000*DropAnalityka[[#This Row],[Quality/Quantity]],0)</f>
        <v>1824</v>
      </c>
      <c r="K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Drop]]+IF(DropAnalityka[[#This Row],[Drop]]="Scroll", 2000*DropAnalityka[[#This Row],[Quality/Quantity]],0)</f>
        <v>2937</v>
      </c>
      <c r="K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Drop]]+IF(DropAnalityka[[#This Row],[Drop]]="Scroll", 2000*DropAnalityka[[#This Row],[Quality/Quantity]],0)</f>
        <v>3182</v>
      </c>
      <c r="K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Drop]]+IF(DropAnalityka[[#This Row],[Drop]]="Scroll", 2000*DropAnalityka[[#This Row],[Quality/Quantity]],0)</f>
        <v>2128</v>
      </c>
      <c r="K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I635">
        <v>0</v>
      </c>
      <c r="J635">
        <f>DropAnalityka[[#This Row],[Sell Drop]]+IF(DropAnalityka[[#This Row],[Drop]]="Scroll", 2000*DropAnalityka[[#This Row],[Quality/Quantity]],0)</f>
        <v>4000</v>
      </c>
      <c r="K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Drop]]+IF(DropAnalityka[[#This Row],[Drop]]="Scroll", 2000*DropAnalityka[[#This Row],[Quality/Quantity]],0)</f>
        <v>1352</v>
      </c>
      <c r="K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I637">
        <v>0</v>
      </c>
      <c r="J637">
        <f>DropAnalityka[[#This Row],[Sell Drop]]+IF(DropAnalityka[[#This Row],[Drop]]="Scroll", 2000*DropAnalityka[[#This Row],[Quality/Quantity]],0)</f>
        <v>6000</v>
      </c>
      <c r="K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Drop]]+IF(DropAnalityka[[#This Row],[Drop]]="Scroll", 2000*DropAnalityka[[#This Row],[Quality/Quantity]],0)</f>
        <v>1352</v>
      </c>
      <c r="K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Drop]]+IF(DropAnalityka[[#This Row],[Drop]]="Scroll", 2000*DropAnalityka[[#This Row],[Quality/Quantity]],0)</f>
        <v>1352</v>
      </c>
      <c r="K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Drop]]+IF(DropAnalityka[[#This Row],[Drop]]="Scroll", 2000*DropAnalityka[[#This Row],[Quality/Quantity]],0)</f>
        <v>2411</v>
      </c>
      <c r="K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Drop]]+IF(DropAnalityka[[#This Row],[Drop]]="Scroll", 2000*DropAnalityka[[#This Row],[Quality/Quantity]],0)</f>
        <v>2067</v>
      </c>
      <c r="K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Drop]]+IF(DropAnalityka[[#This Row],[Drop]]="Scroll", 2000*DropAnalityka[[#This Row],[Quality/Quantity]],0)</f>
        <v>1159</v>
      </c>
      <c r="K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Drop]]+IF(DropAnalityka[[#This Row],[Drop]]="Scroll", 2000*DropAnalityka[[#This Row],[Quality/Quantity]],0)</f>
        <v>1159</v>
      </c>
      <c r="K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Drop]]+IF(DropAnalityka[[#This Row],[Drop]]="Scroll", 2000*DropAnalityka[[#This Row],[Quality/Quantity]],0)</f>
        <v>2067</v>
      </c>
      <c r="K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Drop]]+IF(DropAnalityka[[#This Row],[Drop]]="Scroll", 2000*DropAnalityka[[#This Row],[Quality/Quantity]],0)</f>
        <v>1546</v>
      </c>
      <c r="K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Drop]]+IF(DropAnalityka[[#This Row],[Drop]]="Scroll", 2000*DropAnalityka[[#This Row],[Quality/Quantity]],0)</f>
        <v>1159</v>
      </c>
      <c r="K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Drop]]+IF(DropAnalityka[[#This Row],[Drop]]="Scroll", 2000*DropAnalityka[[#This Row],[Quality/Quantity]],0)</f>
        <v>2067</v>
      </c>
      <c r="K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I648">
        <v>0</v>
      </c>
      <c r="J648">
        <f>DropAnalityka[[#This Row],[Sell Drop]]+IF(DropAnalityka[[#This Row],[Drop]]="Scroll", 2000*DropAnalityka[[#This Row],[Quality/Quantity]],0)</f>
        <v>6000</v>
      </c>
      <c r="K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Drop]]+IF(DropAnalityka[[#This Row],[Drop]]="Scroll", 2000*DropAnalityka[[#This Row],[Quality/Quantity]],0)</f>
        <v>1159</v>
      </c>
      <c r="K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Drop]]+IF(DropAnalityka[[#This Row],[Drop]]="Scroll", 2000*DropAnalityka[[#This Row],[Quality/Quantity]],0)</f>
        <v>1159</v>
      </c>
      <c r="K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Drop]]+IF(DropAnalityka[[#This Row],[Drop]]="Scroll", 2000*DropAnalityka[[#This Row],[Quality/Quantity]],0)</f>
        <v>1159</v>
      </c>
      <c r="K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Drop]]+IF(DropAnalityka[[#This Row],[Drop]]="Scroll", 2000*DropAnalityka[[#This Row],[Quality/Quantity]],0)</f>
        <v>1159</v>
      </c>
      <c r="K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I653">
        <v>0</v>
      </c>
      <c r="J653">
        <f>DropAnalityka[[#This Row],[Sell Drop]]+IF(DropAnalityka[[#This Row],[Drop]]="Scroll", 2000*DropAnalityka[[#This Row],[Quality/Quantity]],0)</f>
        <v>6000</v>
      </c>
      <c r="K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Drop]]+IF(DropAnalityka[[#This Row],[Drop]]="Scroll", 2000*DropAnalityka[[#This Row],[Quality/Quantity]],0)</f>
        <v>1824</v>
      </c>
      <c r="K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288</v>
      </c>
      <c r="G655">
        <v>4</v>
      </c>
      <c r="H655" t="s">
        <v>309</v>
      </c>
      <c r="I655">
        <v>0</v>
      </c>
      <c r="J655">
        <f>DropAnalityka[[#This Row],[Sell Drop]]+IF(DropAnalityka[[#This Row],[Drop]]="Scroll", 2000*DropAnalityka[[#This Row],[Quality/Quantity]],0)</f>
        <v>0</v>
      </c>
      <c r="K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288</v>
      </c>
      <c r="G656">
        <v>1</v>
      </c>
      <c r="H656" t="s">
        <v>311</v>
      </c>
      <c r="I656">
        <v>0</v>
      </c>
      <c r="J656">
        <f>DropAnalityka[[#This Row],[Sell Drop]]+IF(DropAnalityka[[#This Row],[Drop]]="Scroll", 2000*DropAnalityka[[#This Row],[Quality/Quantity]],0)</f>
        <v>0</v>
      </c>
      <c r="K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288</v>
      </c>
      <c r="G657">
        <v>1</v>
      </c>
      <c r="H657" t="s">
        <v>310</v>
      </c>
      <c r="I657">
        <v>0</v>
      </c>
      <c r="J657">
        <f>DropAnalityka[[#This Row],[Sell Drop]]+IF(DropAnalityka[[#This Row],[Drop]]="Scroll", 2000*DropAnalityka[[#This Row],[Quality/Quantity]],0)</f>
        <v>0</v>
      </c>
      <c r="K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285</v>
      </c>
      <c r="G658">
        <v>1</v>
      </c>
      <c r="H658" t="s">
        <v>310</v>
      </c>
      <c r="I658">
        <v>0</v>
      </c>
      <c r="J658">
        <f>DropAnalityka[[#This Row],[Sell Drop]]+IF(DropAnalityka[[#This Row],[Drop]]="Scroll", 2000*DropAnalityka[[#This Row],[Quality/Quantity]],0)</f>
        <v>0</v>
      </c>
      <c r="K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I659">
        <v>0</v>
      </c>
      <c r="J659">
        <f>DropAnalityka[[#This Row],[Sell Drop]]+IF(DropAnalityka[[#This Row],[Drop]]="Scroll", 2000*DropAnalityka[[#This Row],[Quality/Quantity]],0)</f>
        <v>8000</v>
      </c>
      <c r="K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288</v>
      </c>
      <c r="G660">
        <v>1</v>
      </c>
      <c r="H660" t="s">
        <v>310</v>
      </c>
      <c r="I660">
        <v>0</v>
      </c>
      <c r="J660">
        <f>DropAnalityka[[#This Row],[Sell Drop]]+IF(DropAnalityka[[#This Row],[Drop]]="Scroll", 2000*DropAnalityka[[#This Row],[Quality/Quantity]],0)</f>
        <v>0</v>
      </c>
      <c r="K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I661">
        <v>0</v>
      </c>
      <c r="J661">
        <f>DropAnalityka[[#This Row],[Sell Drop]]+IF(DropAnalityka[[#This Row],[Drop]]="Scroll", 2000*DropAnalityka[[#This Row],[Quality/Quantity]],0)</f>
        <v>8000</v>
      </c>
      <c r="K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288</v>
      </c>
      <c r="G662">
        <v>1</v>
      </c>
      <c r="H662" t="s">
        <v>310</v>
      </c>
      <c r="I662">
        <v>0</v>
      </c>
      <c r="J662">
        <f>DropAnalityka[[#This Row],[Sell Drop]]+IF(DropAnalityka[[#This Row],[Drop]]="Scroll", 2000*DropAnalityka[[#This Row],[Quality/Quantity]],0)</f>
        <v>0</v>
      </c>
      <c r="K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288</v>
      </c>
      <c r="G663">
        <v>5</v>
      </c>
      <c r="H663" t="s">
        <v>309</v>
      </c>
      <c r="I663">
        <v>0</v>
      </c>
      <c r="J663">
        <f>DropAnalityka[[#This Row],[Sell Drop]]+IF(DropAnalityka[[#This Row],[Drop]]="Scroll", 2000*DropAnalityka[[#This Row],[Quality/Quantity]],0)</f>
        <v>0</v>
      </c>
      <c r="K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288</v>
      </c>
      <c r="G664">
        <v>4</v>
      </c>
      <c r="H664" t="s">
        <v>309</v>
      </c>
      <c r="I664">
        <v>0</v>
      </c>
      <c r="J664">
        <f>DropAnalityka[[#This Row],[Sell Drop]]+IF(DropAnalityka[[#This Row],[Drop]]="Scroll", 2000*DropAnalityka[[#This Row],[Quality/Quantity]],0)</f>
        <v>0</v>
      </c>
      <c r="K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288</v>
      </c>
      <c r="G665">
        <v>2</v>
      </c>
      <c r="H665" t="s">
        <v>310</v>
      </c>
      <c r="I665">
        <v>0</v>
      </c>
      <c r="J665">
        <f>DropAnalityka[[#This Row],[Sell Drop]]+IF(DropAnalityka[[#This Row],[Drop]]="Scroll", 2000*DropAnalityka[[#This Row],[Quality/Quantity]],0)</f>
        <v>0</v>
      </c>
      <c r="K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288</v>
      </c>
      <c r="G666">
        <v>1</v>
      </c>
      <c r="H666" t="s">
        <v>310</v>
      </c>
      <c r="I666">
        <v>0</v>
      </c>
      <c r="J666">
        <f>DropAnalityka[[#This Row],[Sell Drop]]+IF(DropAnalityka[[#This Row],[Drop]]="Scroll", 2000*DropAnalityka[[#This Row],[Quality/Quantity]],0)</f>
        <v>0</v>
      </c>
      <c r="K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288</v>
      </c>
      <c r="G667">
        <v>3</v>
      </c>
      <c r="H667" t="s">
        <v>309</v>
      </c>
      <c r="I667">
        <v>0</v>
      </c>
      <c r="J667">
        <f>DropAnalityka[[#This Row],[Sell Drop]]+IF(DropAnalityka[[#This Row],[Drop]]="Scroll", 2000*DropAnalityka[[#This Row],[Quality/Quantity]],0)</f>
        <v>0</v>
      </c>
      <c r="K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286</v>
      </c>
      <c r="G668">
        <v>1</v>
      </c>
      <c r="H668" t="s">
        <v>310</v>
      </c>
      <c r="I668">
        <v>0</v>
      </c>
      <c r="J668">
        <f>DropAnalityka[[#This Row],[Sell Drop]]+IF(DropAnalityka[[#This Row],[Drop]]="Scroll", 2000*DropAnalityka[[#This Row],[Quality/Quantity]],0)</f>
        <v>0</v>
      </c>
      <c r="K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286</v>
      </c>
      <c r="G669">
        <v>2</v>
      </c>
      <c r="H669" t="s">
        <v>310</v>
      </c>
      <c r="I669">
        <v>0</v>
      </c>
      <c r="J669">
        <f>DropAnalityka[[#This Row],[Sell Drop]]+IF(DropAnalityka[[#This Row],[Drop]]="Scroll", 2000*DropAnalityka[[#This Row],[Quality/Quantity]],0)</f>
        <v>0</v>
      </c>
      <c r="K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288</v>
      </c>
      <c r="G670">
        <v>5</v>
      </c>
      <c r="H670" t="s">
        <v>309</v>
      </c>
      <c r="I670">
        <v>0</v>
      </c>
      <c r="J670">
        <f>DropAnalityka[[#This Row],[Sell Drop]]+IF(DropAnalityka[[#This Row],[Drop]]="Scroll", 2000*DropAnalityka[[#This Row],[Quality/Quantity]],0)</f>
        <v>0</v>
      </c>
      <c r="K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 t="s">
        <v>12</v>
      </c>
      <c r="I671">
        <v>0</v>
      </c>
      <c r="J671">
        <f>DropAnalityka[[#This Row],[Sell Drop]]+IF(DropAnalityka[[#This Row],[Drop]]="Scroll", 2000*DropAnalityka[[#This Row],[Quality/Quantity]],0)</f>
        <v>0</v>
      </c>
      <c r="K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288</v>
      </c>
      <c r="G672">
        <v>3</v>
      </c>
      <c r="H672" t="s">
        <v>309</v>
      </c>
      <c r="I672">
        <v>0</v>
      </c>
      <c r="J672">
        <f>DropAnalityka[[#This Row],[Sell Drop]]+IF(DropAnalityka[[#This Row],[Drop]]="Scroll", 2000*DropAnalityka[[#This Row],[Quality/Quantity]],0)</f>
        <v>0</v>
      </c>
      <c r="K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288</v>
      </c>
      <c r="G673">
        <v>4</v>
      </c>
      <c r="H673" t="s">
        <v>309</v>
      </c>
      <c r="I673">
        <v>0</v>
      </c>
      <c r="J673">
        <f>DropAnalityka[[#This Row],[Sell Drop]]+IF(DropAnalityka[[#This Row],[Drop]]="Scroll", 2000*DropAnalityka[[#This Row],[Quality/Quantity]],0)</f>
        <v>0</v>
      </c>
      <c r="K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286</v>
      </c>
      <c r="G674">
        <v>3</v>
      </c>
      <c r="H674" t="s">
        <v>310</v>
      </c>
      <c r="I674">
        <v>0</v>
      </c>
      <c r="J674">
        <f>DropAnalityka[[#This Row],[Sell Drop]]+IF(DropAnalityka[[#This Row],[Drop]]="Scroll", 2000*DropAnalityka[[#This Row],[Quality/Quantity]],0)</f>
        <v>0</v>
      </c>
      <c r="K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288</v>
      </c>
      <c r="G675">
        <v>5</v>
      </c>
      <c r="H675" t="s">
        <v>309</v>
      </c>
      <c r="I675">
        <v>0</v>
      </c>
      <c r="J675">
        <f>DropAnalityka[[#This Row],[Sell Drop]]+IF(DropAnalityka[[#This Row],[Drop]]="Scroll", 2000*DropAnalityka[[#This Row],[Quality/Quantity]],0)</f>
        <v>0</v>
      </c>
      <c r="K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311</v>
      </c>
      <c r="I676">
        <v>0</v>
      </c>
      <c r="J676">
        <f>DropAnalityka[[#This Row],[Sell Drop]]+IF(DropAnalityka[[#This Row],[Drop]]="Scroll", 2000*DropAnalityka[[#This Row],[Quality/Quantity]],0)</f>
        <v>0</v>
      </c>
      <c r="K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288</v>
      </c>
      <c r="G677">
        <v>5</v>
      </c>
      <c r="H677" t="s">
        <v>309</v>
      </c>
      <c r="I677">
        <v>0</v>
      </c>
      <c r="J677">
        <f>DropAnalityka[[#This Row],[Sell Drop]]+IF(DropAnalityka[[#This Row],[Drop]]="Scroll", 2000*DropAnalityka[[#This Row],[Quality/Quantity]],0)</f>
        <v>0</v>
      </c>
      <c r="K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286</v>
      </c>
      <c r="G678">
        <v>1</v>
      </c>
      <c r="H678" t="s">
        <v>310</v>
      </c>
      <c r="I678">
        <v>0</v>
      </c>
      <c r="J678">
        <f>DropAnalityka[[#This Row],[Sell Drop]]+IF(DropAnalityka[[#This Row],[Drop]]="Scroll", 2000*DropAnalityka[[#This Row],[Quality/Quantity]],0)</f>
        <v>0</v>
      </c>
      <c r="K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9" spans="1:12">
      <c r="A679" t="s">
        <v>191</v>
      </c>
      <c r="B679" t="s">
        <v>9</v>
      </c>
      <c r="C679">
        <v>8</v>
      </c>
      <c r="D679">
        <v>3681</v>
      </c>
      <c r="E679">
        <v>1</v>
      </c>
      <c r="F679" t="s">
        <v>296</v>
      </c>
      <c r="G679" t="s">
        <v>27</v>
      </c>
      <c r="J679">
        <f>DropAnalityka[[#This Row],[Sell Drop]]+IF(DropAnalityka[[#This Row],[Drop]]="Scroll", 2000*DropAnalityka[[#This Row],[Quality/Quantity]],0)</f>
        <v>0</v>
      </c>
      <c r="K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0" spans="1:12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Drop]]+IF(DropAnalityka[[#This Row],[Drop]]="Scroll", 2000*DropAnalityka[[#This Row],[Quality/Quantity]],0)</f>
        <v>1824</v>
      </c>
      <c r="K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1" spans="1:12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Drop]]+IF(DropAnalityka[[#This Row],[Drop]]="Scroll", 2000*DropAnalityka[[#This Row],[Quality/Quantity]],0)</f>
        <v>1824</v>
      </c>
      <c r="K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2" spans="1:12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Drop]]+IF(DropAnalityka[[#This Row],[Drop]]="Scroll", 2000*DropAnalityka[[#This Row],[Quality/Quantity]],0)</f>
        <v>1824</v>
      </c>
      <c r="K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3" spans="1:12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Drop]]+IF(DropAnalityka[[#This Row],[Drop]]="Scroll", 2000*DropAnalityka[[#This Row],[Quality/Quantity]],0)</f>
        <v>1824</v>
      </c>
      <c r="K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4" spans="1:12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Drop]]+IF(DropAnalityka[[#This Row],[Drop]]="Scroll", 2000*DropAnalityka[[#This Row],[Quality/Quantity]],0)</f>
        <v>1824</v>
      </c>
      <c r="K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5" spans="1:12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Drop]]+IF(DropAnalityka[[#This Row],[Drop]]="Scroll", 2000*DropAnalityka[[#This Row],[Quality/Quantity]],0)</f>
        <v>2128</v>
      </c>
      <c r="K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6" spans="1:12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Drop]]+IF(DropAnalityka[[#This Row],[Drop]]="Scroll", 2000*DropAnalityka[[#This Row],[Quality/Quantity]],0)</f>
        <v>1824</v>
      </c>
      <c r="K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7" spans="1:12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Drop]]+IF(DropAnalityka[[#This Row],[Drop]]="Scroll", 2000*DropAnalityka[[#This Row],[Quality/Quantity]],0)</f>
        <v>1824</v>
      </c>
      <c r="K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8" spans="1:12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Drop]]+IF(DropAnalityka[[#This Row],[Drop]]="Scroll", 2000*DropAnalityka[[#This Row],[Quality/Quantity]],0)</f>
        <v>2937</v>
      </c>
      <c r="K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I689">
        <v>0</v>
      </c>
      <c r="J689">
        <f>DropAnalityka[[#This Row],[Sell Drop]]+IF(DropAnalityka[[#This Row],[Drop]]="Scroll", 2000*DropAnalityka[[#This Row],[Quality/Quantity]],0)</f>
        <v>8000</v>
      </c>
      <c r="K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288</v>
      </c>
      <c r="G690">
        <v>1</v>
      </c>
      <c r="H690" t="s">
        <v>310</v>
      </c>
      <c r="I690">
        <v>0</v>
      </c>
      <c r="J690">
        <f>DropAnalityka[[#This Row],[Sell Drop]]+IF(DropAnalityka[[#This Row],[Drop]]="Scroll", 2000*DropAnalityka[[#This Row],[Quality/Quantity]],0)</f>
        <v>0</v>
      </c>
      <c r="K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288</v>
      </c>
      <c r="G691">
        <v>1</v>
      </c>
      <c r="H691" t="s">
        <v>311</v>
      </c>
      <c r="I691">
        <v>0</v>
      </c>
      <c r="J691">
        <f>DropAnalityka[[#This Row],[Sell Drop]]+IF(DropAnalityka[[#This Row],[Drop]]="Scroll", 2000*DropAnalityka[[#This Row],[Quality/Quantity]],0)</f>
        <v>0</v>
      </c>
      <c r="K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288</v>
      </c>
      <c r="G692">
        <v>1</v>
      </c>
      <c r="H692" t="s">
        <v>310</v>
      </c>
      <c r="I692">
        <v>0</v>
      </c>
      <c r="J692">
        <f>DropAnalityka[[#This Row],[Sell Drop]]+IF(DropAnalityka[[#This Row],[Drop]]="Scroll", 2000*DropAnalityka[[#This Row],[Quality/Quantity]],0)</f>
        <v>0</v>
      </c>
      <c r="K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286</v>
      </c>
      <c r="G693">
        <v>1</v>
      </c>
      <c r="H693" t="s">
        <v>310</v>
      </c>
      <c r="I693">
        <v>0</v>
      </c>
      <c r="J693">
        <f>DropAnalityka[[#This Row],[Sell Drop]]+IF(DropAnalityka[[#This Row],[Drop]]="Scroll", 2000*DropAnalityka[[#This Row],[Quality/Quantity]],0)</f>
        <v>0</v>
      </c>
      <c r="K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288</v>
      </c>
      <c r="G694">
        <v>4</v>
      </c>
      <c r="H694" t="s">
        <v>309</v>
      </c>
      <c r="I694">
        <v>0</v>
      </c>
      <c r="J694">
        <f>DropAnalityka[[#This Row],[Sell Drop]]+IF(DropAnalityka[[#This Row],[Drop]]="Scroll", 2000*DropAnalityka[[#This Row],[Quality/Quantity]],0)</f>
        <v>0</v>
      </c>
      <c r="K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311</v>
      </c>
      <c r="I695">
        <v>0</v>
      </c>
      <c r="J695">
        <f>DropAnalityka[[#This Row],[Sell Drop]]+IF(DropAnalityka[[#This Row],[Drop]]="Scroll", 2000*DropAnalityka[[#This Row],[Quality/Quantity]],0)</f>
        <v>0</v>
      </c>
      <c r="K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288</v>
      </c>
      <c r="G696">
        <v>1</v>
      </c>
      <c r="H696" t="s">
        <v>310</v>
      </c>
      <c r="I696">
        <v>0</v>
      </c>
      <c r="J696">
        <f>DropAnalityka[[#This Row],[Sell Drop]]+IF(DropAnalityka[[#This Row],[Drop]]="Scroll", 2000*DropAnalityka[[#This Row],[Quality/Quantity]],0)</f>
        <v>0</v>
      </c>
      <c r="K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288</v>
      </c>
      <c r="G697">
        <v>5</v>
      </c>
      <c r="H697" t="s">
        <v>309</v>
      </c>
      <c r="I697">
        <v>0</v>
      </c>
      <c r="J697">
        <f>DropAnalityka[[#This Row],[Sell Drop]]+IF(DropAnalityka[[#This Row],[Drop]]="Scroll", 2000*DropAnalityka[[#This Row],[Quality/Quantity]],0)</f>
        <v>0</v>
      </c>
      <c r="K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288</v>
      </c>
      <c r="G698">
        <v>1</v>
      </c>
      <c r="H698" t="s">
        <v>311</v>
      </c>
      <c r="I698">
        <v>0</v>
      </c>
      <c r="J698">
        <f>DropAnalityka[[#This Row],[Sell Drop]]+IF(DropAnalityka[[#This Row],[Drop]]="Scroll", 2000*DropAnalityka[[#This Row],[Quality/Quantity]],0)</f>
        <v>0</v>
      </c>
      <c r="K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288</v>
      </c>
      <c r="G699">
        <v>3</v>
      </c>
      <c r="H699" t="s">
        <v>309</v>
      </c>
      <c r="I699">
        <v>0</v>
      </c>
      <c r="J699">
        <f>DropAnalityka[[#This Row],[Sell Drop]]+IF(DropAnalityka[[#This Row],[Drop]]="Scroll", 2000*DropAnalityka[[#This Row],[Quality/Quantity]],0)</f>
        <v>0</v>
      </c>
      <c r="K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I700">
        <v>0</v>
      </c>
      <c r="J700">
        <f>DropAnalityka[[#This Row],[Sell Drop]]+IF(DropAnalityka[[#This Row],[Drop]]="Scroll", 2000*DropAnalityka[[#This Row],[Quality/Quantity]],0)</f>
        <v>8000</v>
      </c>
      <c r="K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288</v>
      </c>
      <c r="G701">
        <v>5</v>
      </c>
      <c r="H701" t="s">
        <v>309</v>
      </c>
      <c r="I701">
        <v>0</v>
      </c>
      <c r="J701">
        <f>DropAnalityka[[#This Row],[Sell Drop]]+IF(DropAnalityka[[#This Row],[Drop]]="Scroll", 2000*DropAnalityka[[#This Row],[Quality/Quantity]],0)</f>
        <v>0</v>
      </c>
      <c r="K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288</v>
      </c>
      <c r="G702">
        <v>1</v>
      </c>
      <c r="H702" t="s">
        <v>310</v>
      </c>
      <c r="I702">
        <v>0</v>
      </c>
      <c r="J702">
        <f>DropAnalityka[[#This Row],[Sell Drop]]+IF(DropAnalityka[[#This Row],[Drop]]="Scroll", 2000*DropAnalityka[[#This Row],[Quality/Quantity]],0)</f>
        <v>0</v>
      </c>
      <c r="K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288</v>
      </c>
      <c r="G703">
        <v>1</v>
      </c>
      <c r="H703" t="s">
        <v>311</v>
      </c>
      <c r="I703">
        <v>0</v>
      </c>
      <c r="J703">
        <f>DropAnalityka[[#This Row],[Sell Drop]]+IF(DropAnalityka[[#This Row],[Drop]]="Scroll", 2000*DropAnalityka[[#This Row],[Quality/Quantity]],0)</f>
        <v>0</v>
      </c>
      <c r="K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288</v>
      </c>
      <c r="G704">
        <v>1</v>
      </c>
      <c r="H704" t="s">
        <v>310</v>
      </c>
      <c r="I704">
        <v>0</v>
      </c>
      <c r="J704">
        <f>DropAnalityka[[#This Row],[Sell Drop]]+IF(DropAnalityka[[#This Row],[Drop]]="Scroll", 2000*DropAnalityka[[#This Row],[Quality/Quantity]],0)</f>
        <v>0</v>
      </c>
      <c r="K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I705">
        <v>0</v>
      </c>
      <c r="J705">
        <f>DropAnalityka[[#This Row],[Sell Drop]]+IF(DropAnalityka[[#This Row],[Drop]]="Scroll", 2000*DropAnalityka[[#This Row],[Quality/Quantity]],0)</f>
        <v>8000</v>
      </c>
      <c r="K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288</v>
      </c>
      <c r="G706">
        <v>3</v>
      </c>
      <c r="H706" t="s">
        <v>309</v>
      </c>
      <c r="I706">
        <v>0</v>
      </c>
      <c r="J706">
        <f>DropAnalityka[[#This Row],[Sell Drop]]+IF(DropAnalityka[[#This Row],[Drop]]="Scroll", 2000*DropAnalityka[[#This Row],[Quality/Quantity]],0)</f>
        <v>0</v>
      </c>
      <c r="K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288</v>
      </c>
      <c r="G707">
        <v>4</v>
      </c>
      <c r="H707" t="s">
        <v>309</v>
      </c>
      <c r="I707">
        <v>0</v>
      </c>
      <c r="J707">
        <f>DropAnalityka[[#This Row],[Sell Drop]]+IF(DropAnalityka[[#This Row],[Drop]]="Scroll", 2000*DropAnalityka[[#This Row],[Quality/Quantity]],0)</f>
        <v>0</v>
      </c>
      <c r="K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8" spans="1:12">
      <c r="A708" t="s">
        <v>192</v>
      </c>
      <c r="B708" t="s">
        <v>9</v>
      </c>
      <c r="C708">
        <v>7</v>
      </c>
      <c r="D708">
        <v>2217</v>
      </c>
      <c r="E708">
        <v>0</v>
      </c>
      <c r="F708" t="s">
        <v>287</v>
      </c>
      <c r="G708">
        <v>2</v>
      </c>
      <c r="H708" t="s">
        <v>310</v>
      </c>
      <c r="I708">
        <v>0</v>
      </c>
      <c r="J708">
        <f>DropAnalityka[[#This Row],[Sell Drop]]+IF(DropAnalityka[[#This Row],[Drop]]="Scroll", 2000*DropAnalityka[[#This Row],[Quality/Quantity]],0)</f>
        <v>0</v>
      </c>
      <c r="K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9" spans="1:12">
      <c r="A709" t="s">
        <v>192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I709">
        <v>0</v>
      </c>
      <c r="J709">
        <f>DropAnalityka[[#This Row],[Sell Drop]]+IF(DropAnalityka[[#This Row],[Drop]]="Scroll", 2000*DropAnalityka[[#This Row],[Quality/Quantity]],0)</f>
        <v>10000</v>
      </c>
      <c r="K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0" spans="1:12">
      <c r="A710" t="s">
        <v>192</v>
      </c>
      <c r="B710" t="s">
        <v>9</v>
      </c>
      <c r="C710">
        <v>8</v>
      </c>
      <c r="D710">
        <v>2286</v>
      </c>
      <c r="E710">
        <v>0</v>
      </c>
      <c r="F710" t="s">
        <v>287</v>
      </c>
      <c r="G710">
        <v>2</v>
      </c>
      <c r="H710" t="s">
        <v>310</v>
      </c>
      <c r="I710">
        <v>0</v>
      </c>
      <c r="J710">
        <f>DropAnalityka[[#This Row],[Sell Drop]]+IF(DropAnalityka[[#This Row],[Drop]]="Scroll", 2000*DropAnalityka[[#This Row],[Quality/Quantity]],0)</f>
        <v>0</v>
      </c>
      <c r="K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1" spans="1:12">
      <c r="A711" t="s">
        <v>192</v>
      </c>
      <c r="B711" t="s">
        <v>9</v>
      </c>
      <c r="C711">
        <v>8</v>
      </c>
      <c r="D711">
        <v>2828</v>
      </c>
      <c r="E711">
        <v>0</v>
      </c>
      <c r="F711" t="s">
        <v>287</v>
      </c>
      <c r="G711">
        <v>1</v>
      </c>
      <c r="H711" t="s">
        <v>310</v>
      </c>
      <c r="I711">
        <v>0</v>
      </c>
      <c r="J711">
        <f>DropAnalityka[[#This Row],[Sell Drop]]+IF(DropAnalityka[[#This Row],[Drop]]="Scroll", 2000*DropAnalityka[[#This Row],[Quality/Quantity]],0)</f>
        <v>0</v>
      </c>
      <c r="K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2" spans="1:12">
      <c r="A712" t="s">
        <v>192</v>
      </c>
      <c r="B712" t="s">
        <v>9</v>
      </c>
      <c r="C712">
        <v>9</v>
      </c>
      <c r="D712">
        <v>2917</v>
      </c>
      <c r="E712">
        <v>2</v>
      </c>
      <c r="F712" t="s">
        <v>287</v>
      </c>
      <c r="G712">
        <v>3</v>
      </c>
      <c r="H712" t="s">
        <v>310</v>
      </c>
      <c r="I712">
        <v>0</v>
      </c>
      <c r="J712">
        <f>DropAnalityka[[#This Row],[Sell Drop]]+IF(DropAnalityka[[#This Row],[Drop]]="Scroll", 2000*DropAnalityka[[#This Row],[Quality/Quantity]],0)</f>
        <v>0</v>
      </c>
      <c r="K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3" spans="1:12">
      <c r="A713" t="s">
        <v>192</v>
      </c>
      <c r="B713" t="s">
        <v>9</v>
      </c>
      <c r="C713">
        <v>10</v>
      </c>
      <c r="D713">
        <v>2771</v>
      </c>
      <c r="E713">
        <v>0</v>
      </c>
      <c r="F713" t="s">
        <v>287</v>
      </c>
      <c r="G713">
        <v>1</v>
      </c>
      <c r="H713" t="s">
        <v>310</v>
      </c>
      <c r="I713">
        <v>0</v>
      </c>
      <c r="J713">
        <f>DropAnalityka[[#This Row],[Sell Drop]]+IF(DropAnalityka[[#This Row],[Drop]]="Scroll", 2000*DropAnalityka[[#This Row],[Quality/Quantity]],0)</f>
        <v>0</v>
      </c>
      <c r="K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4" spans="1:12">
      <c r="A714" t="s">
        <v>192</v>
      </c>
      <c r="B714" t="s">
        <v>9</v>
      </c>
      <c r="C714">
        <v>10</v>
      </c>
      <c r="D714">
        <v>3158</v>
      </c>
      <c r="E714">
        <v>1</v>
      </c>
      <c r="F714" t="s">
        <v>287</v>
      </c>
      <c r="G714">
        <v>3</v>
      </c>
      <c r="H714" t="s">
        <v>311</v>
      </c>
      <c r="I714">
        <v>0</v>
      </c>
      <c r="J714">
        <f>DropAnalityka[[#This Row],[Sell Drop]]+IF(DropAnalityka[[#This Row],[Drop]]="Scroll", 2000*DropAnalityka[[#This Row],[Quality/Quantity]],0)</f>
        <v>0</v>
      </c>
      <c r="K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5" spans="1:12">
      <c r="A715" t="s">
        <v>192</v>
      </c>
      <c r="B715" t="s">
        <v>9</v>
      </c>
      <c r="C715">
        <v>10</v>
      </c>
      <c r="D715">
        <v>3080</v>
      </c>
      <c r="E715">
        <v>0</v>
      </c>
      <c r="F715" t="s">
        <v>287</v>
      </c>
      <c r="G715">
        <v>5</v>
      </c>
      <c r="H715" t="s">
        <v>309</v>
      </c>
      <c r="I715">
        <v>0</v>
      </c>
      <c r="J715">
        <f>DropAnalityka[[#This Row],[Sell Drop]]+IF(DropAnalityka[[#This Row],[Drop]]="Scroll", 2000*DropAnalityka[[#This Row],[Quality/Quantity]],0)</f>
        <v>0</v>
      </c>
      <c r="K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6" spans="1:12">
      <c r="A716" t="s">
        <v>192</v>
      </c>
      <c r="B716" t="s">
        <v>9</v>
      </c>
      <c r="C716">
        <v>10</v>
      </c>
      <c r="D716">
        <v>3091</v>
      </c>
      <c r="E716">
        <v>2</v>
      </c>
      <c r="F716" t="s">
        <v>287</v>
      </c>
      <c r="G716">
        <v>5</v>
      </c>
      <c r="H716" t="s">
        <v>309</v>
      </c>
      <c r="I716">
        <v>0</v>
      </c>
      <c r="J716">
        <f>DropAnalityka[[#This Row],[Sell Drop]]+IF(DropAnalityka[[#This Row],[Drop]]="Scroll", 2000*DropAnalityka[[#This Row],[Quality/Quantity]],0)</f>
        <v>0</v>
      </c>
      <c r="K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288</v>
      </c>
      <c r="G717">
        <v>2</v>
      </c>
      <c r="H717" t="s">
        <v>311</v>
      </c>
      <c r="I717">
        <v>0</v>
      </c>
      <c r="J717">
        <f>DropAnalityka[[#This Row],[Sell Drop]]+IF(DropAnalityka[[#This Row],[Drop]]="Scroll", 2000*DropAnalityka[[#This Row],[Quality/Quantity]],0)</f>
        <v>0</v>
      </c>
      <c r="K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288</v>
      </c>
      <c r="G718">
        <v>1</v>
      </c>
      <c r="H718" t="s">
        <v>310</v>
      </c>
      <c r="I718">
        <v>0</v>
      </c>
      <c r="J718">
        <f>DropAnalityka[[#This Row],[Sell Drop]]+IF(DropAnalityka[[#This Row],[Drop]]="Scroll", 2000*DropAnalityka[[#This Row],[Quality/Quantity]],0)</f>
        <v>0</v>
      </c>
      <c r="K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288</v>
      </c>
      <c r="G719">
        <v>5</v>
      </c>
      <c r="H719" t="s">
        <v>309</v>
      </c>
      <c r="I719">
        <v>0</v>
      </c>
      <c r="J719">
        <f>DropAnalityka[[#This Row],[Sell Drop]]+IF(DropAnalityka[[#This Row],[Drop]]="Scroll", 2000*DropAnalityka[[#This Row],[Quality/Quantity]],0)</f>
        <v>0</v>
      </c>
      <c r="K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288</v>
      </c>
      <c r="G720">
        <v>5</v>
      </c>
      <c r="H720" t="s">
        <v>309</v>
      </c>
      <c r="I720">
        <v>0</v>
      </c>
      <c r="J720">
        <f>DropAnalityka[[#This Row],[Sell Drop]]+IF(DropAnalityka[[#This Row],[Drop]]="Scroll", 2000*DropAnalityka[[#This Row],[Quality/Quantity]],0)</f>
        <v>0</v>
      </c>
      <c r="K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288</v>
      </c>
      <c r="G721">
        <v>1</v>
      </c>
      <c r="H721" t="s">
        <v>310</v>
      </c>
      <c r="I721">
        <v>0</v>
      </c>
      <c r="J721">
        <f>DropAnalityka[[#This Row],[Sell Drop]]+IF(DropAnalityka[[#This Row],[Drop]]="Scroll", 2000*DropAnalityka[[#This Row],[Quality/Quantity]],0)</f>
        <v>0</v>
      </c>
      <c r="K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288</v>
      </c>
      <c r="G722">
        <v>5</v>
      </c>
      <c r="H722" t="s">
        <v>309</v>
      </c>
      <c r="I722">
        <v>0</v>
      </c>
      <c r="J722">
        <f>DropAnalityka[[#This Row],[Sell Drop]]+IF(DropAnalityka[[#This Row],[Drop]]="Scroll", 2000*DropAnalityka[[#This Row],[Quality/Quantity]],0)</f>
        <v>0</v>
      </c>
      <c r="K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288</v>
      </c>
      <c r="G723">
        <v>2</v>
      </c>
      <c r="H723" t="s">
        <v>310</v>
      </c>
      <c r="I723">
        <v>0</v>
      </c>
      <c r="J723">
        <f>DropAnalityka[[#This Row],[Sell Drop]]+IF(DropAnalityka[[#This Row],[Drop]]="Scroll", 2000*DropAnalityka[[#This Row],[Quality/Quantity]],0)</f>
        <v>0</v>
      </c>
      <c r="K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288</v>
      </c>
      <c r="G724">
        <v>3</v>
      </c>
      <c r="H724" t="s">
        <v>309</v>
      </c>
      <c r="I724">
        <v>0</v>
      </c>
      <c r="J724">
        <f>DropAnalityka[[#This Row],[Sell Drop]]+IF(DropAnalityka[[#This Row],[Drop]]="Scroll", 2000*DropAnalityka[[#This Row],[Quality/Quantity]],0)</f>
        <v>0</v>
      </c>
      <c r="K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 t="s">
        <v>12</v>
      </c>
      <c r="I725">
        <v>0</v>
      </c>
      <c r="J725">
        <f>DropAnalityka[[#This Row],[Sell Drop]]+IF(DropAnalityka[[#This Row],[Drop]]="Scroll", 2000*DropAnalityka[[#This Row],[Quality/Quantity]],0)</f>
        <v>0</v>
      </c>
      <c r="K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26" spans="1:13">
      <c r="A726" t="s">
        <v>191</v>
      </c>
      <c r="B726" t="s">
        <v>9</v>
      </c>
      <c r="C726">
        <v>8</v>
      </c>
      <c r="D726">
        <v>3502</v>
      </c>
      <c r="E726">
        <v>1</v>
      </c>
      <c r="F726" t="s">
        <v>296</v>
      </c>
      <c r="G726" t="s">
        <v>28</v>
      </c>
      <c r="I726">
        <v>0</v>
      </c>
      <c r="J726">
        <f>DropAnalityka[[#This Row],[Sell Drop]]+IF(DropAnalityka[[#This Row],[Drop]]="Scroll", 2000*DropAnalityka[[#This Row],[Quality/Quantity]],0)</f>
        <v>0</v>
      </c>
      <c r="K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Drop]]+IF(DropAnalityka[[#This Row],[Drop]]="Scroll", 2000*DropAnalityka[[#This Row],[Quality/Quantity]],0)</f>
        <v>0</v>
      </c>
      <c r="K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727" t="s">
        <v>226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288</v>
      </c>
      <c r="G728">
        <v>1</v>
      </c>
      <c r="H728" t="s">
        <v>311</v>
      </c>
      <c r="I728">
        <v>0</v>
      </c>
      <c r="J728">
        <f>DropAnalityka[[#This Row],[Sell Drop]]+IF(DropAnalityka[[#This Row],[Drop]]="Scroll", 2000*DropAnalityka[[#This Row],[Quality/Quantity]],0)</f>
        <v>0</v>
      </c>
      <c r="K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 t="s">
        <v>12</v>
      </c>
      <c r="I729">
        <v>0</v>
      </c>
      <c r="J729">
        <f>DropAnalityka[[#This Row],[Sell Drop]]+IF(DropAnalityka[[#This Row],[Drop]]="Scroll", 2000*DropAnalityka[[#This Row],[Quality/Quantity]],0)</f>
        <v>0</v>
      </c>
      <c r="K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288</v>
      </c>
      <c r="G730">
        <v>3</v>
      </c>
      <c r="H730" t="s">
        <v>310</v>
      </c>
      <c r="I730">
        <v>0</v>
      </c>
      <c r="J730">
        <f>DropAnalityka[[#This Row],[Sell Drop]]+IF(DropAnalityka[[#This Row],[Drop]]="Scroll", 2000*DropAnalityka[[#This Row],[Quality/Quantity]],0)</f>
        <v>0</v>
      </c>
      <c r="K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285</v>
      </c>
      <c r="G731">
        <v>2</v>
      </c>
      <c r="H731" t="s">
        <v>310</v>
      </c>
      <c r="I731">
        <v>0</v>
      </c>
      <c r="J731">
        <f>DropAnalityka[[#This Row],[Sell Drop]]+IF(DropAnalityka[[#This Row],[Drop]]="Scroll", 2000*DropAnalityka[[#This Row],[Quality/Quantity]],0)</f>
        <v>0</v>
      </c>
      <c r="K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285</v>
      </c>
      <c r="G732">
        <v>4</v>
      </c>
      <c r="H732" t="s">
        <v>309</v>
      </c>
      <c r="I732">
        <v>0</v>
      </c>
      <c r="J732">
        <f>DropAnalityka[[#This Row],[Sell Drop]]+IF(DropAnalityka[[#This Row],[Drop]]="Scroll", 2000*DropAnalityka[[#This Row],[Quality/Quantity]],0)</f>
        <v>0</v>
      </c>
      <c r="K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288</v>
      </c>
      <c r="G733">
        <v>1</v>
      </c>
      <c r="H733" t="s">
        <v>311</v>
      </c>
      <c r="I733">
        <v>0</v>
      </c>
      <c r="J733">
        <f>DropAnalityka[[#This Row],[Sell Drop]]+IF(DropAnalityka[[#This Row],[Drop]]="Scroll", 2000*DropAnalityka[[#This Row],[Quality/Quantity]],0)</f>
        <v>0</v>
      </c>
      <c r="K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 t="s">
        <v>26</v>
      </c>
      <c r="I734">
        <v>0</v>
      </c>
      <c r="J734">
        <f>DropAnalityka[[#This Row],[Sell Drop]]+IF(DropAnalityka[[#This Row],[Drop]]="Scroll", 2000*DropAnalityka[[#This Row],[Quality/Quantity]],0)</f>
        <v>0</v>
      </c>
      <c r="K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Drop]]+IF(DropAnalityka[[#This Row],[Drop]]="Scroll", 2000*DropAnalityka[[#This Row],[Quality/Quantity]],0)</f>
        <v>1824</v>
      </c>
      <c r="K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Drop]]+IF(DropAnalityka[[#This Row],[Drop]]="Scroll", 2000*DropAnalityka[[#This Row],[Quality/Quantity]],0)</f>
        <v>1824</v>
      </c>
      <c r="K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Drop]]+IF(DropAnalityka[[#This Row],[Drop]]="Scroll", 2000*DropAnalityka[[#This Row],[Quality/Quantity]],0)</f>
        <v>1824</v>
      </c>
      <c r="K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I738">
        <v>0</v>
      </c>
      <c r="J738">
        <f>DropAnalityka[[#This Row],[Sell Drop]]+IF(DropAnalityka[[#This Row],[Drop]]="Scroll", 2000*DropAnalityka[[#This Row],[Quality/Quantity]],0)</f>
        <v>4000</v>
      </c>
      <c r="K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Drop]]+IF(DropAnalityka[[#This Row],[Drop]]="Scroll", 2000*DropAnalityka[[#This Row],[Quality/Quantity]],0)</f>
        <v>2937</v>
      </c>
      <c r="K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Drop]]+IF(DropAnalityka[[#This Row],[Drop]]="Scroll", 2000*DropAnalityka[[#This Row],[Quality/Quantity]],0)</f>
        <v>2937</v>
      </c>
      <c r="K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Drop]]+IF(DropAnalityka[[#This Row],[Drop]]="Scroll", 2000*DropAnalityka[[#This Row],[Quality/Quantity]],0)</f>
        <v>1824</v>
      </c>
      <c r="K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Drop]]+IF(DropAnalityka[[#This Row],[Drop]]="Scroll", 2000*DropAnalityka[[#This Row],[Quality/Quantity]],0)</f>
        <v>2937</v>
      </c>
      <c r="K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Drop]]+IF(DropAnalityka[[#This Row],[Drop]]="Scroll", 2000*DropAnalityka[[#This Row],[Quality/Quantity]],0)</f>
        <v>1824</v>
      </c>
      <c r="K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4" spans="1:13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Drop]]+IF(DropAnalityka[[#This Row],[Drop]]="Scroll", 2000*DropAnalityka[[#This Row],[Quality/Quantity]],0)</f>
        <v>1824</v>
      </c>
      <c r="K7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5" spans="1:13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 t="s">
        <v>12</v>
      </c>
      <c r="J745">
        <f>DropAnalityka[[#This Row],[Sell Drop]]+IF(DropAnalityka[[#This Row],[Drop]]="Scroll", 2000*DropAnalityka[[#This Row],[Quality/Quantity]],0)</f>
        <v>0</v>
      </c>
      <c r="K7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46" spans="1:13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 t="s">
        <v>12</v>
      </c>
      <c r="J746">
        <f>DropAnalityka[[#This Row],[Sell Drop]]+IF(DropAnalityka[[#This Row],[Drop]]="Scroll", 2000*DropAnalityka[[#This Row],[Quality/Quantity]],0)</f>
        <v>0</v>
      </c>
      <c r="K7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747" spans="1:13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Drop]]+IF(DropAnalityka[[#This Row],[Drop]]="Scroll", 2000*DropAnalityka[[#This Row],[Quality/Quantity]],0)</f>
        <v>2937</v>
      </c>
      <c r="K7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8" spans="1:13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Drop]]+IF(DropAnalityka[[#This Row],[Drop]]="Scroll", 2000*DropAnalityka[[#This Row],[Quality/Quantity]],0)</f>
        <v>2280</v>
      </c>
      <c r="K7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9" spans="1:13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Drop]]+IF(DropAnalityka[[#This Row],[Drop]]="Scroll", 2000*DropAnalityka[[#This Row],[Quality/Quantity]],0)</f>
        <v>2937</v>
      </c>
      <c r="K7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0" spans="1:13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Drop]]+IF(DropAnalityka[[#This Row],[Drop]]="Scroll", 2000*DropAnalityka[[#This Row],[Quality/Quantity]],0)</f>
        <v>1824</v>
      </c>
      <c r="K7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1" spans="1:13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Drop]]+IF(DropAnalityka[[#This Row],[Drop]]="Scroll", 2000*DropAnalityka[[#This Row],[Quality/Quantity]],0)</f>
        <v>1824</v>
      </c>
      <c r="K7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2" spans="1:13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Drop]]+IF(DropAnalityka[[#This Row],[Drop]]="Scroll", 2000*DropAnalityka[[#This Row],[Quality/Quantity]],0)</f>
        <v>2937</v>
      </c>
      <c r="K752" s="87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2" s="87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Drop]]+IF(DropAnalityka[[#This Row],[Drop]]="Scroll", 2000*DropAnalityka[[#This Row],[Quality/Quantity]],0)</f>
        <v>1824</v>
      </c>
      <c r="K7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Drop]]+IF(DropAnalityka[[#This Row],[Drop]]="Scroll", 2000*DropAnalityka[[#This Row],[Quality/Quantity]],0)</f>
        <v>2937</v>
      </c>
      <c r="K7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5" spans="1:13">
      <c r="A755" t="s">
        <v>191</v>
      </c>
      <c r="B755" t="s">
        <v>9</v>
      </c>
      <c r="C755">
        <v>8</v>
      </c>
      <c r="D755">
        <v>3665</v>
      </c>
      <c r="E755">
        <v>1</v>
      </c>
      <c r="F755" t="s">
        <v>296</v>
      </c>
      <c r="G755" t="s">
        <v>27</v>
      </c>
      <c r="I755">
        <v>3307</v>
      </c>
      <c r="J755">
        <f>DropAnalityka[[#This Row],[Sell Drop]]+IF(DropAnalityka[[#This Row],[Drop]]="Scroll", 2000*DropAnalityka[[#This Row],[Quality/Quantity]],0)</f>
        <v>3307</v>
      </c>
      <c r="K7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288</v>
      </c>
      <c r="G756">
        <v>1</v>
      </c>
      <c r="H756" t="s">
        <v>310</v>
      </c>
      <c r="I756">
        <v>0</v>
      </c>
      <c r="J756">
        <f>DropAnalityka[[#This Row],[Sell Drop]]+IF(DropAnalityka[[#This Row],[Drop]]="Scroll", 2000*DropAnalityka[[#This Row],[Quality/Quantity]],0)</f>
        <v>0</v>
      </c>
      <c r="K7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288</v>
      </c>
      <c r="G757">
        <v>2</v>
      </c>
      <c r="H757" t="s">
        <v>310</v>
      </c>
      <c r="I757">
        <v>0</v>
      </c>
      <c r="J757">
        <f>DropAnalityka[[#This Row],[Sell Drop]]+IF(DropAnalityka[[#This Row],[Drop]]="Scroll", 2000*DropAnalityka[[#This Row],[Quality/Quantity]],0)</f>
        <v>0</v>
      </c>
      <c r="K7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288</v>
      </c>
      <c r="G758">
        <v>4</v>
      </c>
      <c r="H758" t="s">
        <v>309</v>
      </c>
      <c r="I758">
        <v>0</v>
      </c>
      <c r="J758">
        <f>DropAnalityka[[#This Row],[Sell Drop]]+IF(DropAnalityka[[#This Row],[Drop]]="Scroll", 2000*DropAnalityka[[#This Row],[Quality/Quantity]],0)</f>
        <v>0</v>
      </c>
      <c r="K7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288</v>
      </c>
      <c r="G759">
        <v>1</v>
      </c>
      <c r="H759" t="s">
        <v>311</v>
      </c>
      <c r="I759">
        <v>0</v>
      </c>
      <c r="J759">
        <f>DropAnalityka[[#This Row],[Sell Drop]]+IF(DropAnalityka[[#This Row],[Drop]]="Scroll", 2000*DropAnalityka[[#This Row],[Quality/Quantity]],0)</f>
        <v>0</v>
      </c>
      <c r="K7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I760">
        <v>0</v>
      </c>
      <c r="J760">
        <f>DropAnalityka[[#This Row],[Sell Drop]]+IF(DropAnalityka[[#This Row],[Drop]]="Scroll", 2000*DropAnalityka[[#This Row],[Quality/Quantity]],0)</f>
        <v>8000</v>
      </c>
      <c r="K7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1" spans="1:13">
      <c r="A761" t="s">
        <v>300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I761">
        <v>0</v>
      </c>
      <c r="J761">
        <f>DropAnalityka[[#This Row],[Sell Drop]]+IF(DropAnalityka[[#This Row],[Drop]]="Scroll", 2000*DropAnalityka[[#This Row],[Quality/Quantity]],0)</f>
        <v>8000</v>
      </c>
      <c r="K7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2" spans="1:13">
      <c r="A762" t="s">
        <v>300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309</v>
      </c>
      <c r="I762">
        <v>0</v>
      </c>
      <c r="J762">
        <f>DropAnalityka[[#This Row],[Sell Drop]]+IF(DropAnalityka[[#This Row],[Drop]]="Scroll", 2000*DropAnalityka[[#This Row],[Quality/Quantity]],0)</f>
        <v>0</v>
      </c>
      <c r="K7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3" spans="1:13">
      <c r="A763" t="s">
        <v>300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310</v>
      </c>
      <c r="I763">
        <v>0</v>
      </c>
      <c r="J763">
        <f>DropAnalityka[[#This Row],[Sell Drop]]+IF(DropAnalityka[[#This Row],[Drop]]="Scroll", 2000*DropAnalityka[[#This Row],[Quality/Quantity]],0)</f>
        <v>0</v>
      </c>
      <c r="K7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4" spans="1:13">
      <c r="A764" t="s">
        <v>300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Drop]]+IF(DropAnalityka[[#This Row],[Drop]]="Scroll", 2000*DropAnalityka[[#This Row],[Quality/Quantity]],0)</f>
        <v>0</v>
      </c>
      <c r="K7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5" spans="1:13">
      <c r="A765" t="s">
        <v>300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 t="s">
        <v>12</v>
      </c>
      <c r="I765">
        <v>0</v>
      </c>
      <c r="J765">
        <f>DropAnalityka[[#This Row],[Sell Drop]]+IF(DropAnalityka[[#This Row],[Drop]]="Scroll", 2000*DropAnalityka[[#This Row],[Quality/Quantity]],0)</f>
        <v>0</v>
      </c>
      <c r="K7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66" spans="1:13">
      <c r="A766" t="s">
        <v>300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310</v>
      </c>
      <c r="I766">
        <v>0</v>
      </c>
      <c r="J766">
        <f>DropAnalityka[[#This Row],[Sell Drop]]+IF(DropAnalityka[[#This Row],[Drop]]="Scroll", 2000*DropAnalityka[[#This Row],[Quality/Quantity]],0)</f>
        <v>0</v>
      </c>
      <c r="K7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7" spans="1:13">
      <c r="A767" t="s">
        <v>300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Drop]]+IF(DropAnalityka[[#This Row],[Drop]]="Scroll", 2000*DropAnalityka[[#This Row],[Quality/Quantity]],0)</f>
        <v>0</v>
      </c>
      <c r="K7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767" t="s">
        <v>226</v>
      </c>
    </row>
    <row r="768" spans="1:13">
      <c r="A768" t="s">
        <v>300</v>
      </c>
      <c r="B768" t="s">
        <v>9</v>
      </c>
      <c r="C768">
        <v>9</v>
      </c>
      <c r="D768">
        <v>2875</v>
      </c>
      <c r="E768">
        <v>0</v>
      </c>
      <c r="F768" t="s">
        <v>229</v>
      </c>
      <c r="G768" t="s">
        <v>17</v>
      </c>
      <c r="I768">
        <v>0</v>
      </c>
      <c r="J768">
        <f>DropAnalityka[[#This Row],[Sell Drop]]+IF(DropAnalityka[[#This Row],[Drop]]="Scroll", 2000*DropAnalityka[[#This Row],[Quality/Quantity]],0)</f>
        <v>0</v>
      </c>
      <c r="K7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9" spans="1:12">
      <c r="A769" t="s">
        <v>300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311</v>
      </c>
      <c r="I769">
        <v>0</v>
      </c>
      <c r="J769">
        <f>DropAnalityka[[#This Row],[Sell Drop]]+IF(DropAnalityka[[#This Row],[Drop]]="Scroll", 2000*DropAnalityka[[#This Row],[Quality/Quantity]],0)</f>
        <v>0</v>
      </c>
      <c r="K7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0" spans="1:12">
      <c r="A770" t="s">
        <v>300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310</v>
      </c>
      <c r="I770">
        <v>0</v>
      </c>
      <c r="J770">
        <f>DropAnalityka[[#This Row],[Sell Drop]]+IF(DropAnalityka[[#This Row],[Drop]]="Scroll", 2000*DropAnalityka[[#This Row],[Quality/Quantity]],0)</f>
        <v>0</v>
      </c>
      <c r="K7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1" spans="1:12">
      <c r="A771" t="s">
        <v>300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310</v>
      </c>
      <c r="I771">
        <v>0</v>
      </c>
      <c r="J771">
        <f>DropAnalityka[[#This Row],[Sell Drop]]+IF(DropAnalityka[[#This Row],[Drop]]="Scroll", 2000*DropAnalityka[[#This Row],[Quality/Quantity]],0)</f>
        <v>0</v>
      </c>
      <c r="K7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2" spans="1:12">
      <c r="A772" t="s">
        <v>300</v>
      </c>
      <c r="B772" t="s">
        <v>9</v>
      </c>
      <c r="C772">
        <v>9</v>
      </c>
      <c r="D772">
        <v>2758</v>
      </c>
      <c r="E772">
        <v>0</v>
      </c>
      <c r="F772" t="s">
        <v>302</v>
      </c>
      <c r="G772">
        <v>3</v>
      </c>
      <c r="I772">
        <v>0</v>
      </c>
      <c r="J772">
        <f>DropAnalityka[[#This Row],[Sell Drop]]+IF(DropAnalityka[[#This Row],[Drop]]="Scroll", 2000*DropAnalityka[[#This Row],[Quality/Quantity]],0)</f>
        <v>0</v>
      </c>
      <c r="K7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3" spans="1:12">
      <c r="A773" t="s">
        <v>300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310</v>
      </c>
      <c r="I773">
        <v>0</v>
      </c>
      <c r="J773">
        <f>DropAnalityka[[#This Row],[Sell Drop]]+IF(DropAnalityka[[#This Row],[Drop]]="Scroll", 2000*DropAnalityka[[#This Row],[Quality/Quantity]],0)</f>
        <v>0</v>
      </c>
      <c r="K7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4" spans="1:12">
      <c r="A774" t="s">
        <v>300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310</v>
      </c>
      <c r="I774">
        <v>0</v>
      </c>
      <c r="J774">
        <f>DropAnalityka[[#This Row],[Sell Drop]]+IF(DropAnalityka[[#This Row],[Drop]]="Scroll", 2000*DropAnalityka[[#This Row],[Quality/Quantity]],0)</f>
        <v>0</v>
      </c>
      <c r="K7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5" spans="1:12">
      <c r="A775" t="s">
        <v>300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311</v>
      </c>
      <c r="I775">
        <v>0</v>
      </c>
      <c r="J775">
        <f>DropAnalityka[[#This Row],[Sell Drop]]+IF(DropAnalityka[[#This Row],[Drop]]="Scroll", 2000*DropAnalityka[[#This Row],[Quality/Quantity]],0)</f>
        <v>0</v>
      </c>
      <c r="K7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6" spans="1:12">
      <c r="A776" t="s">
        <v>300</v>
      </c>
      <c r="B776" t="s">
        <v>9</v>
      </c>
      <c r="C776">
        <v>9</v>
      </c>
      <c r="D776">
        <v>2516</v>
      </c>
      <c r="E776">
        <v>1</v>
      </c>
      <c r="F776" t="s">
        <v>302</v>
      </c>
      <c r="G776">
        <v>1</v>
      </c>
      <c r="I776">
        <v>0</v>
      </c>
      <c r="J776">
        <f>DropAnalityka[[#This Row],[Sell Drop]]+IF(DropAnalityka[[#This Row],[Drop]]="Scroll", 2000*DropAnalityka[[#This Row],[Quality/Quantity]],0)</f>
        <v>0</v>
      </c>
      <c r="K7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7" spans="1:12">
      <c r="A777" t="s">
        <v>300</v>
      </c>
      <c r="B777" t="s">
        <v>9</v>
      </c>
      <c r="C777">
        <v>9</v>
      </c>
      <c r="D777">
        <v>2850</v>
      </c>
      <c r="E777">
        <v>2</v>
      </c>
      <c r="F777" t="s">
        <v>301</v>
      </c>
      <c r="G777">
        <v>3</v>
      </c>
      <c r="H777" t="s">
        <v>309</v>
      </c>
      <c r="I777">
        <v>0</v>
      </c>
      <c r="J777">
        <f>DropAnalityka[[#This Row],[Sell Drop]]+IF(DropAnalityka[[#This Row],[Drop]]="Scroll", 2000*DropAnalityka[[#This Row],[Quality/Quantity]],0)</f>
        <v>0</v>
      </c>
      <c r="K7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288</v>
      </c>
      <c r="G778">
        <v>3</v>
      </c>
      <c r="H778" t="s">
        <v>310</v>
      </c>
      <c r="I778">
        <v>0</v>
      </c>
      <c r="J778">
        <f>DropAnalityka[[#This Row],[Sell Drop]]+IF(DropAnalityka[[#This Row],[Drop]]="Scroll", 2000*DropAnalityka[[#This Row],[Quality/Quantity]],0)</f>
        <v>0</v>
      </c>
      <c r="K7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9" spans="1:12">
      <c r="A779" t="s">
        <v>191</v>
      </c>
      <c r="B779" t="s">
        <v>9</v>
      </c>
      <c r="C779">
        <v>8</v>
      </c>
      <c r="D779">
        <v>3425</v>
      </c>
      <c r="E779">
        <v>0</v>
      </c>
      <c r="F779" t="s">
        <v>303</v>
      </c>
      <c r="G779" t="s">
        <v>27</v>
      </c>
      <c r="I779">
        <v>3445</v>
      </c>
      <c r="J779">
        <f>DropAnalityka[[#This Row],[Sell Drop]]+IF(DropAnalityka[[#This Row],[Drop]]="Scroll", 2000*DropAnalityka[[#This Row],[Quality/Quantity]],0)</f>
        <v>3445</v>
      </c>
      <c r="K7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0" spans="1:12">
      <c r="A780" t="s">
        <v>300</v>
      </c>
      <c r="B780" t="s">
        <v>9</v>
      </c>
      <c r="C780">
        <v>9</v>
      </c>
      <c r="D780">
        <v>2517</v>
      </c>
      <c r="E780">
        <v>0</v>
      </c>
      <c r="F780" t="s">
        <v>302</v>
      </c>
      <c r="G780">
        <v>2</v>
      </c>
      <c r="I780">
        <v>0</v>
      </c>
      <c r="J780">
        <f>DropAnalityka[[#This Row],[Sell Drop]]+IF(DropAnalityka[[#This Row],[Drop]]="Scroll", 2000*DropAnalityka[[#This Row],[Quality/Quantity]],0)</f>
        <v>0</v>
      </c>
      <c r="K7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1" spans="1:12">
      <c r="A781" t="s">
        <v>300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311</v>
      </c>
      <c r="I781">
        <v>0</v>
      </c>
      <c r="J781">
        <f>DropAnalityka[[#This Row],[Sell Drop]]+IF(DropAnalityka[[#This Row],[Drop]]="Scroll", 2000*DropAnalityka[[#This Row],[Quality/Quantity]],0)</f>
        <v>0</v>
      </c>
      <c r="K7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2" spans="1:12">
      <c r="A782" t="s">
        <v>300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 t="s">
        <v>12</v>
      </c>
      <c r="I782">
        <v>0</v>
      </c>
      <c r="J782">
        <f>DropAnalityka[[#This Row],[Sell Drop]]+IF(DropAnalityka[[#This Row],[Drop]]="Scroll", 2000*DropAnalityka[[#This Row],[Quality/Quantity]],0)</f>
        <v>0</v>
      </c>
      <c r="K7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83" spans="1:12">
      <c r="A783" t="s">
        <v>300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310</v>
      </c>
      <c r="I783">
        <v>0</v>
      </c>
      <c r="J783">
        <f>DropAnalityka[[#This Row],[Sell Drop]]+IF(DropAnalityka[[#This Row],[Drop]]="Scroll", 2000*DropAnalityka[[#This Row],[Quality/Quantity]],0)</f>
        <v>0</v>
      </c>
      <c r="K7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4" spans="1:12">
      <c r="A784" t="s">
        <v>300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310</v>
      </c>
      <c r="I784">
        <v>0</v>
      </c>
      <c r="J784">
        <f>DropAnalityka[[#This Row],[Sell Drop]]+IF(DropAnalityka[[#This Row],[Drop]]="Scroll", 2000*DropAnalityka[[#This Row],[Quality/Quantity]],0)</f>
        <v>0</v>
      </c>
      <c r="K7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5" spans="1:13">
      <c r="A785" t="s">
        <v>300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Drop]]+IF(DropAnalityka[[#This Row],[Drop]]="Scroll", 2000*DropAnalityka[[#This Row],[Quality/Quantity]],0)</f>
        <v>0</v>
      </c>
      <c r="K7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785" t="s">
        <v>226</v>
      </c>
    </row>
    <row r="786" spans="1:13">
      <c r="A786" t="s">
        <v>300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310</v>
      </c>
      <c r="I786">
        <v>0</v>
      </c>
      <c r="J786">
        <f>DropAnalityka[[#This Row],[Sell Drop]]+IF(DropAnalityka[[#This Row],[Drop]]="Scroll", 2000*DropAnalityka[[#This Row],[Quality/Quantity]],0)</f>
        <v>0</v>
      </c>
      <c r="K7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7" spans="1:13">
      <c r="A787" t="s">
        <v>300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310</v>
      </c>
      <c r="I787">
        <v>0</v>
      </c>
      <c r="J787">
        <f>DropAnalityka[[#This Row],[Sell Drop]]+IF(DropAnalityka[[#This Row],[Drop]]="Scroll", 2000*DropAnalityka[[#This Row],[Quality/Quantity]],0)</f>
        <v>0</v>
      </c>
      <c r="K7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8" spans="1:13">
      <c r="A788" t="s">
        <v>300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309</v>
      </c>
      <c r="I788">
        <v>0</v>
      </c>
      <c r="J788">
        <f>DropAnalityka[[#This Row],[Sell Drop]]+IF(DropAnalityka[[#This Row],[Drop]]="Scroll", 2000*DropAnalityka[[#This Row],[Quality/Quantity]],0)</f>
        <v>0</v>
      </c>
      <c r="K7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9" spans="1:13">
      <c r="A789" t="s">
        <v>300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309</v>
      </c>
      <c r="I789">
        <v>0</v>
      </c>
      <c r="J789">
        <f>DropAnalityka[[#This Row],[Sell Drop]]+IF(DropAnalityka[[#This Row],[Drop]]="Scroll", 2000*DropAnalityka[[#This Row],[Quality/Quantity]],0)</f>
        <v>0</v>
      </c>
      <c r="K7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0" spans="1:13">
      <c r="A790" t="s">
        <v>300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309</v>
      </c>
      <c r="I790">
        <v>0</v>
      </c>
      <c r="J790">
        <f>DropAnalityka[[#This Row],[Sell Drop]]+IF(DropAnalityka[[#This Row],[Drop]]="Scroll", 2000*DropAnalityka[[#This Row],[Quality/Quantity]],0)</f>
        <v>0</v>
      </c>
      <c r="K7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Drop]]+IF(DropAnalityka[[#This Row],[Drop]]="Scroll", 2000*DropAnalityka[[#This Row],[Quality/Quantity]],0)</f>
        <v>1824</v>
      </c>
      <c r="K7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Drop]]+IF(DropAnalityka[[#This Row],[Drop]]="Scroll", 2000*DropAnalityka[[#This Row],[Quality/Quantity]],0)</f>
        <v>2937</v>
      </c>
      <c r="K7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I793">
        <v>0</v>
      </c>
      <c r="J793">
        <f>DropAnalityka[[#This Row],[Sell Drop]]+IF(DropAnalityka[[#This Row],[Drop]]="Scroll", 2000*DropAnalityka[[#This Row],[Quality/Quantity]],0)</f>
        <v>4000</v>
      </c>
      <c r="K7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Drop]]+IF(DropAnalityka[[#This Row],[Drop]]="Scroll", 2000*DropAnalityka[[#This Row],[Quality/Quantity]],0)</f>
        <v>2128</v>
      </c>
      <c r="K7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Drop]]+IF(DropAnalityka[[#This Row],[Drop]]="Scroll", 2000*DropAnalityka[[#This Row],[Quality/Quantity]],0)</f>
        <v>1824</v>
      </c>
      <c r="K7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Drop]]+IF(DropAnalityka[[#This Row],[Drop]]="Scroll", 2000*DropAnalityka[[#This Row],[Quality/Quantity]],0)</f>
        <v>1824</v>
      </c>
      <c r="K7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Drop]]+IF(DropAnalityka[[#This Row],[Drop]]="Scroll", 2000*DropAnalityka[[#This Row],[Quality/Quantity]],0)</f>
        <v>0</v>
      </c>
      <c r="K7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302</v>
      </c>
      <c r="G798">
        <v>1</v>
      </c>
      <c r="I798">
        <v>0</v>
      </c>
      <c r="J798">
        <f>DropAnalityka[[#This Row],[Sell Drop]]+IF(DropAnalityka[[#This Row],[Drop]]="Scroll", 2000*DropAnalityka[[#This Row],[Quality/Quantity]],0)</f>
        <v>0</v>
      </c>
      <c r="K7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I799">
        <v>0</v>
      </c>
      <c r="J799">
        <f>DropAnalityka[[#This Row],[Sell Drop]]+IF(DropAnalityka[[#This Row],[Drop]]="Scroll", 2000*DropAnalityka[[#This Row],[Quality/Quantity]],0)</f>
        <v>4000</v>
      </c>
      <c r="K7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Drop]]+IF(DropAnalityka[[#This Row],[Drop]]="Scroll", 2000*DropAnalityka[[#This Row],[Quality/Quantity]],0)</f>
        <v>1824</v>
      </c>
      <c r="K8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J801">
        <f>DropAnalityka[[#This Row],[Sell Drop]]+IF(DropAnalityka[[#This Row],[Drop]]="Scroll", 2000*DropAnalityka[[#This Row],[Quality/Quantity]],0)</f>
        <v>4000</v>
      </c>
      <c r="K8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Drop]]+IF(DropAnalityka[[#This Row],[Drop]]="Scroll", 2000*DropAnalityka[[#This Row],[Quality/Quantity]],0)</f>
        <v>3427</v>
      </c>
      <c r="K802" s="87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2" s="87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802" s="6"/>
    </row>
    <row r="803" spans="1:13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Drop]]+IF(DropAnalityka[[#This Row],[Drop]]="Scroll", 2000*DropAnalityka[[#This Row],[Quality/Quantity]],0)</f>
        <v>2128</v>
      </c>
      <c r="K8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4" spans="1:13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Drop]]+IF(DropAnalityka[[#This Row],[Drop]]="Scroll", 2000*DropAnalityka[[#This Row],[Quality/Quantity]],0)</f>
        <v>2937</v>
      </c>
      <c r="K8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5" spans="1:13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Drop]]+IF(DropAnalityka[[#This Row],[Drop]]="Scroll", 2000*DropAnalityka[[#This Row],[Quality/Quantity]],0)</f>
        <v>2128</v>
      </c>
      <c r="K8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6" spans="1:13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Drop]]+IF(DropAnalityka[[#This Row],[Drop]]="Scroll", 2000*DropAnalityka[[#This Row],[Quality/Quantity]],0)</f>
        <v>2937</v>
      </c>
      <c r="K8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7" spans="1:13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Drop]]+IF(DropAnalityka[[#This Row],[Drop]]="Scroll", 2000*DropAnalityka[[#This Row],[Quality/Quantity]],0)</f>
        <v>2937</v>
      </c>
      <c r="K8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8" spans="1:13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Drop]]+IF(DropAnalityka[[#This Row],[Drop]]="Scroll", 2000*DropAnalityka[[#This Row],[Quality/Quantity]],0)</f>
        <v>2937</v>
      </c>
      <c r="K8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9" spans="1:13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I809">
        <v>0</v>
      </c>
      <c r="J809">
        <f>DropAnalityka[[#This Row],[Sell Drop]]+IF(DropAnalityka[[#This Row],[Drop]]="Scroll", 2000*DropAnalityka[[#This Row],[Quality/Quantity]],0)</f>
        <v>4000</v>
      </c>
      <c r="K8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0" spans="1:13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Drop]]+IF(DropAnalityka[[#This Row],[Drop]]="Scroll", 2000*DropAnalityka[[#This Row],[Quality/Quantity]],0)</f>
        <v>1824</v>
      </c>
      <c r="K8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1" spans="1:13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I811">
        <v>0</v>
      </c>
      <c r="J811">
        <f>DropAnalityka[[#This Row],[Sell Drop]]+IF(DropAnalityka[[#This Row],[Drop]]="Scroll", 2000*DropAnalityka[[#This Row],[Quality/Quantity]],0)</f>
        <v>4000</v>
      </c>
      <c r="K8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2" spans="1:13">
      <c r="A812" t="s">
        <v>300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Drop]]+IF(DropAnalityka[[#This Row],[Drop]]="Scroll", 2000*DropAnalityka[[#This Row],[Quality/Quantity]],0)</f>
        <v>0</v>
      </c>
      <c r="K8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3" spans="1:13">
      <c r="A813" t="s">
        <v>191</v>
      </c>
      <c r="B813" t="s">
        <v>9</v>
      </c>
      <c r="C813">
        <v>8</v>
      </c>
      <c r="D813">
        <v>3118</v>
      </c>
      <c r="E813">
        <v>0</v>
      </c>
      <c r="F813" t="s">
        <v>296</v>
      </c>
      <c r="G813" t="s">
        <v>28</v>
      </c>
      <c r="J813">
        <f>DropAnalityka[[#This Row],[Sell Drop]]+IF(DropAnalityka[[#This Row],[Drop]]="Scroll", 2000*DropAnalityka[[#This Row],[Quality/Quantity]],0)</f>
        <v>0</v>
      </c>
      <c r="K8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4" spans="1:13">
      <c r="A814" t="s">
        <v>191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J814">
        <f>DropAnalityka[[#This Row],[Sell Drop]]+IF(DropAnalityka[[#This Row],[Drop]]="Scroll", 2000*DropAnalityka[[#This Row],[Quality/Quantity]],0)</f>
        <v>10000</v>
      </c>
      <c r="K8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5" spans="1:13">
      <c r="A815" t="s">
        <v>191</v>
      </c>
      <c r="B815" t="s">
        <v>9</v>
      </c>
      <c r="C815">
        <v>8</v>
      </c>
      <c r="D815">
        <v>3825</v>
      </c>
      <c r="E815">
        <v>1</v>
      </c>
      <c r="F815" t="s">
        <v>302</v>
      </c>
      <c r="G815">
        <v>1</v>
      </c>
      <c r="J815">
        <f>DropAnalityka[[#This Row],[Sell Drop]]+IF(DropAnalityka[[#This Row],[Drop]]="Scroll", 2000*DropAnalityka[[#This Row],[Quality/Quantity]],0)</f>
        <v>0</v>
      </c>
      <c r="K8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6" spans="1:13">
      <c r="A816" t="s">
        <v>191</v>
      </c>
      <c r="B816" t="s">
        <v>9</v>
      </c>
      <c r="C816">
        <v>8</v>
      </c>
      <c r="D816">
        <v>3553</v>
      </c>
      <c r="E816">
        <v>0</v>
      </c>
      <c r="F816" t="s">
        <v>296</v>
      </c>
      <c r="G816" t="s">
        <v>28</v>
      </c>
      <c r="J816">
        <f>DropAnalityka[[#This Row],[Sell Drop]]+IF(DropAnalityka[[#This Row],[Drop]]="Scroll", 2000*DropAnalityka[[#This Row],[Quality/Quantity]],0)</f>
        <v>0</v>
      </c>
      <c r="K8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7" spans="1:12">
      <c r="A817" t="s">
        <v>191</v>
      </c>
      <c r="B817" t="s">
        <v>9</v>
      </c>
      <c r="C817">
        <v>8</v>
      </c>
      <c r="D817">
        <v>3574</v>
      </c>
      <c r="E817">
        <v>1</v>
      </c>
      <c r="F817" t="s">
        <v>304</v>
      </c>
      <c r="G817" t="s">
        <v>27</v>
      </c>
      <c r="I817">
        <v>4134</v>
      </c>
      <c r="J817">
        <f>DropAnalityka[[#This Row],[Sell Drop]]+IF(DropAnalityka[[#This Row],[Drop]]="Scroll", 2000*DropAnalityka[[#This Row],[Quality/Quantity]],0)</f>
        <v>4134</v>
      </c>
      <c r="K8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8" spans="1:12">
      <c r="A818" t="s">
        <v>191</v>
      </c>
      <c r="B818" t="s">
        <v>9</v>
      </c>
      <c r="C818">
        <v>8</v>
      </c>
      <c r="D818">
        <v>3456</v>
      </c>
      <c r="E818">
        <v>3</v>
      </c>
      <c r="F818" t="s">
        <v>296</v>
      </c>
      <c r="G818" t="s">
        <v>27</v>
      </c>
      <c r="I818">
        <v>2411</v>
      </c>
      <c r="J818">
        <f>DropAnalityka[[#This Row],[Sell Drop]]+IF(DropAnalityka[[#This Row],[Drop]]="Scroll", 2000*DropAnalityka[[#This Row],[Quality/Quantity]],0)</f>
        <v>2411</v>
      </c>
      <c r="K8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9" spans="1:12">
      <c r="A819" t="s">
        <v>191</v>
      </c>
      <c r="B819" t="s">
        <v>9</v>
      </c>
      <c r="C819">
        <v>8</v>
      </c>
      <c r="D819">
        <v>3185</v>
      </c>
      <c r="E819">
        <v>0</v>
      </c>
      <c r="F819" t="s">
        <v>296</v>
      </c>
      <c r="G819" t="s">
        <v>28</v>
      </c>
      <c r="I819">
        <v>6502</v>
      </c>
      <c r="J819">
        <f>DropAnalityka[[#This Row],[Sell Drop]]+IF(DropAnalityka[[#This Row],[Drop]]="Scroll", 2000*DropAnalityka[[#This Row],[Quality/Quantity]],0)</f>
        <v>6502</v>
      </c>
      <c r="K8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0" spans="1:12">
      <c r="A820" t="s">
        <v>191</v>
      </c>
      <c r="B820" t="s">
        <v>9</v>
      </c>
      <c r="C820">
        <v>8</v>
      </c>
      <c r="D820">
        <v>3742</v>
      </c>
      <c r="E820">
        <v>4</v>
      </c>
      <c r="F820" t="s">
        <v>296</v>
      </c>
      <c r="G820" t="s">
        <v>27</v>
      </c>
      <c r="I820">
        <v>4593</v>
      </c>
      <c r="J820">
        <f>DropAnalityka[[#This Row],[Sell Drop]]+IF(DropAnalityka[[#This Row],[Drop]]="Scroll", 2000*DropAnalityka[[#This Row],[Quality/Quantity]],0)</f>
        <v>4593</v>
      </c>
      <c r="K8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1" spans="1:12">
      <c r="A821" t="s">
        <v>230</v>
      </c>
      <c r="B821" t="s">
        <v>9</v>
      </c>
      <c r="C821">
        <v>9</v>
      </c>
      <c r="D821">
        <v>2924</v>
      </c>
      <c r="E821">
        <v>1</v>
      </c>
      <c r="F821" t="s">
        <v>285</v>
      </c>
      <c r="G821">
        <v>1</v>
      </c>
      <c r="H821" t="s">
        <v>310</v>
      </c>
      <c r="I821">
        <v>0</v>
      </c>
      <c r="J821">
        <f>DropAnalityka[[#This Row],[Sell Drop]]+IF(DropAnalityka[[#This Row],[Drop]]="Scroll", 2000*DropAnalityka[[#This Row],[Quality/Quantity]],0)</f>
        <v>0</v>
      </c>
      <c r="K8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2" spans="1:12">
      <c r="A822" t="s">
        <v>230</v>
      </c>
      <c r="B822" t="s">
        <v>9</v>
      </c>
      <c r="C822">
        <v>9</v>
      </c>
      <c r="D822">
        <v>3192</v>
      </c>
      <c r="E822">
        <v>2</v>
      </c>
      <c r="F822" t="s">
        <v>285</v>
      </c>
      <c r="G822">
        <v>2</v>
      </c>
      <c r="H822" t="s">
        <v>310</v>
      </c>
      <c r="I822">
        <v>0</v>
      </c>
      <c r="J822">
        <f>DropAnalityka[[#This Row],[Sell Drop]]+IF(DropAnalityka[[#This Row],[Drop]]="Scroll", 2000*DropAnalityka[[#This Row],[Quality/Quantity]],0)</f>
        <v>0</v>
      </c>
      <c r="K8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3" spans="1:12">
      <c r="A823" t="s">
        <v>230</v>
      </c>
      <c r="B823" t="s">
        <v>9</v>
      </c>
      <c r="C823">
        <v>9</v>
      </c>
      <c r="D823">
        <v>2967</v>
      </c>
      <c r="E823">
        <v>1</v>
      </c>
      <c r="F823" t="s">
        <v>285</v>
      </c>
      <c r="G823">
        <v>2</v>
      </c>
      <c r="H823" t="s">
        <v>310</v>
      </c>
      <c r="I823">
        <v>0</v>
      </c>
      <c r="J823">
        <f>DropAnalityka[[#This Row],[Sell Drop]]+IF(DropAnalityka[[#This Row],[Drop]]="Scroll", 2000*DropAnalityka[[#This Row],[Quality/Quantity]],0)</f>
        <v>0</v>
      </c>
      <c r="K8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4" spans="1:12">
      <c r="A824" t="s">
        <v>230</v>
      </c>
      <c r="B824" t="s">
        <v>9</v>
      </c>
      <c r="C824">
        <v>9</v>
      </c>
      <c r="D824">
        <v>2926</v>
      </c>
      <c r="E824">
        <v>0</v>
      </c>
      <c r="F824" t="s">
        <v>285</v>
      </c>
      <c r="G824">
        <v>3</v>
      </c>
      <c r="H824" t="s">
        <v>309</v>
      </c>
      <c r="I824">
        <v>0</v>
      </c>
      <c r="J824">
        <f>DropAnalityka[[#This Row],[Sell Drop]]+IF(DropAnalityka[[#This Row],[Drop]]="Scroll", 2000*DropAnalityka[[#This Row],[Quality/Quantity]],0)</f>
        <v>0</v>
      </c>
      <c r="K8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5" spans="1:12">
      <c r="A825" t="s">
        <v>230</v>
      </c>
      <c r="B825" t="s">
        <v>9</v>
      </c>
      <c r="C825">
        <v>9</v>
      </c>
      <c r="D825">
        <v>2801</v>
      </c>
      <c r="E825">
        <v>1</v>
      </c>
      <c r="F825" t="s">
        <v>285</v>
      </c>
      <c r="G825">
        <v>3</v>
      </c>
      <c r="H825" t="s">
        <v>309</v>
      </c>
      <c r="I825">
        <v>0</v>
      </c>
      <c r="J825">
        <f>DropAnalityka[[#This Row],[Sell Drop]]+IF(DropAnalityka[[#This Row],[Drop]]="Scroll", 2000*DropAnalityka[[#This Row],[Quality/Quantity]],0)</f>
        <v>0</v>
      </c>
      <c r="K8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6" spans="1:12">
      <c r="A826" t="s">
        <v>230</v>
      </c>
      <c r="B826" t="s">
        <v>9</v>
      </c>
      <c r="C826">
        <v>9</v>
      </c>
      <c r="D826">
        <v>2800</v>
      </c>
      <c r="E826">
        <v>0</v>
      </c>
      <c r="F826" t="s">
        <v>251</v>
      </c>
      <c r="G826" t="s">
        <v>305</v>
      </c>
      <c r="I826">
        <v>0</v>
      </c>
      <c r="J826">
        <f>DropAnalityka[[#This Row],[Sell Drop]]+IF(DropAnalityka[[#This Row],[Drop]]="Scroll", 2000*DropAnalityka[[#This Row],[Quality/Quantity]],0)</f>
        <v>0</v>
      </c>
      <c r="K8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7" spans="1:12">
      <c r="A827" t="s">
        <v>230</v>
      </c>
      <c r="B827" t="s">
        <v>9</v>
      </c>
      <c r="C827">
        <v>9</v>
      </c>
      <c r="D827">
        <v>2913</v>
      </c>
      <c r="E827">
        <v>0</v>
      </c>
      <c r="F827" t="s">
        <v>285</v>
      </c>
      <c r="G827">
        <v>1</v>
      </c>
      <c r="H827" t="s">
        <v>311</v>
      </c>
      <c r="I827">
        <v>0</v>
      </c>
      <c r="J827">
        <f>DropAnalityka[[#This Row],[Sell Drop]]+IF(DropAnalityka[[#This Row],[Drop]]="Scroll", 2000*DropAnalityka[[#This Row],[Quality/Quantity]],0)</f>
        <v>0</v>
      </c>
      <c r="K8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8" spans="1:12">
      <c r="A828" t="s">
        <v>230</v>
      </c>
      <c r="B828" t="s">
        <v>9</v>
      </c>
      <c r="C828">
        <v>9</v>
      </c>
      <c r="D828">
        <v>2812</v>
      </c>
      <c r="E828">
        <v>1</v>
      </c>
      <c r="F828" t="s">
        <v>285</v>
      </c>
      <c r="G828">
        <v>1</v>
      </c>
      <c r="H828" t="s">
        <v>310</v>
      </c>
      <c r="I828">
        <v>0</v>
      </c>
      <c r="J828">
        <f>DropAnalityka[[#This Row],[Sell Drop]]+IF(DropAnalityka[[#This Row],[Drop]]="Scroll", 2000*DropAnalityka[[#This Row],[Quality/Quantity]],0)</f>
        <v>0</v>
      </c>
      <c r="K8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9" spans="1:12">
      <c r="A829" t="s">
        <v>230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 t="s">
        <v>12</v>
      </c>
      <c r="I829">
        <v>0</v>
      </c>
      <c r="J829">
        <f>DropAnalityka[[#This Row],[Sell Drop]]+IF(DropAnalityka[[#This Row],[Drop]]="Scroll", 2000*DropAnalityka[[#This Row],[Quality/Quantity]],0)</f>
        <v>0</v>
      </c>
      <c r="K8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8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830" spans="1:12">
      <c r="A830" t="s">
        <v>230</v>
      </c>
      <c r="B830" t="s">
        <v>9</v>
      </c>
      <c r="C830">
        <v>9</v>
      </c>
      <c r="D830">
        <v>2754</v>
      </c>
      <c r="E830">
        <v>1</v>
      </c>
      <c r="F830" t="s">
        <v>306</v>
      </c>
      <c r="G830">
        <v>1</v>
      </c>
      <c r="I830">
        <v>0</v>
      </c>
      <c r="J830">
        <f>DropAnalityka[[#This Row],[Sell Drop]]+IF(DropAnalityka[[#This Row],[Drop]]="Scroll", 2000*DropAnalityka[[#This Row],[Quality/Quantity]],0)</f>
        <v>0</v>
      </c>
      <c r="K8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1" spans="1:12">
      <c r="A831" t="s">
        <v>230</v>
      </c>
      <c r="B831" t="s">
        <v>9</v>
      </c>
      <c r="C831">
        <v>9</v>
      </c>
      <c r="D831">
        <v>2824</v>
      </c>
      <c r="E831">
        <v>1</v>
      </c>
      <c r="F831" t="s">
        <v>251</v>
      </c>
      <c r="G831" t="s">
        <v>307</v>
      </c>
      <c r="I831">
        <v>0</v>
      </c>
      <c r="J831">
        <f>DropAnalityka[[#This Row],[Sell Drop]]+IF(DropAnalityka[[#This Row],[Drop]]="Scroll", 2000*DropAnalityka[[#This Row],[Quality/Quantity]],0)</f>
        <v>0</v>
      </c>
      <c r="K8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2" spans="1:12">
      <c r="A832" t="s">
        <v>230</v>
      </c>
      <c r="B832" t="s">
        <v>9</v>
      </c>
      <c r="C832">
        <v>9</v>
      </c>
      <c r="D832">
        <v>2980</v>
      </c>
      <c r="E832">
        <v>0</v>
      </c>
      <c r="F832" t="s">
        <v>285</v>
      </c>
      <c r="G832">
        <v>1</v>
      </c>
      <c r="H832" t="s">
        <v>310</v>
      </c>
      <c r="I832">
        <v>0</v>
      </c>
      <c r="J832">
        <f>DropAnalityka[[#This Row],[Sell Drop]]+IF(DropAnalityka[[#This Row],[Drop]]="Scroll", 2000*DropAnalityka[[#This Row],[Quality/Quantity]],0)</f>
        <v>0</v>
      </c>
      <c r="K8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3" spans="1:12">
      <c r="A833" t="s">
        <v>230</v>
      </c>
      <c r="B833" t="s">
        <v>9</v>
      </c>
      <c r="C833">
        <v>9</v>
      </c>
      <c r="D833">
        <v>2957</v>
      </c>
      <c r="E833">
        <v>0</v>
      </c>
      <c r="F833" t="s">
        <v>229</v>
      </c>
      <c r="G833" t="s">
        <v>17</v>
      </c>
      <c r="I833">
        <v>0</v>
      </c>
      <c r="J833">
        <f>DropAnalityka[[#This Row],[Sell Drop]]+IF(DropAnalityka[[#This Row],[Drop]]="Scroll", 2000*DropAnalityka[[#This Row],[Quality/Quantity]],0)</f>
        <v>0</v>
      </c>
      <c r="K8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4" spans="1:12">
      <c r="A834" t="s">
        <v>230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I834">
        <v>0</v>
      </c>
      <c r="J834">
        <f>DropAnalityka[[#This Row],[Sell Drop]]+IF(DropAnalityka[[#This Row],[Drop]]="Scroll", 2000*DropAnalityka[[#This Row],[Quality/Quantity]],0)</f>
        <v>8000</v>
      </c>
      <c r="K8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5" spans="1:12">
      <c r="A835" t="s">
        <v>230</v>
      </c>
      <c r="B835" t="s">
        <v>9</v>
      </c>
      <c r="C835">
        <v>9</v>
      </c>
      <c r="D835">
        <v>2671</v>
      </c>
      <c r="E835">
        <v>0</v>
      </c>
      <c r="F835" t="s">
        <v>285</v>
      </c>
      <c r="G835">
        <v>5</v>
      </c>
      <c r="H835" t="s">
        <v>309</v>
      </c>
      <c r="I835">
        <v>0</v>
      </c>
      <c r="J835">
        <f>DropAnalityka[[#This Row],[Sell Drop]]+IF(DropAnalityka[[#This Row],[Drop]]="Scroll", 2000*DropAnalityka[[#This Row],[Quality/Quantity]],0)</f>
        <v>0</v>
      </c>
      <c r="K8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6" spans="1:12">
      <c r="A836" t="s">
        <v>230</v>
      </c>
      <c r="B836" t="s">
        <v>9</v>
      </c>
      <c r="C836">
        <v>9</v>
      </c>
      <c r="D836">
        <v>2947</v>
      </c>
      <c r="E836">
        <v>1</v>
      </c>
      <c r="F836" t="s">
        <v>285</v>
      </c>
      <c r="G836">
        <v>1</v>
      </c>
      <c r="H836" t="s">
        <v>311</v>
      </c>
      <c r="I836">
        <v>0</v>
      </c>
      <c r="J836">
        <f>DropAnalityka[[#This Row],[Sell Drop]]+IF(DropAnalityka[[#This Row],[Drop]]="Scroll", 2000*DropAnalityka[[#This Row],[Quality/Quantity]],0)</f>
        <v>0</v>
      </c>
      <c r="K8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7" spans="1:12">
      <c r="A837" t="s">
        <v>230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I837">
        <v>0</v>
      </c>
      <c r="J837">
        <f>DropAnalityka[[#This Row],[Sell Drop]]+IF(DropAnalityka[[#This Row],[Drop]]="Scroll", 2000*DropAnalityka[[#This Row],[Quality/Quantity]],0)</f>
        <v>8000</v>
      </c>
      <c r="K8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8" spans="1:12">
      <c r="A838" t="s">
        <v>230</v>
      </c>
      <c r="B838" t="s">
        <v>9</v>
      </c>
      <c r="C838">
        <v>9</v>
      </c>
      <c r="D838">
        <v>2184</v>
      </c>
      <c r="E838">
        <v>0</v>
      </c>
      <c r="F838" t="s">
        <v>285</v>
      </c>
      <c r="G838">
        <v>4</v>
      </c>
      <c r="H838" t="s">
        <v>309</v>
      </c>
      <c r="I838">
        <v>0</v>
      </c>
      <c r="J838">
        <f>DropAnalityka[[#This Row],[Sell Drop]]+IF(DropAnalityka[[#This Row],[Drop]]="Scroll", 2000*DropAnalityka[[#This Row],[Quality/Quantity]],0)</f>
        <v>0</v>
      </c>
      <c r="K8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9" spans="1:12">
      <c r="A839" t="s">
        <v>230</v>
      </c>
      <c r="B839" t="s">
        <v>9</v>
      </c>
      <c r="C839">
        <v>9</v>
      </c>
      <c r="D839">
        <v>2654</v>
      </c>
      <c r="E839">
        <v>3</v>
      </c>
      <c r="F839" t="s">
        <v>285</v>
      </c>
      <c r="G839">
        <v>1</v>
      </c>
      <c r="H839" t="s">
        <v>310</v>
      </c>
      <c r="I839">
        <v>0</v>
      </c>
      <c r="J839">
        <f>DropAnalityka[[#This Row],[Sell Drop]]+IF(DropAnalityka[[#This Row],[Drop]]="Scroll", 2000*DropAnalityka[[#This Row],[Quality/Quantity]],0)</f>
        <v>0</v>
      </c>
      <c r="K8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0" spans="1:12">
      <c r="A840" t="s">
        <v>230</v>
      </c>
      <c r="B840" t="s">
        <v>9</v>
      </c>
      <c r="C840">
        <v>9</v>
      </c>
      <c r="D840">
        <v>2592</v>
      </c>
      <c r="E840">
        <v>1</v>
      </c>
      <c r="F840" t="s">
        <v>285</v>
      </c>
      <c r="G840">
        <v>1</v>
      </c>
      <c r="H840" t="s">
        <v>310</v>
      </c>
      <c r="I840">
        <v>0</v>
      </c>
      <c r="J840">
        <f>DropAnalityka[[#This Row],[Sell Drop]]+IF(DropAnalityka[[#This Row],[Drop]]="Scroll", 2000*DropAnalityka[[#This Row],[Quality/Quantity]],0)</f>
        <v>0</v>
      </c>
      <c r="K8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1" spans="1:12">
      <c r="A841" t="s">
        <v>230</v>
      </c>
      <c r="B841" t="s">
        <v>9</v>
      </c>
      <c r="C841">
        <v>9</v>
      </c>
      <c r="D841">
        <v>2625</v>
      </c>
      <c r="E841">
        <v>0</v>
      </c>
      <c r="F841" t="s">
        <v>285</v>
      </c>
      <c r="G841">
        <v>1</v>
      </c>
      <c r="H841" t="s">
        <v>311</v>
      </c>
      <c r="I841">
        <v>0</v>
      </c>
      <c r="J841">
        <f>DropAnalityka[[#This Row],[Sell Drop]]+IF(DropAnalityka[[#This Row],[Drop]]="Scroll", 2000*DropAnalityka[[#This Row],[Quality/Quantity]],0)</f>
        <v>0</v>
      </c>
      <c r="K8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2" spans="1:12">
      <c r="A842" t="s">
        <v>230</v>
      </c>
      <c r="B842" t="s">
        <v>9</v>
      </c>
      <c r="C842">
        <v>9</v>
      </c>
      <c r="D842">
        <v>3029</v>
      </c>
      <c r="E842">
        <v>0</v>
      </c>
      <c r="F842" t="s">
        <v>285</v>
      </c>
      <c r="G842">
        <v>1</v>
      </c>
      <c r="H842" t="s">
        <v>310</v>
      </c>
      <c r="I842">
        <v>0</v>
      </c>
      <c r="J842">
        <f>DropAnalityka[[#This Row],[Sell Drop]]+IF(DropAnalityka[[#This Row],[Drop]]="Scroll", 2000*DropAnalityka[[#This Row],[Quality/Quantity]],0)</f>
        <v>0</v>
      </c>
      <c r="K8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3" spans="1:12">
      <c r="A843" t="s">
        <v>230</v>
      </c>
      <c r="B843" t="s">
        <v>9</v>
      </c>
      <c r="C843">
        <v>9</v>
      </c>
      <c r="D843">
        <v>2865</v>
      </c>
      <c r="E843">
        <v>1</v>
      </c>
      <c r="F843" t="s">
        <v>285</v>
      </c>
      <c r="G843">
        <v>1</v>
      </c>
      <c r="H843" t="s">
        <v>310</v>
      </c>
      <c r="I843">
        <v>0</v>
      </c>
      <c r="J843">
        <f>DropAnalityka[[#This Row],[Sell Drop]]+IF(DropAnalityka[[#This Row],[Drop]]="Scroll", 2000*DropAnalityka[[#This Row],[Quality/Quantity]],0)</f>
        <v>0</v>
      </c>
      <c r="K8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4" spans="1:12">
      <c r="A844" t="s">
        <v>230</v>
      </c>
      <c r="B844" t="s">
        <v>9</v>
      </c>
      <c r="C844">
        <v>9</v>
      </c>
      <c r="D844">
        <v>3075</v>
      </c>
      <c r="E844">
        <v>3</v>
      </c>
      <c r="F844" t="s">
        <v>285</v>
      </c>
      <c r="G844">
        <v>5</v>
      </c>
      <c r="H844" t="s">
        <v>309</v>
      </c>
      <c r="I844">
        <v>0</v>
      </c>
      <c r="J844">
        <f>DropAnalityka[[#This Row],[Sell Drop]]+IF(DropAnalityka[[#This Row],[Drop]]="Scroll", 2000*DropAnalityka[[#This Row],[Quality/Quantity]],0)</f>
        <v>0</v>
      </c>
      <c r="K8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5" spans="1:12">
      <c r="A845" t="s">
        <v>230</v>
      </c>
      <c r="B845" t="s">
        <v>9</v>
      </c>
      <c r="C845">
        <v>9</v>
      </c>
      <c r="D845">
        <v>3767</v>
      </c>
      <c r="E845">
        <v>2</v>
      </c>
      <c r="F845" t="s">
        <v>285</v>
      </c>
      <c r="G845">
        <v>4</v>
      </c>
      <c r="H845" t="s">
        <v>309</v>
      </c>
      <c r="I845">
        <v>0</v>
      </c>
      <c r="J845">
        <f>DropAnalityka[[#This Row],[Sell Drop]]+IF(DropAnalityka[[#This Row],[Drop]]="Scroll", 2000*DropAnalityka[[#This Row],[Quality/Quantity]],0)</f>
        <v>0</v>
      </c>
      <c r="K8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6" spans="1:12">
      <c r="A846" t="s">
        <v>230</v>
      </c>
      <c r="B846" t="s">
        <v>9</v>
      </c>
      <c r="C846">
        <v>9</v>
      </c>
      <c r="D846">
        <v>3007</v>
      </c>
      <c r="E846">
        <v>2</v>
      </c>
      <c r="F846" t="s">
        <v>285</v>
      </c>
      <c r="G846">
        <v>3</v>
      </c>
      <c r="H846" t="s">
        <v>310</v>
      </c>
      <c r="I846">
        <v>0</v>
      </c>
      <c r="J846">
        <f>DropAnalityka[[#This Row],[Sell Drop]]+IF(DropAnalityka[[#This Row],[Drop]]="Scroll", 2000*DropAnalityka[[#This Row],[Quality/Quantity]],0)</f>
        <v>0</v>
      </c>
      <c r="K8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7" spans="1:12">
      <c r="A847" t="s">
        <v>230</v>
      </c>
      <c r="B847" t="s">
        <v>9</v>
      </c>
      <c r="C847">
        <v>9</v>
      </c>
      <c r="D847">
        <v>2942</v>
      </c>
      <c r="E847">
        <v>0</v>
      </c>
      <c r="F847" t="s">
        <v>285</v>
      </c>
      <c r="G847">
        <v>1</v>
      </c>
      <c r="H847" t="s">
        <v>310</v>
      </c>
      <c r="I847">
        <v>0</v>
      </c>
      <c r="J847">
        <f>DropAnalityka[[#This Row],[Sell Drop]]+IF(DropAnalityka[[#This Row],[Drop]]="Scroll", 2000*DropAnalityka[[#This Row],[Quality/Quantity]],0)</f>
        <v>0</v>
      </c>
      <c r="K8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8" spans="1:12">
      <c r="A848" t="s">
        <v>230</v>
      </c>
      <c r="B848" t="s">
        <v>9</v>
      </c>
      <c r="C848">
        <v>9</v>
      </c>
      <c r="D848">
        <v>2701</v>
      </c>
      <c r="E848">
        <v>0</v>
      </c>
      <c r="F848" t="s">
        <v>285</v>
      </c>
      <c r="G848">
        <v>5</v>
      </c>
      <c r="H848" t="s">
        <v>309</v>
      </c>
      <c r="I848">
        <v>0</v>
      </c>
      <c r="J848">
        <f>DropAnalityka[[#This Row],[Sell Drop]]+IF(DropAnalityka[[#This Row],[Drop]]="Scroll", 2000*DropAnalityka[[#This Row],[Quality/Quantity]],0)</f>
        <v>0</v>
      </c>
      <c r="K8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9" spans="1:12">
      <c r="A849" t="s">
        <v>230</v>
      </c>
      <c r="B849" t="s">
        <v>9</v>
      </c>
      <c r="C849">
        <v>9</v>
      </c>
      <c r="D849">
        <v>3320</v>
      </c>
      <c r="E849">
        <v>0</v>
      </c>
      <c r="F849" t="s">
        <v>285</v>
      </c>
      <c r="G849">
        <v>3</v>
      </c>
      <c r="H849" t="s">
        <v>311</v>
      </c>
      <c r="I849">
        <v>0</v>
      </c>
      <c r="J849">
        <f>DropAnalityka[[#This Row],[Sell Drop]]+IF(DropAnalityka[[#This Row],[Drop]]="Scroll", 2000*DropAnalityka[[#This Row],[Quality/Quantity]],0)</f>
        <v>0</v>
      </c>
      <c r="K8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0" spans="1:12">
      <c r="A850" t="s">
        <v>230</v>
      </c>
      <c r="B850" t="s">
        <v>9</v>
      </c>
      <c r="C850">
        <v>9</v>
      </c>
      <c r="D850">
        <v>2890</v>
      </c>
      <c r="E850">
        <v>2</v>
      </c>
      <c r="F850" t="s">
        <v>285</v>
      </c>
      <c r="G850">
        <v>3</v>
      </c>
      <c r="H850" t="s">
        <v>309</v>
      </c>
      <c r="I850">
        <v>0</v>
      </c>
      <c r="J850">
        <f>DropAnalityka[[#This Row],[Sell Drop]]+IF(DropAnalityka[[#This Row],[Drop]]="Scroll", 2000*DropAnalityka[[#This Row],[Quality/Quantity]],0)</f>
        <v>0</v>
      </c>
      <c r="K8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1" spans="1:12">
      <c r="A851" t="s">
        <v>230</v>
      </c>
      <c r="B851" t="s">
        <v>9</v>
      </c>
      <c r="C851">
        <v>9</v>
      </c>
      <c r="D851">
        <v>3274</v>
      </c>
      <c r="E851">
        <v>1</v>
      </c>
      <c r="F851" t="s">
        <v>285</v>
      </c>
      <c r="G851">
        <v>2</v>
      </c>
      <c r="H851" t="s">
        <v>311</v>
      </c>
      <c r="I851">
        <v>0</v>
      </c>
      <c r="J851">
        <f>DropAnalityka[[#This Row],[Sell Drop]]+IF(DropAnalityka[[#This Row],[Drop]]="Scroll", 2000*DropAnalityka[[#This Row],[Quality/Quantity]],0)</f>
        <v>0</v>
      </c>
      <c r="K8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2" spans="1:12">
      <c r="A852" t="s">
        <v>230</v>
      </c>
      <c r="B852" t="s">
        <v>9</v>
      </c>
      <c r="C852">
        <v>9</v>
      </c>
      <c r="D852">
        <v>2847</v>
      </c>
      <c r="E852">
        <v>1</v>
      </c>
      <c r="F852" t="s">
        <v>285</v>
      </c>
      <c r="G852">
        <v>1</v>
      </c>
      <c r="H852" t="s">
        <v>311</v>
      </c>
      <c r="I852">
        <v>0</v>
      </c>
      <c r="J852">
        <f>DropAnalityka[[#This Row],[Sell Drop]]+IF(DropAnalityka[[#This Row],[Drop]]="Scroll", 2000*DropAnalityka[[#This Row],[Quality/Quantity]],0)</f>
        <v>0</v>
      </c>
      <c r="K8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3" spans="1:12">
      <c r="A853" t="s">
        <v>230</v>
      </c>
      <c r="B853" t="s">
        <v>9</v>
      </c>
      <c r="C853">
        <v>9</v>
      </c>
      <c r="D853">
        <v>2602</v>
      </c>
      <c r="E853">
        <v>0</v>
      </c>
      <c r="F853" t="s">
        <v>285</v>
      </c>
      <c r="G853">
        <v>4</v>
      </c>
      <c r="H853" t="s">
        <v>309</v>
      </c>
      <c r="I853">
        <v>0</v>
      </c>
      <c r="J853">
        <f>DropAnalityka[[#This Row],[Sell Drop]]+IF(DropAnalityka[[#This Row],[Drop]]="Scroll", 2000*DropAnalityka[[#This Row],[Quality/Quantity]],0)</f>
        <v>0</v>
      </c>
      <c r="K8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4" spans="1:12">
      <c r="A854" t="s">
        <v>230</v>
      </c>
      <c r="B854" t="s">
        <v>9</v>
      </c>
      <c r="C854">
        <v>9</v>
      </c>
      <c r="D854">
        <v>2901</v>
      </c>
      <c r="E854">
        <v>1</v>
      </c>
      <c r="F854" t="s">
        <v>251</v>
      </c>
      <c r="G854" t="s">
        <v>324</v>
      </c>
      <c r="I854">
        <v>0</v>
      </c>
      <c r="J854">
        <f>DropAnalityka[[#This Row],[Sell Drop]]+IF(DropAnalityka[[#This Row],[Drop]]="Scroll", 2000*DropAnalityka[[#This Row],[Quality/Quantity]],0)</f>
        <v>0</v>
      </c>
      <c r="K8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5" spans="1:12">
      <c r="A855" t="s">
        <v>230</v>
      </c>
      <c r="B855" t="s">
        <v>9</v>
      </c>
      <c r="C855">
        <v>9</v>
      </c>
      <c r="D855">
        <v>2768</v>
      </c>
      <c r="E855">
        <v>0</v>
      </c>
      <c r="F855" t="s">
        <v>285</v>
      </c>
      <c r="G855">
        <v>5</v>
      </c>
      <c r="H855" t="s">
        <v>309</v>
      </c>
      <c r="I855">
        <v>0</v>
      </c>
      <c r="J855">
        <f>DropAnalityka[[#This Row],[Sell Drop]]+IF(DropAnalityka[[#This Row],[Drop]]="Scroll", 2000*DropAnalityka[[#This Row],[Quality/Quantity]],0)</f>
        <v>0</v>
      </c>
      <c r="K8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6" spans="1:12">
      <c r="A856" t="s">
        <v>230</v>
      </c>
      <c r="B856" t="s">
        <v>9</v>
      </c>
      <c r="C856">
        <v>9</v>
      </c>
      <c r="D856">
        <v>2401</v>
      </c>
      <c r="E856">
        <v>1</v>
      </c>
      <c r="F856" t="s">
        <v>285</v>
      </c>
      <c r="G856">
        <v>1</v>
      </c>
      <c r="H856" t="s">
        <v>310</v>
      </c>
      <c r="I856">
        <v>0</v>
      </c>
      <c r="J856">
        <f>DropAnalityka[[#This Row],[Sell Drop]]+IF(DropAnalityka[[#This Row],[Drop]]="Scroll", 2000*DropAnalityka[[#This Row],[Quality/Quantity]],0)</f>
        <v>0</v>
      </c>
      <c r="K8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7" spans="1:12">
      <c r="A857" t="s">
        <v>230</v>
      </c>
      <c r="B857" t="s">
        <v>9</v>
      </c>
      <c r="C857">
        <v>9</v>
      </c>
      <c r="D857">
        <v>2915</v>
      </c>
      <c r="E857">
        <v>0</v>
      </c>
      <c r="F857" t="s">
        <v>227</v>
      </c>
      <c r="G857">
        <v>3</v>
      </c>
      <c r="I857">
        <v>0</v>
      </c>
      <c r="J857">
        <f>DropAnalityka[[#This Row],[Sell Drop]]+IF(DropAnalityka[[#This Row],[Drop]]="Scroll", 2000*DropAnalityka[[#This Row],[Quality/Quantity]],0)</f>
        <v>0</v>
      </c>
      <c r="K8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2587.5</v>
      </c>
      <c r="L8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4954.6499999999996</v>
      </c>
    </row>
    <row r="858" spans="1:12">
      <c r="A858" t="s">
        <v>230</v>
      </c>
      <c r="B858" t="s">
        <v>9</v>
      </c>
      <c r="C858">
        <v>9</v>
      </c>
      <c r="D858">
        <v>2978</v>
      </c>
      <c r="E858">
        <v>0</v>
      </c>
      <c r="F858" t="s">
        <v>285</v>
      </c>
      <c r="G858">
        <v>4</v>
      </c>
      <c r="H858" t="s">
        <v>309</v>
      </c>
      <c r="I858">
        <v>0</v>
      </c>
      <c r="J858">
        <f>DropAnalityka[[#This Row],[Sell Drop]]+IF(DropAnalityka[[#This Row],[Drop]]="Scroll", 2000*DropAnalityka[[#This Row],[Quality/Quantity]],0)</f>
        <v>0</v>
      </c>
      <c r="K8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9" spans="1:12">
      <c r="A859" t="s">
        <v>230</v>
      </c>
      <c r="B859" t="s">
        <v>9</v>
      </c>
      <c r="C859">
        <v>9</v>
      </c>
      <c r="D859">
        <v>2956</v>
      </c>
      <c r="E859">
        <v>0</v>
      </c>
      <c r="F859" t="s">
        <v>285</v>
      </c>
      <c r="G859">
        <v>5</v>
      </c>
      <c r="H859" t="s">
        <v>309</v>
      </c>
      <c r="I859">
        <v>0</v>
      </c>
      <c r="J859">
        <f>DropAnalityka[[#This Row],[Sell Drop]]+IF(DropAnalityka[[#This Row],[Drop]]="Scroll", 2000*DropAnalityka[[#This Row],[Quality/Quantity]],0)</f>
        <v>0</v>
      </c>
      <c r="K8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0" spans="1:12">
      <c r="A860" t="s">
        <v>230</v>
      </c>
      <c r="B860" t="s">
        <v>9</v>
      </c>
      <c r="C860">
        <v>9</v>
      </c>
      <c r="D860">
        <v>2657</v>
      </c>
      <c r="E860">
        <v>1</v>
      </c>
      <c r="F860" t="s">
        <v>285</v>
      </c>
      <c r="G860">
        <v>5</v>
      </c>
      <c r="H860" t="s">
        <v>309</v>
      </c>
      <c r="I860">
        <v>0</v>
      </c>
      <c r="J860">
        <f>DropAnalityka[[#This Row],[Sell Drop]]+IF(DropAnalityka[[#This Row],[Drop]]="Scroll", 2000*DropAnalityka[[#This Row],[Quality/Quantity]],0)</f>
        <v>0</v>
      </c>
      <c r="K8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1" spans="1:12">
      <c r="A861" t="s">
        <v>230</v>
      </c>
      <c r="B861" t="s">
        <v>9</v>
      </c>
      <c r="C861">
        <v>9</v>
      </c>
      <c r="D861">
        <v>2789</v>
      </c>
      <c r="E861">
        <v>0</v>
      </c>
      <c r="F861" t="s">
        <v>229</v>
      </c>
      <c r="G861" t="s">
        <v>17</v>
      </c>
      <c r="I861">
        <v>0</v>
      </c>
      <c r="J861">
        <f>DropAnalityka[[#This Row],[Sell Drop]]+IF(DropAnalityka[[#This Row],[Drop]]="Scroll", 2000*DropAnalityka[[#This Row],[Quality/Quantity]],0)</f>
        <v>0</v>
      </c>
      <c r="K8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2" spans="1:12">
      <c r="A862" t="s">
        <v>230</v>
      </c>
      <c r="B862" t="s">
        <v>9</v>
      </c>
      <c r="C862">
        <v>9</v>
      </c>
      <c r="D862">
        <v>2793</v>
      </c>
      <c r="E862">
        <v>1</v>
      </c>
      <c r="F862" t="s">
        <v>285</v>
      </c>
      <c r="G862">
        <v>5</v>
      </c>
      <c r="H862" t="s">
        <v>309</v>
      </c>
      <c r="I862">
        <v>0</v>
      </c>
      <c r="J862">
        <f>DropAnalityka[[#This Row],[Sell Drop]]+IF(DropAnalityka[[#This Row],[Drop]]="Scroll", 2000*DropAnalityka[[#This Row],[Quality/Quantity]],0)</f>
        <v>0</v>
      </c>
      <c r="K8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3" spans="1:12">
      <c r="A863" t="s">
        <v>230</v>
      </c>
      <c r="B863" t="s">
        <v>9</v>
      </c>
      <c r="C863">
        <v>9</v>
      </c>
      <c r="D863">
        <v>2869</v>
      </c>
      <c r="E863">
        <v>2</v>
      </c>
      <c r="F863" t="s">
        <v>285</v>
      </c>
      <c r="G863">
        <v>4</v>
      </c>
      <c r="H863" t="s">
        <v>309</v>
      </c>
      <c r="I863">
        <v>0</v>
      </c>
      <c r="J863">
        <f>DropAnalityka[[#This Row],[Sell Drop]]+IF(DropAnalityka[[#This Row],[Drop]]="Scroll", 2000*DropAnalityka[[#This Row],[Quality/Quantity]],0)</f>
        <v>0</v>
      </c>
      <c r="K8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4" spans="1:12">
      <c r="A864" t="s">
        <v>230</v>
      </c>
      <c r="B864" t="s">
        <v>9</v>
      </c>
      <c r="C864">
        <v>9</v>
      </c>
      <c r="D864">
        <v>2638</v>
      </c>
      <c r="E864">
        <v>1</v>
      </c>
      <c r="F864" t="s">
        <v>229</v>
      </c>
      <c r="G864" t="s">
        <v>17</v>
      </c>
      <c r="I864">
        <v>0</v>
      </c>
      <c r="J864">
        <f>DropAnalityka[[#This Row],[Sell Drop]]+IF(DropAnalityka[[#This Row],[Drop]]="Scroll", 2000*DropAnalityka[[#This Row],[Quality/Quantity]],0)</f>
        <v>0</v>
      </c>
      <c r="K8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5" spans="1:12">
      <c r="A865" t="s">
        <v>230</v>
      </c>
      <c r="B865" t="s">
        <v>9</v>
      </c>
      <c r="C865">
        <v>9</v>
      </c>
      <c r="D865">
        <v>2929</v>
      </c>
      <c r="E865">
        <v>1</v>
      </c>
      <c r="F865" t="s">
        <v>285</v>
      </c>
      <c r="G865">
        <v>1</v>
      </c>
      <c r="H865" t="s">
        <v>310</v>
      </c>
      <c r="I865">
        <v>0</v>
      </c>
      <c r="J865">
        <f>DropAnalityka[[#This Row],[Sell Drop]]+IF(DropAnalityka[[#This Row],[Drop]]="Scroll", 2000*DropAnalityka[[#This Row],[Quality/Quantity]],0)</f>
        <v>0</v>
      </c>
      <c r="K8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6" spans="1:12">
      <c r="A866" t="s">
        <v>230</v>
      </c>
      <c r="B866" t="s">
        <v>9</v>
      </c>
      <c r="C866">
        <v>9</v>
      </c>
      <c r="D866">
        <v>2423</v>
      </c>
      <c r="E866">
        <v>1</v>
      </c>
      <c r="F866" t="s">
        <v>285</v>
      </c>
      <c r="G866">
        <v>3</v>
      </c>
      <c r="H866" t="s">
        <v>309</v>
      </c>
      <c r="I866">
        <v>0</v>
      </c>
      <c r="J866">
        <f>DropAnalityka[[#This Row],[Sell Drop]]+IF(DropAnalityka[[#This Row],[Drop]]="Scroll", 2000*DropAnalityka[[#This Row],[Quality/Quantity]],0)</f>
        <v>0</v>
      </c>
      <c r="K8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7" spans="1:12">
      <c r="A867" t="s">
        <v>230</v>
      </c>
      <c r="B867" t="s">
        <v>9</v>
      </c>
      <c r="C867">
        <v>9</v>
      </c>
      <c r="D867">
        <v>2881</v>
      </c>
      <c r="E867">
        <v>0</v>
      </c>
      <c r="F867" t="s">
        <v>285</v>
      </c>
      <c r="G867">
        <v>5</v>
      </c>
      <c r="H867" t="s">
        <v>309</v>
      </c>
      <c r="I867">
        <v>0</v>
      </c>
      <c r="J867">
        <f>DropAnalityka[[#This Row],[Sell Drop]]+IF(DropAnalityka[[#This Row],[Drop]]="Scroll", 2000*DropAnalityka[[#This Row],[Quality/Quantity]],0)</f>
        <v>0</v>
      </c>
      <c r="K8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8" spans="1:12">
      <c r="A868" t="s">
        <v>230</v>
      </c>
      <c r="B868" t="s">
        <v>9</v>
      </c>
      <c r="C868">
        <v>9</v>
      </c>
      <c r="D868">
        <v>3128</v>
      </c>
      <c r="E868">
        <v>1</v>
      </c>
      <c r="F868" t="s">
        <v>285</v>
      </c>
      <c r="G868">
        <v>4</v>
      </c>
      <c r="H868" t="s">
        <v>309</v>
      </c>
      <c r="I868">
        <v>0</v>
      </c>
      <c r="J868">
        <f>DropAnalityka[[#This Row],[Sell Drop]]+IF(DropAnalityka[[#This Row],[Drop]]="Scroll", 2000*DropAnalityka[[#This Row],[Quality/Quantity]],0)</f>
        <v>0</v>
      </c>
      <c r="K8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9" spans="1:12">
      <c r="A869" t="s">
        <v>230</v>
      </c>
      <c r="B869" t="s">
        <v>9</v>
      </c>
      <c r="C869">
        <v>9</v>
      </c>
      <c r="D869">
        <v>3042</v>
      </c>
      <c r="E869">
        <v>0</v>
      </c>
      <c r="F869" t="s">
        <v>285</v>
      </c>
      <c r="G869">
        <v>3</v>
      </c>
      <c r="H869" t="s">
        <v>311</v>
      </c>
      <c r="I869">
        <v>0</v>
      </c>
      <c r="J869">
        <f>DropAnalityka[[#This Row],[Sell Drop]]+IF(DropAnalityka[[#This Row],[Drop]]="Scroll", 2000*DropAnalityka[[#This Row],[Quality/Quantity]],0)</f>
        <v>0</v>
      </c>
      <c r="K8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0" spans="1:12">
      <c r="A870" t="s">
        <v>230</v>
      </c>
      <c r="B870" t="s">
        <v>9</v>
      </c>
      <c r="C870">
        <v>9</v>
      </c>
      <c r="D870">
        <v>2846</v>
      </c>
      <c r="E870">
        <v>1</v>
      </c>
      <c r="F870" t="s">
        <v>285</v>
      </c>
      <c r="G870">
        <v>1</v>
      </c>
      <c r="H870" t="s">
        <v>311</v>
      </c>
      <c r="I870">
        <v>0</v>
      </c>
      <c r="J870">
        <f>DropAnalityka[[#This Row],[Sell Drop]]+IF(DropAnalityka[[#This Row],[Drop]]="Scroll", 2000*DropAnalityka[[#This Row],[Quality/Quantity]],0)</f>
        <v>0</v>
      </c>
      <c r="K8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1" spans="1:12">
      <c r="A871" t="s">
        <v>230</v>
      </c>
      <c r="B871" t="s">
        <v>9</v>
      </c>
      <c r="C871">
        <v>9</v>
      </c>
      <c r="D871">
        <v>3112</v>
      </c>
      <c r="E871">
        <v>1</v>
      </c>
      <c r="F871" t="s">
        <v>285</v>
      </c>
      <c r="G871">
        <v>1</v>
      </c>
      <c r="H871" t="s">
        <v>311</v>
      </c>
      <c r="I871">
        <v>0</v>
      </c>
      <c r="J871">
        <f>DropAnalityka[[#This Row],[Sell Drop]]+IF(DropAnalityka[[#This Row],[Drop]]="Scroll", 2000*DropAnalityka[[#This Row],[Quality/Quantity]],0)</f>
        <v>0</v>
      </c>
      <c r="K8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2" spans="1:12">
      <c r="A872" t="s">
        <v>230</v>
      </c>
      <c r="B872" t="s">
        <v>9</v>
      </c>
      <c r="C872">
        <v>9</v>
      </c>
      <c r="D872">
        <v>2928</v>
      </c>
      <c r="E872">
        <v>1</v>
      </c>
      <c r="F872" t="s">
        <v>285</v>
      </c>
      <c r="G872">
        <v>4</v>
      </c>
      <c r="H872" t="s">
        <v>309</v>
      </c>
      <c r="I872">
        <v>0</v>
      </c>
      <c r="J872">
        <f>DropAnalityka[[#This Row],[Sell Drop]]+IF(DropAnalityka[[#This Row],[Drop]]="Scroll", 2000*DropAnalityka[[#This Row],[Quality/Quantity]],0)</f>
        <v>0</v>
      </c>
      <c r="K8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3" spans="1:12">
      <c r="A873" t="s">
        <v>230</v>
      </c>
      <c r="B873" t="s">
        <v>9</v>
      </c>
      <c r="C873">
        <v>9</v>
      </c>
      <c r="D873">
        <v>2702</v>
      </c>
      <c r="E873">
        <v>1</v>
      </c>
      <c r="F873" t="s">
        <v>285</v>
      </c>
      <c r="G873">
        <v>2</v>
      </c>
      <c r="H873" t="s">
        <v>310</v>
      </c>
      <c r="I873">
        <v>0</v>
      </c>
      <c r="J873">
        <f>DropAnalityka[[#This Row],[Sell Drop]]+IF(DropAnalityka[[#This Row],[Drop]]="Scroll", 2000*DropAnalityka[[#This Row],[Quality/Quantity]],0)</f>
        <v>0</v>
      </c>
      <c r="K8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4" spans="1:12">
      <c r="A874" t="s">
        <v>251</v>
      </c>
      <c r="B874" t="s">
        <v>9</v>
      </c>
      <c r="C874" t="s">
        <v>26</v>
      </c>
      <c r="D874">
        <v>6071</v>
      </c>
      <c r="E874">
        <v>0</v>
      </c>
      <c r="F874" t="s">
        <v>227</v>
      </c>
      <c r="G874">
        <v>4</v>
      </c>
      <c r="I874">
        <v>0</v>
      </c>
      <c r="J874">
        <f>DropAnalityka[[#This Row],[Sell Drop]]+IF(DropAnalityka[[#This Row],[Drop]]="Scroll", 2000*DropAnalityka[[#This Row],[Quality/Quantity]],0)</f>
        <v>0</v>
      </c>
      <c r="K8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5" spans="1:12">
      <c r="A875" t="s">
        <v>251</v>
      </c>
      <c r="B875" t="s">
        <v>9</v>
      </c>
      <c r="C875" t="s">
        <v>26</v>
      </c>
      <c r="D875">
        <v>5719</v>
      </c>
      <c r="E875">
        <v>0</v>
      </c>
      <c r="F875" t="s">
        <v>227</v>
      </c>
      <c r="G875">
        <v>4</v>
      </c>
      <c r="I875">
        <v>0</v>
      </c>
      <c r="J875">
        <f>DropAnalityka[[#This Row],[Sell Drop]]+IF(DropAnalityka[[#This Row],[Drop]]="Scroll", 2000*DropAnalityka[[#This Row],[Quality/Quantity]],0)</f>
        <v>0</v>
      </c>
      <c r="K8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6" spans="1:12">
      <c r="A876" t="s">
        <v>251</v>
      </c>
      <c r="B876" t="s">
        <v>9</v>
      </c>
      <c r="C876" t="s">
        <v>26</v>
      </c>
      <c r="D876">
        <v>5444</v>
      </c>
      <c r="E876">
        <v>0</v>
      </c>
      <c r="F876" t="s">
        <v>227</v>
      </c>
      <c r="G876">
        <v>4</v>
      </c>
      <c r="I876">
        <v>0</v>
      </c>
      <c r="J876">
        <f>DropAnalityka[[#This Row],[Sell Drop]]+IF(DropAnalityka[[#This Row],[Drop]]="Scroll", 2000*DropAnalityka[[#This Row],[Quality/Quantity]],0)</f>
        <v>0</v>
      </c>
      <c r="K8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7" spans="1:12">
      <c r="A877" t="s">
        <v>251</v>
      </c>
      <c r="B877" t="s">
        <v>9</v>
      </c>
      <c r="C877" t="s">
        <v>26</v>
      </c>
      <c r="D877">
        <v>5741</v>
      </c>
      <c r="E877">
        <v>0</v>
      </c>
      <c r="F877" t="s">
        <v>227</v>
      </c>
      <c r="G877">
        <v>4</v>
      </c>
      <c r="I877">
        <v>0</v>
      </c>
      <c r="J877">
        <f>DropAnalityka[[#This Row],[Sell Drop]]+IF(DropAnalityka[[#This Row],[Drop]]="Scroll", 2000*DropAnalityka[[#This Row],[Quality/Quantity]],0)</f>
        <v>0</v>
      </c>
      <c r="K8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8" spans="1:12">
      <c r="A878" t="s">
        <v>251</v>
      </c>
      <c r="B878" t="s">
        <v>9</v>
      </c>
      <c r="C878" t="s">
        <v>26</v>
      </c>
      <c r="D878">
        <v>6031</v>
      </c>
      <c r="E878">
        <v>0</v>
      </c>
      <c r="F878" t="s">
        <v>227</v>
      </c>
      <c r="G878">
        <v>4</v>
      </c>
      <c r="I878">
        <v>0</v>
      </c>
      <c r="J878">
        <f>DropAnalityka[[#This Row],[Sell Drop]]+IF(DropAnalityka[[#This Row],[Drop]]="Scroll", 2000*DropAnalityka[[#This Row],[Quality/Quantity]],0)</f>
        <v>0</v>
      </c>
      <c r="K8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9" spans="1:12">
      <c r="A879" t="s">
        <v>251</v>
      </c>
      <c r="B879" t="s">
        <v>9</v>
      </c>
      <c r="C879" t="s">
        <v>26</v>
      </c>
      <c r="D879">
        <v>5574</v>
      </c>
      <c r="E879">
        <v>0</v>
      </c>
      <c r="F879" t="s">
        <v>227</v>
      </c>
      <c r="G879">
        <v>4</v>
      </c>
      <c r="I879">
        <v>0</v>
      </c>
      <c r="J879">
        <f>DropAnalityka[[#This Row],[Sell Drop]]+IF(DropAnalityka[[#This Row],[Drop]]="Scroll", 2000*DropAnalityka[[#This Row],[Quality/Quantity]],0)</f>
        <v>0</v>
      </c>
      <c r="K8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80" spans="1:12">
      <c r="A880" t="s">
        <v>251</v>
      </c>
      <c r="B880" t="s">
        <v>9</v>
      </c>
      <c r="C880" t="s">
        <v>26</v>
      </c>
      <c r="D880">
        <v>6065</v>
      </c>
      <c r="E880">
        <v>0</v>
      </c>
      <c r="F880" t="s">
        <v>227</v>
      </c>
      <c r="G880">
        <v>4</v>
      </c>
      <c r="I880">
        <v>0</v>
      </c>
      <c r="J880">
        <f>DropAnalityka[[#This Row],[Sell Drop]]+IF(DropAnalityka[[#This Row],[Drop]]="Scroll", 2000*DropAnalityka[[#This Row],[Quality/Quantity]],0)</f>
        <v>0</v>
      </c>
      <c r="K8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81" spans="1:12">
      <c r="A881" t="s">
        <v>251</v>
      </c>
      <c r="B881" t="s">
        <v>9</v>
      </c>
      <c r="C881" t="s">
        <v>26</v>
      </c>
      <c r="D881">
        <v>5631</v>
      </c>
      <c r="E881">
        <v>0</v>
      </c>
      <c r="F881" t="s">
        <v>227</v>
      </c>
      <c r="G881">
        <v>4</v>
      </c>
      <c r="I881">
        <v>0</v>
      </c>
      <c r="J881">
        <f>DropAnalityka[[#This Row],[Sell Drop]]+IF(DropAnalityka[[#This Row],[Drop]]="Scroll", 2000*DropAnalityka[[#This Row],[Quality/Quantity]],0)</f>
        <v>0</v>
      </c>
      <c r="K8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82" spans="1:12">
      <c r="A882" t="s">
        <v>230</v>
      </c>
      <c r="B882" t="s">
        <v>9</v>
      </c>
      <c r="C882">
        <v>9</v>
      </c>
      <c r="D882">
        <v>2671</v>
      </c>
      <c r="E882">
        <v>0</v>
      </c>
      <c r="F882" t="s">
        <v>285</v>
      </c>
      <c r="G882">
        <v>1</v>
      </c>
      <c r="H882" t="s">
        <v>310</v>
      </c>
      <c r="I882">
        <v>0</v>
      </c>
      <c r="J882">
        <f>DropAnalityka[[#This Row],[Sell Drop]]+IF(DropAnalityka[[#This Row],[Drop]]="Scroll", 2000*DropAnalityka[[#This Row],[Quality/Quantity]],0)</f>
        <v>0</v>
      </c>
      <c r="K8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3" spans="1:12">
      <c r="A883" t="s">
        <v>230</v>
      </c>
      <c r="B883" t="s">
        <v>9</v>
      </c>
      <c r="C883">
        <v>9</v>
      </c>
      <c r="D883">
        <v>2940</v>
      </c>
      <c r="E883">
        <v>0</v>
      </c>
      <c r="F883" t="s">
        <v>285</v>
      </c>
      <c r="G883">
        <v>1</v>
      </c>
      <c r="H883" t="s">
        <v>311</v>
      </c>
      <c r="I883">
        <v>0</v>
      </c>
      <c r="J883">
        <f>DropAnalityka[[#This Row],[Sell Drop]]+IF(DropAnalityka[[#This Row],[Drop]]="Scroll", 2000*DropAnalityka[[#This Row],[Quality/Quantity]],0)</f>
        <v>0</v>
      </c>
      <c r="K8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4" spans="1:12">
      <c r="A884" t="s">
        <v>230</v>
      </c>
      <c r="B884" t="s">
        <v>9</v>
      </c>
      <c r="C884">
        <v>9</v>
      </c>
      <c r="D884">
        <v>2643</v>
      </c>
      <c r="E884">
        <v>2</v>
      </c>
      <c r="F884" t="s">
        <v>285</v>
      </c>
      <c r="G884">
        <v>1</v>
      </c>
      <c r="H884" t="s">
        <v>311</v>
      </c>
      <c r="I884">
        <v>0</v>
      </c>
      <c r="J884">
        <f>DropAnalityka[[#This Row],[Sell Drop]]+IF(DropAnalityka[[#This Row],[Drop]]="Scroll", 2000*DropAnalityka[[#This Row],[Quality/Quantity]],0)</f>
        <v>0</v>
      </c>
      <c r="K8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5" spans="1:12">
      <c r="A885" t="s">
        <v>230</v>
      </c>
      <c r="B885" t="s">
        <v>9</v>
      </c>
      <c r="C885">
        <v>9</v>
      </c>
      <c r="D885">
        <v>2968</v>
      </c>
      <c r="E885">
        <v>0</v>
      </c>
      <c r="F885" t="s">
        <v>285</v>
      </c>
      <c r="G885">
        <v>3</v>
      </c>
      <c r="H885" t="s">
        <v>310</v>
      </c>
      <c r="I885">
        <v>0</v>
      </c>
      <c r="J885">
        <f>DropAnalityka[[#This Row],[Sell Drop]]+IF(DropAnalityka[[#This Row],[Drop]]="Scroll", 2000*DropAnalityka[[#This Row],[Quality/Quantity]],0)</f>
        <v>0</v>
      </c>
      <c r="K8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6" spans="1:12">
      <c r="A886" t="s">
        <v>230</v>
      </c>
      <c r="B886" t="s">
        <v>9</v>
      </c>
      <c r="C886">
        <v>9</v>
      </c>
      <c r="D886">
        <v>2502</v>
      </c>
      <c r="E886">
        <v>2</v>
      </c>
      <c r="F886" t="s">
        <v>285</v>
      </c>
      <c r="G886">
        <v>2</v>
      </c>
      <c r="H886" t="s">
        <v>310</v>
      </c>
      <c r="I886">
        <v>0</v>
      </c>
      <c r="J886">
        <f>DropAnalityka[[#This Row],[Sell Drop]]+IF(DropAnalityka[[#This Row],[Drop]]="Scroll", 2000*DropAnalityka[[#This Row],[Quality/Quantity]],0)</f>
        <v>0</v>
      </c>
      <c r="K8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7" spans="1:12">
      <c r="A887" t="s">
        <v>230</v>
      </c>
      <c r="B887" t="s">
        <v>9</v>
      </c>
      <c r="C887">
        <v>9</v>
      </c>
      <c r="D887">
        <v>2719</v>
      </c>
      <c r="E887">
        <v>3</v>
      </c>
      <c r="F887" t="s">
        <v>251</v>
      </c>
      <c r="G887" t="s">
        <v>325</v>
      </c>
      <c r="I887">
        <v>0</v>
      </c>
      <c r="J887">
        <f>DropAnalityka[[#This Row],[Sell Drop]]+IF(DropAnalityka[[#This Row],[Drop]]="Scroll", 2000*DropAnalityka[[#This Row],[Quality/Quantity]],0)</f>
        <v>0</v>
      </c>
      <c r="K8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8" spans="1:12">
      <c r="A888" t="s">
        <v>230</v>
      </c>
      <c r="B888" t="s">
        <v>9</v>
      </c>
      <c r="C888">
        <v>9</v>
      </c>
      <c r="D888">
        <v>2733</v>
      </c>
      <c r="E888">
        <v>1</v>
      </c>
      <c r="F888" t="s">
        <v>285</v>
      </c>
      <c r="G888">
        <v>1</v>
      </c>
      <c r="H888" t="s">
        <v>310</v>
      </c>
      <c r="I888">
        <v>0</v>
      </c>
      <c r="J888">
        <f>DropAnalityka[[#This Row],[Sell Drop]]+IF(DropAnalityka[[#This Row],[Drop]]="Scroll", 2000*DropAnalityka[[#This Row],[Quality/Quantity]],0)</f>
        <v>0</v>
      </c>
      <c r="K8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9" spans="1:12">
      <c r="A889" t="s">
        <v>230</v>
      </c>
      <c r="B889" t="s">
        <v>9</v>
      </c>
      <c r="C889">
        <v>9</v>
      </c>
      <c r="D889">
        <v>2917</v>
      </c>
      <c r="E889">
        <v>1</v>
      </c>
      <c r="F889" t="s">
        <v>285</v>
      </c>
      <c r="G889">
        <v>1</v>
      </c>
      <c r="H889" t="s">
        <v>310</v>
      </c>
      <c r="I889">
        <v>0</v>
      </c>
      <c r="J889">
        <f>DropAnalityka[[#This Row],[Sell Drop]]+IF(DropAnalityka[[#This Row],[Drop]]="Scroll", 2000*DropAnalityka[[#This Row],[Quality/Quantity]],0)</f>
        <v>0</v>
      </c>
      <c r="K8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0" spans="1:12">
      <c r="A890" t="s">
        <v>230</v>
      </c>
      <c r="B890" t="s">
        <v>9</v>
      </c>
      <c r="C890">
        <v>9</v>
      </c>
      <c r="D890">
        <v>2662</v>
      </c>
      <c r="E890">
        <v>0</v>
      </c>
      <c r="F890" t="s">
        <v>285</v>
      </c>
      <c r="G890">
        <v>3</v>
      </c>
      <c r="H890" t="s">
        <v>311</v>
      </c>
      <c r="I890">
        <v>0</v>
      </c>
      <c r="J890">
        <f>DropAnalityka[[#This Row],[Sell Drop]]+IF(DropAnalityka[[#This Row],[Drop]]="Scroll", 2000*DropAnalityka[[#This Row],[Quality/Quantity]],0)</f>
        <v>0</v>
      </c>
      <c r="K8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1" spans="1:12">
      <c r="A891" t="s">
        <v>230</v>
      </c>
      <c r="B891" t="s">
        <v>9</v>
      </c>
      <c r="C891">
        <v>9</v>
      </c>
      <c r="D891">
        <v>2980</v>
      </c>
      <c r="E891">
        <v>1</v>
      </c>
      <c r="F891" t="s">
        <v>285</v>
      </c>
      <c r="G891">
        <v>2</v>
      </c>
      <c r="H891" t="s">
        <v>310</v>
      </c>
      <c r="I891">
        <v>0</v>
      </c>
      <c r="J891">
        <f>DropAnalityka[[#This Row],[Sell Drop]]+IF(DropAnalityka[[#This Row],[Drop]]="Scroll", 2000*DropAnalityka[[#This Row],[Quality/Quantity]],0)</f>
        <v>0</v>
      </c>
      <c r="K8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2" spans="1:12">
      <c r="A892" t="s">
        <v>230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 t="s">
        <v>26</v>
      </c>
      <c r="I892">
        <v>0</v>
      </c>
      <c r="J892">
        <f>DropAnalityka[[#This Row],[Sell Drop]]+IF(DropAnalityka[[#This Row],[Drop]]="Scroll", 2000*DropAnalityka[[#This Row],[Quality/Quantity]],0)</f>
        <v>0</v>
      </c>
      <c r="K8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3" spans="1:12">
      <c r="A893" t="s">
        <v>230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I893">
        <v>0</v>
      </c>
      <c r="J893">
        <f>DropAnalityka[[#This Row],[Sell Drop]]+IF(DropAnalityka[[#This Row],[Drop]]="Scroll", 2000*DropAnalityka[[#This Row],[Quality/Quantity]],0)</f>
        <v>10000</v>
      </c>
      <c r="K8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4" spans="1:12">
      <c r="A894" t="s">
        <v>230</v>
      </c>
      <c r="B894" t="s">
        <v>9</v>
      </c>
      <c r="C894">
        <v>9</v>
      </c>
      <c r="D894">
        <v>2705</v>
      </c>
      <c r="E894">
        <v>1</v>
      </c>
      <c r="F894" t="s">
        <v>285</v>
      </c>
      <c r="G894">
        <v>1</v>
      </c>
      <c r="H894" t="s">
        <v>311</v>
      </c>
      <c r="I894">
        <v>0</v>
      </c>
      <c r="J894">
        <f>DropAnalityka[[#This Row],[Sell Drop]]+IF(DropAnalityka[[#This Row],[Drop]]="Scroll", 2000*DropAnalityka[[#This Row],[Quality/Quantity]],0)</f>
        <v>0</v>
      </c>
      <c r="K8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5" spans="1:12">
      <c r="A895" t="s">
        <v>230</v>
      </c>
      <c r="B895" t="s">
        <v>9</v>
      </c>
      <c r="C895">
        <v>9</v>
      </c>
      <c r="D895">
        <v>2769</v>
      </c>
      <c r="E895">
        <v>1</v>
      </c>
      <c r="F895" t="s">
        <v>285</v>
      </c>
      <c r="G895">
        <v>1</v>
      </c>
      <c r="H895" t="s">
        <v>311</v>
      </c>
      <c r="I895">
        <v>0</v>
      </c>
      <c r="J895">
        <f>DropAnalityka[[#This Row],[Sell Drop]]+IF(DropAnalityka[[#This Row],[Drop]]="Scroll", 2000*DropAnalityka[[#This Row],[Quality/Quantity]],0)</f>
        <v>0</v>
      </c>
      <c r="K8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288</v>
      </c>
      <c r="G896">
        <v>5</v>
      </c>
      <c r="H896" t="s">
        <v>309</v>
      </c>
      <c r="I896">
        <v>0</v>
      </c>
      <c r="J896">
        <f>DropAnalityka[[#This Row],[Sell Drop]]+IF(DropAnalityka[[#This Row],[Drop]]="Scroll", 2000*DropAnalityka[[#This Row],[Quality/Quantity]],0)</f>
        <v>0</v>
      </c>
      <c r="K8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7" spans="1:12">
      <c r="A897" t="s">
        <v>326</v>
      </c>
      <c r="B897" t="s">
        <v>9</v>
      </c>
      <c r="C897">
        <v>9</v>
      </c>
      <c r="D897">
        <v>2838</v>
      </c>
      <c r="E897">
        <v>0</v>
      </c>
      <c r="F897" t="s">
        <v>286</v>
      </c>
      <c r="G897">
        <v>4</v>
      </c>
      <c r="H897" t="s">
        <v>309</v>
      </c>
      <c r="I897">
        <v>0</v>
      </c>
      <c r="J897">
        <f>DropAnalityka[[#This Row],[Sell Drop]]+IF(DropAnalityka[[#This Row],[Drop]]="Scroll", 2000*DropAnalityka[[#This Row],[Quality/Quantity]],0)</f>
        <v>0</v>
      </c>
      <c r="K8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8" spans="1:12">
      <c r="A898" t="s">
        <v>326</v>
      </c>
      <c r="B898" t="s">
        <v>9</v>
      </c>
      <c r="C898">
        <v>9</v>
      </c>
      <c r="D898">
        <v>2427</v>
      </c>
      <c r="E898">
        <v>1</v>
      </c>
      <c r="F898" t="s">
        <v>302</v>
      </c>
      <c r="G898">
        <v>3</v>
      </c>
      <c r="I898">
        <v>0</v>
      </c>
      <c r="J898">
        <f>DropAnalityka[[#This Row],[Sell Drop]]+IF(DropAnalityka[[#This Row],[Drop]]="Scroll", 2000*DropAnalityka[[#This Row],[Quality/Quantity]],0)</f>
        <v>0</v>
      </c>
      <c r="K8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9" spans="1:12">
      <c r="A899" t="s">
        <v>326</v>
      </c>
      <c r="B899" t="s">
        <v>9</v>
      </c>
      <c r="C899">
        <v>9</v>
      </c>
      <c r="D899">
        <v>3047</v>
      </c>
      <c r="E899">
        <v>2</v>
      </c>
      <c r="F899" t="s">
        <v>286</v>
      </c>
      <c r="G899">
        <v>1</v>
      </c>
      <c r="H899" t="s">
        <v>310</v>
      </c>
      <c r="I899">
        <v>0</v>
      </c>
      <c r="J899">
        <f>DropAnalityka[[#This Row],[Sell Drop]]+IF(DropAnalityka[[#This Row],[Drop]]="Scroll", 2000*DropAnalityka[[#This Row],[Quality/Quantity]],0)</f>
        <v>0</v>
      </c>
      <c r="K8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0" spans="1:12">
      <c r="A900" t="s">
        <v>326</v>
      </c>
      <c r="B900" t="s">
        <v>9</v>
      </c>
      <c r="C900">
        <v>9</v>
      </c>
      <c r="D900">
        <v>2866</v>
      </c>
      <c r="E900">
        <v>1</v>
      </c>
      <c r="F900" t="s">
        <v>229</v>
      </c>
      <c r="G900" t="s">
        <v>17</v>
      </c>
      <c r="I900">
        <v>0</v>
      </c>
      <c r="J900">
        <f>DropAnalityka[[#This Row],[Sell Drop]]+IF(DropAnalityka[[#This Row],[Drop]]="Scroll", 2000*DropAnalityka[[#This Row],[Quality/Quantity]],0)</f>
        <v>0</v>
      </c>
      <c r="K9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1" spans="1:12">
      <c r="A901" t="s">
        <v>326</v>
      </c>
      <c r="B901" t="s">
        <v>9</v>
      </c>
      <c r="C901">
        <v>9</v>
      </c>
      <c r="D901">
        <v>2763</v>
      </c>
      <c r="E901">
        <v>0</v>
      </c>
      <c r="F901" t="s">
        <v>302</v>
      </c>
      <c r="G901">
        <v>2</v>
      </c>
      <c r="I901">
        <v>0</v>
      </c>
      <c r="J901">
        <f>DropAnalityka[[#This Row],[Sell Drop]]+IF(DropAnalityka[[#This Row],[Drop]]="Scroll", 2000*DropAnalityka[[#This Row],[Quality/Quantity]],0)</f>
        <v>0</v>
      </c>
      <c r="K9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2" spans="1:12">
      <c r="A902" t="s">
        <v>326</v>
      </c>
      <c r="B902" t="s">
        <v>9</v>
      </c>
      <c r="C902">
        <v>9</v>
      </c>
      <c r="D902">
        <v>3056</v>
      </c>
      <c r="E902">
        <v>1</v>
      </c>
      <c r="F902" t="s">
        <v>302</v>
      </c>
      <c r="G902">
        <v>1</v>
      </c>
      <c r="I902">
        <v>0</v>
      </c>
      <c r="J902">
        <f>DropAnalityka[[#This Row],[Sell Drop]]+IF(DropAnalityka[[#This Row],[Drop]]="Scroll", 2000*DropAnalityka[[#This Row],[Quality/Quantity]],0)</f>
        <v>0</v>
      </c>
      <c r="K9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3" spans="1:12">
      <c r="A903" t="s">
        <v>326</v>
      </c>
      <c r="B903" t="s">
        <v>9</v>
      </c>
      <c r="C903">
        <v>9</v>
      </c>
      <c r="D903">
        <v>2719</v>
      </c>
      <c r="E903">
        <v>0</v>
      </c>
      <c r="F903" t="s">
        <v>286</v>
      </c>
      <c r="G903">
        <v>5</v>
      </c>
      <c r="H903" t="s">
        <v>309</v>
      </c>
      <c r="I903">
        <v>0</v>
      </c>
      <c r="J903">
        <f>DropAnalityka[[#This Row],[Sell Drop]]+IF(DropAnalityka[[#This Row],[Drop]]="Scroll", 2000*DropAnalityka[[#This Row],[Quality/Quantity]],0)</f>
        <v>0</v>
      </c>
      <c r="K9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4" spans="1:12">
      <c r="A904" t="s">
        <v>326</v>
      </c>
      <c r="B904" t="s">
        <v>9</v>
      </c>
      <c r="C904">
        <v>9</v>
      </c>
      <c r="D904">
        <v>2911</v>
      </c>
      <c r="E904">
        <v>1</v>
      </c>
      <c r="F904" t="s">
        <v>286</v>
      </c>
      <c r="G904">
        <v>5</v>
      </c>
      <c r="H904" t="s">
        <v>309</v>
      </c>
      <c r="I904">
        <v>0</v>
      </c>
      <c r="J904">
        <f>DropAnalityka[[#This Row],[Sell Drop]]+IF(DropAnalityka[[#This Row],[Drop]]="Scroll", 2000*DropAnalityka[[#This Row],[Quality/Quantity]],0)</f>
        <v>0</v>
      </c>
      <c r="K9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5" spans="1:12">
      <c r="A905" t="s">
        <v>326</v>
      </c>
      <c r="B905" t="s">
        <v>9</v>
      </c>
      <c r="C905">
        <v>9</v>
      </c>
      <c r="D905">
        <v>2858</v>
      </c>
      <c r="E905">
        <v>0</v>
      </c>
      <c r="F905" t="s">
        <v>286</v>
      </c>
      <c r="G905">
        <v>1</v>
      </c>
      <c r="H905" t="s">
        <v>310</v>
      </c>
      <c r="I905">
        <v>0</v>
      </c>
      <c r="J905">
        <f>DropAnalityka[[#This Row],[Sell Drop]]+IF(DropAnalityka[[#This Row],[Drop]]="Scroll", 2000*DropAnalityka[[#This Row],[Quality/Quantity]],0)</f>
        <v>0</v>
      </c>
      <c r="K9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6" spans="1:12">
      <c r="A906" t="s">
        <v>326</v>
      </c>
      <c r="B906" t="s">
        <v>9</v>
      </c>
      <c r="C906">
        <v>9</v>
      </c>
      <c r="D906">
        <v>2965</v>
      </c>
      <c r="E906">
        <v>1</v>
      </c>
      <c r="F906" t="s">
        <v>286</v>
      </c>
      <c r="G906">
        <v>3</v>
      </c>
      <c r="H906" t="s">
        <v>310</v>
      </c>
      <c r="I906">
        <v>0</v>
      </c>
      <c r="J906">
        <f>DropAnalityka[[#This Row],[Sell Drop]]+IF(DropAnalityka[[#This Row],[Drop]]="Scroll", 2000*DropAnalityka[[#This Row],[Quality/Quantity]],0)</f>
        <v>0</v>
      </c>
      <c r="K9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7" spans="1:12">
      <c r="A907" t="s">
        <v>326</v>
      </c>
      <c r="B907" t="s">
        <v>9</v>
      </c>
      <c r="C907">
        <v>9</v>
      </c>
      <c r="D907">
        <v>3486</v>
      </c>
      <c r="E907">
        <v>1</v>
      </c>
      <c r="F907" t="s">
        <v>229</v>
      </c>
      <c r="G907" t="s">
        <v>17</v>
      </c>
      <c r="I907">
        <v>0</v>
      </c>
      <c r="J907">
        <f>DropAnalityka[[#This Row],[Sell Drop]]+IF(DropAnalityka[[#This Row],[Drop]]="Scroll", 2000*DropAnalityka[[#This Row],[Quality/Quantity]],0)</f>
        <v>0</v>
      </c>
      <c r="K9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8" spans="1:12">
      <c r="A908" t="s">
        <v>326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 t="s">
        <v>26</v>
      </c>
      <c r="I908">
        <v>0</v>
      </c>
      <c r="J908">
        <f>DropAnalityka[[#This Row],[Sell Drop]]+IF(DropAnalityka[[#This Row],[Drop]]="Scroll", 2000*DropAnalityka[[#This Row],[Quality/Quantity]],0)</f>
        <v>0</v>
      </c>
      <c r="K9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9" spans="1:12">
      <c r="A909" t="s">
        <v>326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I909">
        <v>0</v>
      </c>
      <c r="J909">
        <f>DropAnalityka[[#This Row],[Sell Drop]]+IF(DropAnalityka[[#This Row],[Drop]]="Scroll", 2000*DropAnalityka[[#This Row],[Quality/Quantity]],0)</f>
        <v>10000</v>
      </c>
      <c r="K9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0" spans="1:12">
      <c r="A910" t="s">
        <v>326</v>
      </c>
      <c r="B910" t="s">
        <v>9</v>
      </c>
      <c r="C910">
        <v>9</v>
      </c>
      <c r="D910">
        <v>2744</v>
      </c>
      <c r="E910">
        <v>1</v>
      </c>
      <c r="F910" t="s">
        <v>286</v>
      </c>
      <c r="G910">
        <v>1</v>
      </c>
      <c r="H910" t="s">
        <v>311</v>
      </c>
      <c r="I910">
        <v>0</v>
      </c>
      <c r="J910">
        <f>DropAnalityka[[#This Row],[Sell Drop]]+IF(DropAnalityka[[#This Row],[Drop]]="Scroll", 2000*DropAnalityka[[#This Row],[Quality/Quantity]],0)</f>
        <v>0</v>
      </c>
      <c r="K9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1" spans="1:12">
      <c r="A911" t="s">
        <v>326</v>
      </c>
      <c r="B911" t="s">
        <v>9</v>
      </c>
      <c r="C911">
        <v>9</v>
      </c>
      <c r="D911">
        <v>2564</v>
      </c>
      <c r="E911">
        <v>0</v>
      </c>
      <c r="F911" t="s">
        <v>286</v>
      </c>
      <c r="G911">
        <v>5</v>
      </c>
      <c r="H911" t="s">
        <v>309</v>
      </c>
      <c r="I911">
        <v>0</v>
      </c>
      <c r="J911">
        <f>DropAnalityka[[#This Row],[Sell Drop]]+IF(DropAnalityka[[#This Row],[Drop]]="Scroll", 2000*DropAnalityka[[#This Row],[Quality/Quantity]],0)</f>
        <v>0</v>
      </c>
      <c r="K9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2" spans="1:12">
      <c r="A912" t="s">
        <v>326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 t="s">
        <v>26</v>
      </c>
      <c r="I912">
        <v>0</v>
      </c>
      <c r="J912">
        <f>DropAnalityka[[#This Row],[Sell Drop]]+IF(DropAnalityka[[#This Row],[Drop]]="Scroll", 2000*DropAnalityka[[#This Row],[Quality/Quantity]],0)</f>
        <v>0</v>
      </c>
      <c r="K9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3" spans="1:12">
      <c r="A913" t="s">
        <v>326</v>
      </c>
      <c r="B913" t="s">
        <v>9</v>
      </c>
      <c r="C913">
        <v>9</v>
      </c>
      <c r="D913">
        <v>2779</v>
      </c>
      <c r="E913">
        <v>0</v>
      </c>
      <c r="F913" t="s">
        <v>302</v>
      </c>
      <c r="G913">
        <v>2</v>
      </c>
      <c r="I913">
        <v>0</v>
      </c>
      <c r="J913">
        <f>DropAnalityka[[#This Row],[Sell Drop]]+IF(DropAnalityka[[#This Row],[Drop]]="Scroll", 2000*DropAnalityka[[#This Row],[Quality/Quantity]],0)</f>
        <v>0</v>
      </c>
      <c r="K9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288</v>
      </c>
      <c r="G914">
        <v>3</v>
      </c>
      <c r="H914" t="s">
        <v>310</v>
      </c>
      <c r="I914">
        <v>0</v>
      </c>
      <c r="J914">
        <f>DropAnalityka[[#This Row],[Sell Drop]]+IF(DropAnalityka[[#This Row],[Drop]]="Scroll", 2000*DropAnalityka[[#This Row],[Quality/Quantity]],0)</f>
        <v>0</v>
      </c>
      <c r="K9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5" spans="1:12">
      <c r="A915" t="s">
        <v>326</v>
      </c>
      <c r="B915" t="s">
        <v>9</v>
      </c>
      <c r="C915">
        <v>9</v>
      </c>
      <c r="D915">
        <v>3032</v>
      </c>
      <c r="E915">
        <v>0</v>
      </c>
      <c r="F915" t="s">
        <v>286</v>
      </c>
      <c r="G915">
        <v>5</v>
      </c>
      <c r="H915" t="s">
        <v>309</v>
      </c>
      <c r="I915">
        <v>0</v>
      </c>
      <c r="J915">
        <f>DropAnalityka[[#This Row],[Sell Drop]]+IF(DropAnalityka[[#This Row],[Drop]]="Scroll", 2000*DropAnalityka[[#This Row],[Quality/Quantity]],0)</f>
        <v>0</v>
      </c>
      <c r="K9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6" spans="1:12">
      <c r="A916" t="s">
        <v>326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 t="s">
        <v>26</v>
      </c>
      <c r="I916">
        <v>0</v>
      </c>
      <c r="J916">
        <f>DropAnalityka[[#This Row],[Sell Drop]]+IF(DropAnalityka[[#This Row],[Drop]]="Scroll", 2000*DropAnalityka[[#This Row],[Quality/Quantity]],0)</f>
        <v>0</v>
      </c>
      <c r="K9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7" spans="1:12">
      <c r="A917" t="s">
        <v>326</v>
      </c>
      <c r="B917" t="s">
        <v>9</v>
      </c>
      <c r="C917">
        <v>9</v>
      </c>
      <c r="D917">
        <v>2891</v>
      </c>
      <c r="E917">
        <v>2</v>
      </c>
      <c r="F917" t="s">
        <v>286</v>
      </c>
      <c r="G917">
        <v>1</v>
      </c>
      <c r="H917" t="s">
        <v>310</v>
      </c>
      <c r="I917">
        <v>0</v>
      </c>
      <c r="J917">
        <f>DropAnalityka[[#This Row],[Sell Drop]]+IF(DropAnalityka[[#This Row],[Drop]]="Scroll", 2000*DropAnalityka[[#This Row],[Quality/Quantity]],0)</f>
        <v>0</v>
      </c>
      <c r="K9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8" spans="1:12">
      <c r="A918" t="s">
        <v>326</v>
      </c>
      <c r="B918" t="s">
        <v>9</v>
      </c>
      <c r="C918">
        <v>9</v>
      </c>
      <c r="D918">
        <v>2799</v>
      </c>
      <c r="E918">
        <v>0</v>
      </c>
      <c r="F918" t="s">
        <v>286</v>
      </c>
      <c r="G918">
        <v>2</v>
      </c>
      <c r="H918" t="s">
        <v>310</v>
      </c>
      <c r="I918">
        <v>0</v>
      </c>
      <c r="J918">
        <f>DropAnalityka[[#This Row],[Sell Drop]]+IF(DropAnalityka[[#This Row],[Drop]]="Scroll", 2000*DropAnalityka[[#This Row],[Quality/Quantity]],0)</f>
        <v>0</v>
      </c>
      <c r="K9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9" spans="1:12">
      <c r="A919" t="s">
        <v>326</v>
      </c>
      <c r="B919" t="s">
        <v>9</v>
      </c>
      <c r="C919">
        <v>9</v>
      </c>
      <c r="D919">
        <v>3197</v>
      </c>
      <c r="E919">
        <v>1</v>
      </c>
      <c r="F919" t="s">
        <v>286</v>
      </c>
      <c r="G919">
        <v>2</v>
      </c>
      <c r="H919" t="s">
        <v>310</v>
      </c>
      <c r="I919">
        <v>0</v>
      </c>
      <c r="J919">
        <f>DropAnalityka[[#This Row],[Sell Drop]]+IF(DropAnalityka[[#This Row],[Drop]]="Scroll", 2000*DropAnalityka[[#This Row],[Quality/Quantity]],0)</f>
        <v>0</v>
      </c>
      <c r="K9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0" spans="1:12">
      <c r="A920" t="s">
        <v>326</v>
      </c>
      <c r="B920" t="s">
        <v>9</v>
      </c>
      <c r="C920">
        <v>9</v>
      </c>
      <c r="D920">
        <v>3013</v>
      </c>
      <c r="E920">
        <v>0</v>
      </c>
      <c r="F920" t="s">
        <v>286</v>
      </c>
      <c r="G920">
        <v>4</v>
      </c>
      <c r="H920" t="s">
        <v>309</v>
      </c>
      <c r="I920">
        <v>0</v>
      </c>
      <c r="J920">
        <f>DropAnalityka[[#This Row],[Sell Drop]]+IF(DropAnalityka[[#This Row],[Drop]]="Scroll", 2000*DropAnalityka[[#This Row],[Quality/Quantity]],0)</f>
        <v>0</v>
      </c>
      <c r="K9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1" spans="1:12">
      <c r="A921" t="s">
        <v>326</v>
      </c>
      <c r="B921" t="s">
        <v>9</v>
      </c>
      <c r="C921">
        <v>9</v>
      </c>
      <c r="D921">
        <v>3393</v>
      </c>
      <c r="E921">
        <v>1</v>
      </c>
      <c r="F921" t="s">
        <v>286</v>
      </c>
      <c r="G921">
        <v>4</v>
      </c>
      <c r="H921" t="s">
        <v>309</v>
      </c>
      <c r="I921">
        <v>0</v>
      </c>
      <c r="J921">
        <f>DropAnalityka[[#This Row],[Sell Drop]]+IF(DropAnalityka[[#This Row],[Drop]]="Scroll", 2000*DropAnalityka[[#This Row],[Quality/Quantity]],0)</f>
        <v>0</v>
      </c>
      <c r="K9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2" spans="1:12">
      <c r="A922" t="s">
        <v>326</v>
      </c>
      <c r="B922" t="s">
        <v>9</v>
      </c>
      <c r="C922">
        <v>9</v>
      </c>
      <c r="D922">
        <v>3290</v>
      </c>
      <c r="E922">
        <v>0</v>
      </c>
      <c r="F922" t="s">
        <v>306</v>
      </c>
      <c r="G922">
        <v>1</v>
      </c>
      <c r="I922">
        <v>0</v>
      </c>
      <c r="J922">
        <f>DropAnalityka[[#This Row],[Sell Drop]]+IF(DropAnalityka[[#This Row],[Drop]]="Scroll", 2000*DropAnalityka[[#This Row],[Quality/Quantity]],0)</f>
        <v>0</v>
      </c>
      <c r="K9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3" spans="1:12">
      <c r="A923" t="s">
        <v>326</v>
      </c>
      <c r="B923" t="s">
        <v>9</v>
      </c>
      <c r="C923">
        <v>9</v>
      </c>
      <c r="F923" t="s">
        <v>286</v>
      </c>
      <c r="I923">
        <v>0</v>
      </c>
      <c r="J923">
        <f>DropAnalityka[[#This Row],[Sell Drop]]+IF(DropAnalityka[[#This Row],[Drop]]="Scroll", 2000*DropAnalityka[[#This Row],[Quality/Quantity]],0)</f>
        <v>0</v>
      </c>
      <c r="K9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4" spans="1:12">
      <c r="A924" t="s">
        <v>326</v>
      </c>
      <c r="B924" t="s">
        <v>9</v>
      </c>
      <c r="C924">
        <v>9</v>
      </c>
      <c r="F924" t="s">
        <v>286</v>
      </c>
      <c r="I924">
        <v>0</v>
      </c>
      <c r="J924">
        <f>DropAnalityka[[#This Row],[Sell Drop]]+IF(DropAnalityka[[#This Row],[Drop]]="Scroll", 2000*DropAnalityka[[#This Row],[Quality/Quantity]],0)</f>
        <v>0</v>
      </c>
      <c r="K9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5" spans="1:12">
      <c r="A925" t="s">
        <v>326</v>
      </c>
      <c r="B925" t="s">
        <v>9</v>
      </c>
      <c r="C925">
        <v>9</v>
      </c>
      <c r="F925" t="s">
        <v>286</v>
      </c>
      <c r="I925">
        <v>0</v>
      </c>
      <c r="J925">
        <f>DropAnalityka[[#This Row],[Sell Drop]]+IF(DropAnalityka[[#This Row],[Drop]]="Scroll", 2000*DropAnalityka[[#This Row],[Quality/Quantity]],0)</f>
        <v>0</v>
      </c>
      <c r="K9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6" spans="1:12">
      <c r="A926" t="s">
        <v>326</v>
      </c>
      <c r="B926" t="s">
        <v>9</v>
      </c>
      <c r="C926">
        <v>9</v>
      </c>
      <c r="F926" t="s">
        <v>286</v>
      </c>
      <c r="I926">
        <v>0</v>
      </c>
      <c r="J926">
        <f>DropAnalityka[[#This Row],[Sell Drop]]+IF(DropAnalityka[[#This Row],[Drop]]="Scroll", 2000*DropAnalityka[[#This Row],[Quality/Quantity]],0)</f>
        <v>0</v>
      </c>
      <c r="K9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7" spans="1:12">
      <c r="A927" t="s">
        <v>326</v>
      </c>
      <c r="B927" t="s">
        <v>9</v>
      </c>
      <c r="C927">
        <v>9</v>
      </c>
      <c r="F927" t="s">
        <v>286</v>
      </c>
      <c r="I927">
        <v>0</v>
      </c>
      <c r="J927">
        <f>DropAnalityka[[#This Row],[Sell Drop]]+IF(DropAnalityka[[#This Row],[Drop]]="Scroll", 2000*DropAnalityka[[#This Row],[Quality/Quantity]],0)</f>
        <v>0</v>
      </c>
      <c r="K9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8" spans="1:12">
      <c r="A928" t="s">
        <v>326</v>
      </c>
      <c r="B928" t="s">
        <v>9</v>
      </c>
      <c r="C928">
        <v>9</v>
      </c>
      <c r="F928" t="s">
        <v>286</v>
      </c>
      <c r="I928">
        <v>0</v>
      </c>
      <c r="J928">
        <f>DropAnalityka[[#This Row],[Sell Drop]]+IF(DropAnalityka[[#This Row],[Drop]]="Scroll", 2000*DropAnalityka[[#This Row],[Quality/Quantity]],0)</f>
        <v>0</v>
      </c>
      <c r="K9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9" spans="1:12">
      <c r="A929" t="s">
        <v>326</v>
      </c>
      <c r="B929" t="s">
        <v>9</v>
      </c>
      <c r="C929">
        <v>9</v>
      </c>
      <c r="F929" t="s">
        <v>286</v>
      </c>
      <c r="I929">
        <v>0</v>
      </c>
      <c r="J929">
        <f>DropAnalityka[[#This Row],[Sell Drop]]+IF(DropAnalityka[[#This Row],[Drop]]="Scroll", 2000*DropAnalityka[[#This Row],[Quality/Quantity]],0)</f>
        <v>0</v>
      </c>
      <c r="K9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0" spans="1:12">
      <c r="J930">
        <f>DropAnalityka[[#This Row],[Sell Drop]]+IF(DropAnalityka[[#This Row],[Drop]]="Scroll", 2000*DropAnalityka[[#This Row],[Quality/Quantity]],0)</f>
        <v>0</v>
      </c>
      <c r="K9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1" spans="1:12">
      <c r="J931">
        <f>DropAnalityka[[#This Row],[Sell Drop]]+IF(DropAnalityka[[#This Row],[Drop]]="Scroll", 2000*DropAnalityka[[#This Row],[Quality/Quantity]],0)</f>
        <v>0</v>
      </c>
      <c r="K9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2" spans="1:12">
      <c r="J932">
        <f>DropAnalityka[[#This Row],[Sell Drop]]+IF(DropAnalityka[[#This Row],[Drop]]="Scroll", 2000*DropAnalityka[[#This Row],[Quality/Quantity]],0)</f>
        <v>0</v>
      </c>
      <c r="K9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3" spans="1:12">
      <c r="J933">
        <f>DropAnalityka[[#This Row],[Sell Drop]]+IF(DropAnalityka[[#This Row],[Drop]]="Scroll", 2000*DropAnalityka[[#This Row],[Quality/Quantity]],0)</f>
        <v>0</v>
      </c>
      <c r="K9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4" spans="1:12">
      <c r="J934">
        <f>DropAnalityka[[#This Row],[Sell Drop]]+IF(DropAnalityka[[#This Row],[Drop]]="Scroll", 2000*DropAnalityka[[#This Row],[Quality/Quantity]],0)</f>
        <v>0</v>
      </c>
      <c r="K9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5" spans="1:12">
      <c r="J935">
        <f>DropAnalityka[[#This Row],[Sell Drop]]+IF(DropAnalityka[[#This Row],[Drop]]="Scroll", 2000*DropAnalityka[[#This Row],[Quality/Quantity]],0)</f>
        <v>0</v>
      </c>
      <c r="K9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6" spans="1:12">
      <c r="J936">
        <f>DropAnalityka[[#This Row],[Sell Drop]]+IF(DropAnalityka[[#This Row],[Drop]]="Scroll", 2000*DropAnalityka[[#This Row],[Quality/Quantity]],0)</f>
        <v>0</v>
      </c>
      <c r="K9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7" spans="1:12">
      <c r="J937">
        <f>DropAnalityka[[#This Row],[Sell Drop]]+IF(DropAnalityka[[#This Row],[Drop]]="Scroll", 2000*DropAnalityka[[#This Row],[Quality/Quantity]],0)</f>
        <v>0</v>
      </c>
      <c r="K9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8" spans="1:12">
      <c r="J938">
        <f>DropAnalityka[[#This Row],[Sell Drop]]+IF(DropAnalityka[[#This Row],[Drop]]="Scroll", 2000*DropAnalityka[[#This Row],[Quality/Quantity]],0)</f>
        <v>0</v>
      </c>
      <c r="K9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9" spans="1:12">
      <c r="J939">
        <f>DropAnalityka[[#This Row],[Sell Drop]]+IF(DropAnalityka[[#This Row],[Drop]]="Scroll", 2000*DropAnalityka[[#This Row],[Quality/Quantity]],0)</f>
        <v>0</v>
      </c>
      <c r="K9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0" spans="1:12">
      <c r="J940">
        <f>DropAnalityka[[#This Row],[Sell Drop]]+IF(DropAnalityka[[#This Row],[Drop]]="Scroll", 2000*DropAnalityka[[#This Row],[Quality/Quantity]],0)</f>
        <v>0</v>
      </c>
      <c r="K9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1" spans="1:12">
      <c r="J941">
        <f>DropAnalityka[[#This Row],[Sell Drop]]+IF(DropAnalityka[[#This Row],[Drop]]="Scroll", 2000*DropAnalityka[[#This Row],[Quality/Quantity]],0)</f>
        <v>0</v>
      </c>
      <c r="K9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2" spans="1:12">
      <c r="J942">
        <f>DropAnalityka[[#This Row],[Sell Drop]]+IF(DropAnalityka[[#This Row],[Drop]]="Scroll", 2000*DropAnalityka[[#This Row],[Quality/Quantity]],0)</f>
        <v>0</v>
      </c>
      <c r="K9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3" spans="1:12">
      <c r="J943">
        <f>DropAnalityka[[#This Row],[Sell Drop]]+IF(DropAnalityka[[#This Row],[Drop]]="Scroll", 2000*DropAnalityka[[#This Row],[Quality/Quantity]],0)</f>
        <v>0</v>
      </c>
      <c r="K9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4" spans="1:12">
      <c r="J944">
        <f>DropAnalityka[[#This Row],[Sell Drop]]+IF(DropAnalityka[[#This Row],[Drop]]="Scroll", 2000*DropAnalityka[[#This Row],[Quality/Quantity]],0)</f>
        <v>0</v>
      </c>
      <c r="K9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5" spans="10:12">
      <c r="J945">
        <f>DropAnalityka[[#This Row],[Sell Drop]]+IF(DropAnalityka[[#This Row],[Drop]]="Scroll", 2000*DropAnalityka[[#This Row],[Quality/Quantity]],0)</f>
        <v>0</v>
      </c>
      <c r="K9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6" spans="10:12">
      <c r="J946">
        <f>DropAnalityka[[#This Row],[Sell Drop]]+IF(DropAnalityka[[#This Row],[Drop]]="Scroll", 2000*DropAnalityka[[#This Row],[Quality/Quantity]],0)</f>
        <v>0</v>
      </c>
      <c r="K9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7" spans="10:12">
      <c r="J947">
        <f>DropAnalityka[[#This Row],[Sell Drop]]+IF(DropAnalityka[[#This Row],[Drop]]="Scroll", 2000*DropAnalityka[[#This Row],[Quality/Quantity]],0)</f>
        <v>0</v>
      </c>
      <c r="K9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8" spans="10:12">
      <c r="J948">
        <f>DropAnalityka[[#This Row],[Sell Drop]]+IF(DropAnalityka[[#This Row],[Drop]]="Scroll", 2000*DropAnalityka[[#This Row],[Quality/Quantity]],0)</f>
        <v>0</v>
      </c>
      <c r="K9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9" spans="10:12">
      <c r="J949">
        <f>DropAnalityka[[#This Row],[Sell Drop]]+IF(DropAnalityka[[#This Row],[Drop]]="Scroll", 2000*DropAnalityka[[#This Row],[Quality/Quantity]],0)</f>
        <v>0</v>
      </c>
      <c r="K9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0" spans="10:12">
      <c r="J950">
        <f>DropAnalityka[[#This Row],[Sell Drop]]+IF(DropAnalityka[[#This Row],[Drop]]="Scroll", 2000*DropAnalityka[[#This Row],[Quality/Quantity]],0)</f>
        <v>0</v>
      </c>
      <c r="K9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1" spans="10:12">
      <c r="J951">
        <f>DropAnalityka[[#This Row],[Sell Drop]]+IF(DropAnalityka[[#This Row],[Drop]]="Scroll", 2000*DropAnalityka[[#This Row],[Quality/Quantity]],0)</f>
        <v>0</v>
      </c>
      <c r="K9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2" spans="10:12">
      <c r="J952">
        <f>DropAnalityka[[#This Row],[Sell Drop]]+IF(DropAnalityka[[#This Row],[Drop]]="Scroll", 2000*DropAnalityka[[#This Row],[Quality/Quantity]],0)</f>
        <v>0</v>
      </c>
      <c r="K9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3" spans="10:12">
      <c r="J953">
        <f>DropAnalityka[[#This Row],[Sell Drop]]+IF(DropAnalityka[[#This Row],[Drop]]="Scroll", 2000*DropAnalityka[[#This Row],[Quality/Quantity]],0)</f>
        <v>0</v>
      </c>
      <c r="K9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4" spans="10:12">
      <c r="J954">
        <f>DropAnalityka[[#This Row],[Sell Drop]]+IF(DropAnalityka[[#This Row],[Drop]]="Scroll", 2000*DropAnalityka[[#This Row],[Quality/Quantity]],0)</f>
        <v>0</v>
      </c>
      <c r="K9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5" spans="10:12">
      <c r="J955">
        <f>DropAnalityka[[#This Row],[Sell Drop]]+IF(DropAnalityka[[#This Row],[Drop]]="Scroll", 2000*DropAnalityka[[#This Row],[Quality/Quantity]],0)</f>
        <v>0</v>
      </c>
      <c r="K9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6" spans="10:12">
      <c r="J956">
        <f>DropAnalityka[[#This Row],[Sell Drop]]+IF(DropAnalityka[[#This Row],[Drop]]="Scroll", 2000*DropAnalityka[[#This Row],[Quality/Quantity]],0)</f>
        <v>0</v>
      </c>
      <c r="K9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7" spans="10:12">
      <c r="J957">
        <f>DropAnalityka[[#This Row],[Sell Drop]]+IF(DropAnalityka[[#This Row],[Drop]]="Scroll", 2000*DropAnalityka[[#This Row],[Quality/Quantity]],0)</f>
        <v>0</v>
      </c>
      <c r="K9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8" spans="10:12">
      <c r="J958">
        <f>DropAnalityka[[#This Row],[Sell Drop]]+IF(DropAnalityka[[#This Row],[Drop]]="Scroll", 2000*DropAnalityka[[#This Row],[Quality/Quantity]],0)</f>
        <v>0</v>
      </c>
      <c r="K9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9" spans="10:12">
      <c r="J959">
        <f>DropAnalityka[[#This Row],[Sell Drop]]+IF(DropAnalityka[[#This Row],[Drop]]="Scroll", 2000*DropAnalityka[[#This Row],[Quality/Quantity]],0)</f>
        <v>0</v>
      </c>
      <c r="K9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0" spans="10:12">
      <c r="J960">
        <f>DropAnalityka[[#This Row],[Sell Drop]]+IF(DropAnalityka[[#This Row],[Drop]]="Scroll", 2000*DropAnalityka[[#This Row],[Quality/Quantity]],0)</f>
        <v>0</v>
      </c>
      <c r="K9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1" spans="10:12">
      <c r="J961">
        <f>DropAnalityka[[#This Row],[Sell Drop]]+IF(DropAnalityka[[#This Row],[Drop]]="Scroll", 2000*DropAnalityka[[#This Row],[Quality/Quantity]],0)</f>
        <v>0</v>
      </c>
      <c r="K9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2" spans="10:12">
      <c r="J962">
        <f>DropAnalityka[[#This Row],[Sell Drop]]+IF(DropAnalityka[[#This Row],[Drop]]="Scroll", 2000*DropAnalityka[[#This Row],[Quality/Quantity]],0)</f>
        <v>0</v>
      </c>
      <c r="K9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3" spans="10:12">
      <c r="J963">
        <f>DropAnalityka[[#This Row],[Sell Drop]]+IF(DropAnalityka[[#This Row],[Drop]]="Scroll", 2000*DropAnalityka[[#This Row],[Quality/Quantity]],0)</f>
        <v>0</v>
      </c>
      <c r="K9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4" spans="10:12">
      <c r="J964">
        <f>DropAnalityka[[#This Row],[Sell Drop]]+IF(DropAnalityka[[#This Row],[Drop]]="Scroll", 2000*DropAnalityka[[#This Row],[Quality/Quantity]],0)</f>
        <v>0</v>
      </c>
      <c r="K9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5" spans="10:12">
      <c r="J965">
        <f>DropAnalityka[[#This Row],[Sell Drop]]+IF(DropAnalityka[[#This Row],[Drop]]="Scroll", 2000*DropAnalityka[[#This Row],[Quality/Quantity]],0)</f>
        <v>0</v>
      </c>
      <c r="K9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6" spans="10:12">
      <c r="J966">
        <f>DropAnalityka[[#This Row],[Sell Drop]]+IF(DropAnalityka[[#This Row],[Drop]]="Scroll", 2000*DropAnalityka[[#This Row],[Quality/Quantity]],0)</f>
        <v>0</v>
      </c>
      <c r="K9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7" spans="10:12">
      <c r="J967">
        <f>DropAnalityka[[#This Row],[Sell Drop]]+IF(DropAnalityka[[#This Row],[Drop]]="Scroll", 2000*DropAnalityka[[#This Row],[Quality/Quantity]],0)</f>
        <v>0</v>
      </c>
      <c r="K9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8" spans="10:12">
      <c r="J968">
        <f>DropAnalityka[[#This Row],[Sell Drop]]+IF(DropAnalityka[[#This Row],[Drop]]="Scroll", 2000*DropAnalityka[[#This Row],[Quality/Quantity]],0)</f>
        <v>0</v>
      </c>
      <c r="K9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9" spans="10:12">
      <c r="J969">
        <f>DropAnalityka[[#This Row],[Sell Drop]]+IF(DropAnalityka[[#This Row],[Drop]]="Scroll", 2000*DropAnalityka[[#This Row],[Quality/Quantity]],0)</f>
        <v>0</v>
      </c>
      <c r="K9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0" spans="10:12">
      <c r="J970">
        <f>DropAnalityka[[#This Row],[Sell Drop]]+IF(DropAnalityka[[#This Row],[Drop]]="Scroll", 2000*DropAnalityka[[#This Row],[Quality/Quantity]],0)</f>
        <v>0</v>
      </c>
      <c r="K9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1" spans="10:12">
      <c r="J971">
        <f>DropAnalityka[[#This Row],[Sell Drop]]+IF(DropAnalityka[[#This Row],[Drop]]="Scroll", 2000*DropAnalityka[[#This Row],[Quality/Quantity]],0)</f>
        <v>0</v>
      </c>
      <c r="K9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2" spans="10:12">
      <c r="J972">
        <f>DropAnalityka[[#This Row],[Sell Drop]]+IF(DropAnalityka[[#This Row],[Drop]]="Scroll", 2000*DropAnalityka[[#This Row],[Quality/Quantity]],0)</f>
        <v>0</v>
      </c>
      <c r="K9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3" spans="10:12">
      <c r="J973">
        <f>DropAnalityka[[#This Row],[Sell Drop]]+IF(DropAnalityka[[#This Row],[Drop]]="Scroll", 2000*DropAnalityka[[#This Row],[Quality/Quantity]],0)</f>
        <v>0</v>
      </c>
      <c r="K9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4" spans="10:12">
      <c r="J974">
        <f>DropAnalityka[[#This Row],[Sell Drop]]+IF(DropAnalityka[[#This Row],[Drop]]="Scroll", 2000*DropAnalityka[[#This Row],[Quality/Quantity]],0)</f>
        <v>0</v>
      </c>
      <c r="K9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5" spans="10:12">
      <c r="J975">
        <f>DropAnalityka[[#This Row],[Sell Drop]]+IF(DropAnalityka[[#This Row],[Drop]]="Scroll", 2000*DropAnalityka[[#This Row],[Quality/Quantity]],0)</f>
        <v>0</v>
      </c>
      <c r="K9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6" spans="10:12">
      <c r="J976">
        <f>DropAnalityka[[#This Row],[Sell Drop]]+IF(DropAnalityka[[#This Row],[Drop]]="Scroll", 2000*DropAnalityka[[#This Row],[Quality/Quantity]],0)</f>
        <v>0</v>
      </c>
      <c r="K9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7" spans="10:12">
      <c r="J977">
        <f>DropAnalityka[[#This Row],[Sell Drop]]+IF(DropAnalityka[[#This Row],[Drop]]="Scroll", 2000*DropAnalityka[[#This Row],[Quality/Quantity]],0)</f>
        <v>0</v>
      </c>
      <c r="K9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8" spans="10:12">
      <c r="J978">
        <f>DropAnalityka[[#This Row],[Sell Drop]]+IF(DropAnalityka[[#This Row],[Drop]]="Scroll", 2000*DropAnalityka[[#This Row],[Quality/Quantity]],0)</f>
        <v>0</v>
      </c>
      <c r="K9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9" spans="10:12">
      <c r="J979">
        <f>DropAnalityka[[#This Row],[Sell Drop]]+IF(DropAnalityka[[#This Row],[Drop]]="Scroll", 2000*DropAnalityka[[#This Row],[Quality/Quantity]],0)</f>
        <v>0</v>
      </c>
      <c r="K9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0" spans="10:12">
      <c r="J980">
        <f>DropAnalityka[[#This Row],[Sell Drop]]+IF(DropAnalityka[[#This Row],[Drop]]="Scroll", 2000*DropAnalityka[[#This Row],[Quality/Quantity]],0)</f>
        <v>0</v>
      </c>
      <c r="K9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1" spans="10:12">
      <c r="J981">
        <f>DropAnalityka[[#This Row],[Sell Drop]]+IF(DropAnalityka[[#This Row],[Drop]]="Scroll", 2000*DropAnalityka[[#This Row],[Quality/Quantity]],0)</f>
        <v>0</v>
      </c>
      <c r="K9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2" spans="10:12">
      <c r="J982">
        <f>DropAnalityka[[#This Row],[Sell Drop]]+IF(DropAnalityka[[#This Row],[Drop]]="Scroll", 2000*DropAnalityka[[#This Row],[Quality/Quantity]],0)</f>
        <v>0</v>
      </c>
      <c r="K9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3" spans="10:12">
      <c r="J983">
        <f>DropAnalityka[[#This Row],[Sell Drop]]+IF(DropAnalityka[[#This Row],[Drop]]="Scroll", 2000*DropAnalityka[[#This Row],[Quality/Quantity]],0)</f>
        <v>0</v>
      </c>
      <c r="K9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4" spans="10:12">
      <c r="J984">
        <f>DropAnalityka[[#This Row],[Sell Drop]]+IF(DropAnalityka[[#This Row],[Drop]]="Scroll", 2000*DropAnalityka[[#This Row],[Quality/Quantity]],0)</f>
        <v>0</v>
      </c>
      <c r="K9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5" spans="10:12">
      <c r="J985">
        <f>DropAnalityka[[#This Row],[Sell Drop]]+IF(DropAnalityka[[#This Row],[Drop]]="Scroll", 2000*DropAnalityka[[#This Row],[Quality/Quantity]],0)</f>
        <v>0</v>
      </c>
      <c r="K9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6" spans="10:12">
      <c r="J986">
        <f>DropAnalityka[[#This Row],[Sell Drop]]+IF(DropAnalityka[[#This Row],[Drop]]="Scroll", 2000*DropAnalityka[[#This Row],[Quality/Quantity]],0)</f>
        <v>0</v>
      </c>
      <c r="K9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7" spans="10:12">
      <c r="J987">
        <f>DropAnalityka[[#This Row],[Sell Drop]]+IF(DropAnalityka[[#This Row],[Drop]]="Scroll", 2000*DropAnalityka[[#This Row],[Quality/Quantity]],0)</f>
        <v>0</v>
      </c>
      <c r="K9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8" spans="10:12">
      <c r="J988">
        <f>DropAnalityka[[#This Row],[Sell Drop]]+IF(DropAnalityka[[#This Row],[Drop]]="Scroll", 2000*DropAnalityka[[#This Row],[Quality/Quantity]],0)</f>
        <v>0</v>
      </c>
      <c r="K9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9" spans="10:12">
      <c r="J989">
        <f>DropAnalityka[[#This Row],[Sell Drop]]+IF(DropAnalityka[[#This Row],[Drop]]="Scroll", 2000*DropAnalityka[[#This Row],[Quality/Quantity]],0)</f>
        <v>0</v>
      </c>
      <c r="K9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0" spans="10:12">
      <c r="J990">
        <f>DropAnalityka[[#This Row],[Sell Drop]]+IF(DropAnalityka[[#This Row],[Drop]]="Scroll", 2000*DropAnalityka[[#This Row],[Quality/Quantity]],0)</f>
        <v>0</v>
      </c>
      <c r="K9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1" spans="10:12">
      <c r="J991">
        <f>DropAnalityka[[#This Row],[Sell Drop]]+IF(DropAnalityka[[#This Row],[Drop]]="Scroll", 2000*DropAnalityka[[#This Row],[Quality/Quantity]],0)</f>
        <v>0</v>
      </c>
      <c r="K9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2" spans="10:12">
      <c r="J992">
        <f>DropAnalityka[[#This Row],[Sell Drop]]+IF(DropAnalityka[[#This Row],[Drop]]="Scroll", 2000*DropAnalityka[[#This Row],[Quality/Quantity]],0)</f>
        <v>0</v>
      </c>
      <c r="K9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3" spans="10:12">
      <c r="J993">
        <f>DropAnalityka[[#This Row],[Sell Drop]]+IF(DropAnalityka[[#This Row],[Drop]]="Scroll", 2000*DropAnalityka[[#This Row],[Quality/Quantity]],0)</f>
        <v>0</v>
      </c>
      <c r="K9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4" spans="10:12">
      <c r="J994">
        <f>DropAnalityka[[#This Row],[Sell Drop]]+IF(DropAnalityka[[#This Row],[Drop]]="Scroll", 2000*DropAnalityka[[#This Row],[Quality/Quantity]],0)</f>
        <v>0</v>
      </c>
      <c r="K9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5" spans="10:12">
      <c r="J995">
        <f>DropAnalityka[[#This Row],[Sell Drop]]+IF(DropAnalityka[[#This Row],[Drop]]="Scroll", 2000*DropAnalityka[[#This Row],[Quality/Quantity]],0)</f>
        <v>0</v>
      </c>
      <c r="K9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6" spans="10:12">
      <c r="J996">
        <f>DropAnalityka[[#This Row],[Sell Drop]]+IF(DropAnalityka[[#This Row],[Drop]]="Scroll", 2000*DropAnalityka[[#This Row],[Quality/Quantity]],0)</f>
        <v>0</v>
      </c>
      <c r="K9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7" spans="10:12">
      <c r="J997">
        <f>DropAnalityka[[#This Row],[Sell Drop]]+IF(DropAnalityka[[#This Row],[Drop]]="Scroll", 2000*DropAnalityka[[#This Row],[Quality/Quantity]],0)</f>
        <v>0</v>
      </c>
      <c r="K9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8" spans="10:12">
      <c r="J998">
        <f>DropAnalityka[[#This Row],[Sell Drop]]+IF(DropAnalityka[[#This Row],[Drop]]="Scroll", 2000*DropAnalityka[[#This Row],[Quality/Quantity]],0)</f>
        <v>0</v>
      </c>
      <c r="K9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9" spans="10:12">
      <c r="J999">
        <f>DropAnalityka[[#This Row],[Sell Drop]]+IF(DropAnalityka[[#This Row],[Drop]]="Scroll", 2000*DropAnalityka[[#This Row],[Quality/Quantity]],0)</f>
        <v>0</v>
      </c>
      <c r="K9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0" spans="10:12">
      <c r="J1000">
        <f>DropAnalityka[[#This Row],[Sell Drop]]+IF(DropAnalityka[[#This Row],[Drop]]="Scroll", 2000*DropAnalityka[[#This Row],[Quality/Quantity]],0)</f>
        <v>0</v>
      </c>
      <c r="K10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1" spans="10:12">
      <c r="J1001">
        <f>DropAnalityka[[#This Row],[Sell Drop]]+IF(DropAnalityka[[#This Row],[Drop]]="Scroll", 2000*DropAnalityka[[#This Row],[Quality/Quantity]],0)</f>
        <v>0</v>
      </c>
      <c r="K10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2" spans="10:12">
      <c r="J1002">
        <f>DropAnalityka[[#This Row],[Sell Drop]]+IF(DropAnalityka[[#This Row],[Drop]]="Scroll", 2000*DropAnalityka[[#This Row],[Quality/Quantity]],0)</f>
        <v>0</v>
      </c>
      <c r="K10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3" spans="10:12">
      <c r="J1003">
        <f>DropAnalityka[[#This Row],[Sell Drop]]+IF(DropAnalityka[[#This Row],[Drop]]="Scroll", 2000*DropAnalityka[[#This Row],[Quality/Quantity]],0)</f>
        <v>0</v>
      </c>
      <c r="K10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4" spans="10:12">
      <c r="J1004">
        <f>DropAnalityka[[#This Row],[Sell Drop]]+IF(DropAnalityka[[#This Row],[Drop]]="Scroll", 2000*DropAnalityka[[#This Row],[Quality/Quantity]],0)</f>
        <v>0</v>
      </c>
      <c r="K10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5" spans="10:12">
      <c r="J1005">
        <f>DropAnalityka[[#This Row],[Sell Drop]]+IF(DropAnalityka[[#This Row],[Drop]]="Scroll", 2000*DropAnalityka[[#This Row],[Quality/Quantity]],0)</f>
        <v>0</v>
      </c>
      <c r="K10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6" spans="10:12">
      <c r="J1006">
        <f>DropAnalityka[[#This Row],[Sell Drop]]+IF(DropAnalityka[[#This Row],[Drop]]="Scroll", 2000*DropAnalityka[[#This Row],[Quality/Quantity]],0)</f>
        <v>0</v>
      </c>
      <c r="K10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7" spans="10:12">
      <c r="J1007">
        <f>DropAnalityka[[#This Row],[Sell Drop]]+IF(DropAnalityka[[#This Row],[Drop]]="Scroll", 2000*DropAnalityka[[#This Row],[Quality/Quantity]],0)</f>
        <v>0</v>
      </c>
      <c r="K10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8" spans="10:12">
      <c r="J1008">
        <f>DropAnalityka[[#This Row],[Sell Drop]]+IF(DropAnalityka[[#This Row],[Drop]]="Scroll", 2000*DropAnalityka[[#This Row],[Quality/Quantity]],0)</f>
        <v>0</v>
      </c>
      <c r="K10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9" spans="10:12">
      <c r="J1009">
        <f>DropAnalityka[[#This Row],[Sell Drop]]+IF(DropAnalityka[[#This Row],[Drop]]="Scroll", 2000*DropAnalityka[[#This Row],[Quality/Quantity]],0)</f>
        <v>0</v>
      </c>
      <c r="K10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0" spans="10:12">
      <c r="J1010">
        <f>DropAnalityka[[#This Row],[Sell Drop]]+IF(DropAnalityka[[#This Row],[Drop]]="Scroll", 2000*DropAnalityka[[#This Row],[Quality/Quantity]],0)</f>
        <v>0</v>
      </c>
      <c r="K10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1" spans="10:12">
      <c r="J1011">
        <f>DropAnalityka[[#This Row],[Sell Drop]]+IF(DropAnalityka[[#This Row],[Drop]]="Scroll", 2000*DropAnalityka[[#This Row],[Quality/Quantity]],0)</f>
        <v>0</v>
      </c>
      <c r="K10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2" spans="10:12">
      <c r="J1012">
        <f>DropAnalityka[[#This Row],[Sell Drop]]+IF(DropAnalityka[[#This Row],[Drop]]="Scroll", 2000*DropAnalityka[[#This Row],[Quality/Quantity]],0)</f>
        <v>0</v>
      </c>
      <c r="K10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3" spans="10:12">
      <c r="J1013">
        <f>DropAnalityka[[#This Row],[Sell Drop]]+IF(DropAnalityka[[#This Row],[Drop]]="Scroll", 2000*DropAnalityka[[#This Row],[Quality/Quantity]],0)</f>
        <v>0</v>
      </c>
      <c r="K10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4" spans="10:12">
      <c r="J1014">
        <f>DropAnalityka[[#This Row],[Sell Drop]]+IF(DropAnalityka[[#This Row],[Drop]]="Scroll", 2000*DropAnalityka[[#This Row],[Quality/Quantity]],0)</f>
        <v>0</v>
      </c>
      <c r="K10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5" spans="10:12">
      <c r="J1015">
        <f>DropAnalityka[[#This Row],[Sell Drop]]+IF(DropAnalityka[[#This Row],[Drop]]="Scroll", 2000*DropAnalityka[[#This Row],[Quality/Quantity]],0)</f>
        <v>0</v>
      </c>
      <c r="K10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6" spans="10:12">
      <c r="J1016">
        <f>DropAnalityka[[#This Row],[Sell Drop]]+IF(DropAnalityka[[#This Row],[Drop]]="Scroll", 2000*DropAnalityka[[#This Row],[Quality/Quantity]],0)</f>
        <v>0</v>
      </c>
      <c r="K10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7" spans="10:12">
      <c r="J1017">
        <f>DropAnalityka[[#This Row],[Sell Drop]]+IF(DropAnalityka[[#This Row],[Drop]]="Scroll", 2000*DropAnalityka[[#This Row],[Quality/Quantity]],0)</f>
        <v>0</v>
      </c>
      <c r="K10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8" spans="10:12">
      <c r="J1018">
        <f>DropAnalityka[[#This Row],[Sell Drop]]+IF(DropAnalityka[[#This Row],[Drop]]="Scroll", 2000*DropAnalityka[[#This Row],[Quality/Quantity]],0)</f>
        <v>0</v>
      </c>
      <c r="K10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9" spans="10:12">
      <c r="J1019">
        <f>DropAnalityka[[#This Row],[Sell Drop]]+IF(DropAnalityka[[#This Row],[Drop]]="Scroll", 2000*DropAnalityka[[#This Row],[Quality/Quantity]],0)</f>
        <v>0</v>
      </c>
      <c r="K10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0" spans="10:12">
      <c r="J1020">
        <f>DropAnalityka[[#This Row],[Sell Drop]]+IF(DropAnalityka[[#This Row],[Drop]]="Scroll", 2000*DropAnalityka[[#This Row],[Quality/Quantity]],0)</f>
        <v>0</v>
      </c>
      <c r="K10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1" spans="10:12">
      <c r="J1021">
        <f>DropAnalityka[[#This Row],[Sell Drop]]+IF(DropAnalityka[[#This Row],[Drop]]="Scroll", 2000*DropAnalityka[[#This Row],[Quality/Quantity]],0)</f>
        <v>0</v>
      </c>
      <c r="K10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2" spans="10:12">
      <c r="J1022">
        <f>DropAnalityka[[#This Row],[Sell Drop]]+IF(DropAnalityka[[#This Row],[Drop]]="Scroll", 2000*DropAnalityka[[#This Row],[Quality/Quantity]],0)</f>
        <v>0</v>
      </c>
      <c r="K10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3" spans="10:12">
      <c r="J1023">
        <f>DropAnalityka[[#This Row],[Sell Drop]]+IF(DropAnalityka[[#This Row],[Drop]]="Scroll", 2000*DropAnalityka[[#This Row],[Quality/Quantity]],0)</f>
        <v>0</v>
      </c>
      <c r="K10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4" spans="10:12">
      <c r="J1024">
        <f>DropAnalityka[[#This Row],[Sell Drop]]+IF(DropAnalityka[[#This Row],[Drop]]="Scroll", 2000*DropAnalityka[[#This Row],[Quality/Quantity]],0)</f>
        <v>0</v>
      </c>
      <c r="K10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5" spans="10:12">
      <c r="J1025">
        <f>DropAnalityka[[#This Row],[Sell Drop]]+IF(DropAnalityka[[#This Row],[Drop]]="Scroll", 2000*DropAnalityka[[#This Row],[Quality/Quantity]],0)</f>
        <v>0</v>
      </c>
      <c r="K10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6" spans="10:12">
      <c r="J1026">
        <f>DropAnalityka[[#This Row],[Sell Drop]]+IF(DropAnalityka[[#This Row],[Drop]]="Scroll", 2000*DropAnalityka[[#This Row],[Quality/Quantity]],0)</f>
        <v>0</v>
      </c>
      <c r="K10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7" spans="10:12">
      <c r="J1027">
        <f>DropAnalityka[[#This Row],[Sell Drop]]+IF(DropAnalityka[[#This Row],[Drop]]="Scroll", 2000*DropAnalityka[[#This Row],[Quality/Quantity]],0)</f>
        <v>0</v>
      </c>
      <c r="K10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8" spans="10:12">
      <c r="J1028">
        <f>DropAnalityka[[#This Row],[Sell Drop]]+IF(DropAnalityka[[#This Row],[Drop]]="Scroll", 2000*DropAnalityka[[#This Row],[Quality/Quantity]],0)</f>
        <v>0</v>
      </c>
      <c r="K10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9" spans="10:12">
      <c r="J1029">
        <f>DropAnalityka[[#This Row],[Sell Drop]]+IF(DropAnalityka[[#This Row],[Drop]]="Scroll", 2000*DropAnalityka[[#This Row],[Quality/Quantity]],0)</f>
        <v>0</v>
      </c>
      <c r="K10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0" spans="10:12">
      <c r="J1030">
        <f>DropAnalityka[[#This Row],[Sell Drop]]+IF(DropAnalityka[[#This Row],[Drop]]="Scroll", 2000*DropAnalityka[[#This Row],[Quality/Quantity]],0)</f>
        <v>0</v>
      </c>
      <c r="K10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1" spans="10:12">
      <c r="J1031">
        <f>DropAnalityka[[#This Row],[Sell Drop]]+IF(DropAnalityka[[#This Row],[Drop]]="Scroll", 2000*DropAnalityka[[#This Row],[Quality/Quantity]],0)</f>
        <v>0</v>
      </c>
      <c r="K10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2" spans="10:12">
      <c r="J1032">
        <f>DropAnalityka[[#This Row],[Sell Drop]]+IF(DropAnalityka[[#This Row],[Drop]]="Scroll", 2000*DropAnalityka[[#This Row],[Quality/Quantity]],0)</f>
        <v>0</v>
      </c>
      <c r="K10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3" spans="10:12">
      <c r="J1033">
        <f>DropAnalityka[[#This Row],[Sell Drop]]+IF(DropAnalityka[[#This Row],[Drop]]="Scroll", 2000*DropAnalityka[[#This Row],[Quality/Quantity]],0)</f>
        <v>0</v>
      </c>
      <c r="K10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4" spans="10:12">
      <c r="J1034">
        <f>DropAnalityka[[#This Row],[Sell Drop]]+IF(DropAnalityka[[#This Row],[Drop]]="Scroll", 2000*DropAnalityka[[#This Row],[Quality/Quantity]],0)</f>
        <v>0</v>
      </c>
      <c r="K10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5" spans="10:12">
      <c r="J1035">
        <f>DropAnalityka[[#This Row],[Sell Drop]]+IF(DropAnalityka[[#This Row],[Drop]]="Scroll", 2000*DropAnalityka[[#This Row],[Quality/Quantity]],0)</f>
        <v>0</v>
      </c>
      <c r="K10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6" spans="10:12">
      <c r="J1036">
        <f>DropAnalityka[[#This Row],[Sell Drop]]+IF(DropAnalityka[[#This Row],[Drop]]="Scroll", 2000*DropAnalityka[[#This Row],[Quality/Quantity]],0)</f>
        <v>0</v>
      </c>
      <c r="K10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7" spans="10:12">
      <c r="J1037">
        <f>DropAnalityka[[#This Row],[Sell Drop]]+IF(DropAnalityka[[#This Row],[Drop]]="Scroll", 2000*DropAnalityka[[#This Row],[Quality/Quantity]],0)</f>
        <v>0</v>
      </c>
      <c r="K10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8" spans="10:12">
      <c r="J1038">
        <f>DropAnalityka[[#This Row],[Sell Drop]]+IF(DropAnalityka[[#This Row],[Drop]]="Scroll", 2000*DropAnalityka[[#This Row],[Quality/Quantity]],0)</f>
        <v>0</v>
      </c>
      <c r="K10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9" spans="10:12">
      <c r="J1039">
        <f>DropAnalityka[[#This Row],[Sell Drop]]+IF(DropAnalityka[[#This Row],[Drop]]="Scroll", 2000*DropAnalityka[[#This Row],[Quality/Quantity]],0)</f>
        <v>0</v>
      </c>
      <c r="K10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0" spans="10:12">
      <c r="J1040">
        <f>DropAnalityka[[#This Row],[Sell Drop]]+IF(DropAnalityka[[#This Row],[Drop]]="Scroll", 2000*DropAnalityka[[#This Row],[Quality/Quantity]],0)</f>
        <v>0</v>
      </c>
      <c r="K10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1" spans="10:12">
      <c r="J1041">
        <f>DropAnalityka[[#This Row],[Sell Drop]]+IF(DropAnalityka[[#This Row],[Drop]]="Scroll", 2000*DropAnalityka[[#This Row],[Quality/Quantity]],0)</f>
        <v>0</v>
      </c>
      <c r="K10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2" spans="10:12">
      <c r="J1042">
        <f>DropAnalityka[[#This Row],[Sell Drop]]+IF(DropAnalityka[[#This Row],[Drop]]="Scroll", 2000*DropAnalityka[[#This Row],[Quality/Quantity]],0)</f>
        <v>0</v>
      </c>
      <c r="K10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3" spans="10:12">
      <c r="J1043">
        <f>DropAnalityka[[#This Row],[Sell Drop]]+IF(DropAnalityka[[#This Row],[Drop]]="Scroll", 2000*DropAnalityka[[#This Row],[Quality/Quantity]],0)</f>
        <v>0</v>
      </c>
      <c r="K10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4" spans="10:12">
      <c r="J1044">
        <f>DropAnalityka[[#This Row],[Sell Drop]]+IF(DropAnalityka[[#This Row],[Drop]]="Scroll", 2000*DropAnalityka[[#This Row],[Quality/Quantity]],0)</f>
        <v>0</v>
      </c>
      <c r="K10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5" spans="10:12">
      <c r="J1045">
        <f>DropAnalityka[[#This Row],[Sell Drop]]+IF(DropAnalityka[[#This Row],[Drop]]="Scroll", 2000*DropAnalityka[[#This Row],[Quality/Quantity]],0)</f>
        <v>0</v>
      </c>
      <c r="K10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6" spans="10:12">
      <c r="J1046">
        <f>DropAnalityka[[#This Row],[Sell Drop]]+IF(DropAnalityka[[#This Row],[Drop]]="Scroll", 2000*DropAnalityka[[#This Row],[Quality/Quantity]],0)</f>
        <v>0</v>
      </c>
      <c r="K10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7" spans="10:12">
      <c r="J1047">
        <f>DropAnalityka[[#This Row],[Sell Drop]]+IF(DropAnalityka[[#This Row],[Drop]]="Scroll", 2000*DropAnalityka[[#This Row],[Quality/Quantity]],0)</f>
        <v>0</v>
      </c>
      <c r="K10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8" spans="10:12">
      <c r="J1048">
        <f>DropAnalityka[[#This Row],[Sell Drop]]+IF(DropAnalityka[[#This Row],[Drop]]="Scroll", 2000*DropAnalityka[[#This Row],[Quality/Quantity]],0)</f>
        <v>0</v>
      </c>
      <c r="K10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9" spans="10:12">
      <c r="J1049">
        <f>DropAnalityka[[#This Row],[Sell Drop]]+IF(DropAnalityka[[#This Row],[Drop]]="Scroll", 2000*DropAnalityka[[#This Row],[Quality/Quantity]],0)</f>
        <v>0</v>
      </c>
      <c r="K10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0" spans="10:12">
      <c r="J1050">
        <f>DropAnalityka[[#This Row],[Sell Drop]]+IF(DropAnalityka[[#This Row],[Drop]]="Scroll", 2000*DropAnalityka[[#This Row],[Quality/Quantity]],0)</f>
        <v>0</v>
      </c>
      <c r="K10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1" spans="10:12">
      <c r="J1051">
        <f>DropAnalityka[[#This Row],[Sell Drop]]+IF(DropAnalityka[[#This Row],[Drop]]="Scroll", 2000*DropAnalityka[[#This Row],[Quality/Quantity]],0)</f>
        <v>0</v>
      </c>
      <c r="K10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2" spans="10:12">
      <c r="J1052">
        <f>DropAnalityka[[#This Row],[Sell Drop]]+IF(DropAnalityka[[#This Row],[Drop]]="Scroll", 2000*DropAnalityka[[#This Row],[Quality/Quantity]],0)</f>
        <v>0</v>
      </c>
      <c r="K10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3" spans="10:12">
      <c r="J1053">
        <f>DropAnalityka[[#This Row],[Sell Drop]]+IF(DropAnalityka[[#This Row],[Drop]]="Scroll", 2000*DropAnalityka[[#This Row],[Quality/Quantity]],0)</f>
        <v>0</v>
      </c>
      <c r="K10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4" spans="10:12">
      <c r="J1054">
        <f>DropAnalityka[[#This Row],[Sell Drop]]+IF(DropAnalityka[[#This Row],[Drop]]="Scroll", 2000*DropAnalityka[[#This Row],[Quality/Quantity]],0)</f>
        <v>0</v>
      </c>
      <c r="K10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5" spans="10:12">
      <c r="J1055">
        <f>DropAnalityka[[#This Row],[Sell Drop]]+IF(DropAnalityka[[#This Row],[Drop]]="Scroll", 2000*DropAnalityka[[#This Row],[Quality/Quantity]],0)</f>
        <v>0</v>
      </c>
      <c r="K10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6" spans="10:12">
      <c r="J1056">
        <f>DropAnalityka[[#This Row],[Sell Drop]]+IF(DropAnalityka[[#This Row],[Drop]]="Scroll", 2000*DropAnalityka[[#This Row],[Quality/Quantity]],0)</f>
        <v>0</v>
      </c>
      <c r="K10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7" spans="10:12">
      <c r="J1057">
        <f>DropAnalityka[[#This Row],[Sell Drop]]+IF(DropAnalityka[[#This Row],[Drop]]="Scroll", 2000*DropAnalityka[[#This Row],[Quality/Quantity]],0)</f>
        <v>0</v>
      </c>
      <c r="K10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8" spans="10:12">
      <c r="J1058">
        <f>DropAnalityka[[#This Row],[Sell Drop]]+IF(DropAnalityka[[#This Row],[Drop]]="Scroll", 2000*DropAnalityka[[#This Row],[Quality/Quantity]],0)</f>
        <v>0</v>
      </c>
      <c r="K10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9" spans="10:12">
      <c r="J1059">
        <f>DropAnalityka[[#This Row],[Sell Drop]]+IF(DropAnalityka[[#This Row],[Drop]]="Scroll", 2000*DropAnalityka[[#This Row],[Quality/Quantity]],0)</f>
        <v>0</v>
      </c>
      <c r="K10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0" spans="10:12">
      <c r="J1060">
        <f>DropAnalityka[[#This Row],[Sell Drop]]+IF(DropAnalityka[[#This Row],[Drop]]="Scroll", 2000*DropAnalityka[[#This Row],[Quality/Quantity]],0)</f>
        <v>0</v>
      </c>
      <c r="K10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1" spans="10:12">
      <c r="J1061">
        <f>DropAnalityka[[#This Row],[Sell Drop]]+IF(DropAnalityka[[#This Row],[Drop]]="Scroll", 2000*DropAnalityka[[#This Row],[Quality/Quantity]],0)</f>
        <v>0</v>
      </c>
      <c r="K10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2" spans="10:12">
      <c r="J1062">
        <f>DropAnalityka[[#This Row],[Sell Drop]]+IF(DropAnalityka[[#This Row],[Drop]]="Scroll", 2000*DropAnalityka[[#This Row],[Quality/Quantity]],0)</f>
        <v>0</v>
      </c>
      <c r="K10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3" spans="10:12">
      <c r="J1063">
        <f>DropAnalityka[[#This Row],[Sell Drop]]+IF(DropAnalityka[[#This Row],[Drop]]="Scroll", 2000*DropAnalityka[[#This Row],[Quality/Quantity]],0)</f>
        <v>0</v>
      </c>
      <c r="K10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4" spans="10:12">
      <c r="J1064">
        <f>DropAnalityka[[#This Row],[Sell Drop]]+IF(DropAnalityka[[#This Row],[Drop]]="Scroll", 2000*DropAnalityka[[#This Row],[Quality/Quantity]],0)</f>
        <v>0</v>
      </c>
      <c r="K10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5" spans="10:12">
      <c r="J1065">
        <f>DropAnalityka[[#This Row],[Sell Drop]]+IF(DropAnalityka[[#This Row],[Drop]]="Scroll", 2000*DropAnalityka[[#This Row],[Quality/Quantity]],0)</f>
        <v>0</v>
      </c>
      <c r="K10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6" spans="10:12">
      <c r="J1066">
        <f>DropAnalityka[[#This Row],[Sell Drop]]+IF(DropAnalityka[[#This Row],[Drop]]="Scroll", 2000*DropAnalityka[[#This Row],[Quality/Quantity]],0)</f>
        <v>0</v>
      </c>
      <c r="K10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7" spans="10:12">
      <c r="J1067">
        <f>DropAnalityka[[#This Row],[Sell Drop]]+IF(DropAnalityka[[#This Row],[Drop]]="Scroll", 2000*DropAnalityka[[#This Row],[Quality/Quantity]],0)</f>
        <v>0</v>
      </c>
      <c r="K10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8" spans="10:12">
      <c r="J1068">
        <f>DropAnalityka[[#This Row],[Sell Drop]]+IF(DropAnalityka[[#This Row],[Drop]]="Scroll", 2000*DropAnalityka[[#This Row],[Quality/Quantity]],0)</f>
        <v>0</v>
      </c>
      <c r="K10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9" spans="10:12">
      <c r="J1069">
        <f>DropAnalityka[[#This Row],[Sell Drop]]+IF(DropAnalityka[[#This Row],[Drop]]="Scroll", 2000*DropAnalityka[[#This Row],[Quality/Quantity]],0)</f>
        <v>0</v>
      </c>
      <c r="K10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0" spans="10:12">
      <c r="J1070">
        <f>DropAnalityka[[#This Row],[Sell Drop]]+IF(DropAnalityka[[#This Row],[Drop]]="Scroll", 2000*DropAnalityka[[#This Row],[Quality/Quantity]],0)</f>
        <v>0</v>
      </c>
      <c r="K10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1" spans="10:12">
      <c r="J1071">
        <f>DropAnalityka[[#This Row],[Sell Drop]]+IF(DropAnalityka[[#This Row],[Drop]]="Scroll", 2000*DropAnalityka[[#This Row],[Quality/Quantity]],0)</f>
        <v>0</v>
      </c>
      <c r="K10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2" spans="10:12">
      <c r="J1072">
        <f>DropAnalityka[[#This Row],[Sell Drop]]+IF(DropAnalityka[[#This Row],[Drop]]="Scroll", 2000*DropAnalityka[[#This Row],[Quality/Quantity]],0)</f>
        <v>0</v>
      </c>
      <c r="K10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3" spans="10:12">
      <c r="J1073">
        <f>DropAnalityka[[#This Row],[Sell Drop]]+IF(DropAnalityka[[#This Row],[Drop]]="Scroll", 2000*DropAnalityka[[#This Row],[Quality/Quantity]],0)</f>
        <v>0</v>
      </c>
      <c r="K10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4" spans="10:12">
      <c r="J1074">
        <f>DropAnalityka[[#This Row],[Sell Drop]]+IF(DropAnalityka[[#This Row],[Drop]]="Scroll", 2000*DropAnalityka[[#This Row],[Quality/Quantity]],0)</f>
        <v>0</v>
      </c>
      <c r="K10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5" spans="10:12">
      <c r="J1075">
        <f>DropAnalityka[[#This Row],[Sell Drop]]+IF(DropAnalityka[[#This Row],[Drop]]="Scroll", 2000*DropAnalityka[[#This Row],[Quality/Quantity]],0)</f>
        <v>0</v>
      </c>
      <c r="K10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6" spans="10:12">
      <c r="J1076">
        <f>DropAnalityka[[#This Row],[Sell Drop]]+IF(DropAnalityka[[#This Row],[Drop]]="Scroll", 2000*DropAnalityka[[#This Row],[Quality/Quantity]],0)</f>
        <v>0</v>
      </c>
      <c r="K10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7" spans="10:12">
      <c r="J1077">
        <f>DropAnalityka[[#This Row],[Sell Drop]]+IF(DropAnalityka[[#This Row],[Drop]]="Scroll", 2000*DropAnalityka[[#This Row],[Quality/Quantity]],0)</f>
        <v>0</v>
      </c>
      <c r="K10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8" spans="10:12">
      <c r="J1078">
        <f>DropAnalityka[[#This Row],[Sell Drop]]+IF(DropAnalityka[[#This Row],[Drop]]="Scroll", 2000*DropAnalityka[[#This Row],[Quality/Quantity]],0)</f>
        <v>0</v>
      </c>
      <c r="K10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9" spans="10:12">
      <c r="J1079">
        <f>DropAnalityka[[#This Row],[Sell Drop]]+IF(DropAnalityka[[#This Row],[Drop]]="Scroll", 2000*DropAnalityka[[#This Row],[Quality/Quantity]],0)</f>
        <v>0</v>
      </c>
      <c r="K10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0" spans="10:12">
      <c r="J1080">
        <f>DropAnalityka[[#This Row],[Sell Drop]]+IF(DropAnalityka[[#This Row],[Drop]]="Scroll", 2000*DropAnalityka[[#This Row],[Quality/Quantity]],0)</f>
        <v>0</v>
      </c>
      <c r="K10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1" spans="10:12">
      <c r="J1081">
        <f>DropAnalityka[[#This Row],[Sell Drop]]+IF(DropAnalityka[[#This Row],[Drop]]="Scroll", 2000*DropAnalityka[[#This Row],[Quality/Quantity]],0)</f>
        <v>0</v>
      </c>
      <c r="K10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2" spans="10:12">
      <c r="J1082">
        <f>DropAnalityka[[#This Row],[Sell Drop]]+IF(DropAnalityka[[#This Row],[Drop]]="Scroll", 2000*DropAnalityka[[#This Row],[Quality/Quantity]],0)</f>
        <v>0</v>
      </c>
      <c r="K10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3" spans="10:12">
      <c r="J1083">
        <f>DropAnalityka[[#This Row],[Sell Drop]]+IF(DropAnalityka[[#This Row],[Drop]]="Scroll", 2000*DropAnalityka[[#This Row],[Quality/Quantity]],0)</f>
        <v>0</v>
      </c>
      <c r="K10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4" spans="10:12">
      <c r="J1084">
        <f>DropAnalityka[[#This Row],[Sell Drop]]+IF(DropAnalityka[[#This Row],[Drop]]="Scroll", 2000*DropAnalityka[[#This Row],[Quality/Quantity]],0)</f>
        <v>0</v>
      </c>
      <c r="K10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5" spans="10:12">
      <c r="J1085">
        <f>DropAnalityka[[#This Row],[Sell Drop]]+IF(DropAnalityka[[#This Row],[Drop]]="Scroll", 2000*DropAnalityka[[#This Row],[Quality/Quantity]],0)</f>
        <v>0</v>
      </c>
      <c r="K10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6" spans="10:12">
      <c r="J1086">
        <f>DropAnalityka[[#This Row],[Sell Drop]]+IF(DropAnalityka[[#This Row],[Drop]]="Scroll", 2000*DropAnalityka[[#This Row],[Quality/Quantity]],0)</f>
        <v>0</v>
      </c>
      <c r="K10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7" spans="10:12">
      <c r="J1087">
        <f>DropAnalityka[[#This Row],[Sell Drop]]+IF(DropAnalityka[[#This Row],[Drop]]="Scroll", 2000*DropAnalityka[[#This Row],[Quality/Quantity]],0)</f>
        <v>0</v>
      </c>
      <c r="K10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8" spans="10:12">
      <c r="J1088">
        <f>DropAnalityka[[#This Row],[Sell Drop]]+IF(DropAnalityka[[#This Row],[Drop]]="Scroll", 2000*DropAnalityka[[#This Row],[Quality/Quantity]],0)</f>
        <v>0</v>
      </c>
      <c r="K10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9" spans="10:12">
      <c r="J1089">
        <f>DropAnalityka[[#This Row],[Sell Drop]]+IF(DropAnalityka[[#This Row],[Drop]]="Scroll", 2000*DropAnalityka[[#This Row],[Quality/Quantity]],0)</f>
        <v>0</v>
      </c>
      <c r="K10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0" spans="10:12">
      <c r="J1090">
        <f>DropAnalityka[[#This Row],[Sell Drop]]+IF(DropAnalityka[[#This Row],[Drop]]="Scroll", 2000*DropAnalityka[[#This Row],[Quality/Quantity]],0)</f>
        <v>0</v>
      </c>
      <c r="K10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1" spans="10:12">
      <c r="J1091">
        <f>DropAnalityka[[#This Row],[Sell Drop]]+IF(DropAnalityka[[#This Row],[Drop]]="Scroll", 2000*DropAnalityka[[#This Row],[Quality/Quantity]],0)</f>
        <v>0</v>
      </c>
      <c r="K10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2" spans="10:12">
      <c r="J1092">
        <f>DropAnalityka[[#This Row],[Sell Drop]]+IF(DropAnalityka[[#This Row],[Drop]]="Scroll", 2000*DropAnalityka[[#This Row],[Quality/Quantity]],0)</f>
        <v>0</v>
      </c>
      <c r="K10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3" spans="10:12">
      <c r="J1093">
        <f>DropAnalityka[[#This Row],[Sell Drop]]+IF(DropAnalityka[[#This Row],[Drop]]="Scroll", 2000*DropAnalityka[[#This Row],[Quality/Quantity]],0)</f>
        <v>0</v>
      </c>
      <c r="K10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4" spans="10:12">
      <c r="J1094">
        <f>DropAnalityka[[#This Row],[Sell Drop]]+IF(DropAnalityka[[#This Row],[Drop]]="Scroll", 2000*DropAnalityka[[#This Row],[Quality/Quantity]],0)</f>
        <v>0</v>
      </c>
      <c r="K10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5" spans="10:12">
      <c r="J1095">
        <f>DropAnalityka[[#This Row],[Sell Drop]]+IF(DropAnalityka[[#This Row],[Drop]]="Scroll", 2000*DropAnalityka[[#This Row],[Quality/Quantity]],0)</f>
        <v>0</v>
      </c>
      <c r="K10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6" spans="10:12">
      <c r="J1096">
        <f>DropAnalityka[[#This Row],[Sell Drop]]+IF(DropAnalityka[[#This Row],[Drop]]="Scroll", 2000*DropAnalityka[[#This Row],[Quality/Quantity]],0)</f>
        <v>0</v>
      </c>
      <c r="K10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7" spans="10:12">
      <c r="J1097">
        <f>DropAnalityka[[#This Row],[Sell Drop]]+IF(DropAnalityka[[#This Row],[Drop]]="Scroll", 2000*DropAnalityka[[#This Row],[Quality/Quantity]],0)</f>
        <v>0</v>
      </c>
      <c r="K10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8" spans="10:12">
      <c r="J1098">
        <f>DropAnalityka[[#This Row],[Sell Drop]]+IF(DropAnalityka[[#This Row],[Drop]]="Scroll", 2000*DropAnalityka[[#This Row],[Quality/Quantity]],0)</f>
        <v>0</v>
      </c>
      <c r="K10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9" spans="10:12">
      <c r="J1099">
        <f>DropAnalityka[[#This Row],[Sell Drop]]+IF(DropAnalityka[[#This Row],[Drop]]="Scroll", 2000*DropAnalityka[[#This Row],[Quality/Quantity]],0)</f>
        <v>0</v>
      </c>
      <c r="K10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0" spans="10:12">
      <c r="J1100">
        <f>DropAnalityka[[#This Row],[Sell Drop]]+IF(DropAnalityka[[#This Row],[Drop]]="Scroll", 2000*DropAnalityka[[#This Row],[Quality/Quantity]],0)</f>
        <v>0</v>
      </c>
      <c r="K1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1" spans="10:12">
      <c r="J1101">
        <f>DropAnalityka[[#This Row],[Sell Drop]]+IF(DropAnalityka[[#This Row],[Drop]]="Scroll", 2000*DropAnalityka[[#This Row],[Quality/Quantity]],0)</f>
        <v>0</v>
      </c>
      <c r="K1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2" spans="10:12">
      <c r="J1102">
        <f>DropAnalityka[[#This Row],[Sell Drop]]+IF(DropAnalityka[[#This Row],[Drop]]="Scroll", 2000*DropAnalityka[[#This Row],[Quality/Quantity]],0)</f>
        <v>0</v>
      </c>
      <c r="K1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3" spans="10:12">
      <c r="J1103">
        <f>DropAnalityka[[#This Row],[Sell Drop]]+IF(DropAnalityka[[#This Row],[Drop]]="Scroll", 2000*DropAnalityka[[#This Row],[Quality/Quantity]],0)</f>
        <v>0</v>
      </c>
      <c r="K1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4" spans="10:12">
      <c r="J1104">
        <f>DropAnalityka[[#This Row],[Sell Drop]]+IF(DropAnalityka[[#This Row],[Drop]]="Scroll", 2000*DropAnalityka[[#This Row],[Quality/Quantity]],0)</f>
        <v>0</v>
      </c>
      <c r="K1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5" spans="10:12">
      <c r="J1105">
        <f>DropAnalityka[[#This Row],[Sell Drop]]+IF(DropAnalityka[[#This Row],[Drop]]="Scroll", 2000*DropAnalityka[[#This Row],[Quality/Quantity]],0)</f>
        <v>0</v>
      </c>
      <c r="K1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6" spans="10:12">
      <c r="J1106">
        <f>DropAnalityka[[#This Row],[Sell Drop]]+IF(DropAnalityka[[#This Row],[Drop]]="Scroll", 2000*DropAnalityka[[#This Row],[Quality/Quantity]],0)</f>
        <v>0</v>
      </c>
      <c r="K1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7" spans="10:12">
      <c r="J1107">
        <f>DropAnalityka[[#This Row],[Sell Drop]]+IF(DropAnalityka[[#This Row],[Drop]]="Scroll", 2000*DropAnalityka[[#This Row],[Quality/Quantity]],0)</f>
        <v>0</v>
      </c>
      <c r="K1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8" spans="10:12">
      <c r="J1108">
        <f>DropAnalityka[[#This Row],[Sell Drop]]+IF(DropAnalityka[[#This Row],[Drop]]="Scroll", 2000*DropAnalityka[[#This Row],[Quality/Quantity]],0)</f>
        <v>0</v>
      </c>
      <c r="K1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9" spans="10:12">
      <c r="J1109">
        <f>DropAnalityka[[#This Row],[Sell Drop]]+IF(DropAnalityka[[#This Row],[Drop]]="Scroll", 2000*DropAnalityka[[#This Row],[Quality/Quantity]],0)</f>
        <v>0</v>
      </c>
      <c r="K1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0" spans="10:12">
      <c r="J1110">
        <f>DropAnalityka[[#This Row],[Sell Drop]]+IF(DropAnalityka[[#This Row],[Drop]]="Scroll", 2000*DropAnalityka[[#This Row],[Quality/Quantity]],0)</f>
        <v>0</v>
      </c>
      <c r="K1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1" spans="10:12">
      <c r="J1111">
        <f>DropAnalityka[[#This Row],[Sell Drop]]+IF(DropAnalityka[[#This Row],[Drop]]="Scroll", 2000*DropAnalityka[[#This Row],[Quality/Quantity]],0)</f>
        <v>0</v>
      </c>
      <c r="K1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2" spans="10:12">
      <c r="J1112">
        <f>DropAnalityka[[#This Row],[Sell Drop]]+IF(DropAnalityka[[#This Row],[Drop]]="Scroll", 2000*DropAnalityka[[#This Row],[Quality/Quantity]],0)</f>
        <v>0</v>
      </c>
      <c r="K1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3" spans="10:12">
      <c r="J1113">
        <f>DropAnalityka[[#This Row],[Sell Drop]]+IF(DropAnalityka[[#This Row],[Drop]]="Scroll", 2000*DropAnalityka[[#This Row],[Quality/Quantity]],0)</f>
        <v>0</v>
      </c>
      <c r="K1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4" spans="10:12">
      <c r="J1114">
        <f>DropAnalityka[[#This Row],[Sell Drop]]+IF(DropAnalityka[[#This Row],[Drop]]="Scroll", 2000*DropAnalityka[[#This Row],[Quality/Quantity]],0)</f>
        <v>0</v>
      </c>
      <c r="K1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5" spans="10:12">
      <c r="J1115">
        <f>DropAnalityka[[#This Row],[Sell Drop]]+IF(DropAnalityka[[#This Row],[Drop]]="Scroll", 2000*DropAnalityka[[#This Row],[Quality/Quantity]],0)</f>
        <v>0</v>
      </c>
      <c r="K1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6" spans="10:12">
      <c r="J1116">
        <f>DropAnalityka[[#This Row],[Sell Drop]]+IF(DropAnalityka[[#This Row],[Drop]]="Scroll", 2000*DropAnalityka[[#This Row],[Quality/Quantity]],0)</f>
        <v>0</v>
      </c>
      <c r="K1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7" spans="10:12">
      <c r="J1117">
        <f>DropAnalityka[[#This Row],[Sell Drop]]+IF(DropAnalityka[[#This Row],[Drop]]="Scroll", 2000*DropAnalityka[[#This Row],[Quality/Quantity]],0)</f>
        <v>0</v>
      </c>
      <c r="K1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8" spans="10:12">
      <c r="J1118">
        <f>DropAnalityka[[#This Row],[Sell Drop]]+IF(DropAnalityka[[#This Row],[Drop]]="Scroll", 2000*DropAnalityka[[#This Row],[Quality/Quantity]],0)</f>
        <v>0</v>
      </c>
      <c r="K1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9" spans="10:12">
      <c r="J1119">
        <f>DropAnalityka[[#This Row],[Sell Drop]]+IF(DropAnalityka[[#This Row],[Drop]]="Scroll", 2000*DropAnalityka[[#This Row],[Quality/Quantity]],0)</f>
        <v>0</v>
      </c>
      <c r="K1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0" spans="10:12">
      <c r="J1120">
        <f>DropAnalityka[[#This Row],[Sell Drop]]+IF(DropAnalityka[[#This Row],[Drop]]="Scroll", 2000*DropAnalityka[[#This Row],[Quality/Quantity]],0)</f>
        <v>0</v>
      </c>
      <c r="K1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1" spans="10:12">
      <c r="J1121">
        <f>DropAnalityka[[#This Row],[Sell Drop]]+IF(DropAnalityka[[#This Row],[Drop]]="Scroll", 2000*DropAnalityka[[#This Row],[Quality/Quantity]],0)</f>
        <v>0</v>
      </c>
      <c r="K1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2" spans="10:12">
      <c r="J1122">
        <f>DropAnalityka[[#This Row],[Sell Drop]]+IF(DropAnalityka[[#This Row],[Drop]]="Scroll", 2000*DropAnalityka[[#This Row],[Quality/Quantity]],0)</f>
        <v>0</v>
      </c>
      <c r="K1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3" spans="10:12">
      <c r="J1123">
        <f>DropAnalityka[[#This Row],[Sell Drop]]+IF(DropAnalityka[[#This Row],[Drop]]="Scroll", 2000*DropAnalityka[[#This Row],[Quality/Quantity]],0)</f>
        <v>0</v>
      </c>
      <c r="K1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4" spans="10:12">
      <c r="J1124">
        <f>DropAnalityka[[#This Row],[Sell Drop]]+IF(DropAnalityka[[#This Row],[Drop]]="Scroll", 2000*DropAnalityka[[#This Row],[Quality/Quantity]],0)</f>
        <v>0</v>
      </c>
      <c r="K1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5" spans="10:12">
      <c r="J1125">
        <f>DropAnalityka[[#This Row],[Sell Drop]]+IF(DropAnalityka[[#This Row],[Drop]]="Scroll", 2000*DropAnalityka[[#This Row],[Quality/Quantity]],0)</f>
        <v>0</v>
      </c>
      <c r="K1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6" spans="10:12">
      <c r="J1126">
        <f>DropAnalityka[[#This Row],[Sell Drop]]+IF(DropAnalityka[[#This Row],[Drop]]="Scroll", 2000*DropAnalityka[[#This Row],[Quality/Quantity]],0)</f>
        <v>0</v>
      </c>
      <c r="K1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7" spans="10:12">
      <c r="J1127">
        <f>DropAnalityka[[#This Row],[Sell Drop]]+IF(DropAnalityka[[#This Row],[Drop]]="Scroll", 2000*DropAnalityka[[#This Row],[Quality/Quantity]],0)</f>
        <v>0</v>
      </c>
      <c r="K1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8" spans="10:12">
      <c r="J1128">
        <f>DropAnalityka[[#This Row],[Sell Drop]]+IF(DropAnalityka[[#This Row],[Drop]]="Scroll", 2000*DropAnalityka[[#This Row],[Quality/Quantity]],0)</f>
        <v>0</v>
      </c>
      <c r="K1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9" spans="10:12">
      <c r="J1129">
        <f>DropAnalityka[[#This Row],[Sell Drop]]+IF(DropAnalityka[[#This Row],[Drop]]="Scroll", 2000*DropAnalityka[[#This Row],[Quality/Quantity]],0)</f>
        <v>0</v>
      </c>
      <c r="K1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0" spans="10:12">
      <c r="J1130">
        <f>DropAnalityka[[#This Row],[Sell Drop]]+IF(DropAnalityka[[#This Row],[Drop]]="Scroll", 2000*DropAnalityka[[#This Row],[Quality/Quantity]],0)</f>
        <v>0</v>
      </c>
      <c r="K1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1" spans="10:12">
      <c r="J1131">
        <f>DropAnalityka[[#This Row],[Sell Drop]]+IF(DropAnalityka[[#This Row],[Drop]]="Scroll", 2000*DropAnalityka[[#This Row],[Quality/Quantity]],0)</f>
        <v>0</v>
      </c>
      <c r="K1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2" spans="10:12">
      <c r="J1132">
        <f>DropAnalityka[[#This Row],[Sell Drop]]+IF(DropAnalityka[[#This Row],[Drop]]="Scroll", 2000*DropAnalityka[[#This Row],[Quality/Quantity]],0)</f>
        <v>0</v>
      </c>
      <c r="K1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3" spans="10:12">
      <c r="J1133">
        <f>DropAnalityka[[#This Row],[Sell Drop]]+IF(DropAnalityka[[#This Row],[Drop]]="Scroll", 2000*DropAnalityka[[#This Row],[Quality/Quantity]],0)</f>
        <v>0</v>
      </c>
      <c r="K1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4" spans="10:12">
      <c r="J1134">
        <f>DropAnalityka[[#This Row],[Sell Drop]]+IF(DropAnalityka[[#This Row],[Drop]]="Scroll", 2000*DropAnalityka[[#This Row],[Quality/Quantity]],0)</f>
        <v>0</v>
      </c>
      <c r="K1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5" spans="10:12">
      <c r="J1135">
        <f>DropAnalityka[[#This Row],[Sell Drop]]+IF(DropAnalityka[[#This Row],[Drop]]="Scroll", 2000*DropAnalityka[[#This Row],[Quality/Quantity]],0)</f>
        <v>0</v>
      </c>
      <c r="K1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6" spans="10:12">
      <c r="J1136">
        <f>DropAnalityka[[#This Row],[Sell Drop]]+IF(DropAnalityka[[#This Row],[Drop]]="Scroll", 2000*DropAnalityka[[#This Row],[Quality/Quantity]],0)</f>
        <v>0</v>
      </c>
      <c r="K1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7" spans="10:12">
      <c r="J1137">
        <f>DropAnalityka[[#This Row],[Sell Drop]]+IF(DropAnalityka[[#This Row],[Drop]]="Scroll", 2000*DropAnalityka[[#This Row],[Quality/Quantity]],0)</f>
        <v>0</v>
      </c>
      <c r="K1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8" spans="10:12">
      <c r="J1138">
        <f>DropAnalityka[[#This Row],[Sell Drop]]+IF(DropAnalityka[[#This Row],[Drop]]="Scroll", 2000*DropAnalityka[[#This Row],[Quality/Quantity]],0)</f>
        <v>0</v>
      </c>
      <c r="K1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9" spans="10:12">
      <c r="J1139">
        <f>DropAnalityka[[#This Row],[Sell Drop]]+IF(DropAnalityka[[#This Row],[Drop]]="Scroll", 2000*DropAnalityka[[#This Row],[Quality/Quantity]],0)</f>
        <v>0</v>
      </c>
      <c r="K1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0" spans="10:12">
      <c r="J1140">
        <f>DropAnalityka[[#This Row],[Sell Drop]]+IF(DropAnalityka[[#This Row],[Drop]]="Scroll", 2000*DropAnalityka[[#This Row],[Quality/Quantity]],0)</f>
        <v>0</v>
      </c>
      <c r="K1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1" spans="10:12">
      <c r="J1141">
        <f>DropAnalityka[[#This Row],[Sell Drop]]+IF(DropAnalityka[[#This Row],[Drop]]="Scroll", 2000*DropAnalityka[[#This Row],[Quality/Quantity]],0)</f>
        <v>0</v>
      </c>
      <c r="K1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2" spans="10:12">
      <c r="J1142">
        <f>DropAnalityka[[#This Row],[Sell Drop]]+IF(DropAnalityka[[#This Row],[Drop]]="Scroll", 2000*DropAnalityka[[#This Row],[Quality/Quantity]],0)</f>
        <v>0</v>
      </c>
      <c r="K1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3" spans="10:12">
      <c r="J1143">
        <f>DropAnalityka[[#This Row],[Sell Drop]]+IF(DropAnalityka[[#This Row],[Drop]]="Scroll", 2000*DropAnalityka[[#This Row],[Quality/Quantity]],0)</f>
        <v>0</v>
      </c>
      <c r="K1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4" spans="10:12">
      <c r="J1144">
        <f>DropAnalityka[[#This Row],[Sell Drop]]+IF(DropAnalityka[[#This Row],[Drop]]="Scroll", 2000*DropAnalityka[[#This Row],[Quality/Quantity]],0)</f>
        <v>0</v>
      </c>
      <c r="K1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5" spans="10:12">
      <c r="J1145">
        <f>DropAnalityka[[#This Row],[Sell Drop]]+IF(DropAnalityka[[#This Row],[Drop]]="Scroll", 2000*DropAnalityka[[#This Row],[Quality/Quantity]],0)</f>
        <v>0</v>
      </c>
      <c r="K1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6" spans="10:12">
      <c r="J1146">
        <f>DropAnalityka[[#This Row],[Sell Drop]]+IF(DropAnalityka[[#This Row],[Drop]]="Scroll", 2000*DropAnalityka[[#This Row],[Quality/Quantity]],0)</f>
        <v>0</v>
      </c>
      <c r="K1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7" spans="10:12">
      <c r="J1147">
        <f>DropAnalityka[[#This Row],[Sell Drop]]+IF(DropAnalityka[[#This Row],[Drop]]="Scroll", 2000*DropAnalityka[[#This Row],[Quality/Quantity]],0)</f>
        <v>0</v>
      </c>
      <c r="K1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8" spans="10:12">
      <c r="J1148">
        <f>DropAnalityka[[#This Row],[Sell Drop]]+IF(DropAnalityka[[#This Row],[Drop]]="Scroll", 2000*DropAnalityka[[#This Row],[Quality/Quantity]],0)</f>
        <v>0</v>
      </c>
      <c r="K1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9" spans="10:12">
      <c r="J1149">
        <f>DropAnalityka[[#This Row],[Sell Drop]]+IF(DropAnalityka[[#This Row],[Drop]]="Scroll", 2000*DropAnalityka[[#This Row],[Quality/Quantity]],0)</f>
        <v>0</v>
      </c>
      <c r="K1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0" spans="10:12">
      <c r="J1150">
        <f>DropAnalityka[[#This Row],[Sell Drop]]+IF(DropAnalityka[[#This Row],[Drop]]="Scroll", 2000*DropAnalityka[[#This Row],[Quality/Quantity]],0)</f>
        <v>0</v>
      </c>
      <c r="K1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1" spans="10:12">
      <c r="J1151">
        <f>DropAnalityka[[#This Row],[Sell Drop]]+IF(DropAnalityka[[#This Row],[Drop]]="Scroll", 2000*DropAnalityka[[#This Row],[Quality/Quantity]],0)</f>
        <v>0</v>
      </c>
      <c r="K1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2" spans="10:12">
      <c r="J1152">
        <f>DropAnalityka[[#This Row],[Sell Drop]]+IF(DropAnalityka[[#This Row],[Drop]]="Scroll", 2000*DropAnalityka[[#This Row],[Quality/Quantity]],0)</f>
        <v>0</v>
      </c>
      <c r="K1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3" spans="10:12">
      <c r="J1153">
        <f>DropAnalityka[[#This Row],[Sell Drop]]+IF(DropAnalityka[[#This Row],[Drop]]="Scroll", 2000*DropAnalityka[[#This Row],[Quality/Quantity]],0)</f>
        <v>0</v>
      </c>
      <c r="K1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4" spans="10:12">
      <c r="J1154">
        <f>DropAnalityka[[#This Row],[Sell Drop]]+IF(DropAnalityka[[#This Row],[Drop]]="Scroll", 2000*DropAnalityka[[#This Row],[Quality/Quantity]],0)</f>
        <v>0</v>
      </c>
      <c r="K1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5" spans="10:12">
      <c r="J1155">
        <f>DropAnalityka[[#This Row],[Sell Drop]]+IF(DropAnalityka[[#This Row],[Drop]]="Scroll", 2000*DropAnalityka[[#This Row],[Quality/Quantity]],0)</f>
        <v>0</v>
      </c>
      <c r="K1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6" spans="10:12">
      <c r="J1156">
        <f>DropAnalityka[[#This Row],[Sell Drop]]+IF(DropAnalityka[[#This Row],[Drop]]="Scroll", 2000*DropAnalityka[[#This Row],[Quality/Quantity]],0)</f>
        <v>0</v>
      </c>
      <c r="K1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7" spans="10:12">
      <c r="J1157">
        <f>DropAnalityka[[#This Row],[Sell Drop]]+IF(DropAnalityka[[#This Row],[Drop]]="Scroll", 2000*DropAnalityka[[#This Row],[Quality/Quantity]],0)</f>
        <v>0</v>
      </c>
      <c r="K1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8" spans="10:12">
      <c r="J1158">
        <f>DropAnalityka[[#This Row],[Sell Drop]]+IF(DropAnalityka[[#This Row],[Drop]]="Scroll", 2000*DropAnalityka[[#This Row],[Quality/Quantity]],0)</f>
        <v>0</v>
      </c>
      <c r="K1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9" spans="10:12">
      <c r="J1159">
        <f>DropAnalityka[[#This Row],[Sell Drop]]+IF(DropAnalityka[[#This Row],[Drop]]="Scroll", 2000*DropAnalityka[[#This Row],[Quality/Quantity]],0)</f>
        <v>0</v>
      </c>
      <c r="K1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0" spans="10:12">
      <c r="J1160">
        <f>DropAnalityka[[#This Row],[Sell Drop]]+IF(DropAnalityka[[#This Row],[Drop]]="Scroll", 2000*DropAnalityka[[#This Row],[Quality/Quantity]],0)</f>
        <v>0</v>
      </c>
      <c r="K1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1" spans="10:12">
      <c r="J1161">
        <f>DropAnalityka[[#This Row],[Sell Drop]]+IF(DropAnalityka[[#This Row],[Drop]]="Scroll", 2000*DropAnalityka[[#This Row],[Quality/Quantity]],0)</f>
        <v>0</v>
      </c>
      <c r="K1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2" spans="10:12">
      <c r="J1162">
        <f>DropAnalityka[[#This Row],[Sell Drop]]+IF(DropAnalityka[[#This Row],[Drop]]="Scroll", 2000*DropAnalityka[[#This Row],[Quality/Quantity]],0)</f>
        <v>0</v>
      </c>
      <c r="K1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3" spans="10:12">
      <c r="J1163">
        <f>DropAnalityka[[#This Row],[Sell Drop]]+IF(DropAnalityka[[#This Row],[Drop]]="Scroll", 2000*DropAnalityka[[#This Row],[Quality/Quantity]],0)</f>
        <v>0</v>
      </c>
      <c r="K1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4" spans="10:12">
      <c r="J1164">
        <f>DropAnalityka[[#This Row],[Sell Drop]]+IF(DropAnalityka[[#This Row],[Drop]]="Scroll", 2000*DropAnalityka[[#This Row],[Quality/Quantity]],0)</f>
        <v>0</v>
      </c>
      <c r="K1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5" spans="10:12">
      <c r="J1165">
        <f>DropAnalityka[[#This Row],[Sell Drop]]+IF(DropAnalityka[[#This Row],[Drop]]="Scroll", 2000*DropAnalityka[[#This Row],[Quality/Quantity]],0)</f>
        <v>0</v>
      </c>
      <c r="K1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6" spans="10:12">
      <c r="J1166">
        <f>DropAnalityka[[#This Row],[Sell Drop]]+IF(DropAnalityka[[#This Row],[Drop]]="Scroll", 2000*DropAnalityka[[#This Row],[Quality/Quantity]],0)</f>
        <v>0</v>
      </c>
      <c r="K1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7" spans="10:12">
      <c r="J1167">
        <f>DropAnalityka[[#This Row],[Sell Drop]]+IF(DropAnalityka[[#This Row],[Drop]]="Scroll", 2000*DropAnalityka[[#This Row],[Quality/Quantity]],0)</f>
        <v>0</v>
      </c>
      <c r="K1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8" spans="10:12">
      <c r="J1168">
        <f>DropAnalityka[[#This Row],[Sell Drop]]+IF(DropAnalityka[[#This Row],[Drop]]="Scroll", 2000*DropAnalityka[[#This Row],[Quality/Quantity]],0)</f>
        <v>0</v>
      </c>
      <c r="K1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9" spans="10:12">
      <c r="J1169">
        <f>DropAnalityka[[#This Row],[Sell Drop]]+IF(DropAnalityka[[#This Row],[Drop]]="Scroll", 2000*DropAnalityka[[#This Row],[Quality/Quantity]],0)</f>
        <v>0</v>
      </c>
      <c r="K1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0" spans="10:12">
      <c r="J1170">
        <f>DropAnalityka[[#This Row],[Sell Drop]]+IF(DropAnalityka[[#This Row],[Drop]]="Scroll", 2000*DropAnalityka[[#This Row],[Quality/Quantity]],0)</f>
        <v>0</v>
      </c>
      <c r="K1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1" spans="10:12">
      <c r="J1171">
        <f>DropAnalityka[[#This Row],[Sell Drop]]+IF(DropAnalityka[[#This Row],[Drop]]="Scroll", 2000*DropAnalityka[[#This Row],[Quality/Quantity]],0)</f>
        <v>0</v>
      </c>
      <c r="K1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2" spans="10:12">
      <c r="J1172">
        <f>DropAnalityka[[#This Row],[Sell Drop]]+IF(DropAnalityka[[#This Row],[Drop]]="Scroll", 2000*DropAnalityka[[#This Row],[Quality/Quantity]],0)</f>
        <v>0</v>
      </c>
      <c r="K1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3" spans="10:12">
      <c r="J1173">
        <f>DropAnalityka[[#This Row],[Sell Drop]]+IF(DropAnalityka[[#This Row],[Drop]]="Scroll", 2000*DropAnalityka[[#This Row],[Quality/Quantity]],0)</f>
        <v>0</v>
      </c>
      <c r="K1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4" spans="10:12">
      <c r="J1174">
        <f>DropAnalityka[[#This Row],[Sell Drop]]+IF(DropAnalityka[[#This Row],[Drop]]="Scroll", 2000*DropAnalityka[[#This Row],[Quality/Quantity]],0)</f>
        <v>0</v>
      </c>
      <c r="K1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5" spans="10:12">
      <c r="J1175">
        <f>DropAnalityka[[#This Row],[Sell Drop]]+IF(DropAnalityka[[#This Row],[Drop]]="Scroll", 2000*DropAnalityka[[#This Row],[Quality/Quantity]],0)</f>
        <v>0</v>
      </c>
      <c r="K1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6" spans="10:12">
      <c r="J1176">
        <f>DropAnalityka[[#This Row],[Sell Drop]]+IF(DropAnalityka[[#This Row],[Drop]]="Scroll", 2000*DropAnalityka[[#This Row],[Quality/Quantity]],0)</f>
        <v>0</v>
      </c>
      <c r="K1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7" spans="10:12">
      <c r="J1177">
        <f>DropAnalityka[[#This Row],[Sell Drop]]+IF(DropAnalityka[[#This Row],[Drop]]="Scroll", 2000*DropAnalityka[[#This Row],[Quality/Quantity]],0)</f>
        <v>0</v>
      </c>
      <c r="K1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8" spans="10:12">
      <c r="J1178">
        <f>DropAnalityka[[#This Row],[Sell Drop]]+IF(DropAnalityka[[#This Row],[Drop]]="Scroll", 2000*DropAnalityka[[#This Row],[Quality/Quantity]],0)</f>
        <v>0</v>
      </c>
      <c r="K1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9" spans="10:12">
      <c r="J1179">
        <f>DropAnalityka[[#This Row],[Sell Drop]]+IF(DropAnalityka[[#This Row],[Drop]]="Scroll", 2000*DropAnalityka[[#This Row],[Quality/Quantity]],0)</f>
        <v>0</v>
      </c>
      <c r="K1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0" spans="10:12">
      <c r="J1180">
        <f>DropAnalityka[[#This Row],[Sell Drop]]+IF(DropAnalityka[[#This Row],[Drop]]="Scroll", 2000*DropAnalityka[[#This Row],[Quality/Quantity]],0)</f>
        <v>0</v>
      </c>
      <c r="K1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1" spans="10:12">
      <c r="J1181">
        <f>DropAnalityka[[#This Row],[Sell Drop]]+IF(DropAnalityka[[#This Row],[Drop]]="Scroll", 2000*DropAnalityka[[#This Row],[Quality/Quantity]],0)</f>
        <v>0</v>
      </c>
      <c r="K1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2" spans="10:12">
      <c r="J1182">
        <f>DropAnalityka[[#This Row],[Sell Drop]]+IF(DropAnalityka[[#This Row],[Drop]]="Scroll", 2000*DropAnalityka[[#This Row],[Quality/Quantity]],0)</f>
        <v>0</v>
      </c>
      <c r="K1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3" spans="10:12">
      <c r="J1183">
        <f>DropAnalityka[[#This Row],[Sell Drop]]+IF(DropAnalityka[[#This Row],[Drop]]="Scroll", 2000*DropAnalityka[[#This Row],[Quality/Quantity]],0)</f>
        <v>0</v>
      </c>
      <c r="K1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4" spans="10:12">
      <c r="J1184">
        <f>DropAnalityka[[#This Row],[Sell Drop]]+IF(DropAnalityka[[#This Row],[Drop]]="Scroll", 2000*DropAnalityka[[#This Row],[Quality/Quantity]],0)</f>
        <v>0</v>
      </c>
      <c r="K1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5" spans="10:12">
      <c r="J1185">
        <f>DropAnalityka[[#This Row],[Sell Drop]]+IF(DropAnalityka[[#This Row],[Drop]]="Scroll", 2000*DropAnalityka[[#This Row],[Quality/Quantity]],0)</f>
        <v>0</v>
      </c>
      <c r="K1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6" spans="10:12">
      <c r="J1186">
        <f>DropAnalityka[[#This Row],[Sell Drop]]+IF(DropAnalityka[[#This Row],[Drop]]="Scroll", 2000*DropAnalityka[[#This Row],[Quality/Quantity]],0)</f>
        <v>0</v>
      </c>
      <c r="K1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7" spans="10:12">
      <c r="J1187">
        <f>DropAnalityka[[#This Row],[Sell Drop]]+IF(DropAnalityka[[#This Row],[Drop]]="Scroll", 2000*DropAnalityka[[#This Row],[Quality/Quantity]],0)</f>
        <v>0</v>
      </c>
      <c r="K1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8" spans="10:12">
      <c r="J1188">
        <f>DropAnalityka[[#This Row],[Sell Drop]]+IF(DropAnalityka[[#This Row],[Drop]]="Scroll", 2000*DropAnalityka[[#This Row],[Quality/Quantity]],0)</f>
        <v>0</v>
      </c>
      <c r="K1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9" spans="10:12">
      <c r="J1189">
        <f>DropAnalityka[[#This Row],[Sell Drop]]+IF(DropAnalityka[[#This Row],[Drop]]="Scroll", 2000*DropAnalityka[[#This Row],[Quality/Quantity]],0)</f>
        <v>0</v>
      </c>
      <c r="K1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0" spans="10:12">
      <c r="J1190">
        <f>DropAnalityka[[#This Row],[Sell Drop]]+IF(DropAnalityka[[#This Row],[Drop]]="Scroll", 2000*DropAnalityka[[#This Row],[Quality/Quantity]],0)</f>
        <v>0</v>
      </c>
      <c r="K1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1" spans="10:12">
      <c r="J1191">
        <f>DropAnalityka[[#This Row],[Sell Drop]]+IF(DropAnalityka[[#This Row],[Drop]]="Scroll", 2000*DropAnalityka[[#This Row],[Quality/Quantity]],0)</f>
        <v>0</v>
      </c>
      <c r="K1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2" spans="10:12">
      <c r="J1192">
        <f>DropAnalityka[[#This Row],[Sell Drop]]+IF(DropAnalityka[[#This Row],[Drop]]="Scroll", 2000*DropAnalityka[[#This Row],[Quality/Quantity]],0)</f>
        <v>0</v>
      </c>
      <c r="K1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3" spans="10:12">
      <c r="J1193">
        <f>DropAnalityka[[#This Row],[Sell Drop]]+IF(DropAnalityka[[#This Row],[Drop]]="Scroll", 2000*DropAnalityka[[#This Row],[Quality/Quantity]],0)</f>
        <v>0</v>
      </c>
      <c r="K1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4" spans="10:12">
      <c r="J1194">
        <f>DropAnalityka[[#This Row],[Sell Drop]]+IF(DropAnalityka[[#This Row],[Drop]]="Scroll", 2000*DropAnalityka[[#This Row],[Quality/Quantity]],0)</f>
        <v>0</v>
      </c>
      <c r="K1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5" spans="10:12">
      <c r="J1195">
        <f>DropAnalityka[[#This Row],[Sell Drop]]+IF(DropAnalityka[[#This Row],[Drop]]="Scroll", 2000*DropAnalityka[[#This Row],[Quality/Quantity]],0)</f>
        <v>0</v>
      </c>
      <c r="K1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6" spans="10:12">
      <c r="J1196">
        <f>DropAnalityka[[#This Row],[Sell Drop]]+IF(DropAnalityka[[#This Row],[Drop]]="Scroll", 2000*DropAnalityka[[#This Row],[Quality/Quantity]],0)</f>
        <v>0</v>
      </c>
      <c r="K1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7" spans="10:12">
      <c r="J1197">
        <f>DropAnalityka[[#This Row],[Sell Drop]]+IF(DropAnalityka[[#This Row],[Drop]]="Scroll", 2000*DropAnalityka[[#This Row],[Quality/Quantity]],0)</f>
        <v>0</v>
      </c>
      <c r="K1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8" spans="10:12">
      <c r="J1198">
        <f>DropAnalityka[[#This Row],[Sell Drop]]+IF(DropAnalityka[[#This Row],[Drop]]="Scroll", 2000*DropAnalityka[[#This Row],[Quality/Quantity]],0)</f>
        <v>0</v>
      </c>
      <c r="K1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9" spans="10:12">
      <c r="J1199">
        <f>DropAnalityka[[#This Row],[Sell Drop]]+IF(DropAnalityka[[#This Row],[Drop]]="Scroll", 2000*DropAnalityka[[#This Row],[Quality/Quantity]],0)</f>
        <v>0</v>
      </c>
      <c r="K1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0" spans="10:12">
      <c r="J1200">
        <f>DropAnalityka[[#This Row],[Sell Drop]]+IF(DropAnalityka[[#This Row],[Drop]]="Scroll", 2000*DropAnalityka[[#This Row],[Quality/Quantity]],0)</f>
        <v>0</v>
      </c>
      <c r="K1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1" spans="10:12">
      <c r="J1201">
        <f>DropAnalityka[[#This Row],[Sell Drop]]+IF(DropAnalityka[[#This Row],[Drop]]="Scroll", 2000*DropAnalityka[[#This Row],[Quality/Quantity]],0)</f>
        <v>0</v>
      </c>
      <c r="K1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2" spans="10:12">
      <c r="J1202">
        <f>DropAnalityka[[#This Row],[Sell Drop]]+IF(DropAnalityka[[#This Row],[Drop]]="Scroll", 2000*DropAnalityka[[#This Row],[Quality/Quantity]],0)</f>
        <v>0</v>
      </c>
      <c r="K1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3" spans="10:12">
      <c r="J1203">
        <f>DropAnalityka[[#This Row],[Sell Drop]]+IF(DropAnalityka[[#This Row],[Drop]]="Scroll", 2000*DropAnalityka[[#This Row],[Quality/Quantity]],0)</f>
        <v>0</v>
      </c>
      <c r="K1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4" spans="10:12">
      <c r="J1204">
        <f>DropAnalityka[[#This Row],[Sell Drop]]+IF(DropAnalityka[[#This Row],[Drop]]="Scroll", 2000*DropAnalityka[[#This Row],[Quality/Quantity]],0)</f>
        <v>0</v>
      </c>
      <c r="K1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5" spans="10:12">
      <c r="J1205">
        <f>DropAnalityka[[#This Row],[Sell Drop]]+IF(DropAnalityka[[#This Row],[Drop]]="Scroll", 2000*DropAnalityka[[#This Row],[Quality/Quantity]],0)</f>
        <v>0</v>
      </c>
      <c r="K1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6" spans="10:12">
      <c r="J1206">
        <f>DropAnalityka[[#This Row],[Sell Drop]]+IF(DropAnalityka[[#This Row],[Drop]]="Scroll", 2000*DropAnalityka[[#This Row],[Quality/Quantity]],0)</f>
        <v>0</v>
      </c>
      <c r="K1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7" spans="10:12">
      <c r="J1207">
        <f>DropAnalityka[[#This Row],[Sell Drop]]+IF(DropAnalityka[[#This Row],[Drop]]="Scroll", 2000*DropAnalityka[[#This Row],[Quality/Quantity]],0)</f>
        <v>0</v>
      </c>
      <c r="K1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8" spans="10:12">
      <c r="J1208">
        <f>DropAnalityka[[#This Row],[Sell Drop]]+IF(DropAnalityka[[#This Row],[Drop]]="Scroll", 2000*DropAnalityka[[#This Row],[Quality/Quantity]],0)</f>
        <v>0</v>
      </c>
      <c r="K1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9" spans="10:12">
      <c r="J1209">
        <f>DropAnalityka[[#This Row],[Sell Drop]]+IF(DropAnalityka[[#This Row],[Drop]]="Scroll", 2000*DropAnalityka[[#This Row],[Quality/Quantity]],0)</f>
        <v>0</v>
      </c>
      <c r="K1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0" spans="10:12">
      <c r="J1210">
        <f>DropAnalityka[[#This Row],[Sell Drop]]+IF(DropAnalityka[[#This Row],[Drop]]="Scroll", 2000*DropAnalityka[[#This Row],[Quality/Quantity]],0)</f>
        <v>0</v>
      </c>
      <c r="K1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1" spans="10:12">
      <c r="J1211">
        <f>DropAnalityka[[#This Row],[Sell Drop]]+IF(DropAnalityka[[#This Row],[Drop]]="Scroll", 2000*DropAnalityka[[#This Row],[Quality/Quantity]],0)</f>
        <v>0</v>
      </c>
      <c r="K1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2" spans="10:12">
      <c r="J1212">
        <f>DropAnalityka[[#This Row],[Sell Drop]]+IF(DropAnalityka[[#This Row],[Drop]]="Scroll", 2000*DropAnalityka[[#This Row],[Quality/Quantity]],0)</f>
        <v>0</v>
      </c>
      <c r="K1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3" spans="10:12">
      <c r="J1213">
        <f>DropAnalityka[[#This Row],[Sell Drop]]+IF(DropAnalityka[[#This Row],[Drop]]="Scroll", 2000*DropAnalityka[[#This Row],[Quality/Quantity]],0)</f>
        <v>0</v>
      </c>
      <c r="K1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4" spans="10:12">
      <c r="J1214">
        <f>DropAnalityka[[#This Row],[Sell Drop]]+IF(DropAnalityka[[#This Row],[Drop]]="Scroll", 2000*DropAnalityka[[#This Row],[Quality/Quantity]],0)</f>
        <v>0</v>
      </c>
      <c r="K1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5" spans="10:12">
      <c r="J1215">
        <f>DropAnalityka[[#This Row],[Sell Drop]]+IF(DropAnalityka[[#This Row],[Drop]]="Scroll", 2000*DropAnalityka[[#This Row],[Quality/Quantity]],0)</f>
        <v>0</v>
      </c>
      <c r="K1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6" spans="10:12">
      <c r="J1216">
        <f>DropAnalityka[[#This Row],[Sell Drop]]+IF(DropAnalityka[[#This Row],[Drop]]="Scroll", 2000*DropAnalityka[[#This Row],[Quality/Quantity]],0)</f>
        <v>0</v>
      </c>
      <c r="K1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7" spans="10:12">
      <c r="J1217">
        <f>DropAnalityka[[#This Row],[Sell Drop]]+IF(DropAnalityka[[#This Row],[Drop]]="Scroll", 2000*DropAnalityka[[#This Row],[Quality/Quantity]],0)</f>
        <v>0</v>
      </c>
      <c r="K1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8" spans="10:12">
      <c r="J1218">
        <f>DropAnalityka[[#This Row],[Sell Drop]]+IF(DropAnalityka[[#This Row],[Drop]]="Scroll", 2000*DropAnalityka[[#This Row],[Quality/Quantity]],0)</f>
        <v>0</v>
      </c>
      <c r="K1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9" spans="10:12">
      <c r="J1219">
        <f>DropAnalityka[[#This Row],[Sell Drop]]+IF(DropAnalityka[[#This Row],[Drop]]="Scroll", 2000*DropAnalityka[[#This Row],[Quality/Quantity]],0)</f>
        <v>0</v>
      </c>
      <c r="K1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0" spans="10:12">
      <c r="J1220">
        <f>DropAnalityka[[#This Row],[Sell Drop]]+IF(DropAnalityka[[#This Row],[Drop]]="Scroll", 2000*DropAnalityka[[#This Row],[Quality/Quantity]],0)</f>
        <v>0</v>
      </c>
      <c r="K1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1" spans="10:12">
      <c r="J1221">
        <f>DropAnalityka[[#This Row],[Sell Drop]]+IF(DropAnalityka[[#This Row],[Drop]]="Scroll", 2000*DropAnalityka[[#This Row],[Quality/Quantity]],0)</f>
        <v>0</v>
      </c>
      <c r="K1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2" spans="10:12">
      <c r="J1222">
        <f>DropAnalityka[[#This Row],[Sell Drop]]+IF(DropAnalityka[[#This Row],[Drop]]="Scroll", 2000*DropAnalityka[[#This Row],[Quality/Quantity]],0)</f>
        <v>0</v>
      </c>
      <c r="K1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3" spans="10:12">
      <c r="J1223">
        <f>DropAnalityka[[#This Row],[Sell Drop]]+IF(DropAnalityka[[#This Row],[Drop]]="Scroll", 2000*DropAnalityka[[#This Row],[Quality/Quantity]],0)</f>
        <v>0</v>
      </c>
      <c r="K1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4" spans="10:12">
      <c r="J1224">
        <f>DropAnalityka[[#This Row],[Sell Drop]]+IF(DropAnalityka[[#This Row],[Drop]]="Scroll", 2000*DropAnalityka[[#This Row],[Quality/Quantity]],0)</f>
        <v>0</v>
      </c>
      <c r="K1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5" spans="10:12">
      <c r="J1225">
        <f>DropAnalityka[[#This Row],[Sell Drop]]+IF(DropAnalityka[[#This Row],[Drop]]="Scroll", 2000*DropAnalityka[[#This Row],[Quality/Quantity]],0)</f>
        <v>0</v>
      </c>
      <c r="K1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6" spans="10:12">
      <c r="J1226">
        <f>DropAnalityka[[#This Row],[Sell Drop]]+IF(DropAnalityka[[#This Row],[Drop]]="Scroll", 2000*DropAnalityka[[#This Row],[Quality/Quantity]],0)</f>
        <v>0</v>
      </c>
      <c r="K1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7" spans="10:12">
      <c r="J1227">
        <f>DropAnalityka[[#This Row],[Sell Drop]]+IF(DropAnalityka[[#This Row],[Drop]]="Scroll", 2000*DropAnalityka[[#This Row],[Quality/Quantity]],0)</f>
        <v>0</v>
      </c>
      <c r="K1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8" spans="10:12">
      <c r="J1228">
        <f>DropAnalityka[[#This Row],[Sell Drop]]+IF(DropAnalityka[[#This Row],[Drop]]="Scroll", 2000*DropAnalityka[[#This Row],[Quality/Quantity]],0)</f>
        <v>0</v>
      </c>
      <c r="K1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9" spans="10:12">
      <c r="J1229">
        <f>DropAnalityka[[#This Row],[Sell Drop]]+IF(DropAnalityka[[#This Row],[Drop]]="Scroll", 2000*DropAnalityka[[#This Row],[Quality/Quantity]],0)</f>
        <v>0</v>
      </c>
      <c r="K1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0" spans="10:12">
      <c r="J1230">
        <f>DropAnalityka[[#This Row],[Sell Drop]]+IF(DropAnalityka[[#This Row],[Drop]]="Scroll", 2000*DropAnalityka[[#This Row],[Quality/Quantity]],0)</f>
        <v>0</v>
      </c>
      <c r="K1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1" spans="10:12">
      <c r="J1231">
        <f>DropAnalityka[[#This Row],[Sell Drop]]+IF(DropAnalityka[[#This Row],[Drop]]="Scroll", 2000*DropAnalityka[[#This Row],[Quality/Quantity]],0)</f>
        <v>0</v>
      </c>
      <c r="K1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2" spans="10:12">
      <c r="J1232">
        <f>DropAnalityka[[#This Row],[Sell Drop]]+IF(DropAnalityka[[#This Row],[Drop]]="Scroll", 2000*DropAnalityka[[#This Row],[Quality/Quantity]],0)</f>
        <v>0</v>
      </c>
      <c r="K1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3" spans="10:12">
      <c r="J1233">
        <f>DropAnalityka[[#This Row],[Sell Drop]]+IF(DropAnalityka[[#This Row],[Drop]]="Scroll", 2000*DropAnalityka[[#This Row],[Quality/Quantity]],0)</f>
        <v>0</v>
      </c>
      <c r="K1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4" spans="10:12">
      <c r="J1234">
        <f>DropAnalityka[[#This Row],[Sell Drop]]+IF(DropAnalityka[[#This Row],[Drop]]="Scroll", 2000*DropAnalityka[[#This Row],[Quality/Quantity]],0)</f>
        <v>0</v>
      </c>
      <c r="K1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5" spans="10:12">
      <c r="J1235">
        <f>DropAnalityka[[#This Row],[Sell Drop]]+IF(DropAnalityka[[#This Row],[Drop]]="Scroll", 2000*DropAnalityka[[#This Row],[Quality/Quantity]],0)</f>
        <v>0</v>
      </c>
      <c r="K1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6" spans="10:12">
      <c r="J1236">
        <f>DropAnalityka[[#This Row],[Sell Drop]]+IF(DropAnalityka[[#This Row],[Drop]]="Scroll", 2000*DropAnalityka[[#This Row],[Quality/Quantity]],0)</f>
        <v>0</v>
      </c>
      <c r="K1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7" spans="10:12">
      <c r="J1237">
        <f>DropAnalityka[[#This Row],[Sell Drop]]+IF(DropAnalityka[[#This Row],[Drop]]="Scroll", 2000*DropAnalityka[[#This Row],[Quality/Quantity]],0)</f>
        <v>0</v>
      </c>
      <c r="K1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8" spans="10:12">
      <c r="J1238">
        <f>DropAnalityka[[#This Row],[Sell Drop]]+IF(DropAnalityka[[#This Row],[Drop]]="Scroll", 2000*DropAnalityka[[#This Row],[Quality/Quantity]],0)</f>
        <v>0</v>
      </c>
      <c r="K1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9" spans="10:12">
      <c r="J1239">
        <f>DropAnalityka[[#This Row],[Sell Drop]]+IF(DropAnalityka[[#This Row],[Drop]]="Scroll", 2000*DropAnalityka[[#This Row],[Quality/Quantity]],0)</f>
        <v>0</v>
      </c>
      <c r="K1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0" spans="10:12">
      <c r="J1240">
        <f>DropAnalityka[[#This Row],[Sell Drop]]+IF(DropAnalityka[[#This Row],[Drop]]="Scroll", 2000*DropAnalityka[[#This Row],[Quality/Quantity]],0)</f>
        <v>0</v>
      </c>
      <c r="K1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1" spans="10:12">
      <c r="J1241">
        <f>DropAnalityka[[#This Row],[Sell Drop]]+IF(DropAnalityka[[#This Row],[Drop]]="Scroll", 2000*DropAnalityka[[#This Row],[Quality/Quantity]],0)</f>
        <v>0</v>
      </c>
      <c r="K1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2" spans="10:12">
      <c r="J1242">
        <f>DropAnalityka[[#This Row],[Sell Drop]]+IF(DropAnalityka[[#This Row],[Drop]]="Scroll", 2000*DropAnalityka[[#This Row],[Quality/Quantity]],0)</f>
        <v>0</v>
      </c>
      <c r="K1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3" spans="10:12">
      <c r="J1243">
        <f>DropAnalityka[[#This Row],[Sell Drop]]+IF(DropAnalityka[[#This Row],[Drop]]="Scroll", 2000*DropAnalityka[[#This Row],[Quality/Quantity]],0)</f>
        <v>0</v>
      </c>
      <c r="K1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4" spans="10:12">
      <c r="J1244">
        <f>DropAnalityka[[#This Row],[Sell Drop]]+IF(DropAnalityka[[#This Row],[Drop]]="Scroll", 2000*DropAnalityka[[#This Row],[Quality/Quantity]],0)</f>
        <v>0</v>
      </c>
      <c r="K1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5" spans="10:12">
      <c r="J1245">
        <f>DropAnalityka[[#This Row],[Sell Drop]]+IF(DropAnalityka[[#This Row],[Drop]]="Scroll", 2000*DropAnalityka[[#This Row],[Quality/Quantity]],0)</f>
        <v>0</v>
      </c>
      <c r="K1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6" spans="10:12">
      <c r="J1246">
        <f>DropAnalityka[[#This Row],[Sell Drop]]+IF(DropAnalityka[[#This Row],[Drop]]="Scroll", 2000*DropAnalityka[[#This Row],[Quality/Quantity]],0)</f>
        <v>0</v>
      </c>
      <c r="K1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7" spans="10:12">
      <c r="J1247">
        <f>DropAnalityka[[#This Row],[Sell Drop]]+IF(DropAnalityka[[#This Row],[Drop]]="Scroll", 2000*DropAnalityka[[#This Row],[Quality/Quantity]],0)</f>
        <v>0</v>
      </c>
      <c r="K1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8" spans="10:12">
      <c r="J1248">
        <f>DropAnalityka[[#This Row],[Sell Drop]]+IF(DropAnalityka[[#This Row],[Drop]]="Scroll", 2000*DropAnalityka[[#This Row],[Quality/Quantity]],0)</f>
        <v>0</v>
      </c>
      <c r="K1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9" spans="10:12">
      <c r="J1249">
        <f>DropAnalityka[[#This Row],[Sell Drop]]+IF(DropAnalityka[[#This Row],[Drop]]="Scroll", 2000*DropAnalityka[[#This Row],[Quality/Quantity]],0)</f>
        <v>0</v>
      </c>
      <c r="K1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0" spans="10:12">
      <c r="J1250">
        <f>DropAnalityka[[#This Row],[Sell Drop]]+IF(DropAnalityka[[#This Row],[Drop]]="Scroll", 2000*DropAnalityka[[#This Row],[Quality/Quantity]],0)</f>
        <v>0</v>
      </c>
      <c r="K1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1" spans="10:12">
      <c r="J1251">
        <f>DropAnalityka[[#This Row],[Sell Drop]]+IF(DropAnalityka[[#This Row],[Drop]]="Scroll", 2000*DropAnalityka[[#This Row],[Quality/Quantity]],0)</f>
        <v>0</v>
      </c>
      <c r="K1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2" spans="10:12">
      <c r="J1252">
        <f>DropAnalityka[[#This Row],[Sell Drop]]+IF(DropAnalityka[[#This Row],[Drop]]="Scroll", 2000*DropAnalityka[[#This Row],[Quality/Quantity]],0)</f>
        <v>0</v>
      </c>
      <c r="K1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3" spans="10:12">
      <c r="J1253">
        <f>DropAnalityka[[#This Row],[Sell Drop]]+IF(DropAnalityka[[#This Row],[Drop]]="Scroll", 2000*DropAnalityka[[#This Row],[Quality/Quantity]],0)</f>
        <v>0</v>
      </c>
      <c r="K1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4" spans="10:12">
      <c r="J1254">
        <f>DropAnalityka[[#This Row],[Sell Drop]]+IF(DropAnalityka[[#This Row],[Drop]]="Scroll", 2000*DropAnalityka[[#This Row],[Quality/Quantity]],0)</f>
        <v>0</v>
      </c>
      <c r="K1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5" spans="10:12">
      <c r="J1255">
        <f>DropAnalityka[[#This Row],[Sell Drop]]+IF(DropAnalityka[[#This Row],[Drop]]="Scroll", 2000*DropAnalityka[[#This Row],[Quality/Quantity]],0)</f>
        <v>0</v>
      </c>
      <c r="K1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6" spans="10:12">
      <c r="J1256">
        <f>DropAnalityka[[#This Row],[Sell Drop]]+IF(DropAnalityka[[#This Row],[Drop]]="Scroll", 2000*DropAnalityka[[#This Row],[Quality/Quantity]],0)</f>
        <v>0</v>
      </c>
      <c r="K1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7" spans="10:12">
      <c r="J1257">
        <f>DropAnalityka[[#This Row],[Sell Drop]]+IF(DropAnalityka[[#This Row],[Drop]]="Scroll", 2000*DropAnalityka[[#This Row],[Quality/Quantity]],0)</f>
        <v>0</v>
      </c>
      <c r="K1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8" spans="10:12">
      <c r="J1258">
        <f>DropAnalityka[[#This Row],[Sell Drop]]+IF(DropAnalityka[[#This Row],[Drop]]="Scroll", 2000*DropAnalityka[[#This Row],[Quality/Quantity]],0)</f>
        <v>0</v>
      </c>
      <c r="K1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9" spans="10:12">
      <c r="J1259">
        <f>DropAnalityka[[#This Row],[Sell Drop]]+IF(DropAnalityka[[#This Row],[Drop]]="Scroll", 2000*DropAnalityka[[#This Row],[Quality/Quantity]],0)</f>
        <v>0</v>
      </c>
      <c r="K1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0" spans="10:12">
      <c r="J1260">
        <f>DropAnalityka[[#This Row],[Sell Drop]]+IF(DropAnalityka[[#This Row],[Drop]]="Scroll", 2000*DropAnalityka[[#This Row],[Quality/Quantity]],0)</f>
        <v>0</v>
      </c>
      <c r="K1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1" spans="10:12">
      <c r="J1261">
        <f>DropAnalityka[[#This Row],[Sell Drop]]+IF(DropAnalityka[[#This Row],[Drop]]="Scroll", 2000*DropAnalityka[[#This Row],[Quality/Quantity]],0)</f>
        <v>0</v>
      </c>
      <c r="K1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2" spans="10:12">
      <c r="J1262">
        <f>DropAnalityka[[#This Row],[Sell Drop]]+IF(DropAnalityka[[#This Row],[Drop]]="Scroll", 2000*DropAnalityka[[#This Row],[Quality/Quantity]],0)</f>
        <v>0</v>
      </c>
      <c r="K1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3" spans="10:12">
      <c r="J1263">
        <f>DropAnalityka[[#This Row],[Sell Drop]]+IF(DropAnalityka[[#This Row],[Drop]]="Scroll", 2000*DropAnalityka[[#This Row],[Quality/Quantity]],0)</f>
        <v>0</v>
      </c>
      <c r="K1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4" spans="10:12">
      <c r="J1264">
        <f>DropAnalityka[[#This Row],[Sell Drop]]+IF(DropAnalityka[[#This Row],[Drop]]="Scroll", 2000*DropAnalityka[[#This Row],[Quality/Quantity]],0)</f>
        <v>0</v>
      </c>
      <c r="K1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5" spans="10:12">
      <c r="J1265">
        <f>DropAnalityka[[#This Row],[Sell Drop]]+IF(DropAnalityka[[#This Row],[Drop]]="Scroll", 2000*DropAnalityka[[#This Row],[Quality/Quantity]],0)</f>
        <v>0</v>
      </c>
      <c r="K1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6" spans="10:12">
      <c r="J1266">
        <f>DropAnalityka[[#This Row],[Sell Drop]]+IF(DropAnalityka[[#This Row],[Drop]]="Scroll", 2000*DropAnalityka[[#This Row],[Quality/Quantity]],0)</f>
        <v>0</v>
      </c>
      <c r="K1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7" spans="10:12">
      <c r="J1267">
        <f>DropAnalityka[[#This Row],[Sell Drop]]+IF(DropAnalityka[[#This Row],[Drop]]="Scroll", 2000*DropAnalityka[[#This Row],[Quality/Quantity]],0)</f>
        <v>0</v>
      </c>
      <c r="K1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8" spans="10:12">
      <c r="J1268">
        <f>DropAnalityka[[#This Row],[Sell Drop]]+IF(DropAnalityka[[#This Row],[Drop]]="Scroll", 2000*DropAnalityka[[#This Row],[Quality/Quantity]],0)</f>
        <v>0</v>
      </c>
      <c r="K1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9" spans="10:12">
      <c r="J1269">
        <f>DropAnalityka[[#This Row],[Sell Drop]]+IF(DropAnalityka[[#This Row],[Drop]]="Scroll", 2000*DropAnalityka[[#This Row],[Quality/Quantity]],0)</f>
        <v>0</v>
      </c>
      <c r="K1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0" spans="10:12">
      <c r="J1270">
        <f>DropAnalityka[[#This Row],[Sell Drop]]+IF(DropAnalityka[[#This Row],[Drop]]="Scroll", 2000*DropAnalityka[[#This Row],[Quality/Quantity]],0)</f>
        <v>0</v>
      </c>
      <c r="K1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1" spans="10:12">
      <c r="J1271">
        <f>DropAnalityka[[#This Row],[Sell Drop]]+IF(DropAnalityka[[#This Row],[Drop]]="Scroll", 2000*DropAnalityka[[#This Row],[Quality/Quantity]],0)</f>
        <v>0</v>
      </c>
      <c r="K1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2" spans="10:12">
      <c r="J1272">
        <f>DropAnalityka[[#This Row],[Sell Drop]]+IF(DropAnalityka[[#This Row],[Drop]]="Scroll", 2000*DropAnalityka[[#This Row],[Quality/Quantity]],0)</f>
        <v>0</v>
      </c>
      <c r="K1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3" spans="10:12">
      <c r="J1273">
        <f>DropAnalityka[[#This Row],[Sell Drop]]+IF(DropAnalityka[[#This Row],[Drop]]="Scroll", 2000*DropAnalityka[[#This Row],[Quality/Quantity]],0)</f>
        <v>0</v>
      </c>
      <c r="K1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4" spans="10:12">
      <c r="J1274">
        <f>DropAnalityka[[#This Row],[Sell Drop]]+IF(DropAnalityka[[#This Row],[Drop]]="Scroll", 2000*DropAnalityka[[#This Row],[Quality/Quantity]],0)</f>
        <v>0</v>
      </c>
      <c r="K1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5" spans="10:12">
      <c r="J1275">
        <f>DropAnalityka[[#This Row],[Sell Drop]]+IF(DropAnalityka[[#This Row],[Drop]]="Scroll", 2000*DropAnalityka[[#This Row],[Quality/Quantity]],0)</f>
        <v>0</v>
      </c>
      <c r="K1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6" spans="10:12">
      <c r="J1276">
        <f>DropAnalityka[[#This Row],[Sell Drop]]+IF(DropAnalityka[[#This Row],[Drop]]="Scroll", 2000*DropAnalityka[[#This Row],[Quality/Quantity]],0)</f>
        <v>0</v>
      </c>
      <c r="K1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7" spans="10:12">
      <c r="J1277">
        <f>DropAnalityka[[#This Row],[Sell Drop]]+IF(DropAnalityka[[#This Row],[Drop]]="Scroll", 2000*DropAnalityka[[#This Row],[Quality/Quantity]],0)</f>
        <v>0</v>
      </c>
      <c r="K1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8" spans="10:12">
      <c r="J1278">
        <f>DropAnalityka[[#This Row],[Sell Drop]]+IF(DropAnalityka[[#This Row],[Drop]]="Scroll", 2000*DropAnalityka[[#This Row],[Quality/Quantity]],0)</f>
        <v>0</v>
      </c>
      <c r="K1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9" spans="10:12">
      <c r="J1279">
        <f>DropAnalityka[[#This Row],[Sell Drop]]+IF(DropAnalityka[[#This Row],[Drop]]="Scroll", 2000*DropAnalityka[[#This Row],[Quality/Quantity]],0)</f>
        <v>0</v>
      </c>
      <c r="K1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0" spans="10:12">
      <c r="J1280">
        <f>DropAnalityka[[#This Row],[Sell Drop]]+IF(DropAnalityka[[#This Row],[Drop]]="Scroll", 2000*DropAnalityka[[#This Row],[Quality/Quantity]],0)</f>
        <v>0</v>
      </c>
      <c r="K1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1" spans="10:12">
      <c r="J1281">
        <f>DropAnalityka[[#This Row],[Sell Drop]]+IF(DropAnalityka[[#This Row],[Drop]]="Scroll", 2000*DropAnalityka[[#This Row],[Quality/Quantity]],0)</f>
        <v>0</v>
      </c>
      <c r="K1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2" spans="10:12">
      <c r="J1282">
        <f>DropAnalityka[[#This Row],[Sell Drop]]+IF(DropAnalityka[[#This Row],[Drop]]="Scroll", 2000*DropAnalityka[[#This Row],[Quality/Quantity]],0)</f>
        <v>0</v>
      </c>
      <c r="K1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3" spans="10:12">
      <c r="J1283">
        <f>DropAnalityka[[#This Row],[Sell Drop]]+IF(DropAnalityka[[#This Row],[Drop]]="Scroll", 2000*DropAnalityka[[#This Row],[Quality/Quantity]],0)</f>
        <v>0</v>
      </c>
      <c r="K1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4" spans="10:12">
      <c r="J1284">
        <f>DropAnalityka[[#This Row],[Sell Drop]]+IF(DropAnalityka[[#This Row],[Drop]]="Scroll", 2000*DropAnalityka[[#This Row],[Quality/Quantity]],0)</f>
        <v>0</v>
      </c>
      <c r="K1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5" spans="10:12">
      <c r="J1285">
        <f>DropAnalityka[[#This Row],[Sell Drop]]+IF(DropAnalityka[[#This Row],[Drop]]="Scroll", 2000*DropAnalityka[[#This Row],[Quality/Quantity]],0)</f>
        <v>0</v>
      </c>
      <c r="K1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6" spans="10:12">
      <c r="J1286">
        <f>DropAnalityka[[#This Row],[Sell Drop]]+IF(DropAnalityka[[#This Row],[Drop]]="Scroll", 2000*DropAnalityka[[#This Row],[Quality/Quantity]],0)</f>
        <v>0</v>
      </c>
      <c r="K1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7" spans="10:12">
      <c r="J1287">
        <f>DropAnalityka[[#This Row],[Sell Drop]]+IF(DropAnalityka[[#This Row],[Drop]]="Scroll", 2000*DropAnalityka[[#This Row],[Quality/Quantity]],0)</f>
        <v>0</v>
      </c>
      <c r="K1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8" spans="10:12">
      <c r="J1288">
        <f>DropAnalityka[[#This Row],[Sell Drop]]+IF(DropAnalityka[[#This Row],[Drop]]="Scroll", 2000*DropAnalityka[[#This Row],[Quality/Quantity]],0)</f>
        <v>0</v>
      </c>
      <c r="K1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9" spans="10:12">
      <c r="J1289">
        <f>DropAnalityka[[#This Row],[Sell Drop]]+IF(DropAnalityka[[#This Row],[Drop]]="Scroll", 2000*DropAnalityka[[#This Row],[Quality/Quantity]],0)</f>
        <v>0</v>
      </c>
      <c r="K1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0" spans="10:12">
      <c r="J1290">
        <f>DropAnalityka[[#This Row],[Sell Drop]]+IF(DropAnalityka[[#This Row],[Drop]]="Scroll", 2000*DropAnalityka[[#This Row],[Quality/Quantity]],0)</f>
        <v>0</v>
      </c>
      <c r="K1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1" spans="10:12">
      <c r="J1291">
        <f>DropAnalityka[[#This Row],[Sell Drop]]+IF(DropAnalityka[[#This Row],[Drop]]="Scroll", 2000*DropAnalityka[[#This Row],[Quality/Quantity]],0)</f>
        <v>0</v>
      </c>
      <c r="K1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2" spans="10:12">
      <c r="J1292">
        <f>DropAnalityka[[#This Row],[Sell Drop]]+IF(DropAnalityka[[#This Row],[Drop]]="Scroll", 2000*DropAnalityka[[#This Row],[Quality/Quantity]],0)</f>
        <v>0</v>
      </c>
      <c r="K1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3" spans="10:12">
      <c r="J1293">
        <f>DropAnalityka[[#This Row],[Sell Drop]]+IF(DropAnalityka[[#This Row],[Drop]]="Scroll", 2000*DropAnalityka[[#This Row],[Quality/Quantity]],0)</f>
        <v>0</v>
      </c>
      <c r="K1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4" spans="10:12">
      <c r="J1294">
        <f>DropAnalityka[[#This Row],[Sell Drop]]+IF(DropAnalityka[[#This Row],[Drop]]="Scroll", 2000*DropAnalityka[[#This Row],[Quality/Quantity]],0)</f>
        <v>0</v>
      </c>
      <c r="K1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5" spans="10:12">
      <c r="J1295">
        <f>DropAnalityka[[#This Row],[Sell Drop]]+IF(DropAnalityka[[#This Row],[Drop]]="Scroll", 2000*DropAnalityka[[#This Row],[Quality/Quantity]],0)</f>
        <v>0</v>
      </c>
      <c r="K1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6" spans="10:12">
      <c r="J1296">
        <f>DropAnalityka[[#This Row],[Sell Drop]]+IF(DropAnalityka[[#This Row],[Drop]]="Scroll", 2000*DropAnalityka[[#This Row],[Quality/Quantity]],0)</f>
        <v>0</v>
      </c>
      <c r="K1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7" spans="10:12">
      <c r="J1297">
        <f>DropAnalityka[[#This Row],[Sell Drop]]+IF(DropAnalityka[[#This Row],[Drop]]="Scroll", 2000*DropAnalityka[[#This Row],[Quality/Quantity]],0)</f>
        <v>0</v>
      </c>
      <c r="K1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8" spans="10:12">
      <c r="J1298">
        <f>DropAnalityka[[#This Row],[Sell Drop]]+IF(DropAnalityka[[#This Row],[Drop]]="Scroll", 2000*DropAnalityka[[#This Row],[Quality/Quantity]],0)</f>
        <v>0</v>
      </c>
      <c r="K1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9" spans="10:12">
      <c r="J1299">
        <f>DropAnalityka[[#This Row],[Sell Drop]]+IF(DropAnalityka[[#This Row],[Drop]]="Scroll", 2000*DropAnalityka[[#This Row],[Quality/Quantity]],0)</f>
        <v>0</v>
      </c>
      <c r="K1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0" spans="10:12">
      <c r="J1300">
        <f>DropAnalityka[[#This Row],[Sell Drop]]+IF(DropAnalityka[[#This Row],[Drop]]="Scroll", 2000*DropAnalityka[[#This Row],[Quality/Quantity]],0)</f>
        <v>0</v>
      </c>
      <c r="K1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1" spans="10:12">
      <c r="J1301">
        <f>DropAnalityka[[#This Row],[Sell Drop]]+IF(DropAnalityka[[#This Row],[Drop]]="Scroll", 2000*DropAnalityka[[#This Row],[Quality/Quantity]],0)</f>
        <v>0</v>
      </c>
      <c r="K1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2" spans="10:12">
      <c r="J1302">
        <f>DropAnalityka[[#This Row],[Sell Drop]]+IF(DropAnalityka[[#This Row],[Drop]]="Scroll", 2000*DropAnalityka[[#This Row],[Quality/Quantity]],0)</f>
        <v>0</v>
      </c>
      <c r="K1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3" spans="10:12">
      <c r="J1303">
        <f>DropAnalityka[[#This Row],[Sell Drop]]+IF(DropAnalityka[[#This Row],[Drop]]="Scroll", 2000*DropAnalityka[[#This Row],[Quality/Quantity]],0)</f>
        <v>0</v>
      </c>
      <c r="K1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4" spans="10:12">
      <c r="J1304">
        <f>DropAnalityka[[#This Row],[Sell Drop]]+IF(DropAnalityka[[#This Row],[Drop]]="Scroll", 2000*DropAnalityka[[#This Row],[Quality/Quantity]],0)</f>
        <v>0</v>
      </c>
      <c r="K1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5" spans="10:12">
      <c r="J1305">
        <f>DropAnalityka[[#This Row],[Sell Drop]]+IF(DropAnalityka[[#This Row],[Drop]]="Scroll", 2000*DropAnalityka[[#This Row],[Quality/Quantity]],0)</f>
        <v>0</v>
      </c>
      <c r="K1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6" spans="10:12">
      <c r="J1306">
        <f>DropAnalityka[[#This Row],[Sell Drop]]+IF(DropAnalityka[[#This Row],[Drop]]="Scroll", 2000*DropAnalityka[[#This Row],[Quality/Quantity]],0)</f>
        <v>0</v>
      </c>
      <c r="K1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7" spans="10:12">
      <c r="J1307">
        <f>DropAnalityka[[#This Row],[Sell Drop]]+IF(DropAnalityka[[#This Row],[Drop]]="Scroll", 2000*DropAnalityka[[#This Row],[Quality/Quantity]],0)</f>
        <v>0</v>
      </c>
      <c r="K1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8" spans="10:12">
      <c r="J1308">
        <f>DropAnalityka[[#This Row],[Sell Drop]]+IF(DropAnalityka[[#This Row],[Drop]]="Scroll", 2000*DropAnalityka[[#This Row],[Quality/Quantity]],0)</f>
        <v>0</v>
      </c>
      <c r="K1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9" spans="10:12">
      <c r="J1309">
        <f>DropAnalityka[[#This Row],[Sell Drop]]+IF(DropAnalityka[[#This Row],[Drop]]="Scroll", 2000*DropAnalityka[[#This Row],[Quality/Quantity]],0)</f>
        <v>0</v>
      </c>
      <c r="K1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0" spans="10:12">
      <c r="J1310">
        <f>DropAnalityka[[#This Row],[Sell Drop]]+IF(DropAnalityka[[#This Row],[Drop]]="Scroll", 2000*DropAnalityka[[#This Row],[Quality/Quantity]],0)</f>
        <v>0</v>
      </c>
      <c r="K1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1" spans="10:12">
      <c r="J1311">
        <f>DropAnalityka[[#This Row],[Sell Drop]]+IF(DropAnalityka[[#This Row],[Drop]]="Scroll", 2000*DropAnalityka[[#This Row],[Quality/Quantity]],0)</f>
        <v>0</v>
      </c>
      <c r="K1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2" spans="10:12">
      <c r="J1312">
        <f>DropAnalityka[[#This Row],[Sell Drop]]+IF(DropAnalityka[[#This Row],[Drop]]="Scroll", 2000*DropAnalityka[[#This Row],[Quality/Quantity]],0)</f>
        <v>0</v>
      </c>
      <c r="K1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3" spans="10:12">
      <c r="J1313">
        <f>DropAnalityka[[#This Row],[Sell Drop]]+IF(DropAnalityka[[#This Row],[Drop]]="Scroll", 2000*DropAnalityka[[#This Row],[Quality/Quantity]],0)</f>
        <v>0</v>
      </c>
      <c r="K1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4" spans="10:12">
      <c r="J1314">
        <f>DropAnalityka[[#This Row],[Sell Drop]]+IF(DropAnalityka[[#This Row],[Drop]]="Scroll", 2000*DropAnalityka[[#This Row],[Quality/Quantity]],0)</f>
        <v>0</v>
      </c>
      <c r="K1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5" spans="10:12">
      <c r="J1315">
        <f>DropAnalityka[[#This Row],[Sell Drop]]+IF(DropAnalityka[[#This Row],[Drop]]="Scroll", 2000*DropAnalityka[[#This Row],[Quality/Quantity]],0)</f>
        <v>0</v>
      </c>
      <c r="K1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6" spans="10:12">
      <c r="J1316">
        <f>DropAnalityka[[#This Row],[Sell Drop]]+IF(DropAnalityka[[#This Row],[Drop]]="Scroll", 2000*DropAnalityka[[#This Row],[Quality/Quantity]],0)</f>
        <v>0</v>
      </c>
      <c r="K1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7" spans="10:12">
      <c r="J1317">
        <f>DropAnalityka[[#This Row],[Sell Drop]]+IF(DropAnalityka[[#This Row],[Drop]]="Scroll", 2000*DropAnalityka[[#This Row],[Quality/Quantity]],0)</f>
        <v>0</v>
      </c>
      <c r="K1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8" spans="10:12">
      <c r="J1318">
        <f>DropAnalityka[[#This Row],[Sell Drop]]+IF(DropAnalityka[[#This Row],[Drop]]="Scroll", 2000*DropAnalityka[[#This Row],[Quality/Quantity]],0)</f>
        <v>0</v>
      </c>
      <c r="K1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9" spans="10:12">
      <c r="J1319">
        <f>DropAnalityka[[#This Row],[Sell Drop]]+IF(DropAnalityka[[#This Row],[Drop]]="Scroll", 2000*DropAnalityka[[#This Row],[Quality/Quantity]],0)</f>
        <v>0</v>
      </c>
      <c r="K1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0" spans="10:12">
      <c r="J1320">
        <f>DropAnalityka[[#This Row],[Sell Drop]]+IF(DropAnalityka[[#This Row],[Drop]]="Scroll", 2000*DropAnalityka[[#This Row],[Quality/Quantity]],0)</f>
        <v>0</v>
      </c>
      <c r="K1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1" spans="10:12">
      <c r="J1321">
        <f>DropAnalityka[[#This Row],[Sell Drop]]+IF(DropAnalityka[[#This Row],[Drop]]="Scroll", 2000*DropAnalityka[[#This Row],[Quality/Quantity]],0)</f>
        <v>0</v>
      </c>
      <c r="K1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2" spans="10:12">
      <c r="J1322">
        <f>DropAnalityka[[#This Row],[Sell Drop]]+IF(DropAnalityka[[#This Row],[Drop]]="Scroll", 2000*DropAnalityka[[#This Row],[Quality/Quantity]],0)</f>
        <v>0</v>
      </c>
      <c r="K1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3" spans="10:12">
      <c r="J1323">
        <f>DropAnalityka[[#This Row],[Sell Drop]]+IF(DropAnalityka[[#This Row],[Drop]]="Scroll", 2000*DropAnalityka[[#This Row],[Quality/Quantity]],0)</f>
        <v>0</v>
      </c>
      <c r="K1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4" spans="10:12">
      <c r="J1324">
        <f>DropAnalityka[[#This Row],[Sell Drop]]+IF(DropAnalityka[[#This Row],[Drop]]="Scroll", 2000*DropAnalityka[[#This Row],[Quality/Quantity]],0)</f>
        <v>0</v>
      </c>
      <c r="K1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5" spans="10:12">
      <c r="J1325">
        <f>DropAnalityka[[#This Row],[Sell Drop]]+IF(DropAnalityka[[#This Row],[Drop]]="Scroll", 2000*DropAnalityka[[#This Row],[Quality/Quantity]],0)</f>
        <v>0</v>
      </c>
      <c r="K1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6" spans="10:12">
      <c r="J1326">
        <f>DropAnalityka[[#This Row],[Sell Drop]]+IF(DropAnalityka[[#This Row],[Drop]]="Scroll", 2000*DropAnalityka[[#This Row],[Quality/Quantity]],0)</f>
        <v>0</v>
      </c>
      <c r="K1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7" spans="10:12">
      <c r="J1327">
        <f>DropAnalityka[[#This Row],[Sell Drop]]+IF(DropAnalityka[[#This Row],[Drop]]="Scroll", 2000*DropAnalityka[[#This Row],[Quality/Quantity]],0)</f>
        <v>0</v>
      </c>
      <c r="K1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8" spans="10:12">
      <c r="J1328">
        <f>DropAnalityka[[#This Row],[Sell Drop]]+IF(DropAnalityka[[#This Row],[Drop]]="Scroll", 2000*DropAnalityka[[#This Row],[Quality/Quantity]],0)</f>
        <v>0</v>
      </c>
      <c r="K1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9" spans="10:12">
      <c r="J1329">
        <f>DropAnalityka[[#This Row],[Sell Drop]]+IF(DropAnalityka[[#This Row],[Drop]]="Scroll", 2000*DropAnalityka[[#This Row],[Quality/Quantity]],0)</f>
        <v>0</v>
      </c>
      <c r="K1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0" spans="10:12">
      <c r="J1330">
        <f>DropAnalityka[[#This Row],[Sell Drop]]+IF(DropAnalityka[[#This Row],[Drop]]="Scroll", 2000*DropAnalityka[[#This Row],[Quality/Quantity]],0)</f>
        <v>0</v>
      </c>
      <c r="K1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1" spans="10:12">
      <c r="J1331">
        <f>DropAnalityka[[#This Row],[Sell Drop]]+IF(DropAnalityka[[#This Row],[Drop]]="Scroll", 2000*DropAnalityka[[#This Row],[Quality/Quantity]],0)</f>
        <v>0</v>
      </c>
      <c r="K1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2" spans="10:12">
      <c r="J1332">
        <f>DropAnalityka[[#This Row],[Sell Drop]]+IF(DropAnalityka[[#This Row],[Drop]]="Scroll", 2000*DropAnalityka[[#This Row],[Quality/Quantity]],0)</f>
        <v>0</v>
      </c>
      <c r="K1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3" spans="10:12">
      <c r="J1333">
        <f>DropAnalityka[[#This Row],[Sell Drop]]+IF(DropAnalityka[[#This Row],[Drop]]="Scroll", 2000*DropAnalityka[[#This Row],[Quality/Quantity]],0)</f>
        <v>0</v>
      </c>
      <c r="K1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4" spans="10:12">
      <c r="J1334">
        <f>DropAnalityka[[#This Row],[Sell Drop]]+IF(DropAnalityka[[#This Row],[Drop]]="Scroll", 2000*DropAnalityka[[#This Row],[Quality/Quantity]],0)</f>
        <v>0</v>
      </c>
      <c r="K1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5" spans="10:12">
      <c r="J1335">
        <f>DropAnalityka[[#This Row],[Sell Drop]]+IF(DropAnalityka[[#This Row],[Drop]]="Scroll", 2000*DropAnalityka[[#This Row],[Quality/Quantity]],0)</f>
        <v>0</v>
      </c>
      <c r="K1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6" spans="10:12">
      <c r="J1336">
        <f>DropAnalityka[[#This Row],[Sell Drop]]+IF(DropAnalityka[[#This Row],[Drop]]="Scroll", 2000*DropAnalityka[[#This Row],[Quality/Quantity]],0)</f>
        <v>0</v>
      </c>
      <c r="K1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7" spans="10:12">
      <c r="J1337">
        <f>DropAnalityka[[#This Row],[Sell Drop]]+IF(DropAnalityka[[#This Row],[Drop]]="Scroll", 2000*DropAnalityka[[#This Row],[Quality/Quantity]],0)</f>
        <v>0</v>
      </c>
      <c r="K1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8" spans="10:12">
      <c r="J1338">
        <f>DropAnalityka[[#This Row],[Sell Drop]]+IF(DropAnalityka[[#This Row],[Drop]]="Scroll", 2000*DropAnalityka[[#This Row],[Quality/Quantity]],0)</f>
        <v>0</v>
      </c>
      <c r="K1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9" spans="10:12">
      <c r="J1339">
        <f>DropAnalityka[[#This Row],[Sell Drop]]+IF(DropAnalityka[[#This Row],[Drop]]="Scroll", 2000*DropAnalityka[[#This Row],[Quality/Quantity]],0)</f>
        <v>0</v>
      </c>
      <c r="K1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0" spans="10:12">
      <c r="J1340">
        <f>DropAnalityka[[#This Row],[Sell Drop]]+IF(DropAnalityka[[#This Row],[Drop]]="Scroll", 2000*DropAnalityka[[#This Row],[Quality/Quantity]],0)</f>
        <v>0</v>
      </c>
      <c r="K1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1" spans="10:12">
      <c r="J1341">
        <f>DropAnalityka[[#This Row],[Sell Drop]]+IF(DropAnalityka[[#This Row],[Drop]]="Scroll", 2000*DropAnalityka[[#This Row],[Quality/Quantity]],0)</f>
        <v>0</v>
      </c>
      <c r="K1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2" spans="10:12">
      <c r="J1342">
        <f>DropAnalityka[[#This Row],[Sell Drop]]+IF(DropAnalityka[[#This Row],[Drop]]="Scroll", 2000*DropAnalityka[[#This Row],[Quality/Quantity]],0)</f>
        <v>0</v>
      </c>
      <c r="K1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3" spans="10:12">
      <c r="J1343">
        <f>DropAnalityka[[#This Row],[Sell Drop]]+IF(DropAnalityka[[#This Row],[Drop]]="Scroll", 2000*DropAnalityka[[#This Row],[Quality/Quantity]],0)</f>
        <v>0</v>
      </c>
      <c r="K1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4" spans="10:12">
      <c r="J1344">
        <f>DropAnalityka[[#This Row],[Sell Drop]]+IF(DropAnalityka[[#This Row],[Drop]]="Scroll", 2000*DropAnalityka[[#This Row],[Quality/Quantity]],0)</f>
        <v>0</v>
      </c>
      <c r="K1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5" spans="10:12">
      <c r="J1345">
        <f>DropAnalityka[[#This Row],[Sell Drop]]+IF(DropAnalityka[[#This Row],[Drop]]="Scroll", 2000*DropAnalityka[[#This Row],[Quality/Quantity]],0)</f>
        <v>0</v>
      </c>
      <c r="K1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6" spans="10:12">
      <c r="J1346">
        <f>DropAnalityka[[#This Row],[Sell Drop]]+IF(DropAnalityka[[#This Row],[Drop]]="Scroll", 2000*DropAnalityka[[#This Row],[Quality/Quantity]],0)</f>
        <v>0</v>
      </c>
      <c r="K1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7" spans="10:12">
      <c r="J1347">
        <f>DropAnalityka[[#This Row],[Sell Drop]]+IF(DropAnalityka[[#This Row],[Drop]]="Scroll", 2000*DropAnalityka[[#This Row],[Quality/Quantity]],0)</f>
        <v>0</v>
      </c>
      <c r="K1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8" spans="10:12">
      <c r="J1348">
        <f>DropAnalityka[[#This Row],[Sell Drop]]+IF(DropAnalityka[[#This Row],[Drop]]="Scroll", 2000*DropAnalityka[[#This Row],[Quality/Quantity]],0)</f>
        <v>0</v>
      </c>
      <c r="K1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9" spans="10:12">
      <c r="J1349">
        <f>DropAnalityka[[#This Row],[Sell Drop]]+IF(DropAnalityka[[#This Row],[Drop]]="Scroll", 2000*DropAnalityka[[#This Row],[Quality/Quantity]],0)</f>
        <v>0</v>
      </c>
      <c r="K1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0" spans="10:12">
      <c r="J1350">
        <f>DropAnalityka[[#This Row],[Sell Drop]]+IF(DropAnalityka[[#This Row],[Drop]]="Scroll", 2000*DropAnalityka[[#This Row],[Quality/Quantity]],0)</f>
        <v>0</v>
      </c>
      <c r="K1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1" spans="10:12">
      <c r="J1351">
        <f>DropAnalityka[[#This Row],[Sell Drop]]+IF(DropAnalityka[[#This Row],[Drop]]="Scroll", 2000*DropAnalityka[[#This Row],[Quality/Quantity]],0)</f>
        <v>0</v>
      </c>
      <c r="K1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2" spans="10:12">
      <c r="J1352">
        <f>DropAnalityka[[#This Row],[Sell Drop]]+IF(DropAnalityka[[#This Row],[Drop]]="Scroll", 2000*DropAnalityka[[#This Row],[Quality/Quantity]],0)</f>
        <v>0</v>
      </c>
      <c r="K1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3" spans="10:12">
      <c r="J1353">
        <f>DropAnalityka[[#This Row],[Sell Drop]]+IF(DropAnalityka[[#This Row],[Drop]]="Scroll", 2000*DropAnalityka[[#This Row],[Quality/Quantity]],0)</f>
        <v>0</v>
      </c>
      <c r="K1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4" spans="10:12">
      <c r="J1354">
        <f>DropAnalityka[[#This Row],[Sell Drop]]+IF(DropAnalityka[[#This Row],[Drop]]="Scroll", 2000*DropAnalityka[[#This Row],[Quality/Quantity]],0)</f>
        <v>0</v>
      </c>
      <c r="K1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5" spans="10:12">
      <c r="J1355">
        <f>DropAnalityka[[#This Row],[Sell Drop]]+IF(DropAnalityka[[#This Row],[Drop]]="Scroll", 2000*DropAnalityka[[#This Row],[Quality/Quantity]],0)</f>
        <v>0</v>
      </c>
      <c r="K1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6" spans="10:12">
      <c r="J1356">
        <f>DropAnalityka[[#This Row],[Sell Drop]]+IF(DropAnalityka[[#This Row],[Drop]]="Scroll", 2000*DropAnalityka[[#This Row],[Quality/Quantity]],0)</f>
        <v>0</v>
      </c>
      <c r="K1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7" spans="10:12">
      <c r="J1357">
        <f>DropAnalityka[[#This Row],[Sell Drop]]+IF(DropAnalityka[[#This Row],[Drop]]="Scroll", 2000*DropAnalityka[[#This Row],[Quality/Quantity]],0)</f>
        <v>0</v>
      </c>
      <c r="K1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8" spans="10:12">
      <c r="J1358">
        <f>DropAnalityka[[#This Row],[Sell Drop]]+IF(DropAnalityka[[#This Row],[Drop]]="Scroll", 2000*DropAnalityka[[#This Row],[Quality/Quantity]],0)</f>
        <v>0</v>
      </c>
      <c r="K1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9" spans="10:12">
      <c r="J1359">
        <f>DropAnalityka[[#This Row],[Sell Drop]]+IF(DropAnalityka[[#This Row],[Drop]]="Scroll", 2000*DropAnalityka[[#This Row],[Quality/Quantity]],0)</f>
        <v>0</v>
      </c>
      <c r="K1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0" spans="10:12">
      <c r="J1360">
        <f>DropAnalityka[[#This Row],[Sell Drop]]+IF(DropAnalityka[[#This Row],[Drop]]="Scroll", 2000*DropAnalityka[[#This Row],[Quality/Quantity]],0)</f>
        <v>0</v>
      </c>
      <c r="K1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1" spans="10:12">
      <c r="J1361">
        <f>DropAnalityka[[#This Row],[Sell Drop]]+IF(DropAnalityka[[#This Row],[Drop]]="Scroll", 2000*DropAnalityka[[#This Row],[Quality/Quantity]],0)</f>
        <v>0</v>
      </c>
      <c r="K1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2" spans="10:12">
      <c r="J1362">
        <f>DropAnalityka[[#This Row],[Sell Drop]]+IF(DropAnalityka[[#This Row],[Drop]]="Scroll", 2000*DropAnalityka[[#This Row],[Quality/Quantity]],0)</f>
        <v>0</v>
      </c>
      <c r="K1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3" spans="10:12">
      <c r="J1363">
        <f>DropAnalityka[[#This Row],[Sell Drop]]+IF(DropAnalityka[[#This Row],[Drop]]="Scroll", 2000*DropAnalityka[[#This Row],[Quality/Quantity]],0)</f>
        <v>0</v>
      </c>
      <c r="K1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4" spans="10:12">
      <c r="J1364">
        <f>DropAnalityka[[#This Row],[Sell Drop]]+IF(DropAnalityka[[#This Row],[Drop]]="Scroll", 2000*DropAnalityka[[#This Row],[Quality/Quantity]],0)</f>
        <v>0</v>
      </c>
      <c r="K1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5" spans="10:12">
      <c r="J1365">
        <f>DropAnalityka[[#This Row],[Sell Drop]]+IF(DropAnalityka[[#This Row],[Drop]]="Scroll", 2000*DropAnalityka[[#This Row],[Quality/Quantity]],0)</f>
        <v>0</v>
      </c>
      <c r="K1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6" spans="10:12">
      <c r="J1366">
        <f>DropAnalityka[[#This Row],[Sell Drop]]+IF(DropAnalityka[[#This Row],[Drop]]="Scroll", 2000*DropAnalityka[[#This Row],[Quality/Quantity]],0)</f>
        <v>0</v>
      </c>
      <c r="K1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7" spans="10:12">
      <c r="J1367">
        <f>DropAnalityka[[#This Row],[Sell Drop]]+IF(DropAnalityka[[#This Row],[Drop]]="Scroll", 2000*DropAnalityka[[#This Row],[Quality/Quantity]],0)</f>
        <v>0</v>
      </c>
      <c r="K1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8" spans="10:12">
      <c r="J1368">
        <f>DropAnalityka[[#This Row],[Sell Drop]]+IF(DropAnalityka[[#This Row],[Drop]]="Scroll", 2000*DropAnalityka[[#This Row],[Quality/Quantity]],0)</f>
        <v>0</v>
      </c>
      <c r="K1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9" spans="10:12">
      <c r="J1369">
        <f>DropAnalityka[[#This Row],[Sell Drop]]+IF(DropAnalityka[[#This Row],[Drop]]="Scroll", 2000*DropAnalityka[[#This Row],[Quality/Quantity]],0)</f>
        <v>0</v>
      </c>
      <c r="K1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0" spans="10:12">
      <c r="J1370">
        <f>DropAnalityka[[#This Row],[Sell Drop]]+IF(DropAnalityka[[#This Row],[Drop]]="Scroll", 2000*DropAnalityka[[#This Row],[Quality/Quantity]],0)</f>
        <v>0</v>
      </c>
      <c r="K1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1" spans="10:12">
      <c r="J1371">
        <f>DropAnalityka[[#This Row],[Sell Drop]]+IF(DropAnalityka[[#This Row],[Drop]]="Scroll", 2000*DropAnalityka[[#This Row],[Quality/Quantity]],0)</f>
        <v>0</v>
      </c>
      <c r="K1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2" spans="10:12">
      <c r="J1372">
        <f>DropAnalityka[[#This Row],[Sell Drop]]+IF(DropAnalityka[[#This Row],[Drop]]="Scroll", 2000*DropAnalityka[[#This Row],[Quality/Quantity]],0)</f>
        <v>0</v>
      </c>
      <c r="K1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3" spans="10:12">
      <c r="J1373">
        <f>DropAnalityka[[#This Row],[Sell Drop]]+IF(DropAnalityka[[#This Row],[Drop]]="Scroll", 2000*DropAnalityka[[#This Row],[Quality/Quantity]],0)</f>
        <v>0</v>
      </c>
      <c r="K1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4" spans="10:12">
      <c r="J1374">
        <f>DropAnalityka[[#This Row],[Sell Drop]]+IF(DropAnalityka[[#This Row],[Drop]]="Scroll", 2000*DropAnalityka[[#This Row],[Quality/Quantity]],0)</f>
        <v>0</v>
      </c>
      <c r="K1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5" spans="10:12">
      <c r="J1375">
        <f>DropAnalityka[[#This Row],[Sell Drop]]+IF(DropAnalityka[[#This Row],[Drop]]="Scroll", 2000*DropAnalityka[[#This Row],[Quality/Quantity]],0)</f>
        <v>0</v>
      </c>
      <c r="K1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6" spans="10:12">
      <c r="J1376">
        <f>DropAnalityka[[#This Row],[Sell Drop]]+IF(DropAnalityka[[#This Row],[Drop]]="Scroll", 2000*DropAnalityka[[#This Row],[Quality/Quantity]],0)</f>
        <v>0</v>
      </c>
      <c r="K1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7" spans="10:12">
      <c r="J1377">
        <f>DropAnalityka[[#This Row],[Sell Drop]]+IF(DropAnalityka[[#This Row],[Drop]]="Scroll", 2000*DropAnalityka[[#This Row],[Quality/Quantity]],0)</f>
        <v>0</v>
      </c>
      <c r="K1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8" spans="10:12">
      <c r="J1378">
        <f>DropAnalityka[[#This Row],[Sell Drop]]+IF(DropAnalityka[[#This Row],[Drop]]="Scroll", 2000*DropAnalityka[[#This Row],[Quality/Quantity]],0)</f>
        <v>0</v>
      </c>
      <c r="K1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9" spans="10:12">
      <c r="J1379">
        <f>DropAnalityka[[#This Row],[Sell Drop]]+IF(DropAnalityka[[#This Row],[Drop]]="Scroll", 2000*DropAnalityka[[#This Row],[Quality/Quantity]],0)</f>
        <v>0</v>
      </c>
      <c r="K1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0" spans="10:12">
      <c r="J1380">
        <f>DropAnalityka[[#This Row],[Sell Drop]]+IF(DropAnalityka[[#This Row],[Drop]]="Scroll", 2000*DropAnalityka[[#This Row],[Quality/Quantity]],0)</f>
        <v>0</v>
      </c>
      <c r="K1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1" spans="10:12">
      <c r="J1381">
        <f>DropAnalityka[[#This Row],[Sell Drop]]+IF(DropAnalityka[[#This Row],[Drop]]="Scroll", 2000*DropAnalityka[[#This Row],[Quality/Quantity]],0)</f>
        <v>0</v>
      </c>
      <c r="K1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2" spans="10:12">
      <c r="J1382">
        <f>DropAnalityka[[#This Row],[Sell Drop]]+IF(DropAnalityka[[#This Row],[Drop]]="Scroll", 2000*DropAnalityka[[#This Row],[Quality/Quantity]],0)</f>
        <v>0</v>
      </c>
      <c r="K1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3" spans="10:12">
      <c r="J1383">
        <f>DropAnalityka[[#This Row],[Sell Drop]]+IF(DropAnalityka[[#This Row],[Drop]]="Scroll", 2000*DropAnalityka[[#This Row],[Quality/Quantity]],0)</f>
        <v>0</v>
      </c>
      <c r="K1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4" spans="10:12">
      <c r="J1384">
        <f>DropAnalityka[[#This Row],[Sell Drop]]+IF(DropAnalityka[[#This Row],[Drop]]="Scroll", 2000*DropAnalityka[[#This Row],[Quality/Quantity]],0)</f>
        <v>0</v>
      </c>
      <c r="K1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5" spans="10:12">
      <c r="J1385">
        <f>DropAnalityka[[#This Row],[Sell Drop]]+IF(DropAnalityka[[#This Row],[Drop]]="Scroll", 2000*DropAnalityka[[#This Row],[Quality/Quantity]],0)</f>
        <v>0</v>
      </c>
      <c r="K1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6" spans="10:12">
      <c r="J1386">
        <f>DropAnalityka[[#This Row],[Sell Drop]]+IF(DropAnalityka[[#This Row],[Drop]]="Scroll", 2000*DropAnalityka[[#This Row],[Quality/Quantity]],0)</f>
        <v>0</v>
      </c>
      <c r="K1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7" spans="10:12">
      <c r="J1387">
        <f>DropAnalityka[[#This Row],[Sell Drop]]+IF(DropAnalityka[[#This Row],[Drop]]="Scroll", 2000*DropAnalityka[[#This Row],[Quality/Quantity]],0)</f>
        <v>0</v>
      </c>
      <c r="K1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8" spans="10:12">
      <c r="J1388">
        <f>DropAnalityka[[#This Row],[Sell Drop]]+IF(DropAnalityka[[#This Row],[Drop]]="Scroll", 2000*DropAnalityka[[#This Row],[Quality/Quantity]],0)</f>
        <v>0</v>
      </c>
      <c r="K1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9" spans="10:12">
      <c r="J1389">
        <f>DropAnalityka[[#This Row],[Sell Drop]]+IF(DropAnalityka[[#This Row],[Drop]]="Scroll", 2000*DropAnalityka[[#This Row],[Quality/Quantity]],0)</f>
        <v>0</v>
      </c>
      <c r="K1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0" spans="10:12">
      <c r="J1390">
        <f>DropAnalityka[[#This Row],[Sell Drop]]+IF(DropAnalityka[[#This Row],[Drop]]="Scroll", 2000*DropAnalityka[[#This Row],[Quality/Quantity]],0)</f>
        <v>0</v>
      </c>
      <c r="K1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1" spans="10:12">
      <c r="J1391">
        <f>DropAnalityka[[#This Row],[Sell Drop]]+IF(DropAnalityka[[#This Row],[Drop]]="Scroll", 2000*DropAnalityka[[#This Row],[Quality/Quantity]],0)</f>
        <v>0</v>
      </c>
      <c r="K1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2" spans="10:12">
      <c r="J1392">
        <f>DropAnalityka[[#This Row],[Sell Drop]]+IF(DropAnalityka[[#This Row],[Drop]]="Scroll", 2000*DropAnalityka[[#This Row],[Quality/Quantity]],0)</f>
        <v>0</v>
      </c>
      <c r="K1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3" spans="10:12">
      <c r="J1393">
        <f>DropAnalityka[[#This Row],[Sell Drop]]+IF(DropAnalityka[[#This Row],[Drop]]="Scroll", 2000*DropAnalityka[[#This Row],[Quality/Quantity]],0)</f>
        <v>0</v>
      </c>
      <c r="K1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4" spans="10:12">
      <c r="J1394">
        <f>DropAnalityka[[#This Row],[Sell Drop]]+IF(DropAnalityka[[#This Row],[Drop]]="Scroll", 2000*DropAnalityka[[#This Row],[Quality/Quantity]],0)</f>
        <v>0</v>
      </c>
      <c r="K1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5" spans="10:12">
      <c r="J1395">
        <f>DropAnalityka[[#This Row],[Sell Drop]]+IF(DropAnalityka[[#This Row],[Drop]]="Scroll", 2000*DropAnalityka[[#This Row],[Quality/Quantity]],0)</f>
        <v>0</v>
      </c>
      <c r="K1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6" spans="10:12">
      <c r="J1396">
        <f>DropAnalityka[[#This Row],[Sell Drop]]+IF(DropAnalityka[[#This Row],[Drop]]="Scroll", 2000*DropAnalityka[[#This Row],[Quality/Quantity]],0)</f>
        <v>0</v>
      </c>
      <c r="K1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7" spans="10:12">
      <c r="J1397">
        <f>DropAnalityka[[#This Row],[Sell Drop]]+IF(DropAnalityka[[#This Row],[Drop]]="Scroll", 2000*DropAnalityka[[#This Row],[Quality/Quantity]],0)</f>
        <v>0</v>
      </c>
      <c r="K1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8" spans="10:12">
      <c r="J1398">
        <f>DropAnalityka[[#This Row],[Sell Drop]]+IF(DropAnalityka[[#This Row],[Drop]]="Scroll", 2000*DropAnalityka[[#This Row],[Quality/Quantity]],0)</f>
        <v>0</v>
      </c>
      <c r="K1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9" spans="10:12">
      <c r="J1399">
        <f>DropAnalityka[[#This Row],[Sell Drop]]+IF(DropAnalityka[[#This Row],[Drop]]="Scroll", 2000*DropAnalityka[[#This Row],[Quality/Quantity]],0)</f>
        <v>0</v>
      </c>
      <c r="K1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0" spans="10:12">
      <c r="J1400">
        <f>DropAnalityka[[#This Row],[Sell Drop]]+IF(DropAnalityka[[#This Row],[Drop]]="Scroll", 2000*DropAnalityka[[#This Row],[Quality/Quantity]],0)</f>
        <v>0</v>
      </c>
      <c r="K1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1" spans="10:12">
      <c r="J1401">
        <f>DropAnalityka[[#This Row],[Sell Drop]]+IF(DropAnalityka[[#This Row],[Drop]]="Scroll", 2000*DropAnalityka[[#This Row],[Quality/Quantity]],0)</f>
        <v>0</v>
      </c>
      <c r="K1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2" spans="10:12">
      <c r="J1402">
        <f>DropAnalityka[[#This Row],[Sell Drop]]+IF(DropAnalityka[[#This Row],[Drop]]="Scroll", 2000*DropAnalityka[[#This Row],[Quality/Quantity]],0)</f>
        <v>0</v>
      </c>
      <c r="K1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3" spans="10:12">
      <c r="J1403">
        <f>DropAnalityka[[#This Row],[Sell Drop]]+IF(DropAnalityka[[#This Row],[Drop]]="Scroll", 2000*DropAnalityka[[#This Row],[Quality/Quantity]],0)</f>
        <v>0</v>
      </c>
      <c r="K1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4" spans="10:12">
      <c r="J1404">
        <f>DropAnalityka[[#This Row],[Sell Drop]]+IF(DropAnalityka[[#This Row],[Drop]]="Scroll", 2000*DropAnalityka[[#This Row],[Quality/Quantity]],0)</f>
        <v>0</v>
      </c>
      <c r="K1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5" spans="10:12">
      <c r="J1405">
        <f>DropAnalityka[[#This Row],[Sell Drop]]+IF(DropAnalityka[[#This Row],[Drop]]="Scroll", 2000*DropAnalityka[[#This Row],[Quality/Quantity]],0)</f>
        <v>0</v>
      </c>
      <c r="K1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6" spans="10:12">
      <c r="J1406">
        <f>DropAnalityka[[#This Row],[Sell Drop]]+IF(DropAnalityka[[#This Row],[Drop]]="Scroll", 2000*DropAnalityka[[#This Row],[Quality/Quantity]],0)</f>
        <v>0</v>
      </c>
      <c r="K1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7" spans="10:12">
      <c r="J1407">
        <f>DropAnalityka[[#This Row],[Sell Drop]]+IF(DropAnalityka[[#This Row],[Drop]]="Scroll", 2000*DropAnalityka[[#This Row],[Quality/Quantity]],0)</f>
        <v>0</v>
      </c>
      <c r="K1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8" spans="10:12">
      <c r="J1408">
        <f>DropAnalityka[[#This Row],[Sell Drop]]+IF(DropAnalityka[[#This Row],[Drop]]="Scroll", 2000*DropAnalityka[[#This Row],[Quality/Quantity]],0)</f>
        <v>0</v>
      </c>
      <c r="K1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9" spans="10:12">
      <c r="J1409">
        <f>DropAnalityka[[#This Row],[Sell Drop]]+IF(DropAnalityka[[#This Row],[Drop]]="Scroll", 2000*DropAnalityka[[#This Row],[Quality/Quantity]],0)</f>
        <v>0</v>
      </c>
      <c r="K1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0" spans="10:12">
      <c r="J1410">
        <f>DropAnalityka[[#This Row],[Sell Drop]]+IF(DropAnalityka[[#This Row],[Drop]]="Scroll", 2000*DropAnalityka[[#This Row],[Quality/Quantity]],0)</f>
        <v>0</v>
      </c>
      <c r="K1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1" spans="10:12">
      <c r="J1411">
        <f>DropAnalityka[[#This Row],[Sell Drop]]+IF(DropAnalityka[[#This Row],[Drop]]="Scroll", 2000*DropAnalityka[[#This Row],[Quality/Quantity]],0)</f>
        <v>0</v>
      </c>
      <c r="K1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2" spans="10:12">
      <c r="J1412">
        <f>DropAnalityka[[#This Row],[Sell Drop]]+IF(DropAnalityka[[#This Row],[Drop]]="Scroll", 2000*DropAnalityka[[#This Row],[Quality/Quantity]],0)</f>
        <v>0</v>
      </c>
      <c r="K1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3" spans="10:12">
      <c r="J1413">
        <f>DropAnalityka[[#This Row],[Sell Drop]]+IF(DropAnalityka[[#This Row],[Drop]]="Scroll", 2000*DropAnalityka[[#This Row],[Quality/Quantity]],0)</f>
        <v>0</v>
      </c>
      <c r="K1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4" spans="10:12">
      <c r="J1414">
        <f>DropAnalityka[[#This Row],[Sell Drop]]+IF(DropAnalityka[[#This Row],[Drop]]="Scroll", 2000*DropAnalityka[[#This Row],[Quality/Quantity]],0)</f>
        <v>0</v>
      </c>
      <c r="K1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5" spans="10:12">
      <c r="J1415">
        <f>DropAnalityka[[#This Row],[Sell Drop]]+IF(DropAnalityka[[#This Row],[Drop]]="Scroll", 2000*DropAnalityka[[#This Row],[Quality/Quantity]],0)</f>
        <v>0</v>
      </c>
      <c r="K1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6" spans="10:12">
      <c r="J1416">
        <f>DropAnalityka[[#This Row],[Sell Drop]]+IF(DropAnalityka[[#This Row],[Drop]]="Scroll", 2000*DropAnalityka[[#This Row],[Quality/Quantity]],0)</f>
        <v>0</v>
      </c>
      <c r="K1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7" spans="10:12">
      <c r="J1417">
        <f>DropAnalityka[[#This Row],[Sell Drop]]+IF(DropAnalityka[[#This Row],[Drop]]="Scroll", 2000*DropAnalityka[[#This Row],[Quality/Quantity]],0)</f>
        <v>0</v>
      </c>
      <c r="K1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8" spans="10:12">
      <c r="J1418">
        <f>DropAnalityka[[#This Row],[Sell Drop]]+IF(DropAnalityka[[#This Row],[Drop]]="Scroll", 2000*DropAnalityka[[#This Row],[Quality/Quantity]],0)</f>
        <v>0</v>
      </c>
      <c r="K1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9" spans="10:12">
      <c r="J1419">
        <f>DropAnalityka[[#This Row],[Sell Drop]]+IF(DropAnalityka[[#This Row],[Drop]]="Scroll", 2000*DropAnalityka[[#This Row],[Quality/Quantity]],0)</f>
        <v>0</v>
      </c>
      <c r="K1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0" spans="10:12">
      <c r="J1420">
        <f>DropAnalityka[[#This Row],[Sell Drop]]+IF(DropAnalityka[[#This Row],[Drop]]="Scroll", 2000*DropAnalityka[[#This Row],[Quality/Quantity]],0)</f>
        <v>0</v>
      </c>
      <c r="K1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1" spans="10:12">
      <c r="J1421">
        <f>DropAnalityka[[#This Row],[Sell Drop]]+IF(DropAnalityka[[#This Row],[Drop]]="Scroll", 2000*DropAnalityka[[#This Row],[Quality/Quantity]],0)</f>
        <v>0</v>
      </c>
      <c r="K1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2" spans="10:12">
      <c r="J1422">
        <f>DropAnalityka[[#This Row],[Sell Drop]]+IF(DropAnalityka[[#This Row],[Drop]]="Scroll", 2000*DropAnalityka[[#This Row],[Quality/Quantity]],0)</f>
        <v>0</v>
      </c>
      <c r="K1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3" spans="10:12">
      <c r="J1423">
        <f>DropAnalityka[[#This Row],[Sell Drop]]+IF(DropAnalityka[[#This Row],[Drop]]="Scroll", 2000*DropAnalityka[[#This Row],[Quality/Quantity]],0)</f>
        <v>0</v>
      </c>
      <c r="K1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4" spans="10:12">
      <c r="J1424">
        <f>DropAnalityka[[#This Row],[Sell Drop]]+IF(DropAnalityka[[#This Row],[Drop]]="Scroll", 2000*DropAnalityka[[#This Row],[Quality/Quantity]],0)</f>
        <v>0</v>
      </c>
      <c r="K1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5" spans="10:12">
      <c r="J1425">
        <f>DropAnalityka[[#This Row],[Sell Drop]]+IF(DropAnalityka[[#This Row],[Drop]]="Scroll", 2000*DropAnalityka[[#This Row],[Quality/Quantity]],0)</f>
        <v>0</v>
      </c>
      <c r="K1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6" spans="10:12">
      <c r="J1426">
        <f>DropAnalityka[[#This Row],[Sell Drop]]+IF(DropAnalityka[[#This Row],[Drop]]="Scroll", 2000*DropAnalityka[[#This Row],[Quality/Quantity]],0)</f>
        <v>0</v>
      </c>
      <c r="K1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7" spans="10:12">
      <c r="J1427">
        <f>DropAnalityka[[#This Row],[Sell Drop]]+IF(DropAnalityka[[#This Row],[Drop]]="Scroll", 2000*DropAnalityka[[#This Row],[Quality/Quantity]],0)</f>
        <v>0</v>
      </c>
      <c r="K1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8" spans="10:12">
      <c r="J1428">
        <f>DropAnalityka[[#This Row],[Sell Drop]]+IF(DropAnalityka[[#This Row],[Drop]]="Scroll", 2000*DropAnalityka[[#This Row],[Quality/Quantity]],0)</f>
        <v>0</v>
      </c>
      <c r="K1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9" spans="10:12">
      <c r="J1429">
        <f>DropAnalityka[[#This Row],[Sell Drop]]+IF(DropAnalityka[[#This Row],[Drop]]="Scroll", 2000*DropAnalityka[[#This Row],[Quality/Quantity]],0)</f>
        <v>0</v>
      </c>
      <c r="K1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0" spans="10:12">
      <c r="J1430">
        <f>DropAnalityka[[#This Row],[Sell Drop]]+IF(DropAnalityka[[#This Row],[Drop]]="Scroll", 2000*DropAnalityka[[#This Row],[Quality/Quantity]],0)</f>
        <v>0</v>
      </c>
      <c r="K1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1" spans="10:12">
      <c r="J1431">
        <f>DropAnalityka[[#This Row],[Sell Drop]]+IF(DropAnalityka[[#This Row],[Drop]]="Scroll", 2000*DropAnalityka[[#This Row],[Quality/Quantity]],0)</f>
        <v>0</v>
      </c>
      <c r="K1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2" spans="10:12">
      <c r="J1432">
        <f>DropAnalityka[[#This Row],[Sell Drop]]+IF(DropAnalityka[[#This Row],[Drop]]="Scroll", 2000*DropAnalityka[[#This Row],[Quality/Quantity]],0)</f>
        <v>0</v>
      </c>
      <c r="K1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3" spans="10:12">
      <c r="J1433">
        <f>DropAnalityka[[#This Row],[Sell Drop]]+IF(DropAnalityka[[#This Row],[Drop]]="Scroll", 2000*DropAnalityka[[#This Row],[Quality/Quantity]],0)</f>
        <v>0</v>
      </c>
      <c r="K1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4" spans="10:12">
      <c r="J1434">
        <f>DropAnalityka[[#This Row],[Sell Drop]]+IF(DropAnalityka[[#This Row],[Drop]]="Scroll", 2000*DropAnalityka[[#This Row],[Quality/Quantity]],0)</f>
        <v>0</v>
      </c>
      <c r="K1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5" spans="10:12">
      <c r="J1435">
        <f>DropAnalityka[[#This Row],[Sell Drop]]+IF(DropAnalityka[[#This Row],[Drop]]="Scroll", 2000*DropAnalityka[[#This Row],[Quality/Quantity]],0)</f>
        <v>0</v>
      </c>
      <c r="K1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6" spans="10:12">
      <c r="J1436">
        <f>DropAnalityka[[#This Row],[Sell Drop]]+IF(DropAnalityka[[#This Row],[Drop]]="Scroll", 2000*DropAnalityka[[#This Row],[Quality/Quantity]],0)</f>
        <v>0</v>
      </c>
      <c r="K1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7" spans="10:12">
      <c r="J1437">
        <f>DropAnalityka[[#This Row],[Sell Drop]]+IF(DropAnalityka[[#This Row],[Drop]]="Scroll", 2000*DropAnalityka[[#This Row],[Quality/Quantity]],0)</f>
        <v>0</v>
      </c>
      <c r="K1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8" spans="10:12">
      <c r="J1438">
        <f>DropAnalityka[[#This Row],[Sell Drop]]+IF(DropAnalityka[[#This Row],[Drop]]="Scroll", 2000*DropAnalityka[[#This Row],[Quality/Quantity]],0)</f>
        <v>0</v>
      </c>
      <c r="K1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9" spans="10:12">
      <c r="J1439">
        <f>DropAnalityka[[#This Row],[Sell Drop]]+IF(DropAnalityka[[#This Row],[Drop]]="Scroll", 2000*DropAnalityka[[#This Row],[Quality/Quantity]],0)</f>
        <v>0</v>
      </c>
      <c r="K1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0" spans="10:12">
      <c r="J1440">
        <f>DropAnalityka[[#This Row],[Sell Drop]]+IF(DropAnalityka[[#This Row],[Drop]]="Scroll", 2000*DropAnalityka[[#This Row],[Quality/Quantity]],0)</f>
        <v>0</v>
      </c>
      <c r="K1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1" spans="10:12">
      <c r="J1441">
        <f>DropAnalityka[[#This Row],[Sell Drop]]+IF(DropAnalityka[[#This Row],[Drop]]="Scroll", 2000*DropAnalityka[[#This Row],[Quality/Quantity]],0)</f>
        <v>0</v>
      </c>
      <c r="K1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2" spans="10:12">
      <c r="J1442">
        <f>DropAnalityka[[#This Row],[Sell Drop]]+IF(DropAnalityka[[#This Row],[Drop]]="Scroll", 2000*DropAnalityka[[#This Row],[Quality/Quantity]],0)</f>
        <v>0</v>
      </c>
      <c r="K1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3" spans="10:12">
      <c r="J1443">
        <f>DropAnalityka[[#This Row],[Sell Drop]]+IF(DropAnalityka[[#This Row],[Drop]]="Scroll", 2000*DropAnalityka[[#This Row],[Quality/Quantity]],0)</f>
        <v>0</v>
      </c>
      <c r="K1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4" spans="10:12">
      <c r="J1444">
        <f>DropAnalityka[[#This Row],[Sell Drop]]+IF(DropAnalityka[[#This Row],[Drop]]="Scroll", 2000*DropAnalityka[[#This Row],[Quality/Quantity]],0)</f>
        <v>0</v>
      </c>
      <c r="K1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5" spans="10:12">
      <c r="J1445">
        <f>DropAnalityka[[#This Row],[Sell Drop]]+IF(DropAnalityka[[#This Row],[Drop]]="Scroll", 2000*DropAnalityka[[#This Row],[Quality/Quantity]],0)</f>
        <v>0</v>
      </c>
      <c r="K1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6" spans="10:12">
      <c r="J1446">
        <f>DropAnalityka[[#This Row],[Sell Drop]]+IF(DropAnalityka[[#This Row],[Drop]]="Scroll", 2000*DropAnalityka[[#This Row],[Quality/Quantity]],0)</f>
        <v>0</v>
      </c>
      <c r="K1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7" spans="10:12">
      <c r="J1447">
        <f>DropAnalityka[[#This Row],[Sell Drop]]+IF(DropAnalityka[[#This Row],[Drop]]="Scroll", 2000*DropAnalityka[[#This Row],[Quality/Quantity]],0)</f>
        <v>0</v>
      </c>
      <c r="K1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8" spans="10:12">
      <c r="J1448">
        <f>DropAnalityka[[#This Row],[Sell Drop]]+IF(DropAnalityka[[#This Row],[Drop]]="Scroll", 2000*DropAnalityka[[#This Row],[Quality/Quantity]],0)</f>
        <v>0</v>
      </c>
      <c r="K1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9" spans="10:12">
      <c r="J1449">
        <f>DropAnalityka[[#This Row],[Sell Drop]]+IF(DropAnalityka[[#This Row],[Drop]]="Scroll", 2000*DropAnalityka[[#This Row],[Quality/Quantity]],0)</f>
        <v>0</v>
      </c>
      <c r="K1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0" spans="10:12">
      <c r="J1450">
        <f>DropAnalityka[[#This Row],[Sell Drop]]+IF(DropAnalityka[[#This Row],[Drop]]="Scroll", 2000*DropAnalityka[[#This Row],[Quality/Quantity]],0)</f>
        <v>0</v>
      </c>
      <c r="K1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1" spans="10:12">
      <c r="J1451">
        <f>DropAnalityka[[#This Row],[Sell Drop]]+IF(DropAnalityka[[#This Row],[Drop]]="Scroll", 2000*DropAnalityka[[#This Row],[Quality/Quantity]],0)</f>
        <v>0</v>
      </c>
      <c r="K1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2" spans="10:12">
      <c r="J1452">
        <f>DropAnalityka[[#This Row],[Sell Drop]]+IF(DropAnalityka[[#This Row],[Drop]]="Scroll", 2000*DropAnalityka[[#This Row],[Quality/Quantity]],0)</f>
        <v>0</v>
      </c>
      <c r="K1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3" spans="10:12">
      <c r="J1453">
        <f>DropAnalityka[[#This Row],[Sell Drop]]+IF(DropAnalityka[[#This Row],[Drop]]="Scroll", 2000*DropAnalityka[[#This Row],[Quality/Quantity]],0)</f>
        <v>0</v>
      </c>
      <c r="K1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4" spans="10:12">
      <c r="J1454">
        <f>DropAnalityka[[#This Row],[Sell Drop]]+IF(DropAnalityka[[#This Row],[Drop]]="Scroll", 2000*DropAnalityka[[#This Row],[Quality/Quantity]],0)</f>
        <v>0</v>
      </c>
      <c r="K1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5" spans="10:12">
      <c r="J1455">
        <f>DropAnalityka[[#This Row],[Sell Drop]]+IF(DropAnalityka[[#This Row],[Drop]]="Scroll", 2000*DropAnalityka[[#This Row],[Quality/Quantity]],0)</f>
        <v>0</v>
      </c>
      <c r="K1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6" spans="10:12">
      <c r="J1456">
        <f>DropAnalityka[[#This Row],[Sell Drop]]+IF(DropAnalityka[[#This Row],[Drop]]="Scroll", 2000*DropAnalityka[[#This Row],[Quality/Quantity]],0)</f>
        <v>0</v>
      </c>
      <c r="K1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7" spans="10:12">
      <c r="J1457">
        <f>DropAnalityka[[#This Row],[Sell Drop]]+IF(DropAnalityka[[#This Row],[Drop]]="Scroll", 2000*DropAnalityka[[#This Row],[Quality/Quantity]],0)</f>
        <v>0</v>
      </c>
      <c r="K1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8" spans="10:12">
      <c r="J1458">
        <f>DropAnalityka[[#This Row],[Sell Drop]]+IF(DropAnalityka[[#This Row],[Drop]]="Scroll", 2000*DropAnalityka[[#This Row],[Quality/Quantity]],0)</f>
        <v>0</v>
      </c>
      <c r="K1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9" spans="10:12">
      <c r="J1459">
        <f>DropAnalityka[[#This Row],[Sell Drop]]+IF(DropAnalityka[[#This Row],[Drop]]="Scroll", 2000*DropAnalityka[[#This Row],[Quality/Quantity]],0)</f>
        <v>0</v>
      </c>
      <c r="K1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0" spans="10:12">
      <c r="J1460">
        <f>DropAnalityka[[#This Row],[Sell Drop]]+IF(DropAnalityka[[#This Row],[Drop]]="Scroll", 2000*DropAnalityka[[#This Row],[Quality/Quantity]],0)</f>
        <v>0</v>
      </c>
      <c r="K1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1" spans="10:12">
      <c r="J1461">
        <f>DropAnalityka[[#This Row],[Sell Drop]]+IF(DropAnalityka[[#This Row],[Drop]]="Scroll", 2000*DropAnalityka[[#This Row],[Quality/Quantity]],0)</f>
        <v>0</v>
      </c>
      <c r="K1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2" spans="10:12">
      <c r="J1462">
        <f>DropAnalityka[[#This Row],[Sell Drop]]+IF(DropAnalityka[[#This Row],[Drop]]="Scroll", 2000*DropAnalityka[[#This Row],[Quality/Quantity]],0)</f>
        <v>0</v>
      </c>
      <c r="K1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3" spans="10:12">
      <c r="J1463">
        <f>DropAnalityka[[#This Row],[Sell Drop]]+IF(DropAnalityka[[#This Row],[Drop]]="Scroll", 2000*DropAnalityka[[#This Row],[Quality/Quantity]],0)</f>
        <v>0</v>
      </c>
      <c r="K1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4" spans="10:12">
      <c r="J1464">
        <f>DropAnalityka[[#This Row],[Sell Drop]]+IF(DropAnalityka[[#This Row],[Drop]]="Scroll", 2000*DropAnalityka[[#This Row],[Quality/Quantity]],0)</f>
        <v>0</v>
      </c>
      <c r="K1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5" spans="10:12">
      <c r="J1465">
        <f>DropAnalityka[[#This Row],[Sell Drop]]+IF(DropAnalityka[[#This Row],[Drop]]="Scroll", 2000*DropAnalityka[[#This Row],[Quality/Quantity]],0)</f>
        <v>0</v>
      </c>
      <c r="K1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6" spans="10:12">
      <c r="J1466">
        <f>DropAnalityka[[#This Row],[Sell Drop]]+IF(DropAnalityka[[#This Row],[Drop]]="Scroll", 2000*DropAnalityka[[#This Row],[Quality/Quantity]],0)</f>
        <v>0</v>
      </c>
      <c r="K1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7" spans="10:12">
      <c r="J1467">
        <f>DropAnalityka[[#This Row],[Sell Drop]]+IF(DropAnalityka[[#This Row],[Drop]]="Scroll", 2000*DropAnalityka[[#This Row],[Quality/Quantity]],0)</f>
        <v>0</v>
      </c>
      <c r="K1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8" spans="10:12">
      <c r="J1468">
        <f>DropAnalityka[[#This Row],[Sell Drop]]+IF(DropAnalityka[[#This Row],[Drop]]="Scroll", 2000*DropAnalityka[[#This Row],[Quality/Quantity]],0)</f>
        <v>0</v>
      </c>
      <c r="K1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9" spans="10:12">
      <c r="J1469">
        <f>DropAnalityka[[#This Row],[Sell Drop]]+IF(DropAnalityka[[#This Row],[Drop]]="Scroll", 2000*DropAnalityka[[#This Row],[Quality/Quantity]],0)</f>
        <v>0</v>
      </c>
      <c r="K1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0" spans="10:12">
      <c r="J1470">
        <f>DropAnalityka[[#This Row],[Sell Drop]]+IF(DropAnalityka[[#This Row],[Drop]]="Scroll", 2000*DropAnalityka[[#This Row],[Quality/Quantity]],0)</f>
        <v>0</v>
      </c>
      <c r="K1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1" spans="10:12">
      <c r="J1471">
        <f>DropAnalityka[[#This Row],[Sell Drop]]+IF(DropAnalityka[[#This Row],[Drop]]="Scroll", 2000*DropAnalityka[[#This Row],[Quality/Quantity]],0)</f>
        <v>0</v>
      </c>
      <c r="K1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2" spans="10:12">
      <c r="J1472">
        <f>DropAnalityka[[#This Row],[Sell Drop]]+IF(DropAnalityka[[#This Row],[Drop]]="Scroll", 2000*DropAnalityka[[#This Row],[Quality/Quantity]],0)</f>
        <v>0</v>
      </c>
      <c r="K1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3" spans="10:12">
      <c r="J1473">
        <f>DropAnalityka[[#This Row],[Sell Drop]]+IF(DropAnalityka[[#This Row],[Drop]]="Scroll", 2000*DropAnalityka[[#This Row],[Quality/Quantity]],0)</f>
        <v>0</v>
      </c>
      <c r="K1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4" spans="10:12">
      <c r="J1474">
        <f>DropAnalityka[[#This Row],[Sell Drop]]+IF(DropAnalityka[[#This Row],[Drop]]="Scroll", 2000*DropAnalityka[[#This Row],[Quality/Quantity]],0)</f>
        <v>0</v>
      </c>
      <c r="K1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5" spans="10:12">
      <c r="J1475">
        <f>DropAnalityka[[#This Row],[Sell Drop]]+IF(DropAnalityka[[#This Row],[Drop]]="Scroll", 2000*DropAnalityka[[#This Row],[Quality/Quantity]],0)</f>
        <v>0</v>
      </c>
      <c r="K1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6" spans="10:12">
      <c r="J1476">
        <f>DropAnalityka[[#This Row],[Sell Drop]]+IF(DropAnalityka[[#This Row],[Drop]]="Scroll", 2000*DropAnalityka[[#This Row],[Quality/Quantity]],0)</f>
        <v>0</v>
      </c>
      <c r="K1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7" spans="10:12">
      <c r="J1477">
        <f>DropAnalityka[[#This Row],[Sell Drop]]+IF(DropAnalityka[[#This Row],[Drop]]="Scroll", 2000*DropAnalityka[[#This Row],[Quality/Quantity]],0)</f>
        <v>0</v>
      </c>
      <c r="K1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8" spans="10:12">
      <c r="J1478">
        <f>DropAnalityka[[#This Row],[Sell Drop]]+IF(DropAnalityka[[#This Row],[Drop]]="Scroll", 2000*DropAnalityka[[#This Row],[Quality/Quantity]],0)</f>
        <v>0</v>
      </c>
      <c r="K1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9" spans="10:12">
      <c r="J1479">
        <f>DropAnalityka[[#This Row],[Sell Drop]]+IF(DropAnalityka[[#This Row],[Drop]]="Scroll", 2000*DropAnalityka[[#This Row],[Quality/Quantity]],0)</f>
        <v>0</v>
      </c>
      <c r="K1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0" spans="10:12">
      <c r="J1480">
        <f>DropAnalityka[[#This Row],[Sell Drop]]+IF(DropAnalityka[[#This Row],[Drop]]="Scroll", 2000*DropAnalityka[[#This Row],[Quality/Quantity]],0)</f>
        <v>0</v>
      </c>
      <c r="K1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1" spans="10:12">
      <c r="J1481">
        <f>DropAnalityka[[#This Row],[Sell Drop]]+IF(DropAnalityka[[#This Row],[Drop]]="Scroll", 2000*DropAnalityka[[#This Row],[Quality/Quantity]],0)</f>
        <v>0</v>
      </c>
      <c r="K1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2" spans="10:12">
      <c r="J1482">
        <f>DropAnalityka[[#This Row],[Sell Drop]]+IF(DropAnalityka[[#This Row],[Drop]]="Scroll", 2000*DropAnalityka[[#This Row],[Quality/Quantity]],0)</f>
        <v>0</v>
      </c>
      <c r="K1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3" spans="10:12">
      <c r="J1483">
        <f>DropAnalityka[[#This Row],[Sell Drop]]+IF(DropAnalityka[[#This Row],[Drop]]="Scroll", 2000*DropAnalityka[[#This Row],[Quality/Quantity]],0)</f>
        <v>0</v>
      </c>
      <c r="K1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4" spans="10:12">
      <c r="J1484">
        <f>DropAnalityka[[#This Row],[Sell Drop]]+IF(DropAnalityka[[#This Row],[Drop]]="Scroll", 2000*DropAnalityka[[#This Row],[Quality/Quantity]],0)</f>
        <v>0</v>
      </c>
      <c r="K1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5" spans="10:12">
      <c r="J1485">
        <f>DropAnalityka[[#This Row],[Sell Drop]]+IF(DropAnalityka[[#This Row],[Drop]]="Scroll", 2000*DropAnalityka[[#This Row],[Quality/Quantity]],0)</f>
        <v>0</v>
      </c>
      <c r="K1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6" spans="10:12">
      <c r="J1486">
        <f>DropAnalityka[[#This Row],[Sell Drop]]+IF(DropAnalityka[[#This Row],[Drop]]="Scroll", 2000*DropAnalityka[[#This Row],[Quality/Quantity]],0)</f>
        <v>0</v>
      </c>
      <c r="K1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7" spans="10:12">
      <c r="J1487">
        <f>DropAnalityka[[#This Row],[Sell Drop]]+IF(DropAnalityka[[#This Row],[Drop]]="Scroll", 2000*DropAnalityka[[#This Row],[Quality/Quantity]],0)</f>
        <v>0</v>
      </c>
      <c r="K1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8" spans="10:12">
      <c r="J1488">
        <f>DropAnalityka[[#This Row],[Sell Drop]]+IF(DropAnalityka[[#This Row],[Drop]]="Scroll", 2000*DropAnalityka[[#This Row],[Quality/Quantity]],0)</f>
        <v>0</v>
      </c>
      <c r="K1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9" spans="10:12">
      <c r="J1489">
        <f>DropAnalityka[[#This Row],[Sell Drop]]+IF(DropAnalityka[[#This Row],[Drop]]="Scroll", 2000*DropAnalityka[[#This Row],[Quality/Quantity]],0)</f>
        <v>0</v>
      </c>
      <c r="K1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0" spans="10:12">
      <c r="J1490">
        <f>DropAnalityka[[#This Row],[Sell Drop]]+IF(DropAnalityka[[#This Row],[Drop]]="Scroll", 2000*DropAnalityka[[#This Row],[Quality/Quantity]],0)</f>
        <v>0</v>
      </c>
      <c r="K1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1" spans="10:12">
      <c r="J1491">
        <f>DropAnalityka[[#This Row],[Sell Drop]]+IF(DropAnalityka[[#This Row],[Drop]]="Scroll", 2000*DropAnalityka[[#This Row],[Quality/Quantity]],0)</f>
        <v>0</v>
      </c>
      <c r="K1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2" spans="10:12">
      <c r="J1492">
        <f>DropAnalityka[[#This Row],[Sell Drop]]+IF(DropAnalityka[[#This Row],[Drop]]="Scroll", 2000*DropAnalityka[[#This Row],[Quality/Quantity]],0)</f>
        <v>0</v>
      </c>
      <c r="K1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3" spans="10:12">
      <c r="J1493">
        <f>DropAnalityka[[#This Row],[Sell Drop]]+IF(DropAnalityka[[#This Row],[Drop]]="Scroll", 2000*DropAnalityka[[#This Row],[Quality/Quantity]],0)</f>
        <v>0</v>
      </c>
      <c r="K1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4" spans="10:12">
      <c r="J1494">
        <f>DropAnalityka[[#This Row],[Sell Drop]]+IF(DropAnalityka[[#This Row],[Drop]]="Scroll", 2000*DropAnalityka[[#This Row],[Quality/Quantity]],0)</f>
        <v>0</v>
      </c>
      <c r="K1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5" spans="10:12">
      <c r="J1495">
        <f>DropAnalityka[[#This Row],[Sell Drop]]+IF(DropAnalityka[[#This Row],[Drop]]="Scroll", 2000*DropAnalityka[[#This Row],[Quality/Quantity]],0)</f>
        <v>0</v>
      </c>
      <c r="K1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6" spans="10:12">
      <c r="J1496">
        <f>DropAnalityka[[#This Row],[Sell Drop]]+IF(DropAnalityka[[#This Row],[Drop]]="Scroll", 2000*DropAnalityka[[#This Row],[Quality/Quantity]],0)</f>
        <v>0</v>
      </c>
      <c r="K1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7" spans="10:12">
      <c r="J1497">
        <f>DropAnalityka[[#This Row],[Sell Drop]]+IF(DropAnalityka[[#This Row],[Drop]]="Scroll", 2000*DropAnalityka[[#This Row],[Quality/Quantity]],0)</f>
        <v>0</v>
      </c>
      <c r="K1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8" spans="10:12">
      <c r="J1498">
        <f>DropAnalityka[[#This Row],[Sell Drop]]+IF(DropAnalityka[[#This Row],[Drop]]="Scroll", 2000*DropAnalityka[[#This Row],[Quality/Quantity]],0)</f>
        <v>0</v>
      </c>
      <c r="K1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9" spans="10:12">
      <c r="J1499">
        <f>DropAnalityka[[#This Row],[Sell Drop]]+IF(DropAnalityka[[#This Row],[Drop]]="Scroll", 2000*DropAnalityka[[#This Row],[Quality/Quantity]],0)</f>
        <v>0</v>
      </c>
      <c r="K1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0" spans="10:12">
      <c r="J1500">
        <f>DropAnalityka[[#This Row],[Sell Drop]]+IF(DropAnalityka[[#This Row],[Drop]]="Scroll", 2000*DropAnalityka[[#This Row],[Quality/Quantity]],0)</f>
        <v>0</v>
      </c>
      <c r="K1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1" spans="10:12">
      <c r="J1501">
        <f>DropAnalityka[[#This Row],[Sell Drop]]+IF(DropAnalityka[[#This Row],[Drop]]="Scroll", 2000*DropAnalityka[[#This Row],[Quality/Quantity]],0)</f>
        <v>0</v>
      </c>
      <c r="K1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2" spans="10:12">
      <c r="J1502">
        <f>DropAnalityka[[#This Row],[Sell Drop]]+IF(DropAnalityka[[#This Row],[Drop]]="Scroll", 2000*DropAnalityka[[#This Row],[Quality/Quantity]],0)</f>
        <v>0</v>
      </c>
      <c r="K1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3" spans="10:12">
      <c r="J1503">
        <f>DropAnalityka[[#This Row],[Sell Drop]]+IF(DropAnalityka[[#This Row],[Drop]]="Scroll", 2000*DropAnalityka[[#This Row],[Quality/Quantity]],0)</f>
        <v>0</v>
      </c>
      <c r="K1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4" spans="10:12">
      <c r="J1504">
        <f>DropAnalityka[[#This Row],[Sell Drop]]+IF(DropAnalityka[[#This Row],[Drop]]="Scroll", 2000*DropAnalityka[[#This Row],[Quality/Quantity]],0)</f>
        <v>0</v>
      </c>
      <c r="K1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5" spans="10:12">
      <c r="J1505">
        <f>DropAnalityka[[#This Row],[Sell Drop]]+IF(DropAnalityka[[#This Row],[Drop]]="Scroll", 2000*DropAnalityka[[#This Row],[Quality/Quantity]],0)</f>
        <v>0</v>
      </c>
      <c r="K1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6" spans="10:12">
      <c r="J1506">
        <f>DropAnalityka[[#This Row],[Sell Drop]]+IF(DropAnalityka[[#This Row],[Drop]]="Scroll", 2000*DropAnalityka[[#This Row],[Quality/Quantity]],0)</f>
        <v>0</v>
      </c>
      <c r="K1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7" spans="10:12">
      <c r="J1507">
        <f>DropAnalityka[[#This Row],[Sell Drop]]+IF(DropAnalityka[[#This Row],[Drop]]="Scroll", 2000*DropAnalityka[[#This Row],[Quality/Quantity]],0)</f>
        <v>0</v>
      </c>
      <c r="K1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8" spans="10:12">
      <c r="J1508">
        <f>DropAnalityka[[#This Row],[Sell Drop]]+IF(DropAnalityka[[#This Row],[Drop]]="Scroll", 2000*DropAnalityka[[#This Row],[Quality/Quantity]],0)</f>
        <v>0</v>
      </c>
      <c r="K1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9" spans="10:12">
      <c r="J1509">
        <f>DropAnalityka[[#This Row],[Sell Drop]]+IF(DropAnalityka[[#This Row],[Drop]]="Scroll", 2000*DropAnalityka[[#This Row],[Quality/Quantity]],0)</f>
        <v>0</v>
      </c>
      <c r="K1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0" spans="10:12">
      <c r="J1510">
        <f>DropAnalityka[[#This Row],[Sell Drop]]+IF(DropAnalityka[[#This Row],[Drop]]="Scroll", 2000*DropAnalityka[[#This Row],[Quality/Quantity]],0)</f>
        <v>0</v>
      </c>
      <c r="K1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1" spans="10:12">
      <c r="J1511">
        <f>DropAnalityka[[#This Row],[Sell Drop]]+IF(DropAnalityka[[#This Row],[Drop]]="Scroll", 2000*DropAnalityka[[#This Row],[Quality/Quantity]],0)</f>
        <v>0</v>
      </c>
      <c r="K1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2" spans="10:12">
      <c r="J1512">
        <f>DropAnalityka[[#This Row],[Sell Drop]]+IF(DropAnalityka[[#This Row],[Drop]]="Scroll", 2000*DropAnalityka[[#This Row],[Quality/Quantity]],0)</f>
        <v>0</v>
      </c>
      <c r="K1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3" spans="10:12">
      <c r="J1513">
        <f>DropAnalityka[[#This Row],[Sell Drop]]+IF(DropAnalityka[[#This Row],[Drop]]="Scroll", 2000*DropAnalityka[[#This Row],[Quality/Quantity]],0)</f>
        <v>0</v>
      </c>
      <c r="K1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4" spans="10:12">
      <c r="J1514">
        <f>DropAnalityka[[#This Row],[Sell Drop]]+IF(DropAnalityka[[#This Row],[Drop]]="Scroll", 2000*DropAnalityka[[#This Row],[Quality/Quantity]],0)</f>
        <v>0</v>
      </c>
      <c r="K1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5" spans="10:12">
      <c r="J1515">
        <f>DropAnalityka[[#This Row],[Sell Drop]]+IF(DropAnalityka[[#This Row],[Drop]]="Scroll", 2000*DropAnalityka[[#This Row],[Quality/Quantity]],0)</f>
        <v>0</v>
      </c>
      <c r="K1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6" spans="10:12">
      <c r="J1516">
        <f>DropAnalityka[[#This Row],[Sell Drop]]+IF(DropAnalityka[[#This Row],[Drop]]="Scroll", 2000*DropAnalityka[[#This Row],[Quality/Quantity]],0)</f>
        <v>0</v>
      </c>
      <c r="K1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7" spans="10:12">
      <c r="J1517">
        <f>DropAnalityka[[#This Row],[Sell Drop]]+IF(DropAnalityka[[#This Row],[Drop]]="Scroll", 2000*DropAnalityka[[#This Row],[Quality/Quantity]],0)</f>
        <v>0</v>
      </c>
      <c r="K1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8" spans="10:12">
      <c r="J1518">
        <f>DropAnalityka[[#This Row],[Sell Drop]]+IF(DropAnalityka[[#This Row],[Drop]]="Scroll", 2000*DropAnalityka[[#This Row],[Quality/Quantity]],0)</f>
        <v>0</v>
      </c>
      <c r="K1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9" spans="10:12">
      <c r="J1519">
        <f>DropAnalityka[[#This Row],[Sell Drop]]+IF(DropAnalityka[[#This Row],[Drop]]="Scroll", 2000*DropAnalityka[[#This Row],[Quality/Quantity]],0)</f>
        <v>0</v>
      </c>
      <c r="K1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0" spans="10:12">
      <c r="J1520">
        <f>DropAnalityka[[#This Row],[Sell Drop]]+IF(DropAnalityka[[#This Row],[Drop]]="Scroll", 2000*DropAnalityka[[#This Row],[Quality/Quantity]],0)</f>
        <v>0</v>
      </c>
      <c r="K1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1" spans="10:12">
      <c r="J1521">
        <f>DropAnalityka[[#This Row],[Sell Drop]]+IF(DropAnalityka[[#This Row],[Drop]]="Scroll", 2000*DropAnalityka[[#This Row],[Quality/Quantity]],0)</f>
        <v>0</v>
      </c>
      <c r="K1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2" spans="10:12">
      <c r="J1522">
        <f>DropAnalityka[[#This Row],[Sell Drop]]+IF(DropAnalityka[[#This Row],[Drop]]="Scroll", 2000*DropAnalityka[[#This Row],[Quality/Quantity]],0)</f>
        <v>0</v>
      </c>
      <c r="K1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3" spans="10:12">
      <c r="J1523">
        <f>DropAnalityka[[#This Row],[Sell Drop]]+IF(DropAnalityka[[#This Row],[Drop]]="Scroll", 2000*DropAnalityka[[#This Row],[Quality/Quantity]],0)</f>
        <v>0</v>
      </c>
      <c r="K1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4" spans="10:12">
      <c r="J1524">
        <f>DropAnalityka[[#This Row],[Sell Drop]]+IF(DropAnalityka[[#This Row],[Drop]]="Scroll", 2000*DropAnalityka[[#This Row],[Quality/Quantity]],0)</f>
        <v>0</v>
      </c>
      <c r="K1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5" spans="10:12">
      <c r="J1525">
        <f>DropAnalityka[[#This Row],[Sell Drop]]+IF(DropAnalityka[[#This Row],[Drop]]="Scroll", 2000*DropAnalityka[[#This Row],[Quality/Quantity]],0)</f>
        <v>0</v>
      </c>
      <c r="K1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6" spans="10:12">
      <c r="J1526">
        <f>DropAnalityka[[#This Row],[Sell Drop]]+IF(DropAnalityka[[#This Row],[Drop]]="Scroll", 2000*DropAnalityka[[#This Row],[Quality/Quantity]],0)</f>
        <v>0</v>
      </c>
      <c r="K1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7" spans="10:12">
      <c r="J1527">
        <f>DropAnalityka[[#This Row],[Sell Drop]]+IF(DropAnalityka[[#This Row],[Drop]]="Scroll", 2000*DropAnalityka[[#This Row],[Quality/Quantity]],0)</f>
        <v>0</v>
      </c>
      <c r="K1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8" spans="10:12">
      <c r="J1528">
        <f>DropAnalityka[[#This Row],[Sell Drop]]+IF(DropAnalityka[[#This Row],[Drop]]="Scroll", 2000*DropAnalityka[[#This Row],[Quality/Quantity]],0)</f>
        <v>0</v>
      </c>
      <c r="K1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9" spans="10:12">
      <c r="J1529">
        <f>DropAnalityka[[#This Row],[Sell Drop]]+IF(DropAnalityka[[#This Row],[Drop]]="Scroll", 2000*DropAnalityka[[#This Row],[Quality/Quantity]],0)</f>
        <v>0</v>
      </c>
      <c r="K1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0" spans="10:12">
      <c r="J1530">
        <f>DropAnalityka[[#This Row],[Sell Drop]]+IF(DropAnalityka[[#This Row],[Drop]]="Scroll", 2000*DropAnalityka[[#This Row],[Quality/Quantity]],0)</f>
        <v>0</v>
      </c>
      <c r="K1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1" spans="10:12">
      <c r="J1531">
        <f>DropAnalityka[[#This Row],[Sell Drop]]+IF(DropAnalityka[[#This Row],[Drop]]="Scroll", 2000*DropAnalityka[[#This Row],[Quality/Quantity]],0)</f>
        <v>0</v>
      </c>
      <c r="K1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2" spans="10:12">
      <c r="J1532">
        <f>DropAnalityka[[#This Row],[Sell Drop]]+IF(DropAnalityka[[#This Row],[Drop]]="Scroll", 2000*DropAnalityka[[#This Row],[Quality/Quantity]],0)</f>
        <v>0</v>
      </c>
      <c r="K1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3" spans="10:12">
      <c r="J1533">
        <f>DropAnalityka[[#This Row],[Sell Drop]]+IF(DropAnalityka[[#This Row],[Drop]]="Scroll", 2000*DropAnalityka[[#This Row],[Quality/Quantity]],0)</f>
        <v>0</v>
      </c>
      <c r="K1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4" spans="10:12">
      <c r="J1534">
        <f>DropAnalityka[[#This Row],[Sell Drop]]+IF(DropAnalityka[[#This Row],[Drop]]="Scroll", 2000*DropAnalityka[[#This Row],[Quality/Quantity]],0)</f>
        <v>0</v>
      </c>
      <c r="K1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5" spans="10:12">
      <c r="J1535">
        <f>DropAnalityka[[#This Row],[Sell Drop]]+IF(DropAnalityka[[#This Row],[Drop]]="Scroll", 2000*DropAnalityka[[#This Row],[Quality/Quantity]],0)</f>
        <v>0</v>
      </c>
      <c r="K1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6" spans="10:12">
      <c r="J1536">
        <f>DropAnalityka[[#This Row],[Sell Drop]]+IF(DropAnalityka[[#This Row],[Drop]]="Scroll", 2000*DropAnalityka[[#This Row],[Quality/Quantity]],0)</f>
        <v>0</v>
      </c>
      <c r="K1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7" spans="10:12">
      <c r="J1537">
        <f>DropAnalityka[[#This Row],[Sell Drop]]+IF(DropAnalityka[[#This Row],[Drop]]="Scroll", 2000*DropAnalityka[[#This Row],[Quality/Quantity]],0)</f>
        <v>0</v>
      </c>
      <c r="K1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8" spans="10:12">
      <c r="J1538">
        <f>DropAnalityka[[#This Row],[Sell Drop]]+IF(DropAnalityka[[#This Row],[Drop]]="Scroll", 2000*DropAnalityka[[#This Row],[Quality/Quantity]],0)</f>
        <v>0</v>
      </c>
      <c r="K1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9" spans="10:12">
      <c r="J1539">
        <f>DropAnalityka[[#This Row],[Sell Drop]]+IF(DropAnalityka[[#This Row],[Drop]]="Scroll", 2000*DropAnalityka[[#This Row],[Quality/Quantity]],0)</f>
        <v>0</v>
      </c>
      <c r="K1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0" spans="10:12">
      <c r="J1540">
        <f>DropAnalityka[[#This Row],[Sell Drop]]+IF(DropAnalityka[[#This Row],[Drop]]="Scroll", 2000*DropAnalityka[[#This Row],[Quality/Quantity]],0)</f>
        <v>0</v>
      </c>
      <c r="K1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1" spans="10:12">
      <c r="J1541">
        <f>DropAnalityka[[#This Row],[Sell Drop]]+IF(DropAnalityka[[#This Row],[Drop]]="Scroll", 2000*DropAnalityka[[#This Row],[Quality/Quantity]],0)</f>
        <v>0</v>
      </c>
      <c r="K1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2" spans="10:12">
      <c r="J1542">
        <f>DropAnalityka[[#This Row],[Sell Drop]]+IF(DropAnalityka[[#This Row],[Drop]]="Scroll", 2000*DropAnalityka[[#This Row],[Quality/Quantity]],0)</f>
        <v>0</v>
      </c>
      <c r="K1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3" spans="10:12">
      <c r="J1543">
        <f>DropAnalityka[[#This Row],[Sell Drop]]+IF(DropAnalityka[[#This Row],[Drop]]="Scroll", 2000*DropAnalityka[[#This Row],[Quality/Quantity]],0)</f>
        <v>0</v>
      </c>
      <c r="K1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4" spans="10:12">
      <c r="J1544">
        <f>DropAnalityka[[#This Row],[Sell Drop]]+IF(DropAnalityka[[#This Row],[Drop]]="Scroll", 2000*DropAnalityka[[#This Row],[Quality/Quantity]],0)</f>
        <v>0</v>
      </c>
      <c r="K1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5" spans="10:12">
      <c r="J1545">
        <f>DropAnalityka[[#This Row],[Sell Drop]]+IF(DropAnalityka[[#This Row],[Drop]]="Scroll", 2000*DropAnalityka[[#This Row],[Quality/Quantity]],0)</f>
        <v>0</v>
      </c>
      <c r="K1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6" spans="10:12">
      <c r="J1546">
        <f>DropAnalityka[[#This Row],[Sell Drop]]+IF(DropAnalityka[[#This Row],[Drop]]="Scroll", 2000*DropAnalityka[[#This Row],[Quality/Quantity]],0)</f>
        <v>0</v>
      </c>
      <c r="K1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7" spans="10:12">
      <c r="J1547">
        <f>DropAnalityka[[#This Row],[Sell Drop]]+IF(DropAnalityka[[#This Row],[Drop]]="Scroll", 2000*DropAnalityka[[#This Row],[Quality/Quantity]],0)</f>
        <v>0</v>
      </c>
      <c r="K1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8" spans="10:12">
      <c r="J1548">
        <f>DropAnalityka[[#This Row],[Sell Drop]]+IF(DropAnalityka[[#This Row],[Drop]]="Scroll", 2000*DropAnalityka[[#This Row],[Quality/Quantity]],0)</f>
        <v>0</v>
      </c>
      <c r="K1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9" spans="10:12">
      <c r="J1549">
        <f>DropAnalityka[[#This Row],[Sell Drop]]+IF(DropAnalityka[[#This Row],[Drop]]="Scroll", 2000*DropAnalityka[[#This Row],[Quality/Quantity]],0)</f>
        <v>0</v>
      </c>
      <c r="K1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0" spans="10:12">
      <c r="J1550">
        <f>DropAnalityka[[#This Row],[Sell Drop]]+IF(DropAnalityka[[#This Row],[Drop]]="Scroll", 2000*DropAnalityka[[#This Row],[Quality/Quantity]],0)</f>
        <v>0</v>
      </c>
      <c r="K1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1" spans="10:12">
      <c r="J1551">
        <f>DropAnalityka[[#This Row],[Sell Drop]]+IF(DropAnalityka[[#This Row],[Drop]]="Scroll", 2000*DropAnalityka[[#This Row],[Quality/Quantity]],0)</f>
        <v>0</v>
      </c>
      <c r="K1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2" spans="10:12">
      <c r="J1552">
        <f>DropAnalityka[[#This Row],[Sell Drop]]+IF(DropAnalityka[[#This Row],[Drop]]="Scroll", 2000*DropAnalityka[[#This Row],[Quality/Quantity]],0)</f>
        <v>0</v>
      </c>
      <c r="K1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3" spans="10:12">
      <c r="J1553">
        <f>DropAnalityka[[#This Row],[Sell Drop]]+IF(DropAnalityka[[#This Row],[Drop]]="Scroll", 2000*DropAnalityka[[#This Row],[Quality/Quantity]],0)</f>
        <v>0</v>
      </c>
      <c r="K1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4" spans="10:12">
      <c r="J1554">
        <f>DropAnalityka[[#This Row],[Sell Drop]]+IF(DropAnalityka[[#This Row],[Drop]]="Scroll", 2000*DropAnalityka[[#This Row],[Quality/Quantity]],0)</f>
        <v>0</v>
      </c>
      <c r="K1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5" spans="10:12">
      <c r="J1555">
        <f>DropAnalityka[[#This Row],[Sell Drop]]+IF(DropAnalityka[[#This Row],[Drop]]="Scroll", 2000*DropAnalityka[[#This Row],[Quality/Quantity]],0)</f>
        <v>0</v>
      </c>
      <c r="K1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6" spans="10:12">
      <c r="J1556">
        <f>DropAnalityka[[#This Row],[Sell Drop]]+IF(DropAnalityka[[#This Row],[Drop]]="Scroll", 2000*DropAnalityka[[#This Row],[Quality/Quantity]],0)</f>
        <v>0</v>
      </c>
      <c r="K1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7" spans="10:12">
      <c r="J1557">
        <f>DropAnalityka[[#This Row],[Sell Drop]]+IF(DropAnalityka[[#This Row],[Drop]]="Scroll", 2000*DropAnalityka[[#This Row],[Quality/Quantity]],0)</f>
        <v>0</v>
      </c>
      <c r="K1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8" spans="10:12">
      <c r="J1558">
        <f>DropAnalityka[[#This Row],[Sell Drop]]+IF(DropAnalityka[[#This Row],[Drop]]="Scroll", 2000*DropAnalityka[[#This Row],[Quality/Quantity]],0)</f>
        <v>0</v>
      </c>
      <c r="K1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9" spans="10:12">
      <c r="J1559">
        <f>DropAnalityka[[#This Row],[Sell Drop]]+IF(DropAnalityka[[#This Row],[Drop]]="Scroll", 2000*DropAnalityka[[#This Row],[Quality/Quantity]],0)</f>
        <v>0</v>
      </c>
      <c r="K1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0" spans="10:12">
      <c r="J1560">
        <f>DropAnalityka[[#This Row],[Sell Drop]]+IF(DropAnalityka[[#This Row],[Drop]]="Scroll", 2000*DropAnalityka[[#This Row],[Quality/Quantity]],0)</f>
        <v>0</v>
      </c>
      <c r="K1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1" spans="10:12">
      <c r="J1561">
        <f>DropAnalityka[[#This Row],[Sell Drop]]+IF(DropAnalityka[[#This Row],[Drop]]="Scroll", 2000*DropAnalityka[[#This Row],[Quality/Quantity]],0)</f>
        <v>0</v>
      </c>
      <c r="K1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2" spans="10:12">
      <c r="J1562">
        <f>DropAnalityka[[#This Row],[Sell Drop]]+IF(DropAnalityka[[#This Row],[Drop]]="Scroll", 2000*DropAnalityka[[#This Row],[Quality/Quantity]],0)</f>
        <v>0</v>
      </c>
      <c r="K1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3" spans="10:12">
      <c r="J1563">
        <f>DropAnalityka[[#This Row],[Sell Drop]]+IF(DropAnalityka[[#This Row],[Drop]]="Scroll", 2000*DropAnalityka[[#This Row],[Quality/Quantity]],0)</f>
        <v>0</v>
      </c>
      <c r="K1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4" spans="10:12">
      <c r="J1564">
        <f>DropAnalityka[[#This Row],[Sell Drop]]+IF(DropAnalityka[[#This Row],[Drop]]="Scroll", 2000*DropAnalityka[[#This Row],[Quality/Quantity]],0)</f>
        <v>0</v>
      </c>
      <c r="K1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5" spans="10:12">
      <c r="J1565">
        <f>DropAnalityka[[#This Row],[Sell Drop]]+IF(DropAnalityka[[#This Row],[Drop]]="Scroll", 2000*DropAnalityka[[#This Row],[Quality/Quantity]],0)</f>
        <v>0</v>
      </c>
      <c r="K1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6" spans="10:12">
      <c r="J1566">
        <f>DropAnalityka[[#This Row],[Sell Drop]]+IF(DropAnalityka[[#This Row],[Drop]]="Scroll", 2000*DropAnalityka[[#This Row],[Quality/Quantity]],0)</f>
        <v>0</v>
      </c>
      <c r="K1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7" spans="10:12">
      <c r="J1567">
        <f>DropAnalityka[[#This Row],[Sell Drop]]+IF(DropAnalityka[[#This Row],[Drop]]="Scroll", 2000*DropAnalityka[[#This Row],[Quality/Quantity]],0)</f>
        <v>0</v>
      </c>
      <c r="K1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8" spans="10:12">
      <c r="J1568">
        <f>DropAnalityka[[#This Row],[Sell Drop]]+IF(DropAnalityka[[#This Row],[Drop]]="Scroll", 2000*DropAnalityka[[#This Row],[Quality/Quantity]],0)</f>
        <v>0</v>
      </c>
      <c r="K1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9" spans="10:12">
      <c r="J1569">
        <f>DropAnalityka[[#This Row],[Sell Drop]]+IF(DropAnalityka[[#This Row],[Drop]]="Scroll", 2000*DropAnalityka[[#This Row],[Quality/Quantity]],0)</f>
        <v>0</v>
      </c>
      <c r="K1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0" spans="10:12">
      <c r="J1570">
        <f>DropAnalityka[[#This Row],[Sell Drop]]+IF(DropAnalityka[[#This Row],[Drop]]="Scroll", 2000*DropAnalityka[[#This Row],[Quality/Quantity]],0)</f>
        <v>0</v>
      </c>
      <c r="K1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1" spans="10:12">
      <c r="J1571">
        <f>DropAnalityka[[#This Row],[Sell Drop]]+IF(DropAnalityka[[#This Row],[Drop]]="Scroll", 2000*DropAnalityka[[#This Row],[Quality/Quantity]],0)</f>
        <v>0</v>
      </c>
      <c r="K1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2" spans="10:12">
      <c r="J1572">
        <f>DropAnalityka[[#This Row],[Sell Drop]]+IF(DropAnalityka[[#This Row],[Drop]]="Scroll", 2000*DropAnalityka[[#This Row],[Quality/Quantity]],0)</f>
        <v>0</v>
      </c>
      <c r="K1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3" spans="10:12">
      <c r="J1573">
        <f>DropAnalityka[[#This Row],[Sell Drop]]+IF(DropAnalityka[[#This Row],[Drop]]="Scroll", 2000*DropAnalityka[[#This Row],[Quality/Quantity]],0)</f>
        <v>0</v>
      </c>
      <c r="K1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4" spans="10:12">
      <c r="J1574">
        <f>DropAnalityka[[#This Row],[Sell Drop]]+IF(DropAnalityka[[#This Row],[Drop]]="Scroll", 2000*DropAnalityka[[#This Row],[Quality/Quantity]],0)</f>
        <v>0</v>
      </c>
      <c r="K1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5" spans="10:12">
      <c r="J1575">
        <f>DropAnalityka[[#This Row],[Sell Drop]]+IF(DropAnalityka[[#This Row],[Drop]]="Scroll", 2000*DropAnalityka[[#This Row],[Quality/Quantity]],0)</f>
        <v>0</v>
      </c>
      <c r="K1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6" spans="10:12">
      <c r="J1576">
        <f>DropAnalityka[[#This Row],[Sell Drop]]+IF(DropAnalityka[[#This Row],[Drop]]="Scroll", 2000*DropAnalityka[[#This Row],[Quality/Quantity]],0)</f>
        <v>0</v>
      </c>
      <c r="K1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7" spans="10:12">
      <c r="J1577">
        <f>DropAnalityka[[#This Row],[Sell Drop]]+IF(DropAnalityka[[#This Row],[Drop]]="Scroll", 2000*DropAnalityka[[#This Row],[Quality/Quantity]],0)</f>
        <v>0</v>
      </c>
      <c r="K1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8" spans="10:12">
      <c r="J1578">
        <f>DropAnalityka[[#This Row],[Sell Drop]]+IF(DropAnalityka[[#This Row],[Drop]]="Scroll", 2000*DropAnalityka[[#This Row],[Quality/Quantity]],0)</f>
        <v>0</v>
      </c>
      <c r="K1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9" spans="10:12">
      <c r="J1579">
        <f>DropAnalityka[[#This Row],[Sell Drop]]+IF(DropAnalityka[[#This Row],[Drop]]="Scroll", 2000*DropAnalityka[[#This Row],[Quality/Quantity]],0)</f>
        <v>0</v>
      </c>
      <c r="K1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0" spans="10:12">
      <c r="J1580">
        <f>DropAnalityka[[#This Row],[Sell Drop]]+IF(DropAnalityka[[#This Row],[Drop]]="Scroll", 2000*DropAnalityka[[#This Row],[Quality/Quantity]],0)</f>
        <v>0</v>
      </c>
      <c r="K1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1" spans="10:12">
      <c r="J1581">
        <f>DropAnalityka[[#This Row],[Sell Drop]]+IF(DropAnalityka[[#This Row],[Drop]]="Scroll", 2000*DropAnalityka[[#This Row],[Quality/Quantity]],0)</f>
        <v>0</v>
      </c>
      <c r="K1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2" spans="10:12">
      <c r="J1582">
        <f>DropAnalityka[[#This Row],[Sell Drop]]+IF(DropAnalityka[[#This Row],[Drop]]="Scroll", 2000*DropAnalityka[[#This Row],[Quality/Quantity]],0)</f>
        <v>0</v>
      </c>
      <c r="K1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3" spans="10:12">
      <c r="J1583">
        <f>DropAnalityka[[#This Row],[Sell Drop]]+IF(DropAnalityka[[#This Row],[Drop]]="Scroll", 2000*DropAnalityka[[#This Row],[Quality/Quantity]],0)</f>
        <v>0</v>
      </c>
      <c r="K1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4" spans="10:12">
      <c r="J1584">
        <f>DropAnalityka[[#This Row],[Sell Drop]]+IF(DropAnalityka[[#This Row],[Drop]]="Scroll", 2000*DropAnalityka[[#This Row],[Quality/Quantity]],0)</f>
        <v>0</v>
      </c>
      <c r="K1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5" spans="10:12">
      <c r="J1585">
        <f>DropAnalityka[[#This Row],[Sell Drop]]+IF(DropAnalityka[[#This Row],[Drop]]="Scroll", 2000*DropAnalityka[[#This Row],[Quality/Quantity]],0)</f>
        <v>0</v>
      </c>
      <c r="K1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6" spans="10:12">
      <c r="J1586">
        <f>DropAnalityka[[#This Row],[Sell Drop]]+IF(DropAnalityka[[#This Row],[Drop]]="Scroll", 2000*DropAnalityka[[#This Row],[Quality/Quantity]],0)</f>
        <v>0</v>
      </c>
      <c r="K1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7" spans="10:12">
      <c r="J1587">
        <f>DropAnalityka[[#This Row],[Sell Drop]]+IF(DropAnalityka[[#This Row],[Drop]]="Scroll", 2000*DropAnalityka[[#This Row],[Quality/Quantity]],0)</f>
        <v>0</v>
      </c>
      <c r="K1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8" spans="10:12">
      <c r="J1588">
        <f>DropAnalityka[[#This Row],[Sell Drop]]+IF(DropAnalityka[[#This Row],[Drop]]="Scroll", 2000*DropAnalityka[[#This Row],[Quality/Quantity]],0)</f>
        <v>0</v>
      </c>
      <c r="K1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9" spans="10:12">
      <c r="J1589">
        <f>DropAnalityka[[#This Row],[Sell Drop]]+IF(DropAnalityka[[#This Row],[Drop]]="Scroll", 2000*DropAnalityka[[#This Row],[Quality/Quantity]],0)</f>
        <v>0</v>
      </c>
      <c r="K1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0" spans="10:12">
      <c r="J1590">
        <f>DropAnalityka[[#This Row],[Sell Drop]]+IF(DropAnalityka[[#This Row],[Drop]]="Scroll", 2000*DropAnalityka[[#This Row],[Quality/Quantity]],0)</f>
        <v>0</v>
      </c>
      <c r="K1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1" spans="10:12">
      <c r="J1591">
        <f>DropAnalityka[[#This Row],[Sell Drop]]+IF(DropAnalityka[[#This Row],[Drop]]="Scroll", 2000*DropAnalityka[[#This Row],[Quality/Quantity]],0)</f>
        <v>0</v>
      </c>
      <c r="K1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2" spans="10:12">
      <c r="J1592">
        <f>DropAnalityka[[#This Row],[Sell Drop]]+IF(DropAnalityka[[#This Row],[Drop]]="Scroll", 2000*DropAnalityka[[#This Row],[Quality/Quantity]],0)</f>
        <v>0</v>
      </c>
      <c r="K1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3" spans="10:12">
      <c r="J1593">
        <f>DropAnalityka[[#This Row],[Sell Drop]]+IF(DropAnalityka[[#This Row],[Drop]]="Scroll", 2000*DropAnalityka[[#This Row],[Quality/Quantity]],0)</f>
        <v>0</v>
      </c>
      <c r="K1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4" spans="10:12">
      <c r="J1594">
        <f>DropAnalityka[[#This Row],[Sell Drop]]+IF(DropAnalityka[[#This Row],[Drop]]="Scroll", 2000*DropAnalityka[[#This Row],[Quality/Quantity]],0)</f>
        <v>0</v>
      </c>
      <c r="K1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5" spans="10:12">
      <c r="J1595">
        <f>DropAnalityka[[#This Row],[Sell Drop]]+IF(DropAnalityka[[#This Row],[Drop]]="Scroll", 2000*DropAnalityka[[#This Row],[Quality/Quantity]],0)</f>
        <v>0</v>
      </c>
      <c r="K1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6" spans="10:12">
      <c r="J1596">
        <f>DropAnalityka[[#This Row],[Sell Drop]]+IF(DropAnalityka[[#This Row],[Drop]]="Scroll", 2000*DropAnalityka[[#This Row],[Quality/Quantity]],0)</f>
        <v>0</v>
      </c>
      <c r="K1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7" spans="10:12">
      <c r="J1597">
        <f>DropAnalityka[[#This Row],[Sell Drop]]+IF(DropAnalityka[[#This Row],[Drop]]="Scroll", 2000*DropAnalityka[[#This Row],[Quality/Quantity]],0)</f>
        <v>0</v>
      </c>
      <c r="K1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8" spans="10:12">
      <c r="J1598">
        <f>DropAnalityka[[#This Row],[Sell Drop]]+IF(DropAnalityka[[#This Row],[Drop]]="Scroll", 2000*DropAnalityka[[#This Row],[Quality/Quantity]],0)</f>
        <v>0</v>
      </c>
      <c r="K1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9" spans="10:12">
      <c r="J1599">
        <f>DropAnalityka[[#This Row],[Sell Drop]]+IF(DropAnalityka[[#This Row],[Drop]]="Scroll", 2000*DropAnalityka[[#This Row],[Quality/Quantity]],0)</f>
        <v>0</v>
      </c>
      <c r="K1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0" spans="10:12">
      <c r="J1600">
        <f>DropAnalityka[[#This Row],[Sell Drop]]+IF(DropAnalityka[[#This Row],[Drop]]="Scroll", 2000*DropAnalityka[[#This Row],[Quality/Quantity]],0)</f>
        <v>0</v>
      </c>
      <c r="K1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1" spans="10:12">
      <c r="J1601">
        <f>DropAnalityka[[#This Row],[Sell Drop]]+IF(DropAnalityka[[#This Row],[Drop]]="Scroll", 2000*DropAnalityka[[#This Row],[Quality/Quantity]],0)</f>
        <v>0</v>
      </c>
      <c r="K1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2" spans="10:12">
      <c r="J1602">
        <f>DropAnalityka[[#This Row],[Sell Drop]]+IF(DropAnalityka[[#This Row],[Drop]]="Scroll", 2000*DropAnalityka[[#This Row],[Quality/Quantity]],0)</f>
        <v>0</v>
      </c>
      <c r="K1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3" spans="10:12">
      <c r="J1603">
        <f>DropAnalityka[[#This Row],[Sell Drop]]+IF(DropAnalityka[[#This Row],[Drop]]="Scroll", 2000*DropAnalityka[[#This Row],[Quality/Quantity]],0)</f>
        <v>0</v>
      </c>
      <c r="K1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4" spans="10:12">
      <c r="J1604">
        <f>DropAnalityka[[#This Row],[Sell Drop]]+IF(DropAnalityka[[#This Row],[Drop]]="Scroll", 2000*DropAnalityka[[#This Row],[Quality/Quantity]],0)</f>
        <v>0</v>
      </c>
      <c r="K1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5" spans="10:12">
      <c r="J1605">
        <f>DropAnalityka[[#This Row],[Sell Drop]]+IF(DropAnalityka[[#This Row],[Drop]]="Scroll", 2000*DropAnalityka[[#This Row],[Quality/Quantity]],0)</f>
        <v>0</v>
      </c>
      <c r="K1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6" spans="10:12">
      <c r="J1606">
        <f>DropAnalityka[[#This Row],[Sell Drop]]+IF(DropAnalityka[[#This Row],[Drop]]="Scroll", 2000*DropAnalityka[[#This Row],[Quality/Quantity]],0)</f>
        <v>0</v>
      </c>
      <c r="K1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7" spans="10:12">
      <c r="J1607">
        <f>DropAnalityka[[#This Row],[Sell Drop]]+IF(DropAnalityka[[#This Row],[Drop]]="Scroll", 2000*DropAnalityka[[#This Row],[Quality/Quantity]],0)</f>
        <v>0</v>
      </c>
      <c r="K1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8" spans="10:12">
      <c r="J1608">
        <f>DropAnalityka[[#This Row],[Sell Drop]]+IF(DropAnalityka[[#This Row],[Drop]]="Scroll", 2000*DropAnalityka[[#This Row],[Quality/Quantity]],0)</f>
        <v>0</v>
      </c>
      <c r="K1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9" spans="10:12">
      <c r="J1609">
        <f>DropAnalityka[[#This Row],[Sell Drop]]+IF(DropAnalityka[[#This Row],[Drop]]="Scroll", 2000*DropAnalityka[[#This Row],[Quality/Quantity]],0)</f>
        <v>0</v>
      </c>
      <c r="K1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0" spans="10:12">
      <c r="J1610">
        <f>DropAnalityka[[#This Row],[Sell Drop]]+IF(DropAnalityka[[#This Row],[Drop]]="Scroll", 2000*DropAnalityka[[#This Row],[Quality/Quantity]],0)</f>
        <v>0</v>
      </c>
      <c r="K1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1" spans="10:12">
      <c r="J1611">
        <f>DropAnalityka[[#This Row],[Sell Drop]]+IF(DropAnalityka[[#This Row],[Drop]]="Scroll", 2000*DropAnalityka[[#This Row],[Quality/Quantity]],0)</f>
        <v>0</v>
      </c>
      <c r="K1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2" spans="10:12">
      <c r="J1612">
        <f>DropAnalityka[[#This Row],[Sell Drop]]+IF(DropAnalityka[[#This Row],[Drop]]="Scroll", 2000*DropAnalityka[[#This Row],[Quality/Quantity]],0)</f>
        <v>0</v>
      </c>
      <c r="K1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3" spans="10:12">
      <c r="J1613">
        <f>DropAnalityka[[#This Row],[Sell Drop]]+IF(DropAnalityka[[#This Row],[Drop]]="Scroll", 2000*DropAnalityka[[#This Row],[Quality/Quantity]],0)</f>
        <v>0</v>
      </c>
      <c r="K1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4" spans="10:12">
      <c r="J1614">
        <f>DropAnalityka[[#This Row],[Sell Drop]]+IF(DropAnalityka[[#This Row],[Drop]]="Scroll", 2000*DropAnalityka[[#This Row],[Quality/Quantity]],0)</f>
        <v>0</v>
      </c>
      <c r="K1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5" spans="10:12">
      <c r="J1615">
        <f>DropAnalityka[[#This Row],[Sell Drop]]+IF(DropAnalityka[[#This Row],[Drop]]="Scroll", 2000*DropAnalityka[[#This Row],[Quality/Quantity]],0)</f>
        <v>0</v>
      </c>
      <c r="K1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6" spans="10:12">
      <c r="J1616">
        <f>DropAnalityka[[#This Row],[Sell Drop]]+IF(DropAnalityka[[#This Row],[Drop]]="Scroll", 2000*DropAnalityka[[#This Row],[Quality/Quantity]],0)</f>
        <v>0</v>
      </c>
      <c r="K1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7" spans="10:12">
      <c r="J1617">
        <f>DropAnalityka[[#This Row],[Sell Drop]]+IF(DropAnalityka[[#This Row],[Drop]]="Scroll", 2000*DropAnalityka[[#This Row],[Quality/Quantity]],0)</f>
        <v>0</v>
      </c>
      <c r="K1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8" spans="10:12">
      <c r="J1618">
        <f>DropAnalityka[[#This Row],[Sell Drop]]+IF(DropAnalityka[[#This Row],[Drop]]="Scroll", 2000*DropAnalityka[[#This Row],[Quality/Quantity]],0)</f>
        <v>0</v>
      </c>
      <c r="K1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9" spans="10:12">
      <c r="J1619">
        <f>DropAnalityka[[#This Row],[Sell Drop]]+IF(DropAnalityka[[#This Row],[Drop]]="Scroll", 2000*DropAnalityka[[#This Row],[Quality/Quantity]],0)</f>
        <v>0</v>
      </c>
      <c r="K1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0" spans="10:12">
      <c r="J1620">
        <f>DropAnalityka[[#This Row],[Sell Drop]]+IF(DropAnalityka[[#This Row],[Drop]]="Scroll", 2000*DropAnalityka[[#This Row],[Quality/Quantity]],0)</f>
        <v>0</v>
      </c>
      <c r="K1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1" spans="10:12">
      <c r="J1621">
        <f>DropAnalityka[[#This Row],[Sell Drop]]+IF(DropAnalityka[[#This Row],[Drop]]="Scroll", 2000*DropAnalityka[[#This Row],[Quality/Quantity]],0)</f>
        <v>0</v>
      </c>
      <c r="K1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2" spans="10:12">
      <c r="J1622">
        <f>DropAnalityka[[#This Row],[Sell Drop]]+IF(DropAnalityka[[#This Row],[Drop]]="Scroll", 2000*DropAnalityka[[#This Row],[Quality/Quantity]],0)</f>
        <v>0</v>
      </c>
      <c r="K1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3" spans="10:12">
      <c r="J1623">
        <f>DropAnalityka[[#This Row],[Sell Drop]]+IF(DropAnalityka[[#This Row],[Drop]]="Scroll", 2000*DropAnalityka[[#This Row],[Quality/Quantity]],0)</f>
        <v>0</v>
      </c>
      <c r="K1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4" spans="10:12">
      <c r="J1624">
        <f>DropAnalityka[[#This Row],[Sell Drop]]+IF(DropAnalityka[[#This Row],[Drop]]="Scroll", 2000*DropAnalityka[[#This Row],[Quality/Quantity]],0)</f>
        <v>0</v>
      </c>
      <c r="K1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5" spans="10:12">
      <c r="J1625">
        <f>DropAnalityka[[#This Row],[Sell Drop]]+IF(DropAnalityka[[#This Row],[Drop]]="Scroll", 2000*DropAnalityka[[#This Row],[Quality/Quantity]],0)</f>
        <v>0</v>
      </c>
      <c r="K1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6" spans="10:12">
      <c r="J1626">
        <f>DropAnalityka[[#This Row],[Sell Drop]]+IF(DropAnalityka[[#This Row],[Drop]]="Scroll", 2000*DropAnalityka[[#This Row],[Quality/Quantity]],0)</f>
        <v>0</v>
      </c>
      <c r="K1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7" spans="10:12">
      <c r="J1627">
        <f>DropAnalityka[[#This Row],[Sell Drop]]+IF(DropAnalityka[[#This Row],[Drop]]="Scroll", 2000*DropAnalityka[[#This Row],[Quality/Quantity]],0)</f>
        <v>0</v>
      </c>
      <c r="K1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8" spans="10:12">
      <c r="J1628">
        <f>DropAnalityka[[#This Row],[Sell Drop]]+IF(DropAnalityka[[#This Row],[Drop]]="Scroll", 2000*DropAnalityka[[#This Row],[Quality/Quantity]],0)</f>
        <v>0</v>
      </c>
      <c r="K1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9" spans="10:12">
      <c r="J1629">
        <f>DropAnalityka[[#This Row],[Sell Drop]]+IF(DropAnalityka[[#This Row],[Drop]]="Scroll", 2000*DropAnalityka[[#This Row],[Quality/Quantity]],0)</f>
        <v>0</v>
      </c>
      <c r="K1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0" spans="10:12">
      <c r="J1630">
        <f>DropAnalityka[[#This Row],[Sell Drop]]+IF(DropAnalityka[[#This Row],[Drop]]="Scroll", 2000*DropAnalityka[[#This Row],[Quality/Quantity]],0)</f>
        <v>0</v>
      </c>
      <c r="K1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1" spans="10:12">
      <c r="J1631">
        <f>DropAnalityka[[#This Row],[Sell Drop]]+IF(DropAnalityka[[#This Row],[Drop]]="Scroll", 2000*DropAnalityka[[#This Row],[Quality/Quantity]],0)</f>
        <v>0</v>
      </c>
      <c r="K1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2" spans="10:12">
      <c r="J1632">
        <f>DropAnalityka[[#This Row],[Sell Drop]]+IF(DropAnalityka[[#This Row],[Drop]]="Scroll", 2000*DropAnalityka[[#This Row],[Quality/Quantity]],0)</f>
        <v>0</v>
      </c>
      <c r="K1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3" spans="10:12">
      <c r="J1633">
        <f>DropAnalityka[[#This Row],[Sell Drop]]+IF(DropAnalityka[[#This Row],[Drop]]="Scroll", 2000*DropAnalityka[[#This Row],[Quality/Quantity]],0)</f>
        <v>0</v>
      </c>
      <c r="K1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4" spans="10:12">
      <c r="J1634">
        <f>DropAnalityka[[#This Row],[Sell Drop]]+IF(DropAnalityka[[#This Row],[Drop]]="Scroll", 2000*DropAnalityka[[#This Row],[Quality/Quantity]],0)</f>
        <v>0</v>
      </c>
      <c r="K1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5" spans="10:12">
      <c r="J1635">
        <f>DropAnalityka[[#This Row],[Sell Drop]]+IF(DropAnalityka[[#This Row],[Drop]]="Scroll", 2000*DropAnalityka[[#This Row],[Quality/Quantity]],0)</f>
        <v>0</v>
      </c>
      <c r="K1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6" spans="10:12">
      <c r="J1636">
        <f>DropAnalityka[[#This Row],[Sell Drop]]+IF(DropAnalityka[[#This Row],[Drop]]="Scroll", 2000*DropAnalityka[[#This Row],[Quality/Quantity]],0)</f>
        <v>0</v>
      </c>
      <c r="K1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7" spans="10:12">
      <c r="J1637">
        <f>DropAnalityka[[#This Row],[Sell Drop]]+IF(DropAnalityka[[#This Row],[Drop]]="Scroll", 2000*DropAnalityka[[#This Row],[Quality/Quantity]],0)</f>
        <v>0</v>
      </c>
      <c r="K1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8" spans="10:12">
      <c r="J1638">
        <f>DropAnalityka[[#This Row],[Sell Drop]]+IF(DropAnalityka[[#This Row],[Drop]]="Scroll", 2000*DropAnalityka[[#This Row],[Quality/Quantity]],0)</f>
        <v>0</v>
      </c>
      <c r="K1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9" spans="10:12">
      <c r="J1639">
        <f>DropAnalityka[[#This Row],[Sell Drop]]+IF(DropAnalityka[[#This Row],[Drop]]="Scroll", 2000*DropAnalityka[[#This Row],[Quality/Quantity]],0)</f>
        <v>0</v>
      </c>
      <c r="K1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0" spans="10:12">
      <c r="J1640">
        <f>DropAnalityka[[#This Row],[Sell Drop]]+IF(DropAnalityka[[#This Row],[Drop]]="Scroll", 2000*DropAnalityka[[#This Row],[Quality/Quantity]],0)</f>
        <v>0</v>
      </c>
      <c r="K1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1" spans="10:12">
      <c r="J1641">
        <f>DropAnalityka[[#This Row],[Sell Drop]]+IF(DropAnalityka[[#This Row],[Drop]]="Scroll", 2000*DropAnalityka[[#This Row],[Quality/Quantity]],0)</f>
        <v>0</v>
      </c>
      <c r="K1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2" spans="10:12">
      <c r="J1642">
        <f>DropAnalityka[[#This Row],[Sell Drop]]+IF(DropAnalityka[[#This Row],[Drop]]="Scroll", 2000*DropAnalityka[[#This Row],[Quality/Quantity]],0)</f>
        <v>0</v>
      </c>
      <c r="K1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3" spans="10:12">
      <c r="J1643">
        <f>DropAnalityka[[#This Row],[Sell Drop]]+IF(DropAnalityka[[#This Row],[Drop]]="Scroll", 2000*DropAnalityka[[#This Row],[Quality/Quantity]],0)</f>
        <v>0</v>
      </c>
      <c r="K1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4" spans="10:12">
      <c r="J1644">
        <f>DropAnalityka[[#This Row],[Sell Drop]]+IF(DropAnalityka[[#This Row],[Drop]]="Scroll", 2000*DropAnalityka[[#This Row],[Quality/Quantity]],0)</f>
        <v>0</v>
      </c>
      <c r="K1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5" spans="10:12">
      <c r="J1645">
        <f>DropAnalityka[[#This Row],[Sell Drop]]+IF(DropAnalityka[[#This Row],[Drop]]="Scroll", 2000*DropAnalityka[[#This Row],[Quality/Quantity]],0)</f>
        <v>0</v>
      </c>
      <c r="K1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6" spans="10:12">
      <c r="J1646">
        <f>DropAnalityka[[#This Row],[Sell Drop]]+IF(DropAnalityka[[#This Row],[Drop]]="Scroll", 2000*DropAnalityka[[#This Row],[Quality/Quantity]],0)</f>
        <v>0</v>
      </c>
      <c r="K1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7" spans="10:12">
      <c r="J1647">
        <f>DropAnalityka[[#This Row],[Sell Drop]]+IF(DropAnalityka[[#This Row],[Drop]]="Scroll", 2000*DropAnalityka[[#This Row],[Quality/Quantity]],0)</f>
        <v>0</v>
      </c>
      <c r="K1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8" spans="10:12">
      <c r="J1648">
        <f>DropAnalityka[[#This Row],[Sell Drop]]+IF(DropAnalityka[[#This Row],[Drop]]="Scroll", 2000*DropAnalityka[[#This Row],[Quality/Quantity]],0)</f>
        <v>0</v>
      </c>
      <c r="K1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9" spans="10:12">
      <c r="J1649">
        <f>DropAnalityka[[#This Row],[Sell Drop]]+IF(DropAnalityka[[#This Row],[Drop]]="Scroll", 2000*DropAnalityka[[#This Row],[Quality/Quantity]],0)</f>
        <v>0</v>
      </c>
      <c r="K1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0" spans="10:12">
      <c r="J1650">
        <f>DropAnalityka[[#This Row],[Sell Drop]]+IF(DropAnalityka[[#This Row],[Drop]]="Scroll", 2000*DropAnalityka[[#This Row],[Quality/Quantity]],0)</f>
        <v>0</v>
      </c>
      <c r="K1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1" spans="10:12">
      <c r="J1651">
        <f>DropAnalityka[[#This Row],[Sell Drop]]+IF(DropAnalityka[[#This Row],[Drop]]="Scroll", 2000*DropAnalityka[[#This Row],[Quality/Quantity]],0)</f>
        <v>0</v>
      </c>
      <c r="K1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2" spans="10:12">
      <c r="J1652">
        <f>DropAnalityka[[#This Row],[Sell Drop]]+IF(DropAnalityka[[#This Row],[Drop]]="Scroll", 2000*DropAnalityka[[#This Row],[Quality/Quantity]],0)</f>
        <v>0</v>
      </c>
      <c r="K1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3" spans="10:12">
      <c r="J1653">
        <f>DropAnalityka[[#This Row],[Sell Drop]]+IF(DropAnalityka[[#This Row],[Drop]]="Scroll", 2000*DropAnalityka[[#This Row],[Quality/Quantity]],0)</f>
        <v>0</v>
      </c>
      <c r="K1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4" spans="10:12">
      <c r="J1654">
        <f>DropAnalityka[[#This Row],[Sell Drop]]+IF(DropAnalityka[[#This Row],[Drop]]="Scroll", 2000*DropAnalityka[[#This Row],[Quality/Quantity]],0)</f>
        <v>0</v>
      </c>
      <c r="K1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5" spans="10:12">
      <c r="J1655">
        <f>DropAnalityka[[#This Row],[Sell Drop]]+IF(DropAnalityka[[#This Row],[Drop]]="Scroll", 2000*DropAnalityka[[#This Row],[Quality/Quantity]],0)</f>
        <v>0</v>
      </c>
      <c r="K1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6" spans="10:12">
      <c r="J1656">
        <f>DropAnalityka[[#This Row],[Sell Drop]]+IF(DropAnalityka[[#This Row],[Drop]]="Scroll", 2000*DropAnalityka[[#This Row],[Quality/Quantity]],0)</f>
        <v>0</v>
      </c>
      <c r="K1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7" spans="10:12">
      <c r="J1657">
        <f>DropAnalityka[[#This Row],[Sell Drop]]+IF(DropAnalityka[[#This Row],[Drop]]="Scroll", 2000*DropAnalityka[[#This Row],[Quality/Quantity]],0)</f>
        <v>0</v>
      </c>
      <c r="K1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8" spans="10:12">
      <c r="J1658">
        <f>DropAnalityka[[#This Row],[Sell Drop]]+IF(DropAnalityka[[#This Row],[Drop]]="Scroll", 2000*DropAnalityka[[#This Row],[Quality/Quantity]],0)</f>
        <v>0</v>
      </c>
      <c r="K1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9" spans="10:12">
      <c r="J1659">
        <f>DropAnalityka[[#This Row],[Sell Drop]]+IF(DropAnalityka[[#This Row],[Drop]]="Scroll", 2000*DropAnalityka[[#This Row],[Quality/Quantity]],0)</f>
        <v>0</v>
      </c>
      <c r="K1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0" spans="10:12">
      <c r="J1660">
        <f>DropAnalityka[[#This Row],[Sell Drop]]+IF(DropAnalityka[[#This Row],[Drop]]="Scroll", 2000*DropAnalityka[[#This Row],[Quality/Quantity]],0)</f>
        <v>0</v>
      </c>
      <c r="K1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1" spans="10:12">
      <c r="J1661">
        <f>DropAnalityka[[#This Row],[Sell Drop]]+IF(DropAnalityka[[#This Row],[Drop]]="Scroll", 2000*DropAnalityka[[#This Row],[Quality/Quantity]],0)</f>
        <v>0</v>
      </c>
      <c r="K1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2" spans="10:12">
      <c r="J1662">
        <f>DropAnalityka[[#This Row],[Sell Drop]]+IF(DropAnalityka[[#This Row],[Drop]]="Scroll", 2000*DropAnalityka[[#This Row],[Quality/Quantity]],0)</f>
        <v>0</v>
      </c>
      <c r="K1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3" spans="10:12">
      <c r="J1663">
        <f>DropAnalityka[[#This Row],[Sell Drop]]+IF(DropAnalityka[[#This Row],[Drop]]="Scroll", 2000*DropAnalityka[[#This Row],[Quality/Quantity]],0)</f>
        <v>0</v>
      </c>
      <c r="K1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4" spans="10:12">
      <c r="J1664">
        <f>DropAnalityka[[#This Row],[Sell Drop]]+IF(DropAnalityka[[#This Row],[Drop]]="Scroll", 2000*DropAnalityka[[#This Row],[Quality/Quantity]],0)</f>
        <v>0</v>
      </c>
      <c r="K1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5" spans="10:12">
      <c r="J1665">
        <f>DropAnalityka[[#This Row],[Sell Drop]]+IF(DropAnalityka[[#This Row],[Drop]]="Scroll", 2000*DropAnalityka[[#This Row],[Quality/Quantity]],0)</f>
        <v>0</v>
      </c>
      <c r="K1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6" spans="10:12">
      <c r="J1666">
        <f>DropAnalityka[[#This Row],[Sell Drop]]+IF(DropAnalityka[[#This Row],[Drop]]="Scroll", 2000*DropAnalityka[[#This Row],[Quality/Quantity]],0)</f>
        <v>0</v>
      </c>
      <c r="K1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7" spans="10:12">
      <c r="J1667">
        <f>DropAnalityka[[#This Row],[Sell Drop]]+IF(DropAnalityka[[#This Row],[Drop]]="Scroll", 2000*DropAnalityka[[#This Row],[Quality/Quantity]],0)</f>
        <v>0</v>
      </c>
      <c r="K1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8" spans="10:12">
      <c r="J1668">
        <f>DropAnalityka[[#This Row],[Sell Drop]]+IF(DropAnalityka[[#This Row],[Drop]]="Scroll", 2000*DropAnalityka[[#This Row],[Quality/Quantity]],0)</f>
        <v>0</v>
      </c>
      <c r="K1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9" spans="10:12">
      <c r="J1669">
        <f>DropAnalityka[[#This Row],[Sell Drop]]+IF(DropAnalityka[[#This Row],[Drop]]="Scroll", 2000*DropAnalityka[[#This Row],[Quality/Quantity]],0)</f>
        <v>0</v>
      </c>
      <c r="K1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0" spans="10:12">
      <c r="J1670">
        <f>DropAnalityka[[#This Row],[Sell Drop]]+IF(DropAnalityka[[#This Row],[Drop]]="Scroll", 2000*DropAnalityka[[#This Row],[Quality/Quantity]],0)</f>
        <v>0</v>
      </c>
      <c r="K1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1" spans="10:12">
      <c r="J1671">
        <f>DropAnalityka[[#This Row],[Sell Drop]]+IF(DropAnalityka[[#This Row],[Drop]]="Scroll", 2000*DropAnalityka[[#This Row],[Quality/Quantity]],0)</f>
        <v>0</v>
      </c>
      <c r="K1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2" spans="10:12">
      <c r="J1672">
        <f>DropAnalityka[[#This Row],[Sell Drop]]+IF(DropAnalityka[[#This Row],[Drop]]="Scroll", 2000*DropAnalityka[[#This Row],[Quality/Quantity]],0)</f>
        <v>0</v>
      </c>
      <c r="K1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3" spans="10:12">
      <c r="J1673">
        <f>DropAnalityka[[#This Row],[Sell Drop]]+IF(DropAnalityka[[#This Row],[Drop]]="Scroll", 2000*DropAnalityka[[#This Row],[Quality/Quantity]],0)</f>
        <v>0</v>
      </c>
      <c r="K1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4" spans="10:12">
      <c r="J1674">
        <f>DropAnalityka[[#This Row],[Sell Drop]]+IF(DropAnalityka[[#This Row],[Drop]]="Scroll", 2000*DropAnalityka[[#This Row],[Quality/Quantity]],0)</f>
        <v>0</v>
      </c>
      <c r="K1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5" spans="10:12">
      <c r="J1675">
        <f>DropAnalityka[[#This Row],[Sell Drop]]+IF(DropAnalityka[[#This Row],[Drop]]="Scroll", 2000*DropAnalityka[[#This Row],[Quality/Quantity]],0)</f>
        <v>0</v>
      </c>
      <c r="K1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6" spans="10:12">
      <c r="J1676">
        <f>DropAnalityka[[#This Row],[Sell Drop]]+IF(DropAnalityka[[#This Row],[Drop]]="Scroll", 2000*DropAnalityka[[#This Row],[Quality/Quantity]],0)</f>
        <v>0</v>
      </c>
      <c r="K1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7" spans="10:12">
      <c r="J1677">
        <f>DropAnalityka[[#This Row],[Sell Drop]]+IF(DropAnalityka[[#This Row],[Drop]]="Scroll", 2000*DropAnalityka[[#This Row],[Quality/Quantity]],0)</f>
        <v>0</v>
      </c>
      <c r="K1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8" spans="10:12">
      <c r="J1678">
        <f>DropAnalityka[[#This Row],[Sell Drop]]+IF(DropAnalityka[[#This Row],[Drop]]="Scroll", 2000*DropAnalityka[[#This Row],[Quality/Quantity]],0)</f>
        <v>0</v>
      </c>
      <c r="K1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9" spans="10:12">
      <c r="J1679">
        <f>DropAnalityka[[#This Row],[Sell Drop]]+IF(DropAnalityka[[#This Row],[Drop]]="Scroll", 2000*DropAnalityka[[#This Row],[Quality/Quantity]],0)</f>
        <v>0</v>
      </c>
      <c r="K1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0" spans="10:12">
      <c r="J1680">
        <f>DropAnalityka[[#This Row],[Sell Drop]]+IF(DropAnalityka[[#This Row],[Drop]]="Scroll", 2000*DropAnalityka[[#This Row],[Quality/Quantity]],0)</f>
        <v>0</v>
      </c>
      <c r="K1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1" spans="10:12">
      <c r="J1681">
        <f>DropAnalityka[[#This Row],[Sell Drop]]+IF(DropAnalityka[[#This Row],[Drop]]="Scroll", 2000*DropAnalityka[[#This Row],[Quality/Quantity]],0)</f>
        <v>0</v>
      </c>
      <c r="K1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2" spans="10:12">
      <c r="J1682">
        <f>DropAnalityka[[#This Row],[Sell Drop]]+IF(DropAnalityka[[#This Row],[Drop]]="Scroll", 2000*DropAnalityka[[#This Row],[Quality/Quantity]],0)</f>
        <v>0</v>
      </c>
      <c r="K1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3" spans="10:12">
      <c r="J1683">
        <f>DropAnalityka[[#This Row],[Sell Drop]]+IF(DropAnalityka[[#This Row],[Drop]]="Scroll", 2000*DropAnalityka[[#This Row],[Quality/Quantity]],0)</f>
        <v>0</v>
      </c>
      <c r="K1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4" spans="10:12">
      <c r="J1684">
        <f>DropAnalityka[[#This Row],[Sell Drop]]+IF(DropAnalityka[[#This Row],[Drop]]="Scroll", 2000*DropAnalityka[[#This Row],[Quality/Quantity]],0)</f>
        <v>0</v>
      </c>
      <c r="K1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5" spans="10:12">
      <c r="J1685">
        <f>DropAnalityka[[#This Row],[Sell Drop]]+IF(DropAnalityka[[#This Row],[Drop]]="Scroll", 2000*DropAnalityka[[#This Row],[Quality/Quantity]],0)</f>
        <v>0</v>
      </c>
      <c r="K1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6" spans="10:12">
      <c r="J1686">
        <f>DropAnalityka[[#This Row],[Sell Drop]]+IF(DropAnalityka[[#This Row],[Drop]]="Scroll", 2000*DropAnalityka[[#This Row],[Quality/Quantity]],0)</f>
        <v>0</v>
      </c>
      <c r="K1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7" spans="10:12">
      <c r="J1687">
        <f>DropAnalityka[[#This Row],[Sell Drop]]+IF(DropAnalityka[[#This Row],[Drop]]="Scroll", 2000*DropAnalityka[[#This Row],[Quality/Quantity]],0)</f>
        <v>0</v>
      </c>
      <c r="K1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8" spans="10:12">
      <c r="J1688">
        <f>DropAnalityka[[#This Row],[Sell Drop]]+IF(DropAnalityka[[#This Row],[Drop]]="Scroll", 2000*DropAnalityka[[#This Row],[Quality/Quantity]],0)</f>
        <v>0</v>
      </c>
      <c r="K1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9" spans="10:12">
      <c r="J1689">
        <f>DropAnalityka[[#This Row],[Sell Drop]]+IF(DropAnalityka[[#This Row],[Drop]]="Scroll", 2000*DropAnalityka[[#This Row],[Quality/Quantity]],0)</f>
        <v>0</v>
      </c>
      <c r="K1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0" spans="10:12">
      <c r="J1690">
        <f>DropAnalityka[[#This Row],[Sell Drop]]+IF(DropAnalityka[[#This Row],[Drop]]="Scroll", 2000*DropAnalityka[[#This Row],[Quality/Quantity]],0)</f>
        <v>0</v>
      </c>
      <c r="K1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1" spans="10:12">
      <c r="J1691">
        <f>DropAnalityka[[#This Row],[Sell Drop]]+IF(DropAnalityka[[#This Row],[Drop]]="Scroll", 2000*DropAnalityka[[#This Row],[Quality/Quantity]],0)</f>
        <v>0</v>
      </c>
      <c r="K1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2" spans="10:12">
      <c r="J1692">
        <f>DropAnalityka[[#This Row],[Sell Drop]]+IF(DropAnalityka[[#This Row],[Drop]]="Scroll", 2000*DropAnalityka[[#This Row],[Quality/Quantity]],0)</f>
        <v>0</v>
      </c>
      <c r="K1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3" spans="10:12">
      <c r="J1693">
        <f>DropAnalityka[[#This Row],[Sell Drop]]+IF(DropAnalityka[[#This Row],[Drop]]="Scroll", 2000*DropAnalityka[[#This Row],[Quality/Quantity]],0)</f>
        <v>0</v>
      </c>
      <c r="K1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4" spans="10:12">
      <c r="J1694">
        <f>DropAnalityka[[#This Row],[Sell Drop]]+IF(DropAnalityka[[#This Row],[Drop]]="Scroll", 2000*DropAnalityka[[#This Row],[Quality/Quantity]],0)</f>
        <v>0</v>
      </c>
      <c r="K1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5" spans="10:12">
      <c r="J1695">
        <f>DropAnalityka[[#This Row],[Sell Drop]]+IF(DropAnalityka[[#This Row],[Drop]]="Scroll", 2000*DropAnalityka[[#This Row],[Quality/Quantity]],0)</f>
        <v>0</v>
      </c>
      <c r="K1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6" spans="10:12">
      <c r="J1696">
        <f>DropAnalityka[[#This Row],[Sell Drop]]+IF(DropAnalityka[[#This Row],[Drop]]="Scroll", 2000*DropAnalityka[[#This Row],[Quality/Quantity]],0)</f>
        <v>0</v>
      </c>
      <c r="K1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7" spans="10:12">
      <c r="J1697">
        <f>DropAnalityka[[#This Row],[Sell Drop]]+IF(DropAnalityka[[#This Row],[Drop]]="Scroll", 2000*DropAnalityka[[#This Row],[Quality/Quantity]],0)</f>
        <v>0</v>
      </c>
      <c r="K1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8" spans="10:12">
      <c r="J1698">
        <f>DropAnalityka[[#This Row],[Sell Drop]]+IF(DropAnalityka[[#This Row],[Drop]]="Scroll", 2000*DropAnalityka[[#This Row],[Quality/Quantity]],0)</f>
        <v>0</v>
      </c>
      <c r="K1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9" spans="10:12">
      <c r="J1699">
        <f>DropAnalityka[[#This Row],[Sell Drop]]+IF(DropAnalityka[[#This Row],[Drop]]="Scroll", 2000*DropAnalityka[[#This Row],[Quality/Quantity]],0)</f>
        <v>0</v>
      </c>
      <c r="K1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0" spans="10:12">
      <c r="J1700">
        <f>DropAnalityka[[#This Row],[Sell Drop]]+IF(DropAnalityka[[#This Row],[Drop]]="Scroll", 2000*DropAnalityka[[#This Row],[Quality/Quantity]],0)</f>
        <v>0</v>
      </c>
      <c r="K1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1" spans="10:12">
      <c r="J1701">
        <f>DropAnalityka[[#This Row],[Sell Drop]]+IF(DropAnalityka[[#This Row],[Drop]]="Scroll", 2000*DropAnalityka[[#This Row],[Quality/Quantity]],0)</f>
        <v>0</v>
      </c>
      <c r="K1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2" spans="10:12">
      <c r="J1702">
        <f>DropAnalityka[[#This Row],[Sell Drop]]+IF(DropAnalityka[[#This Row],[Drop]]="Scroll", 2000*DropAnalityka[[#This Row],[Quality/Quantity]],0)</f>
        <v>0</v>
      </c>
      <c r="K1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3" spans="10:12">
      <c r="J1703">
        <f>DropAnalityka[[#This Row],[Sell Drop]]+IF(DropAnalityka[[#This Row],[Drop]]="Scroll", 2000*DropAnalityka[[#This Row],[Quality/Quantity]],0)</f>
        <v>0</v>
      </c>
      <c r="K1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4" spans="10:12">
      <c r="J1704">
        <f>DropAnalityka[[#This Row],[Sell Drop]]+IF(DropAnalityka[[#This Row],[Drop]]="Scroll", 2000*DropAnalityka[[#This Row],[Quality/Quantity]],0)</f>
        <v>0</v>
      </c>
      <c r="K1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5" spans="10:12">
      <c r="J1705">
        <f>DropAnalityka[[#This Row],[Sell Drop]]+IF(DropAnalityka[[#This Row],[Drop]]="Scroll", 2000*DropAnalityka[[#This Row],[Quality/Quantity]],0)</f>
        <v>0</v>
      </c>
      <c r="K1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6" spans="10:12">
      <c r="J1706">
        <f>DropAnalityka[[#This Row],[Sell Drop]]+IF(DropAnalityka[[#This Row],[Drop]]="Scroll", 2000*DropAnalityka[[#This Row],[Quality/Quantity]],0)</f>
        <v>0</v>
      </c>
      <c r="K1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7" spans="10:12">
      <c r="J1707">
        <f>DropAnalityka[[#This Row],[Sell Drop]]+IF(DropAnalityka[[#This Row],[Drop]]="Scroll", 2000*DropAnalityka[[#This Row],[Quality/Quantity]],0)</f>
        <v>0</v>
      </c>
      <c r="K1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8" spans="10:12">
      <c r="J1708">
        <f>DropAnalityka[[#This Row],[Sell Drop]]+IF(DropAnalityka[[#This Row],[Drop]]="Scroll", 2000*DropAnalityka[[#This Row],[Quality/Quantity]],0)</f>
        <v>0</v>
      </c>
      <c r="K1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9" spans="10:12">
      <c r="J1709">
        <f>DropAnalityka[[#This Row],[Sell Drop]]+IF(DropAnalityka[[#This Row],[Drop]]="Scroll", 2000*DropAnalityka[[#This Row],[Quality/Quantity]],0)</f>
        <v>0</v>
      </c>
      <c r="K1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0" spans="10:12">
      <c r="J1710">
        <f>DropAnalityka[[#This Row],[Sell Drop]]+IF(DropAnalityka[[#This Row],[Drop]]="Scroll", 2000*DropAnalityka[[#This Row],[Quality/Quantity]],0)</f>
        <v>0</v>
      </c>
      <c r="K1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1" spans="10:12">
      <c r="J1711">
        <f>DropAnalityka[[#This Row],[Sell Drop]]+IF(DropAnalityka[[#This Row],[Drop]]="Scroll", 2000*DropAnalityka[[#This Row],[Quality/Quantity]],0)</f>
        <v>0</v>
      </c>
      <c r="K1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2" spans="10:12">
      <c r="J1712">
        <f>DropAnalityka[[#This Row],[Sell Drop]]+IF(DropAnalityka[[#This Row],[Drop]]="Scroll", 2000*DropAnalityka[[#This Row],[Quality/Quantity]],0)</f>
        <v>0</v>
      </c>
      <c r="K1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3" spans="10:12">
      <c r="J1713">
        <f>DropAnalityka[[#This Row],[Sell Drop]]+IF(DropAnalityka[[#This Row],[Drop]]="Scroll", 2000*DropAnalityka[[#This Row],[Quality/Quantity]],0)</f>
        <v>0</v>
      </c>
      <c r="K1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4" spans="10:12">
      <c r="J1714">
        <f>DropAnalityka[[#This Row],[Sell Drop]]+IF(DropAnalityka[[#This Row],[Drop]]="Scroll", 2000*DropAnalityka[[#This Row],[Quality/Quantity]],0)</f>
        <v>0</v>
      </c>
      <c r="K1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5" spans="10:12">
      <c r="J1715">
        <f>DropAnalityka[[#This Row],[Sell Drop]]+IF(DropAnalityka[[#This Row],[Drop]]="Scroll", 2000*DropAnalityka[[#This Row],[Quality/Quantity]],0)</f>
        <v>0</v>
      </c>
      <c r="K1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6" spans="10:12">
      <c r="J1716">
        <f>DropAnalityka[[#This Row],[Sell Drop]]+IF(DropAnalityka[[#This Row],[Drop]]="Scroll", 2000*DropAnalityka[[#This Row],[Quality/Quantity]],0)</f>
        <v>0</v>
      </c>
      <c r="K1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7" spans="10:12">
      <c r="J1717">
        <f>DropAnalityka[[#This Row],[Sell Drop]]+IF(DropAnalityka[[#This Row],[Drop]]="Scroll", 2000*DropAnalityka[[#This Row],[Quality/Quantity]],0)</f>
        <v>0</v>
      </c>
      <c r="K1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8" spans="10:12">
      <c r="J1718">
        <f>DropAnalityka[[#This Row],[Sell Drop]]+IF(DropAnalityka[[#This Row],[Drop]]="Scroll", 2000*DropAnalityka[[#This Row],[Quality/Quantity]],0)</f>
        <v>0</v>
      </c>
      <c r="K1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9" spans="10:12">
      <c r="J1719">
        <f>DropAnalityka[[#This Row],[Sell Drop]]+IF(DropAnalityka[[#This Row],[Drop]]="Scroll", 2000*DropAnalityka[[#This Row],[Quality/Quantity]],0)</f>
        <v>0</v>
      </c>
      <c r="K1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0" spans="10:12">
      <c r="J1720">
        <f>DropAnalityka[[#This Row],[Sell Drop]]+IF(DropAnalityka[[#This Row],[Drop]]="Scroll", 2000*DropAnalityka[[#This Row],[Quality/Quantity]],0)</f>
        <v>0</v>
      </c>
      <c r="K1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1" spans="10:12">
      <c r="J1721">
        <f>DropAnalityka[[#This Row],[Sell Drop]]+IF(DropAnalityka[[#This Row],[Drop]]="Scroll", 2000*DropAnalityka[[#This Row],[Quality/Quantity]],0)</f>
        <v>0</v>
      </c>
      <c r="K1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2" spans="10:12">
      <c r="J1722">
        <f>DropAnalityka[[#This Row],[Sell Drop]]+IF(DropAnalityka[[#This Row],[Drop]]="Scroll", 2000*DropAnalityka[[#This Row],[Quality/Quantity]],0)</f>
        <v>0</v>
      </c>
      <c r="K1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3" spans="10:12">
      <c r="J1723">
        <f>DropAnalityka[[#This Row],[Sell Drop]]+IF(DropAnalityka[[#This Row],[Drop]]="Scroll", 2000*DropAnalityka[[#This Row],[Quality/Quantity]],0)</f>
        <v>0</v>
      </c>
      <c r="K1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4" spans="10:12">
      <c r="J1724">
        <f>DropAnalityka[[#This Row],[Sell Drop]]+IF(DropAnalityka[[#This Row],[Drop]]="Scroll", 2000*DropAnalityka[[#This Row],[Quality/Quantity]],0)</f>
        <v>0</v>
      </c>
      <c r="K1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5" spans="10:12">
      <c r="J1725">
        <f>DropAnalityka[[#This Row],[Sell Drop]]+IF(DropAnalityka[[#This Row],[Drop]]="Scroll", 2000*DropAnalityka[[#This Row],[Quality/Quantity]],0)</f>
        <v>0</v>
      </c>
      <c r="K1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6" spans="10:12">
      <c r="J1726">
        <f>DropAnalityka[[#This Row],[Sell Drop]]+IF(DropAnalityka[[#This Row],[Drop]]="Scroll", 2000*DropAnalityka[[#This Row],[Quality/Quantity]],0)</f>
        <v>0</v>
      </c>
      <c r="K1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7" spans="10:12">
      <c r="J1727">
        <f>DropAnalityka[[#This Row],[Sell Drop]]+IF(DropAnalityka[[#This Row],[Drop]]="Scroll", 2000*DropAnalityka[[#This Row],[Quality/Quantity]],0)</f>
        <v>0</v>
      </c>
      <c r="K1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8" spans="10:12">
      <c r="J1728">
        <f>DropAnalityka[[#This Row],[Sell Drop]]+IF(DropAnalityka[[#This Row],[Drop]]="Scroll", 2000*DropAnalityka[[#This Row],[Quality/Quantity]],0)</f>
        <v>0</v>
      </c>
      <c r="K1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9" spans="10:12">
      <c r="J1729">
        <f>DropAnalityka[[#This Row],[Sell Drop]]+IF(DropAnalityka[[#This Row],[Drop]]="Scroll", 2000*DropAnalityka[[#This Row],[Quality/Quantity]],0)</f>
        <v>0</v>
      </c>
      <c r="K1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0" spans="10:12">
      <c r="J1730">
        <f>DropAnalityka[[#This Row],[Sell Drop]]+IF(DropAnalityka[[#This Row],[Drop]]="Scroll", 2000*DropAnalityka[[#This Row],[Quality/Quantity]],0)</f>
        <v>0</v>
      </c>
      <c r="K1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1" spans="10:12">
      <c r="J1731">
        <f>DropAnalityka[[#This Row],[Sell Drop]]+IF(DropAnalityka[[#This Row],[Drop]]="Scroll", 2000*DropAnalityka[[#This Row],[Quality/Quantity]],0)</f>
        <v>0</v>
      </c>
      <c r="K1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2" spans="10:12">
      <c r="J1732">
        <f>DropAnalityka[[#This Row],[Sell Drop]]+IF(DropAnalityka[[#This Row],[Drop]]="Scroll", 2000*DropAnalityka[[#This Row],[Quality/Quantity]],0)</f>
        <v>0</v>
      </c>
      <c r="K1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3" spans="10:12">
      <c r="J1733">
        <f>DropAnalityka[[#This Row],[Sell Drop]]+IF(DropAnalityka[[#This Row],[Drop]]="Scroll", 2000*DropAnalityka[[#This Row],[Quality/Quantity]],0)</f>
        <v>0</v>
      </c>
      <c r="K1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4" spans="10:12">
      <c r="J1734">
        <f>DropAnalityka[[#This Row],[Sell Drop]]+IF(DropAnalityka[[#This Row],[Drop]]="Scroll", 2000*DropAnalityka[[#This Row],[Quality/Quantity]],0)</f>
        <v>0</v>
      </c>
      <c r="K1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5" spans="10:12">
      <c r="J1735">
        <f>DropAnalityka[[#This Row],[Sell Drop]]+IF(DropAnalityka[[#This Row],[Drop]]="Scroll", 2000*DropAnalityka[[#This Row],[Quality/Quantity]],0)</f>
        <v>0</v>
      </c>
      <c r="K1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6" spans="10:12">
      <c r="J1736">
        <f>DropAnalityka[[#This Row],[Sell Drop]]+IF(DropAnalityka[[#This Row],[Drop]]="Scroll", 2000*DropAnalityka[[#This Row],[Quality/Quantity]],0)</f>
        <v>0</v>
      </c>
      <c r="K1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7" spans="10:12">
      <c r="J1737">
        <f>DropAnalityka[[#This Row],[Sell Drop]]+IF(DropAnalityka[[#This Row],[Drop]]="Scroll", 2000*DropAnalityka[[#This Row],[Quality/Quantity]],0)</f>
        <v>0</v>
      </c>
      <c r="K1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8" spans="10:12">
      <c r="J1738">
        <f>DropAnalityka[[#This Row],[Sell Drop]]+IF(DropAnalityka[[#This Row],[Drop]]="Scroll", 2000*DropAnalityka[[#This Row],[Quality/Quantity]],0)</f>
        <v>0</v>
      </c>
      <c r="K1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9" spans="10:12">
      <c r="J1739">
        <f>DropAnalityka[[#This Row],[Sell Drop]]+IF(DropAnalityka[[#This Row],[Drop]]="Scroll", 2000*DropAnalityka[[#This Row],[Quality/Quantity]],0)</f>
        <v>0</v>
      </c>
      <c r="K1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0" spans="10:12">
      <c r="J1740">
        <f>DropAnalityka[[#This Row],[Sell Drop]]+IF(DropAnalityka[[#This Row],[Drop]]="Scroll", 2000*DropAnalityka[[#This Row],[Quality/Quantity]],0)</f>
        <v>0</v>
      </c>
      <c r="K1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1" spans="10:12">
      <c r="J1741">
        <f>DropAnalityka[[#This Row],[Sell Drop]]+IF(DropAnalityka[[#This Row],[Drop]]="Scroll", 2000*DropAnalityka[[#This Row],[Quality/Quantity]],0)</f>
        <v>0</v>
      </c>
      <c r="K1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2" spans="10:12">
      <c r="J1742">
        <f>DropAnalityka[[#This Row],[Sell Drop]]+IF(DropAnalityka[[#This Row],[Drop]]="Scroll", 2000*DropAnalityka[[#This Row],[Quality/Quantity]],0)</f>
        <v>0</v>
      </c>
      <c r="K1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3" spans="10:12">
      <c r="J1743">
        <f>DropAnalityka[[#This Row],[Sell Drop]]+IF(DropAnalityka[[#This Row],[Drop]]="Scroll", 2000*DropAnalityka[[#This Row],[Quality/Quantity]],0)</f>
        <v>0</v>
      </c>
      <c r="K1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4" spans="10:12">
      <c r="J1744">
        <f>DropAnalityka[[#This Row],[Sell Drop]]+IF(DropAnalityka[[#This Row],[Drop]]="Scroll", 2000*DropAnalityka[[#This Row],[Quality/Quantity]],0)</f>
        <v>0</v>
      </c>
      <c r="K17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5" spans="10:12">
      <c r="J1745">
        <f>DropAnalityka[[#This Row],[Sell Drop]]+IF(DropAnalityka[[#This Row],[Drop]]="Scroll", 2000*DropAnalityka[[#This Row],[Quality/Quantity]],0)</f>
        <v>0</v>
      </c>
      <c r="K17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6" spans="10:12">
      <c r="J1746">
        <f>DropAnalityka[[#This Row],[Sell Drop]]+IF(DropAnalityka[[#This Row],[Drop]]="Scroll", 2000*DropAnalityka[[#This Row],[Quality/Quantity]],0)</f>
        <v>0</v>
      </c>
      <c r="K17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7" spans="10:12">
      <c r="J1747">
        <f>DropAnalityka[[#This Row],[Sell Drop]]+IF(DropAnalityka[[#This Row],[Drop]]="Scroll", 2000*DropAnalityka[[#This Row],[Quality/Quantity]],0)</f>
        <v>0</v>
      </c>
      <c r="K17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8" spans="10:12">
      <c r="J1748">
        <f>DropAnalityka[[#This Row],[Sell Drop]]+IF(DropAnalityka[[#This Row],[Drop]]="Scroll", 2000*DropAnalityka[[#This Row],[Quality/Quantity]],0)</f>
        <v>0</v>
      </c>
      <c r="K17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9" spans="10:12">
      <c r="J1749">
        <f>DropAnalityka[[#This Row],[Sell Drop]]+IF(DropAnalityka[[#This Row],[Drop]]="Scroll", 2000*DropAnalityka[[#This Row],[Quality/Quantity]],0)</f>
        <v>0</v>
      </c>
      <c r="K17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0" spans="10:12">
      <c r="J1750">
        <f>DropAnalityka[[#This Row],[Sell Drop]]+IF(DropAnalityka[[#This Row],[Drop]]="Scroll", 2000*DropAnalityka[[#This Row],[Quality/Quantity]],0)</f>
        <v>0</v>
      </c>
      <c r="K17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1" spans="10:12">
      <c r="J1751">
        <f>DropAnalityka[[#This Row],[Sell Drop]]+IF(DropAnalityka[[#This Row],[Drop]]="Scroll", 2000*DropAnalityka[[#This Row],[Quality/Quantity]],0)</f>
        <v>0</v>
      </c>
      <c r="K17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2" spans="10:12">
      <c r="J1752">
        <f>DropAnalityka[[#This Row],[Sell Drop]]+IF(DropAnalityka[[#This Row],[Drop]]="Scroll", 2000*DropAnalityka[[#This Row],[Quality/Quantity]],0)</f>
        <v>0</v>
      </c>
      <c r="K17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3" spans="10:12">
      <c r="J1753">
        <f>DropAnalityka[[#This Row],[Sell Drop]]+IF(DropAnalityka[[#This Row],[Drop]]="Scroll", 2000*DropAnalityka[[#This Row],[Quality/Quantity]],0)</f>
        <v>0</v>
      </c>
      <c r="K17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4" spans="10:12">
      <c r="J1754">
        <f>DropAnalityka[[#This Row],[Sell Drop]]+IF(DropAnalityka[[#This Row],[Drop]]="Scroll", 2000*DropAnalityka[[#This Row],[Quality/Quantity]],0)</f>
        <v>0</v>
      </c>
      <c r="K17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5" spans="10:12">
      <c r="J1755">
        <f>DropAnalityka[[#This Row],[Sell Drop]]+IF(DropAnalityka[[#This Row],[Drop]]="Scroll", 2000*DropAnalityka[[#This Row],[Quality/Quantity]],0)</f>
        <v>0</v>
      </c>
      <c r="K17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6" spans="10:12">
      <c r="J1756">
        <f>DropAnalityka[[#This Row],[Sell Drop]]+IF(DropAnalityka[[#This Row],[Drop]]="Scroll", 2000*DropAnalityka[[#This Row],[Quality/Quantity]],0)</f>
        <v>0</v>
      </c>
      <c r="K17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7" spans="10:12">
      <c r="J1757">
        <f>DropAnalityka[[#This Row],[Sell Drop]]+IF(DropAnalityka[[#This Row],[Drop]]="Scroll", 2000*DropAnalityka[[#This Row],[Quality/Quantity]],0)</f>
        <v>0</v>
      </c>
      <c r="K17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8" spans="10:12">
      <c r="J1758">
        <f>DropAnalityka[[#This Row],[Sell Drop]]+IF(DropAnalityka[[#This Row],[Drop]]="Scroll", 2000*DropAnalityka[[#This Row],[Quality/Quantity]],0)</f>
        <v>0</v>
      </c>
      <c r="K17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9" spans="10:12">
      <c r="J1759">
        <f>DropAnalityka[[#This Row],[Sell Drop]]+IF(DropAnalityka[[#This Row],[Drop]]="Scroll", 2000*DropAnalityka[[#This Row],[Quality/Quantity]],0)</f>
        <v>0</v>
      </c>
      <c r="K17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0" spans="10:12">
      <c r="J1760">
        <f>DropAnalityka[[#This Row],[Sell Drop]]+IF(DropAnalityka[[#This Row],[Drop]]="Scroll", 2000*DropAnalityka[[#This Row],[Quality/Quantity]],0)</f>
        <v>0</v>
      </c>
      <c r="K17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1" spans="10:12">
      <c r="J1761">
        <f>DropAnalityka[[#This Row],[Sell Drop]]+IF(DropAnalityka[[#This Row],[Drop]]="Scroll", 2000*DropAnalityka[[#This Row],[Quality/Quantity]],0)</f>
        <v>0</v>
      </c>
      <c r="K17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2" spans="10:12">
      <c r="J1762">
        <f>DropAnalityka[[#This Row],[Sell Drop]]+IF(DropAnalityka[[#This Row],[Drop]]="Scroll", 2000*DropAnalityka[[#This Row],[Quality/Quantity]],0)</f>
        <v>0</v>
      </c>
      <c r="K17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3" spans="10:12">
      <c r="J1763">
        <f>DropAnalityka[[#This Row],[Sell Drop]]+IF(DropAnalityka[[#This Row],[Drop]]="Scroll", 2000*DropAnalityka[[#This Row],[Quality/Quantity]],0)</f>
        <v>0</v>
      </c>
      <c r="K17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4" spans="10:12">
      <c r="J1764">
        <f>DropAnalityka[[#This Row],[Sell Drop]]+IF(DropAnalityka[[#This Row],[Drop]]="Scroll", 2000*DropAnalityka[[#This Row],[Quality/Quantity]],0)</f>
        <v>0</v>
      </c>
      <c r="K17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5" spans="10:12">
      <c r="J1765">
        <f>DropAnalityka[[#This Row],[Sell Drop]]+IF(DropAnalityka[[#This Row],[Drop]]="Scroll", 2000*DropAnalityka[[#This Row],[Quality/Quantity]],0)</f>
        <v>0</v>
      </c>
      <c r="K17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6" spans="10:12">
      <c r="J1766">
        <f>DropAnalityka[[#This Row],[Sell Drop]]+IF(DropAnalityka[[#This Row],[Drop]]="Scroll", 2000*DropAnalityka[[#This Row],[Quality/Quantity]],0)</f>
        <v>0</v>
      </c>
      <c r="K17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7" spans="10:12">
      <c r="J1767">
        <f>DropAnalityka[[#This Row],[Sell Drop]]+IF(DropAnalityka[[#This Row],[Drop]]="Scroll", 2000*DropAnalityka[[#This Row],[Quality/Quantity]],0)</f>
        <v>0</v>
      </c>
      <c r="K17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8" spans="10:12">
      <c r="J1768">
        <f>DropAnalityka[[#This Row],[Sell Drop]]+IF(DropAnalityka[[#This Row],[Drop]]="Scroll", 2000*DropAnalityka[[#This Row],[Quality/Quantity]],0)</f>
        <v>0</v>
      </c>
      <c r="K17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9" spans="10:12">
      <c r="J1769">
        <f>DropAnalityka[[#This Row],[Sell Drop]]+IF(DropAnalityka[[#This Row],[Drop]]="Scroll", 2000*DropAnalityka[[#This Row],[Quality/Quantity]],0)</f>
        <v>0</v>
      </c>
      <c r="K17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0" spans="10:12">
      <c r="J1770">
        <f>DropAnalityka[[#This Row],[Sell Drop]]+IF(DropAnalityka[[#This Row],[Drop]]="Scroll", 2000*DropAnalityka[[#This Row],[Quality/Quantity]],0)</f>
        <v>0</v>
      </c>
      <c r="K17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1" spans="10:12">
      <c r="J1771">
        <f>DropAnalityka[[#This Row],[Sell Drop]]+IF(DropAnalityka[[#This Row],[Drop]]="Scroll", 2000*DropAnalityka[[#This Row],[Quality/Quantity]],0)</f>
        <v>0</v>
      </c>
      <c r="K17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2" spans="10:12">
      <c r="J1772">
        <f>DropAnalityka[[#This Row],[Sell Drop]]+IF(DropAnalityka[[#This Row],[Drop]]="Scroll", 2000*DropAnalityka[[#This Row],[Quality/Quantity]],0)</f>
        <v>0</v>
      </c>
      <c r="K17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3" spans="10:12">
      <c r="J1773">
        <f>DropAnalityka[[#This Row],[Sell Drop]]+IF(DropAnalityka[[#This Row],[Drop]]="Scroll", 2000*DropAnalityka[[#This Row],[Quality/Quantity]],0)</f>
        <v>0</v>
      </c>
      <c r="K17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4" spans="10:12">
      <c r="J1774">
        <f>DropAnalityka[[#This Row],[Sell Drop]]+IF(DropAnalityka[[#This Row],[Drop]]="Scroll", 2000*DropAnalityka[[#This Row],[Quality/Quantity]],0)</f>
        <v>0</v>
      </c>
      <c r="K17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5" spans="10:12">
      <c r="J1775">
        <f>DropAnalityka[[#This Row],[Sell Drop]]+IF(DropAnalityka[[#This Row],[Drop]]="Scroll", 2000*DropAnalityka[[#This Row],[Quality/Quantity]],0)</f>
        <v>0</v>
      </c>
      <c r="K17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6" spans="10:12">
      <c r="J1776">
        <f>DropAnalityka[[#This Row],[Sell Drop]]+IF(DropAnalityka[[#This Row],[Drop]]="Scroll", 2000*DropAnalityka[[#This Row],[Quality/Quantity]],0)</f>
        <v>0</v>
      </c>
      <c r="K17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7" spans="10:12">
      <c r="J1777">
        <f>DropAnalityka[[#This Row],[Sell Drop]]+IF(DropAnalityka[[#This Row],[Drop]]="Scroll", 2000*DropAnalityka[[#This Row],[Quality/Quantity]],0)</f>
        <v>0</v>
      </c>
      <c r="K17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8" spans="10:12">
      <c r="J1778">
        <f>DropAnalityka[[#This Row],[Sell Drop]]+IF(DropAnalityka[[#This Row],[Drop]]="Scroll", 2000*DropAnalityka[[#This Row],[Quality/Quantity]],0)</f>
        <v>0</v>
      </c>
      <c r="K17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9" spans="10:12">
      <c r="J1779">
        <f>DropAnalityka[[#This Row],[Sell Drop]]+IF(DropAnalityka[[#This Row],[Drop]]="Scroll", 2000*DropAnalityka[[#This Row],[Quality/Quantity]],0)</f>
        <v>0</v>
      </c>
      <c r="K17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0" spans="10:12">
      <c r="J1780">
        <f>DropAnalityka[[#This Row],[Sell Drop]]+IF(DropAnalityka[[#This Row],[Drop]]="Scroll", 2000*DropAnalityka[[#This Row],[Quality/Quantity]],0)</f>
        <v>0</v>
      </c>
      <c r="K17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1" spans="10:12">
      <c r="J1781">
        <f>DropAnalityka[[#This Row],[Sell Drop]]+IF(DropAnalityka[[#This Row],[Drop]]="Scroll", 2000*DropAnalityka[[#This Row],[Quality/Quantity]],0)</f>
        <v>0</v>
      </c>
      <c r="K17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2" spans="10:12">
      <c r="J1782">
        <f>DropAnalityka[[#This Row],[Sell Drop]]+IF(DropAnalityka[[#This Row],[Drop]]="Scroll", 2000*DropAnalityka[[#This Row],[Quality/Quantity]],0)</f>
        <v>0</v>
      </c>
      <c r="K17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3" spans="10:12">
      <c r="J1783">
        <f>DropAnalityka[[#This Row],[Sell Drop]]+IF(DropAnalityka[[#This Row],[Drop]]="Scroll", 2000*DropAnalityka[[#This Row],[Quality/Quantity]],0)</f>
        <v>0</v>
      </c>
      <c r="K17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4" spans="10:12">
      <c r="J1784">
        <f>DropAnalityka[[#This Row],[Sell Drop]]+IF(DropAnalityka[[#This Row],[Drop]]="Scroll", 2000*DropAnalityka[[#This Row],[Quality/Quantity]],0)</f>
        <v>0</v>
      </c>
      <c r="K17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5" spans="10:12">
      <c r="J1785">
        <f>DropAnalityka[[#This Row],[Sell Drop]]+IF(DropAnalityka[[#This Row],[Drop]]="Scroll", 2000*DropAnalityka[[#This Row],[Quality/Quantity]],0)</f>
        <v>0</v>
      </c>
      <c r="K17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6" spans="10:12">
      <c r="J1786">
        <f>DropAnalityka[[#This Row],[Sell Drop]]+IF(DropAnalityka[[#This Row],[Drop]]="Scroll", 2000*DropAnalityka[[#This Row],[Quality/Quantity]],0)</f>
        <v>0</v>
      </c>
      <c r="K17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7" spans="10:12">
      <c r="J1787">
        <f>DropAnalityka[[#This Row],[Sell Drop]]+IF(DropAnalityka[[#This Row],[Drop]]="Scroll", 2000*DropAnalityka[[#This Row],[Quality/Quantity]],0)</f>
        <v>0</v>
      </c>
      <c r="K17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8" spans="10:12">
      <c r="J1788">
        <f>DropAnalityka[[#This Row],[Sell Drop]]+IF(DropAnalityka[[#This Row],[Drop]]="Scroll", 2000*DropAnalityka[[#This Row],[Quality/Quantity]],0)</f>
        <v>0</v>
      </c>
      <c r="K17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9" spans="10:12">
      <c r="J1789">
        <f>DropAnalityka[[#This Row],[Sell Drop]]+IF(DropAnalityka[[#This Row],[Drop]]="Scroll", 2000*DropAnalityka[[#This Row],[Quality/Quantity]],0)</f>
        <v>0</v>
      </c>
      <c r="K17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0" spans="10:12">
      <c r="J1790">
        <f>DropAnalityka[[#This Row],[Sell Drop]]+IF(DropAnalityka[[#This Row],[Drop]]="Scroll", 2000*DropAnalityka[[#This Row],[Quality/Quantity]],0)</f>
        <v>0</v>
      </c>
      <c r="K17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1" spans="10:12">
      <c r="J1791">
        <f>DropAnalityka[[#This Row],[Sell Drop]]+IF(DropAnalityka[[#This Row],[Drop]]="Scroll", 2000*DropAnalityka[[#This Row],[Quality/Quantity]],0)</f>
        <v>0</v>
      </c>
      <c r="K17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2" spans="10:12">
      <c r="J1792">
        <f>DropAnalityka[[#This Row],[Sell Drop]]+IF(DropAnalityka[[#This Row],[Drop]]="Scroll", 2000*DropAnalityka[[#This Row],[Quality/Quantity]],0)</f>
        <v>0</v>
      </c>
      <c r="K17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3" spans="10:12">
      <c r="J1793">
        <f>DropAnalityka[[#This Row],[Sell Drop]]+IF(DropAnalityka[[#This Row],[Drop]]="Scroll", 2000*DropAnalityka[[#This Row],[Quality/Quantity]],0)</f>
        <v>0</v>
      </c>
      <c r="K17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4" spans="10:12">
      <c r="J1794">
        <f>DropAnalityka[[#This Row],[Sell Drop]]+IF(DropAnalityka[[#This Row],[Drop]]="Scroll", 2000*DropAnalityka[[#This Row],[Quality/Quantity]],0)</f>
        <v>0</v>
      </c>
      <c r="K17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5" spans="10:12">
      <c r="J1795">
        <f>DropAnalityka[[#This Row],[Sell Drop]]+IF(DropAnalityka[[#This Row],[Drop]]="Scroll", 2000*DropAnalityka[[#This Row],[Quality/Quantity]],0)</f>
        <v>0</v>
      </c>
      <c r="K17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6" spans="10:12">
      <c r="J1796">
        <f>DropAnalityka[[#This Row],[Sell Drop]]+IF(DropAnalityka[[#This Row],[Drop]]="Scroll", 2000*DropAnalityka[[#This Row],[Quality/Quantity]],0)</f>
        <v>0</v>
      </c>
      <c r="K17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7" spans="10:12">
      <c r="J1797">
        <f>DropAnalityka[[#This Row],[Sell Drop]]+IF(DropAnalityka[[#This Row],[Drop]]="Scroll", 2000*DropAnalityka[[#This Row],[Quality/Quantity]],0)</f>
        <v>0</v>
      </c>
      <c r="K17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8" spans="10:12">
      <c r="J1798">
        <f>DropAnalityka[[#This Row],[Sell Drop]]+IF(DropAnalityka[[#This Row],[Drop]]="Scroll", 2000*DropAnalityka[[#This Row],[Quality/Quantity]],0)</f>
        <v>0</v>
      </c>
      <c r="K17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9" spans="10:12">
      <c r="J1799">
        <f>DropAnalityka[[#This Row],[Sell Drop]]+IF(DropAnalityka[[#This Row],[Drop]]="Scroll", 2000*DropAnalityka[[#This Row],[Quality/Quantity]],0)</f>
        <v>0</v>
      </c>
      <c r="K17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0" spans="10:12">
      <c r="J1800">
        <f>DropAnalityka[[#This Row],[Sell Drop]]+IF(DropAnalityka[[#This Row],[Drop]]="Scroll", 2000*DropAnalityka[[#This Row],[Quality/Quantity]],0)</f>
        <v>0</v>
      </c>
      <c r="K18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1" spans="10:12">
      <c r="J1801">
        <f>DropAnalityka[[#This Row],[Sell Drop]]+IF(DropAnalityka[[#This Row],[Drop]]="Scroll", 2000*DropAnalityka[[#This Row],[Quality/Quantity]],0)</f>
        <v>0</v>
      </c>
      <c r="K18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2" spans="10:12">
      <c r="J1802">
        <f>DropAnalityka[[#This Row],[Sell Drop]]+IF(DropAnalityka[[#This Row],[Drop]]="Scroll", 2000*DropAnalityka[[#This Row],[Quality/Quantity]],0)</f>
        <v>0</v>
      </c>
      <c r="K18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3" spans="10:12">
      <c r="J1803">
        <f>DropAnalityka[[#This Row],[Sell Drop]]+IF(DropAnalityka[[#This Row],[Drop]]="Scroll", 2000*DropAnalityka[[#This Row],[Quality/Quantity]],0)</f>
        <v>0</v>
      </c>
      <c r="K18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4" spans="10:12">
      <c r="J1804">
        <f>DropAnalityka[[#This Row],[Sell Drop]]+IF(DropAnalityka[[#This Row],[Drop]]="Scroll", 2000*DropAnalityka[[#This Row],[Quality/Quantity]],0)</f>
        <v>0</v>
      </c>
      <c r="K18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5" spans="10:12">
      <c r="J1805">
        <f>DropAnalityka[[#This Row],[Sell Drop]]+IF(DropAnalityka[[#This Row],[Drop]]="Scroll", 2000*DropAnalityka[[#This Row],[Quality/Quantity]],0)</f>
        <v>0</v>
      </c>
      <c r="K18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6" spans="10:12">
      <c r="J1806">
        <f>DropAnalityka[[#This Row],[Sell Drop]]+IF(DropAnalityka[[#This Row],[Drop]]="Scroll", 2000*DropAnalityka[[#This Row],[Quality/Quantity]],0)</f>
        <v>0</v>
      </c>
      <c r="K18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7" spans="10:12">
      <c r="J1807">
        <f>DropAnalityka[[#This Row],[Sell Drop]]+IF(DropAnalityka[[#This Row],[Drop]]="Scroll", 2000*DropAnalityka[[#This Row],[Quality/Quantity]],0)</f>
        <v>0</v>
      </c>
      <c r="K18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8" spans="10:12">
      <c r="J1808">
        <f>DropAnalityka[[#This Row],[Sell Drop]]+IF(DropAnalityka[[#This Row],[Drop]]="Scroll", 2000*DropAnalityka[[#This Row],[Quality/Quantity]],0)</f>
        <v>0</v>
      </c>
      <c r="K18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9" spans="10:12">
      <c r="J1809">
        <f>DropAnalityka[[#This Row],[Sell Drop]]+IF(DropAnalityka[[#This Row],[Drop]]="Scroll", 2000*DropAnalityka[[#This Row],[Quality/Quantity]],0)</f>
        <v>0</v>
      </c>
      <c r="K18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0" spans="10:12">
      <c r="J1810">
        <f>DropAnalityka[[#This Row],[Sell Drop]]+IF(DropAnalityka[[#This Row],[Drop]]="Scroll", 2000*DropAnalityka[[#This Row],[Quality/Quantity]],0)</f>
        <v>0</v>
      </c>
      <c r="K18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1" spans="10:12">
      <c r="J1811">
        <f>DropAnalityka[[#This Row],[Sell Drop]]+IF(DropAnalityka[[#This Row],[Drop]]="Scroll", 2000*DropAnalityka[[#This Row],[Quality/Quantity]],0)</f>
        <v>0</v>
      </c>
      <c r="K18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2" spans="10:12">
      <c r="J1812">
        <f>DropAnalityka[[#This Row],[Sell Drop]]+IF(DropAnalityka[[#This Row],[Drop]]="Scroll", 2000*DropAnalityka[[#This Row],[Quality/Quantity]],0)</f>
        <v>0</v>
      </c>
      <c r="K18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3" spans="10:12">
      <c r="J1813">
        <f>DropAnalityka[[#This Row],[Sell Drop]]+IF(DropAnalityka[[#This Row],[Drop]]="Scroll", 2000*DropAnalityka[[#This Row],[Quality/Quantity]],0)</f>
        <v>0</v>
      </c>
      <c r="K18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4" spans="10:12">
      <c r="J1814">
        <f>DropAnalityka[[#This Row],[Sell Drop]]+IF(DropAnalityka[[#This Row],[Drop]]="Scroll", 2000*DropAnalityka[[#This Row],[Quality/Quantity]],0)</f>
        <v>0</v>
      </c>
      <c r="K18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5" spans="10:12">
      <c r="J1815">
        <f>DropAnalityka[[#This Row],[Sell Drop]]+IF(DropAnalityka[[#This Row],[Drop]]="Scroll", 2000*DropAnalityka[[#This Row],[Quality/Quantity]],0)</f>
        <v>0</v>
      </c>
      <c r="K18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6" spans="10:12">
      <c r="J1816">
        <f>DropAnalityka[[#This Row],[Sell Drop]]+IF(DropAnalityka[[#This Row],[Drop]]="Scroll", 2000*DropAnalityka[[#This Row],[Quality/Quantity]],0)</f>
        <v>0</v>
      </c>
      <c r="K18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7" spans="10:12">
      <c r="J1817">
        <f>DropAnalityka[[#This Row],[Sell Drop]]+IF(DropAnalityka[[#This Row],[Drop]]="Scroll", 2000*DropAnalityka[[#This Row],[Quality/Quantity]],0)</f>
        <v>0</v>
      </c>
      <c r="K18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8" spans="10:12">
      <c r="J1818">
        <f>DropAnalityka[[#This Row],[Sell Drop]]+IF(DropAnalityka[[#This Row],[Drop]]="Scroll", 2000*DropAnalityka[[#This Row],[Quality/Quantity]],0)</f>
        <v>0</v>
      </c>
      <c r="K18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9" spans="10:12">
      <c r="J1819">
        <f>DropAnalityka[[#This Row],[Sell Drop]]+IF(DropAnalityka[[#This Row],[Drop]]="Scroll", 2000*DropAnalityka[[#This Row],[Quality/Quantity]],0)</f>
        <v>0</v>
      </c>
      <c r="K18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0" spans="10:12">
      <c r="J1820">
        <f>DropAnalityka[[#This Row],[Sell Drop]]+IF(DropAnalityka[[#This Row],[Drop]]="Scroll", 2000*DropAnalityka[[#This Row],[Quality/Quantity]],0)</f>
        <v>0</v>
      </c>
      <c r="K18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1" spans="10:12">
      <c r="J1821">
        <f>DropAnalityka[[#This Row],[Sell Drop]]+IF(DropAnalityka[[#This Row],[Drop]]="Scroll", 2000*DropAnalityka[[#This Row],[Quality/Quantity]],0)</f>
        <v>0</v>
      </c>
      <c r="K18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2" spans="10:12">
      <c r="J1822">
        <f>DropAnalityka[[#This Row],[Sell Drop]]+IF(DropAnalityka[[#This Row],[Drop]]="Scroll", 2000*DropAnalityka[[#This Row],[Quality/Quantity]],0)</f>
        <v>0</v>
      </c>
      <c r="K18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3" spans="10:12">
      <c r="J1823">
        <f>DropAnalityka[[#This Row],[Sell Drop]]+IF(DropAnalityka[[#This Row],[Drop]]="Scroll", 2000*DropAnalityka[[#This Row],[Quality/Quantity]],0)</f>
        <v>0</v>
      </c>
      <c r="K18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4" spans="10:12">
      <c r="J1824">
        <f>DropAnalityka[[#This Row],[Sell Drop]]+IF(DropAnalityka[[#This Row],[Drop]]="Scroll", 2000*DropAnalityka[[#This Row],[Quality/Quantity]],0)</f>
        <v>0</v>
      </c>
      <c r="K18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5" spans="10:12">
      <c r="J1825">
        <f>DropAnalityka[[#This Row],[Sell Drop]]+IF(DropAnalityka[[#This Row],[Drop]]="Scroll", 2000*DropAnalityka[[#This Row],[Quality/Quantity]],0)</f>
        <v>0</v>
      </c>
      <c r="K18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6" spans="10:12">
      <c r="J1826">
        <f>DropAnalityka[[#This Row],[Sell Drop]]+IF(DropAnalityka[[#This Row],[Drop]]="Scroll", 2000*DropAnalityka[[#This Row],[Quality/Quantity]],0)</f>
        <v>0</v>
      </c>
      <c r="K18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7" spans="10:12">
      <c r="J1827">
        <f>DropAnalityka[[#This Row],[Sell Drop]]+IF(DropAnalityka[[#This Row],[Drop]]="Scroll", 2000*DropAnalityka[[#This Row],[Quality/Quantity]],0)</f>
        <v>0</v>
      </c>
      <c r="K18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8" spans="10:12">
      <c r="J1828">
        <f>DropAnalityka[[#This Row],[Sell Drop]]+IF(DropAnalityka[[#This Row],[Drop]]="Scroll", 2000*DropAnalityka[[#This Row],[Quality/Quantity]],0)</f>
        <v>0</v>
      </c>
      <c r="K18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9" spans="10:12">
      <c r="J1829">
        <f>DropAnalityka[[#This Row],[Sell Drop]]+IF(DropAnalityka[[#This Row],[Drop]]="Scroll", 2000*DropAnalityka[[#This Row],[Quality/Quantity]],0)</f>
        <v>0</v>
      </c>
      <c r="K18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0" spans="10:12">
      <c r="J1830">
        <f>DropAnalityka[[#This Row],[Sell Drop]]+IF(DropAnalityka[[#This Row],[Drop]]="Scroll", 2000*DropAnalityka[[#This Row],[Quality/Quantity]],0)</f>
        <v>0</v>
      </c>
      <c r="K18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1" spans="10:12">
      <c r="J1831">
        <f>DropAnalityka[[#This Row],[Sell Drop]]+IF(DropAnalityka[[#This Row],[Drop]]="Scroll", 2000*DropAnalityka[[#This Row],[Quality/Quantity]],0)</f>
        <v>0</v>
      </c>
      <c r="K18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2" spans="10:12">
      <c r="J1832">
        <f>DropAnalityka[[#This Row],[Sell Drop]]+IF(DropAnalityka[[#This Row],[Drop]]="Scroll", 2000*DropAnalityka[[#This Row],[Quality/Quantity]],0)</f>
        <v>0</v>
      </c>
      <c r="K18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3" spans="10:12">
      <c r="J1833">
        <f>DropAnalityka[[#This Row],[Sell Drop]]+IF(DropAnalityka[[#This Row],[Drop]]="Scroll", 2000*DropAnalityka[[#This Row],[Quality/Quantity]],0)</f>
        <v>0</v>
      </c>
      <c r="K18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4" spans="10:12">
      <c r="J1834">
        <f>DropAnalityka[[#This Row],[Sell Drop]]+IF(DropAnalityka[[#This Row],[Drop]]="Scroll", 2000*DropAnalityka[[#This Row],[Quality/Quantity]],0)</f>
        <v>0</v>
      </c>
      <c r="K18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5" spans="10:12">
      <c r="J1835">
        <f>DropAnalityka[[#This Row],[Sell Drop]]+IF(DropAnalityka[[#This Row],[Drop]]="Scroll", 2000*DropAnalityka[[#This Row],[Quality/Quantity]],0)</f>
        <v>0</v>
      </c>
      <c r="K18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6" spans="10:12">
      <c r="J1836">
        <f>DropAnalityka[[#This Row],[Sell Drop]]+IF(DropAnalityka[[#This Row],[Drop]]="Scroll", 2000*DropAnalityka[[#This Row],[Quality/Quantity]],0)</f>
        <v>0</v>
      </c>
      <c r="K18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7" spans="10:12">
      <c r="J1837">
        <f>DropAnalityka[[#This Row],[Sell Drop]]+IF(DropAnalityka[[#This Row],[Drop]]="Scroll", 2000*DropAnalityka[[#This Row],[Quality/Quantity]],0)</f>
        <v>0</v>
      </c>
      <c r="K18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8" spans="10:12">
      <c r="J1838">
        <f>DropAnalityka[[#This Row],[Sell Drop]]+IF(DropAnalityka[[#This Row],[Drop]]="Scroll", 2000*DropAnalityka[[#This Row],[Quality/Quantity]],0)</f>
        <v>0</v>
      </c>
      <c r="K18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9" spans="10:12">
      <c r="J1839">
        <f>DropAnalityka[[#This Row],[Sell Drop]]+IF(DropAnalityka[[#This Row],[Drop]]="Scroll", 2000*DropAnalityka[[#This Row],[Quality/Quantity]],0)</f>
        <v>0</v>
      </c>
      <c r="K18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0" spans="10:12">
      <c r="J1840">
        <f>DropAnalityka[[#This Row],[Sell Drop]]+IF(DropAnalityka[[#This Row],[Drop]]="Scroll", 2000*DropAnalityka[[#This Row],[Quality/Quantity]],0)</f>
        <v>0</v>
      </c>
      <c r="K18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1" spans="10:12">
      <c r="J1841">
        <f>DropAnalityka[[#This Row],[Sell Drop]]+IF(DropAnalityka[[#This Row],[Drop]]="Scroll", 2000*DropAnalityka[[#This Row],[Quality/Quantity]],0)</f>
        <v>0</v>
      </c>
      <c r="K18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2" spans="10:12">
      <c r="J1842">
        <f>DropAnalityka[[#This Row],[Sell Drop]]+IF(DropAnalityka[[#This Row],[Drop]]="Scroll", 2000*DropAnalityka[[#This Row],[Quality/Quantity]],0)</f>
        <v>0</v>
      </c>
      <c r="K18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3" spans="10:12">
      <c r="J1843">
        <f>DropAnalityka[[#This Row],[Sell Drop]]+IF(DropAnalityka[[#This Row],[Drop]]="Scroll", 2000*DropAnalityka[[#This Row],[Quality/Quantity]],0)</f>
        <v>0</v>
      </c>
      <c r="K18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4" spans="10:12">
      <c r="J1844">
        <f>DropAnalityka[[#This Row],[Sell Drop]]+IF(DropAnalityka[[#This Row],[Drop]]="Scroll", 2000*DropAnalityka[[#This Row],[Quality/Quantity]],0)</f>
        <v>0</v>
      </c>
      <c r="K18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5" spans="10:12">
      <c r="J1845">
        <f>DropAnalityka[[#This Row],[Sell Drop]]+IF(DropAnalityka[[#This Row],[Drop]]="Scroll", 2000*DropAnalityka[[#This Row],[Quality/Quantity]],0)</f>
        <v>0</v>
      </c>
      <c r="K18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6" spans="10:12">
      <c r="J1846">
        <f>DropAnalityka[[#This Row],[Sell Drop]]+IF(DropAnalityka[[#This Row],[Drop]]="Scroll", 2000*DropAnalityka[[#This Row],[Quality/Quantity]],0)</f>
        <v>0</v>
      </c>
      <c r="K18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7" spans="10:12">
      <c r="J1847">
        <f>DropAnalityka[[#This Row],[Sell Drop]]+IF(DropAnalityka[[#This Row],[Drop]]="Scroll", 2000*DropAnalityka[[#This Row],[Quality/Quantity]],0)</f>
        <v>0</v>
      </c>
      <c r="K18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8" spans="10:12">
      <c r="J1848">
        <f>DropAnalityka[[#This Row],[Sell Drop]]+IF(DropAnalityka[[#This Row],[Drop]]="Scroll", 2000*DropAnalityka[[#This Row],[Quality/Quantity]],0)</f>
        <v>0</v>
      </c>
      <c r="K18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9" spans="10:12">
      <c r="J1849">
        <f>DropAnalityka[[#This Row],[Sell Drop]]+IF(DropAnalityka[[#This Row],[Drop]]="Scroll", 2000*DropAnalityka[[#This Row],[Quality/Quantity]],0)</f>
        <v>0</v>
      </c>
      <c r="K18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0" spans="10:12">
      <c r="J1850">
        <f>DropAnalityka[[#This Row],[Sell Drop]]+IF(DropAnalityka[[#This Row],[Drop]]="Scroll", 2000*DropAnalityka[[#This Row],[Quality/Quantity]],0)</f>
        <v>0</v>
      </c>
      <c r="K18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1" spans="10:12">
      <c r="J1851">
        <f>DropAnalityka[[#This Row],[Sell Drop]]+IF(DropAnalityka[[#This Row],[Drop]]="Scroll", 2000*DropAnalityka[[#This Row],[Quality/Quantity]],0)</f>
        <v>0</v>
      </c>
      <c r="K18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2" spans="10:12">
      <c r="J1852">
        <f>DropAnalityka[[#This Row],[Sell Drop]]+IF(DropAnalityka[[#This Row],[Drop]]="Scroll", 2000*DropAnalityka[[#This Row],[Quality/Quantity]],0)</f>
        <v>0</v>
      </c>
      <c r="K18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3" spans="10:12">
      <c r="J1853">
        <f>DropAnalityka[[#This Row],[Sell Drop]]+IF(DropAnalityka[[#This Row],[Drop]]="Scroll", 2000*DropAnalityka[[#This Row],[Quality/Quantity]],0)</f>
        <v>0</v>
      </c>
      <c r="K18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4" spans="10:12">
      <c r="J1854">
        <f>DropAnalityka[[#This Row],[Sell Drop]]+IF(DropAnalityka[[#This Row],[Drop]]="Scroll", 2000*DropAnalityka[[#This Row],[Quality/Quantity]],0)</f>
        <v>0</v>
      </c>
      <c r="K18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5" spans="10:12">
      <c r="J1855">
        <f>DropAnalityka[[#This Row],[Sell Drop]]+IF(DropAnalityka[[#This Row],[Drop]]="Scroll", 2000*DropAnalityka[[#This Row],[Quality/Quantity]],0)</f>
        <v>0</v>
      </c>
      <c r="K18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6" spans="10:12">
      <c r="J1856">
        <f>DropAnalityka[[#This Row],[Sell Drop]]+IF(DropAnalityka[[#This Row],[Drop]]="Scroll", 2000*DropAnalityka[[#This Row],[Quality/Quantity]],0)</f>
        <v>0</v>
      </c>
      <c r="K18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7" spans="10:12">
      <c r="J1857">
        <f>DropAnalityka[[#This Row],[Sell Drop]]+IF(DropAnalityka[[#This Row],[Drop]]="Scroll", 2000*DropAnalityka[[#This Row],[Quality/Quantity]],0)</f>
        <v>0</v>
      </c>
      <c r="K18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8" spans="10:12">
      <c r="J1858">
        <f>DropAnalityka[[#This Row],[Sell Drop]]+IF(DropAnalityka[[#This Row],[Drop]]="Scroll", 2000*DropAnalityka[[#This Row],[Quality/Quantity]],0)</f>
        <v>0</v>
      </c>
      <c r="K18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9" spans="10:12">
      <c r="J1859">
        <f>DropAnalityka[[#This Row],[Sell Drop]]+IF(DropAnalityka[[#This Row],[Drop]]="Scroll", 2000*DropAnalityka[[#This Row],[Quality/Quantity]],0)</f>
        <v>0</v>
      </c>
      <c r="K18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0" spans="10:12">
      <c r="J1860">
        <f>DropAnalityka[[#This Row],[Sell Drop]]+IF(DropAnalityka[[#This Row],[Drop]]="Scroll", 2000*DropAnalityka[[#This Row],[Quality/Quantity]],0)</f>
        <v>0</v>
      </c>
      <c r="K18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1" spans="10:12">
      <c r="J1861">
        <f>DropAnalityka[[#This Row],[Sell Drop]]+IF(DropAnalityka[[#This Row],[Drop]]="Scroll", 2000*DropAnalityka[[#This Row],[Quality/Quantity]],0)</f>
        <v>0</v>
      </c>
      <c r="K18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2" spans="10:12">
      <c r="J1862">
        <f>DropAnalityka[[#This Row],[Sell Drop]]+IF(DropAnalityka[[#This Row],[Drop]]="Scroll", 2000*DropAnalityka[[#This Row],[Quality/Quantity]],0)</f>
        <v>0</v>
      </c>
      <c r="K18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3" spans="10:12">
      <c r="J1863">
        <f>DropAnalityka[[#This Row],[Sell Drop]]+IF(DropAnalityka[[#This Row],[Drop]]="Scroll", 2000*DropAnalityka[[#This Row],[Quality/Quantity]],0)</f>
        <v>0</v>
      </c>
      <c r="K18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4" spans="10:12">
      <c r="J1864">
        <f>DropAnalityka[[#This Row],[Sell Drop]]+IF(DropAnalityka[[#This Row],[Drop]]="Scroll", 2000*DropAnalityka[[#This Row],[Quality/Quantity]],0)</f>
        <v>0</v>
      </c>
      <c r="K18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5" spans="10:12">
      <c r="J1865">
        <f>DropAnalityka[[#This Row],[Sell Drop]]+IF(DropAnalityka[[#This Row],[Drop]]="Scroll", 2000*DropAnalityka[[#This Row],[Quality/Quantity]],0)</f>
        <v>0</v>
      </c>
      <c r="K18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6" spans="10:12">
      <c r="J1866">
        <f>DropAnalityka[[#This Row],[Sell Drop]]+IF(DropAnalityka[[#This Row],[Drop]]="Scroll", 2000*DropAnalityka[[#This Row],[Quality/Quantity]],0)</f>
        <v>0</v>
      </c>
      <c r="K18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7" spans="10:12">
      <c r="J1867">
        <f>DropAnalityka[[#This Row],[Sell Drop]]+IF(DropAnalityka[[#This Row],[Drop]]="Scroll", 2000*DropAnalityka[[#This Row],[Quality/Quantity]],0)</f>
        <v>0</v>
      </c>
      <c r="K18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8" spans="10:12">
      <c r="J1868">
        <f>DropAnalityka[[#This Row],[Sell Drop]]+IF(DropAnalityka[[#This Row],[Drop]]="Scroll", 2000*DropAnalityka[[#This Row],[Quality/Quantity]],0)</f>
        <v>0</v>
      </c>
      <c r="K18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9" spans="10:12">
      <c r="J1869">
        <f>DropAnalityka[[#This Row],[Sell Drop]]+IF(DropAnalityka[[#This Row],[Drop]]="Scroll", 2000*DropAnalityka[[#This Row],[Quality/Quantity]],0)</f>
        <v>0</v>
      </c>
      <c r="K18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0" spans="10:12">
      <c r="J1870">
        <f>DropAnalityka[[#This Row],[Sell Drop]]+IF(DropAnalityka[[#This Row],[Drop]]="Scroll", 2000*DropAnalityka[[#This Row],[Quality/Quantity]],0)</f>
        <v>0</v>
      </c>
      <c r="K18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1" spans="10:12">
      <c r="J1871">
        <f>DropAnalityka[[#This Row],[Sell Drop]]+IF(DropAnalityka[[#This Row],[Drop]]="Scroll", 2000*DropAnalityka[[#This Row],[Quality/Quantity]],0)</f>
        <v>0</v>
      </c>
      <c r="K18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2" spans="10:12">
      <c r="J1872">
        <f>DropAnalityka[[#This Row],[Sell Drop]]+IF(DropAnalityka[[#This Row],[Drop]]="Scroll", 2000*DropAnalityka[[#This Row],[Quality/Quantity]],0)</f>
        <v>0</v>
      </c>
      <c r="K18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3" spans="10:12">
      <c r="J1873">
        <f>DropAnalityka[[#This Row],[Sell Drop]]+IF(DropAnalityka[[#This Row],[Drop]]="Scroll", 2000*DropAnalityka[[#This Row],[Quality/Quantity]],0)</f>
        <v>0</v>
      </c>
      <c r="K18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4" spans="10:12">
      <c r="J1874">
        <f>DropAnalityka[[#This Row],[Sell Drop]]+IF(DropAnalityka[[#This Row],[Drop]]="Scroll", 2000*DropAnalityka[[#This Row],[Quality/Quantity]],0)</f>
        <v>0</v>
      </c>
      <c r="K18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5" spans="10:12">
      <c r="J1875">
        <f>DropAnalityka[[#This Row],[Sell Drop]]+IF(DropAnalityka[[#This Row],[Drop]]="Scroll", 2000*DropAnalityka[[#This Row],[Quality/Quantity]],0)</f>
        <v>0</v>
      </c>
      <c r="K18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6" spans="10:12">
      <c r="J1876">
        <f>DropAnalityka[[#This Row],[Sell Drop]]+IF(DropAnalityka[[#This Row],[Drop]]="Scroll", 2000*DropAnalityka[[#This Row],[Quality/Quantity]],0)</f>
        <v>0</v>
      </c>
      <c r="K18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7" spans="10:12">
      <c r="J1877">
        <f>DropAnalityka[[#This Row],[Sell Drop]]+IF(DropAnalityka[[#This Row],[Drop]]="Scroll", 2000*DropAnalityka[[#This Row],[Quality/Quantity]],0)</f>
        <v>0</v>
      </c>
      <c r="K18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8" spans="10:12">
      <c r="J1878">
        <f>DropAnalityka[[#This Row],[Sell Drop]]+IF(DropAnalityka[[#This Row],[Drop]]="Scroll", 2000*DropAnalityka[[#This Row],[Quality/Quantity]],0)</f>
        <v>0</v>
      </c>
      <c r="K18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9" spans="10:12">
      <c r="J1879">
        <f>DropAnalityka[[#This Row],[Sell Drop]]+IF(DropAnalityka[[#This Row],[Drop]]="Scroll", 2000*DropAnalityka[[#This Row],[Quality/Quantity]],0)</f>
        <v>0</v>
      </c>
      <c r="K18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0" spans="10:12">
      <c r="J1880">
        <f>DropAnalityka[[#This Row],[Sell Drop]]+IF(DropAnalityka[[#This Row],[Drop]]="Scroll", 2000*DropAnalityka[[#This Row],[Quality/Quantity]],0)</f>
        <v>0</v>
      </c>
      <c r="K18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1" spans="10:12">
      <c r="J1881">
        <f>DropAnalityka[[#This Row],[Sell Drop]]+IF(DropAnalityka[[#This Row],[Drop]]="Scroll", 2000*DropAnalityka[[#This Row],[Quality/Quantity]],0)</f>
        <v>0</v>
      </c>
      <c r="K18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2" spans="10:12">
      <c r="J1882">
        <f>DropAnalityka[[#This Row],[Sell Drop]]+IF(DropAnalityka[[#This Row],[Drop]]="Scroll", 2000*DropAnalityka[[#This Row],[Quality/Quantity]],0)</f>
        <v>0</v>
      </c>
      <c r="K18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3" spans="10:12">
      <c r="J1883">
        <f>DropAnalityka[[#This Row],[Sell Drop]]+IF(DropAnalityka[[#This Row],[Drop]]="Scroll", 2000*DropAnalityka[[#This Row],[Quality/Quantity]],0)</f>
        <v>0</v>
      </c>
      <c r="K18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4" spans="10:12">
      <c r="J1884">
        <f>DropAnalityka[[#This Row],[Sell Drop]]+IF(DropAnalityka[[#This Row],[Drop]]="Scroll", 2000*DropAnalityka[[#This Row],[Quality/Quantity]],0)</f>
        <v>0</v>
      </c>
      <c r="K18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5" spans="10:12">
      <c r="J1885">
        <f>DropAnalityka[[#This Row],[Sell Drop]]+IF(DropAnalityka[[#This Row],[Drop]]="Scroll", 2000*DropAnalityka[[#This Row],[Quality/Quantity]],0)</f>
        <v>0</v>
      </c>
      <c r="K18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6" spans="10:12">
      <c r="J1886">
        <f>DropAnalityka[[#This Row],[Sell Drop]]+IF(DropAnalityka[[#This Row],[Drop]]="Scroll", 2000*DropAnalityka[[#This Row],[Quality/Quantity]],0)</f>
        <v>0</v>
      </c>
      <c r="K18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7" spans="10:12">
      <c r="J1887">
        <f>DropAnalityka[[#This Row],[Sell Drop]]+IF(DropAnalityka[[#This Row],[Drop]]="Scroll", 2000*DropAnalityka[[#This Row],[Quality/Quantity]],0)</f>
        <v>0</v>
      </c>
      <c r="K18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8" spans="10:12">
      <c r="J1888">
        <f>DropAnalityka[[#This Row],[Sell Drop]]+IF(DropAnalityka[[#This Row],[Drop]]="Scroll", 2000*DropAnalityka[[#This Row],[Quality/Quantity]],0)</f>
        <v>0</v>
      </c>
      <c r="K18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9" spans="10:12">
      <c r="J1889">
        <f>DropAnalityka[[#This Row],[Sell Drop]]+IF(DropAnalityka[[#This Row],[Drop]]="Scroll", 2000*DropAnalityka[[#This Row],[Quality/Quantity]],0)</f>
        <v>0</v>
      </c>
      <c r="K18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0" spans="10:12">
      <c r="J1890">
        <f>DropAnalityka[[#This Row],[Sell Drop]]+IF(DropAnalityka[[#This Row],[Drop]]="Scroll", 2000*DropAnalityka[[#This Row],[Quality/Quantity]],0)</f>
        <v>0</v>
      </c>
      <c r="K18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1" spans="10:12">
      <c r="J1891">
        <f>DropAnalityka[[#This Row],[Sell Drop]]+IF(DropAnalityka[[#This Row],[Drop]]="Scroll", 2000*DropAnalityka[[#This Row],[Quality/Quantity]],0)</f>
        <v>0</v>
      </c>
      <c r="K18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2" spans="10:12">
      <c r="J1892">
        <f>DropAnalityka[[#This Row],[Sell Drop]]+IF(DropAnalityka[[#This Row],[Drop]]="Scroll", 2000*DropAnalityka[[#This Row],[Quality/Quantity]],0)</f>
        <v>0</v>
      </c>
      <c r="K18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3" spans="10:12">
      <c r="J1893">
        <f>DropAnalityka[[#This Row],[Sell Drop]]+IF(DropAnalityka[[#This Row],[Drop]]="Scroll", 2000*DropAnalityka[[#This Row],[Quality/Quantity]],0)</f>
        <v>0</v>
      </c>
      <c r="K18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4" spans="10:12">
      <c r="J1894">
        <f>DropAnalityka[[#This Row],[Sell Drop]]+IF(DropAnalityka[[#This Row],[Drop]]="Scroll", 2000*DropAnalityka[[#This Row],[Quality/Quantity]],0)</f>
        <v>0</v>
      </c>
      <c r="K18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5" spans="10:12">
      <c r="J1895">
        <f>DropAnalityka[[#This Row],[Sell Drop]]+IF(DropAnalityka[[#This Row],[Drop]]="Scroll", 2000*DropAnalityka[[#This Row],[Quality/Quantity]],0)</f>
        <v>0</v>
      </c>
      <c r="K18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6" spans="10:12">
      <c r="J1896">
        <f>DropAnalityka[[#This Row],[Sell Drop]]+IF(DropAnalityka[[#This Row],[Drop]]="Scroll", 2000*DropAnalityka[[#This Row],[Quality/Quantity]],0)</f>
        <v>0</v>
      </c>
      <c r="K18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7" spans="10:12">
      <c r="J1897">
        <f>DropAnalityka[[#This Row],[Sell Drop]]+IF(DropAnalityka[[#This Row],[Drop]]="Scroll", 2000*DropAnalityka[[#This Row],[Quality/Quantity]],0)</f>
        <v>0</v>
      </c>
      <c r="K18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8" spans="10:12">
      <c r="J1898">
        <f>DropAnalityka[[#This Row],[Sell Drop]]+IF(DropAnalityka[[#This Row],[Drop]]="Scroll", 2000*DropAnalityka[[#This Row],[Quality/Quantity]],0)</f>
        <v>0</v>
      </c>
      <c r="K18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9" spans="10:12">
      <c r="J1899">
        <f>DropAnalityka[[#This Row],[Sell Drop]]+IF(DropAnalityka[[#This Row],[Drop]]="Scroll", 2000*DropAnalityka[[#This Row],[Quality/Quantity]],0)</f>
        <v>0</v>
      </c>
      <c r="K18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0" spans="10:12">
      <c r="J1900">
        <f>DropAnalityka[[#This Row],[Sell Drop]]+IF(DropAnalityka[[#This Row],[Drop]]="Scroll", 2000*DropAnalityka[[#This Row],[Quality/Quantity]],0)</f>
        <v>0</v>
      </c>
      <c r="K19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1" spans="10:12">
      <c r="J1901">
        <f>DropAnalityka[[#This Row],[Sell Drop]]+IF(DropAnalityka[[#This Row],[Drop]]="Scroll", 2000*DropAnalityka[[#This Row],[Quality/Quantity]],0)</f>
        <v>0</v>
      </c>
      <c r="K19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2" spans="10:12">
      <c r="J1902">
        <f>DropAnalityka[[#This Row],[Sell Drop]]+IF(DropAnalityka[[#This Row],[Drop]]="Scroll", 2000*DropAnalityka[[#This Row],[Quality/Quantity]],0)</f>
        <v>0</v>
      </c>
      <c r="K19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3" spans="10:12">
      <c r="J1903">
        <f>DropAnalityka[[#This Row],[Sell Drop]]+IF(DropAnalityka[[#This Row],[Drop]]="Scroll", 2000*DropAnalityka[[#This Row],[Quality/Quantity]],0)</f>
        <v>0</v>
      </c>
      <c r="K19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4" spans="10:12">
      <c r="J1904">
        <f>DropAnalityka[[#This Row],[Sell Drop]]+IF(DropAnalityka[[#This Row],[Drop]]="Scroll", 2000*DropAnalityka[[#This Row],[Quality/Quantity]],0)</f>
        <v>0</v>
      </c>
      <c r="K19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5" spans="10:12">
      <c r="J1905">
        <f>DropAnalityka[[#This Row],[Sell Drop]]+IF(DropAnalityka[[#This Row],[Drop]]="Scroll", 2000*DropAnalityka[[#This Row],[Quality/Quantity]],0)</f>
        <v>0</v>
      </c>
      <c r="K19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6" spans="10:12">
      <c r="J1906">
        <f>DropAnalityka[[#This Row],[Sell Drop]]+IF(DropAnalityka[[#This Row],[Drop]]="Scroll", 2000*DropAnalityka[[#This Row],[Quality/Quantity]],0)</f>
        <v>0</v>
      </c>
      <c r="K19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7" spans="10:12">
      <c r="J1907">
        <f>DropAnalityka[[#This Row],[Sell Drop]]+IF(DropAnalityka[[#This Row],[Drop]]="Scroll", 2000*DropAnalityka[[#This Row],[Quality/Quantity]],0)</f>
        <v>0</v>
      </c>
      <c r="K19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8" spans="10:12">
      <c r="J1908">
        <f>DropAnalityka[[#This Row],[Sell Drop]]+IF(DropAnalityka[[#This Row],[Drop]]="Scroll", 2000*DropAnalityka[[#This Row],[Quality/Quantity]],0)</f>
        <v>0</v>
      </c>
      <c r="K19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9" spans="10:12">
      <c r="J1909">
        <f>DropAnalityka[[#This Row],[Sell Drop]]+IF(DropAnalityka[[#This Row],[Drop]]="Scroll", 2000*DropAnalityka[[#This Row],[Quality/Quantity]],0)</f>
        <v>0</v>
      </c>
      <c r="K19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0" spans="10:12">
      <c r="J1910">
        <f>DropAnalityka[[#This Row],[Sell Drop]]+IF(DropAnalityka[[#This Row],[Drop]]="Scroll", 2000*DropAnalityka[[#This Row],[Quality/Quantity]],0)</f>
        <v>0</v>
      </c>
      <c r="K19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1" spans="10:12">
      <c r="J1911">
        <f>DropAnalityka[[#This Row],[Sell Drop]]+IF(DropAnalityka[[#This Row],[Drop]]="Scroll", 2000*DropAnalityka[[#This Row],[Quality/Quantity]],0)</f>
        <v>0</v>
      </c>
      <c r="K19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2" spans="10:12">
      <c r="J1912">
        <f>DropAnalityka[[#This Row],[Sell Drop]]+IF(DropAnalityka[[#This Row],[Drop]]="Scroll", 2000*DropAnalityka[[#This Row],[Quality/Quantity]],0)</f>
        <v>0</v>
      </c>
      <c r="K19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3" spans="10:12">
      <c r="J1913">
        <f>DropAnalityka[[#This Row],[Sell Drop]]+IF(DropAnalityka[[#This Row],[Drop]]="Scroll", 2000*DropAnalityka[[#This Row],[Quality/Quantity]],0)</f>
        <v>0</v>
      </c>
      <c r="K19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4" spans="10:12">
      <c r="J1914">
        <f>DropAnalityka[[#This Row],[Sell Drop]]+IF(DropAnalityka[[#This Row],[Drop]]="Scroll", 2000*DropAnalityka[[#This Row],[Quality/Quantity]],0)</f>
        <v>0</v>
      </c>
      <c r="K19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5" spans="10:12">
      <c r="J1915">
        <f>DropAnalityka[[#This Row],[Sell Drop]]+IF(DropAnalityka[[#This Row],[Drop]]="Scroll", 2000*DropAnalityka[[#This Row],[Quality/Quantity]],0)</f>
        <v>0</v>
      </c>
      <c r="K19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6" spans="10:12">
      <c r="J1916">
        <f>DropAnalityka[[#This Row],[Sell Drop]]+IF(DropAnalityka[[#This Row],[Drop]]="Scroll", 2000*DropAnalityka[[#This Row],[Quality/Quantity]],0)</f>
        <v>0</v>
      </c>
      <c r="K19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7" spans="10:12">
      <c r="J1917">
        <f>DropAnalityka[[#This Row],[Sell Drop]]+IF(DropAnalityka[[#This Row],[Drop]]="Scroll", 2000*DropAnalityka[[#This Row],[Quality/Quantity]],0)</f>
        <v>0</v>
      </c>
      <c r="K19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8" spans="10:12">
      <c r="J1918">
        <f>DropAnalityka[[#This Row],[Sell Drop]]+IF(DropAnalityka[[#This Row],[Drop]]="Scroll", 2000*DropAnalityka[[#This Row],[Quality/Quantity]],0)</f>
        <v>0</v>
      </c>
      <c r="K19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9" spans="10:12">
      <c r="J1919">
        <f>DropAnalityka[[#This Row],[Sell Drop]]+IF(DropAnalityka[[#This Row],[Drop]]="Scroll", 2000*DropAnalityka[[#This Row],[Quality/Quantity]],0)</f>
        <v>0</v>
      </c>
      <c r="K19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0" spans="10:12">
      <c r="J1920">
        <f>DropAnalityka[[#This Row],[Sell Drop]]+IF(DropAnalityka[[#This Row],[Drop]]="Scroll", 2000*DropAnalityka[[#This Row],[Quality/Quantity]],0)</f>
        <v>0</v>
      </c>
      <c r="K19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1" spans="10:12">
      <c r="J1921">
        <f>DropAnalityka[[#This Row],[Sell Drop]]+IF(DropAnalityka[[#This Row],[Drop]]="Scroll", 2000*DropAnalityka[[#This Row],[Quality/Quantity]],0)</f>
        <v>0</v>
      </c>
      <c r="K19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2" spans="10:12">
      <c r="J1922">
        <f>DropAnalityka[[#This Row],[Sell Drop]]+IF(DropAnalityka[[#This Row],[Drop]]="Scroll", 2000*DropAnalityka[[#This Row],[Quality/Quantity]],0)</f>
        <v>0</v>
      </c>
      <c r="K19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3" spans="10:12">
      <c r="J1923">
        <f>DropAnalityka[[#This Row],[Sell Drop]]+IF(DropAnalityka[[#This Row],[Drop]]="Scroll", 2000*DropAnalityka[[#This Row],[Quality/Quantity]],0)</f>
        <v>0</v>
      </c>
      <c r="K19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4" spans="10:12">
      <c r="J1924">
        <f>DropAnalityka[[#This Row],[Sell Drop]]+IF(DropAnalityka[[#This Row],[Drop]]="Scroll", 2000*DropAnalityka[[#This Row],[Quality/Quantity]],0)</f>
        <v>0</v>
      </c>
      <c r="K19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5" spans="10:12">
      <c r="J1925">
        <f>DropAnalityka[[#This Row],[Sell Drop]]+IF(DropAnalityka[[#This Row],[Drop]]="Scroll", 2000*DropAnalityka[[#This Row],[Quality/Quantity]],0)</f>
        <v>0</v>
      </c>
      <c r="K19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6" spans="10:12">
      <c r="J1926">
        <f>DropAnalityka[[#This Row],[Sell Drop]]+IF(DropAnalityka[[#This Row],[Drop]]="Scroll", 2000*DropAnalityka[[#This Row],[Quality/Quantity]],0)</f>
        <v>0</v>
      </c>
      <c r="K19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7" spans="10:12">
      <c r="J1927">
        <f>DropAnalityka[[#This Row],[Sell Drop]]+IF(DropAnalityka[[#This Row],[Drop]]="Scroll", 2000*DropAnalityka[[#This Row],[Quality/Quantity]],0)</f>
        <v>0</v>
      </c>
      <c r="K19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8" spans="10:12">
      <c r="J1928">
        <f>DropAnalityka[[#This Row],[Sell Drop]]+IF(DropAnalityka[[#This Row],[Drop]]="Scroll", 2000*DropAnalityka[[#This Row],[Quality/Quantity]],0)</f>
        <v>0</v>
      </c>
      <c r="K19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9" spans="10:12">
      <c r="J1929">
        <f>DropAnalityka[[#This Row],[Sell Drop]]+IF(DropAnalityka[[#This Row],[Drop]]="Scroll", 2000*DropAnalityka[[#This Row],[Quality/Quantity]],0)</f>
        <v>0</v>
      </c>
      <c r="K19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0" spans="10:12">
      <c r="J1930">
        <f>DropAnalityka[[#This Row],[Sell Drop]]+IF(DropAnalityka[[#This Row],[Drop]]="Scroll", 2000*DropAnalityka[[#This Row],[Quality/Quantity]],0)</f>
        <v>0</v>
      </c>
      <c r="K19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1" spans="10:12">
      <c r="J1931">
        <f>DropAnalityka[[#This Row],[Sell Drop]]+IF(DropAnalityka[[#This Row],[Drop]]="Scroll", 2000*DropAnalityka[[#This Row],[Quality/Quantity]],0)</f>
        <v>0</v>
      </c>
      <c r="K19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2" spans="10:12">
      <c r="J1932">
        <f>DropAnalityka[[#This Row],[Sell Drop]]+IF(DropAnalityka[[#This Row],[Drop]]="Scroll", 2000*DropAnalityka[[#This Row],[Quality/Quantity]],0)</f>
        <v>0</v>
      </c>
      <c r="K19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3" spans="10:12">
      <c r="J1933">
        <f>DropAnalityka[[#This Row],[Sell Drop]]+IF(DropAnalityka[[#This Row],[Drop]]="Scroll", 2000*DropAnalityka[[#This Row],[Quality/Quantity]],0)</f>
        <v>0</v>
      </c>
      <c r="K19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4" spans="10:12">
      <c r="J1934">
        <f>DropAnalityka[[#This Row],[Sell Drop]]+IF(DropAnalityka[[#This Row],[Drop]]="Scroll", 2000*DropAnalityka[[#This Row],[Quality/Quantity]],0)</f>
        <v>0</v>
      </c>
      <c r="K19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5" spans="10:12">
      <c r="J1935">
        <f>DropAnalityka[[#This Row],[Sell Drop]]+IF(DropAnalityka[[#This Row],[Drop]]="Scroll", 2000*DropAnalityka[[#This Row],[Quality/Quantity]],0)</f>
        <v>0</v>
      </c>
      <c r="K19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6" spans="10:12">
      <c r="J1936">
        <f>DropAnalityka[[#This Row],[Sell Drop]]+IF(DropAnalityka[[#This Row],[Drop]]="Scroll", 2000*DropAnalityka[[#This Row],[Quality/Quantity]],0)</f>
        <v>0</v>
      </c>
      <c r="K19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7" spans="10:12">
      <c r="J1937">
        <f>DropAnalityka[[#This Row],[Sell Drop]]+IF(DropAnalityka[[#This Row],[Drop]]="Scroll", 2000*DropAnalityka[[#This Row],[Quality/Quantity]],0)</f>
        <v>0</v>
      </c>
      <c r="K19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8" spans="10:12">
      <c r="J1938">
        <f>DropAnalityka[[#This Row],[Sell Drop]]+IF(DropAnalityka[[#This Row],[Drop]]="Scroll", 2000*DropAnalityka[[#This Row],[Quality/Quantity]],0)</f>
        <v>0</v>
      </c>
      <c r="K19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9" spans="10:12">
      <c r="J1939">
        <f>DropAnalityka[[#This Row],[Sell Drop]]+IF(DropAnalityka[[#This Row],[Drop]]="Scroll", 2000*DropAnalityka[[#This Row],[Quality/Quantity]],0)</f>
        <v>0</v>
      </c>
      <c r="K19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0" spans="10:12">
      <c r="J1940">
        <f>DropAnalityka[[#This Row],[Sell Drop]]+IF(DropAnalityka[[#This Row],[Drop]]="Scroll", 2000*DropAnalityka[[#This Row],[Quality/Quantity]],0)</f>
        <v>0</v>
      </c>
      <c r="K19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1" spans="10:12">
      <c r="J1941">
        <f>DropAnalityka[[#This Row],[Sell Drop]]+IF(DropAnalityka[[#This Row],[Drop]]="Scroll", 2000*DropAnalityka[[#This Row],[Quality/Quantity]],0)</f>
        <v>0</v>
      </c>
      <c r="K19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2" spans="10:12">
      <c r="J1942">
        <f>DropAnalityka[[#This Row],[Sell Drop]]+IF(DropAnalityka[[#This Row],[Drop]]="Scroll", 2000*DropAnalityka[[#This Row],[Quality/Quantity]],0)</f>
        <v>0</v>
      </c>
      <c r="K19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3" spans="10:12">
      <c r="J1943">
        <f>DropAnalityka[[#This Row],[Sell Drop]]+IF(DropAnalityka[[#This Row],[Drop]]="Scroll", 2000*DropAnalityka[[#This Row],[Quality/Quantity]],0)</f>
        <v>0</v>
      </c>
      <c r="K19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4" spans="10:12">
      <c r="J1944">
        <f>DropAnalityka[[#This Row],[Sell Drop]]+IF(DropAnalityka[[#This Row],[Drop]]="Scroll", 2000*DropAnalityka[[#This Row],[Quality/Quantity]],0)</f>
        <v>0</v>
      </c>
      <c r="K19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5" spans="10:12">
      <c r="J1945">
        <f>DropAnalityka[[#This Row],[Sell Drop]]+IF(DropAnalityka[[#This Row],[Drop]]="Scroll", 2000*DropAnalityka[[#This Row],[Quality/Quantity]],0)</f>
        <v>0</v>
      </c>
      <c r="K19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6" spans="10:12">
      <c r="J1946">
        <f>DropAnalityka[[#This Row],[Sell Drop]]+IF(DropAnalityka[[#This Row],[Drop]]="Scroll", 2000*DropAnalityka[[#This Row],[Quality/Quantity]],0)</f>
        <v>0</v>
      </c>
      <c r="K19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7" spans="10:12">
      <c r="J1947">
        <f>DropAnalityka[[#This Row],[Sell Drop]]+IF(DropAnalityka[[#This Row],[Drop]]="Scroll", 2000*DropAnalityka[[#This Row],[Quality/Quantity]],0)</f>
        <v>0</v>
      </c>
      <c r="K19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8" spans="10:12">
      <c r="J1948">
        <f>DropAnalityka[[#This Row],[Sell Drop]]+IF(DropAnalityka[[#This Row],[Drop]]="Scroll", 2000*DropAnalityka[[#This Row],[Quality/Quantity]],0)</f>
        <v>0</v>
      </c>
      <c r="K19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9" spans="10:12">
      <c r="J1949">
        <f>DropAnalityka[[#This Row],[Sell Drop]]+IF(DropAnalityka[[#This Row],[Drop]]="Scroll", 2000*DropAnalityka[[#This Row],[Quality/Quantity]],0)</f>
        <v>0</v>
      </c>
      <c r="K19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0" spans="10:12">
      <c r="J1950">
        <f>DropAnalityka[[#This Row],[Sell Drop]]+IF(DropAnalityka[[#This Row],[Drop]]="Scroll", 2000*DropAnalityka[[#This Row],[Quality/Quantity]],0)</f>
        <v>0</v>
      </c>
      <c r="K19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1" spans="10:12">
      <c r="J1951">
        <f>DropAnalityka[[#This Row],[Sell Drop]]+IF(DropAnalityka[[#This Row],[Drop]]="Scroll", 2000*DropAnalityka[[#This Row],[Quality/Quantity]],0)</f>
        <v>0</v>
      </c>
      <c r="K19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2" spans="10:12">
      <c r="J1952">
        <f>DropAnalityka[[#This Row],[Sell Drop]]+IF(DropAnalityka[[#This Row],[Drop]]="Scroll", 2000*DropAnalityka[[#This Row],[Quality/Quantity]],0)</f>
        <v>0</v>
      </c>
      <c r="K19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3" spans="10:12">
      <c r="J1953">
        <f>DropAnalityka[[#This Row],[Sell Drop]]+IF(DropAnalityka[[#This Row],[Drop]]="Scroll", 2000*DropAnalityka[[#This Row],[Quality/Quantity]],0)</f>
        <v>0</v>
      </c>
      <c r="K19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4" spans="10:12">
      <c r="J1954">
        <f>DropAnalityka[[#This Row],[Sell Drop]]+IF(DropAnalityka[[#This Row],[Drop]]="Scroll", 2000*DropAnalityka[[#This Row],[Quality/Quantity]],0)</f>
        <v>0</v>
      </c>
      <c r="K19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5" spans="10:12">
      <c r="J1955">
        <f>DropAnalityka[[#This Row],[Sell Drop]]+IF(DropAnalityka[[#This Row],[Drop]]="Scroll", 2000*DropAnalityka[[#This Row],[Quality/Quantity]],0)</f>
        <v>0</v>
      </c>
      <c r="K19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6" spans="10:12">
      <c r="J1956">
        <f>DropAnalityka[[#This Row],[Sell Drop]]+IF(DropAnalityka[[#This Row],[Drop]]="Scroll", 2000*DropAnalityka[[#This Row],[Quality/Quantity]],0)</f>
        <v>0</v>
      </c>
      <c r="K19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7" spans="10:12">
      <c r="J1957">
        <f>DropAnalityka[[#This Row],[Sell Drop]]+IF(DropAnalityka[[#This Row],[Drop]]="Scroll", 2000*DropAnalityka[[#This Row],[Quality/Quantity]],0)</f>
        <v>0</v>
      </c>
      <c r="K19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8" spans="10:12">
      <c r="J1958">
        <f>DropAnalityka[[#This Row],[Sell Drop]]+IF(DropAnalityka[[#This Row],[Drop]]="Scroll", 2000*DropAnalityka[[#This Row],[Quality/Quantity]],0)</f>
        <v>0</v>
      </c>
      <c r="K19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9" spans="10:12">
      <c r="J1959">
        <f>DropAnalityka[[#This Row],[Sell Drop]]+IF(DropAnalityka[[#This Row],[Drop]]="Scroll", 2000*DropAnalityka[[#This Row],[Quality/Quantity]],0)</f>
        <v>0</v>
      </c>
      <c r="K19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0" spans="10:12">
      <c r="J1960">
        <f>DropAnalityka[[#This Row],[Sell Drop]]+IF(DropAnalityka[[#This Row],[Drop]]="Scroll", 2000*DropAnalityka[[#This Row],[Quality/Quantity]],0)</f>
        <v>0</v>
      </c>
      <c r="K19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1" spans="10:12">
      <c r="J1961">
        <f>DropAnalityka[[#This Row],[Sell Drop]]+IF(DropAnalityka[[#This Row],[Drop]]="Scroll", 2000*DropAnalityka[[#This Row],[Quality/Quantity]],0)</f>
        <v>0</v>
      </c>
      <c r="K19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2" spans="10:12">
      <c r="J1962">
        <f>DropAnalityka[[#This Row],[Sell Drop]]+IF(DropAnalityka[[#This Row],[Drop]]="Scroll", 2000*DropAnalityka[[#This Row],[Quality/Quantity]],0)</f>
        <v>0</v>
      </c>
      <c r="K19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3" spans="10:12">
      <c r="J1963">
        <f>DropAnalityka[[#This Row],[Sell Drop]]+IF(DropAnalityka[[#This Row],[Drop]]="Scroll", 2000*DropAnalityka[[#This Row],[Quality/Quantity]],0)</f>
        <v>0</v>
      </c>
      <c r="K19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4" spans="10:12">
      <c r="J1964">
        <f>DropAnalityka[[#This Row],[Sell Drop]]+IF(DropAnalityka[[#This Row],[Drop]]="Scroll", 2000*DropAnalityka[[#This Row],[Quality/Quantity]],0)</f>
        <v>0</v>
      </c>
      <c r="K19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5" spans="10:12">
      <c r="J1965">
        <f>DropAnalityka[[#This Row],[Sell Drop]]+IF(DropAnalityka[[#This Row],[Drop]]="Scroll", 2000*DropAnalityka[[#This Row],[Quality/Quantity]],0)</f>
        <v>0</v>
      </c>
      <c r="K19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6" spans="10:12">
      <c r="J1966">
        <f>DropAnalityka[[#This Row],[Sell Drop]]+IF(DropAnalityka[[#This Row],[Drop]]="Scroll", 2000*DropAnalityka[[#This Row],[Quality/Quantity]],0)</f>
        <v>0</v>
      </c>
      <c r="K19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7" spans="10:12">
      <c r="J1967">
        <f>DropAnalityka[[#This Row],[Sell Drop]]+IF(DropAnalityka[[#This Row],[Drop]]="Scroll", 2000*DropAnalityka[[#This Row],[Quality/Quantity]],0)</f>
        <v>0</v>
      </c>
      <c r="K19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8" spans="10:12">
      <c r="J1968">
        <f>DropAnalityka[[#This Row],[Sell Drop]]+IF(DropAnalityka[[#This Row],[Drop]]="Scroll", 2000*DropAnalityka[[#This Row],[Quality/Quantity]],0)</f>
        <v>0</v>
      </c>
      <c r="K19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9" spans="10:12">
      <c r="J1969">
        <f>DropAnalityka[[#This Row],[Sell Drop]]+IF(DropAnalityka[[#This Row],[Drop]]="Scroll", 2000*DropAnalityka[[#This Row],[Quality/Quantity]],0)</f>
        <v>0</v>
      </c>
      <c r="K19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0" spans="10:12">
      <c r="J1970">
        <f>DropAnalityka[[#This Row],[Sell Drop]]+IF(DropAnalityka[[#This Row],[Drop]]="Scroll", 2000*DropAnalityka[[#This Row],[Quality/Quantity]],0)</f>
        <v>0</v>
      </c>
      <c r="K19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1" spans="10:12">
      <c r="J1971">
        <f>DropAnalityka[[#This Row],[Sell Drop]]+IF(DropAnalityka[[#This Row],[Drop]]="Scroll", 2000*DropAnalityka[[#This Row],[Quality/Quantity]],0)</f>
        <v>0</v>
      </c>
      <c r="K19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2" spans="10:12">
      <c r="J1972">
        <f>DropAnalityka[[#This Row],[Sell Drop]]+IF(DropAnalityka[[#This Row],[Drop]]="Scroll", 2000*DropAnalityka[[#This Row],[Quality/Quantity]],0)</f>
        <v>0</v>
      </c>
      <c r="K19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3" spans="10:12">
      <c r="J1973">
        <f>DropAnalityka[[#This Row],[Sell Drop]]+IF(DropAnalityka[[#This Row],[Drop]]="Scroll", 2000*DropAnalityka[[#This Row],[Quality/Quantity]],0)</f>
        <v>0</v>
      </c>
      <c r="K19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4" spans="10:12">
      <c r="J1974">
        <f>DropAnalityka[[#This Row],[Sell Drop]]+IF(DropAnalityka[[#This Row],[Drop]]="Scroll", 2000*DropAnalityka[[#This Row],[Quality/Quantity]],0)</f>
        <v>0</v>
      </c>
      <c r="K19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5" spans="10:12">
      <c r="J1975">
        <f>DropAnalityka[[#This Row],[Sell Drop]]+IF(DropAnalityka[[#This Row],[Drop]]="Scroll", 2000*DropAnalityka[[#This Row],[Quality/Quantity]],0)</f>
        <v>0</v>
      </c>
      <c r="K19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6" spans="10:12">
      <c r="J1976">
        <f>DropAnalityka[[#This Row],[Sell Drop]]+IF(DropAnalityka[[#This Row],[Drop]]="Scroll", 2000*DropAnalityka[[#This Row],[Quality/Quantity]],0)</f>
        <v>0</v>
      </c>
      <c r="K19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7" spans="10:12">
      <c r="J1977">
        <f>DropAnalityka[[#This Row],[Sell Drop]]+IF(DropAnalityka[[#This Row],[Drop]]="Scroll", 2000*DropAnalityka[[#This Row],[Quality/Quantity]],0)</f>
        <v>0</v>
      </c>
      <c r="K19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8" spans="10:12">
      <c r="J1978">
        <f>DropAnalityka[[#This Row],[Sell Drop]]+IF(DropAnalityka[[#This Row],[Drop]]="Scroll", 2000*DropAnalityka[[#This Row],[Quality/Quantity]],0)</f>
        <v>0</v>
      </c>
      <c r="K19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9" spans="10:12">
      <c r="J1979">
        <f>DropAnalityka[[#This Row],[Sell Drop]]+IF(DropAnalityka[[#This Row],[Drop]]="Scroll", 2000*DropAnalityka[[#This Row],[Quality/Quantity]],0)</f>
        <v>0</v>
      </c>
      <c r="K19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0" spans="10:12">
      <c r="J1980">
        <f>DropAnalityka[[#This Row],[Sell Drop]]+IF(DropAnalityka[[#This Row],[Drop]]="Scroll", 2000*DropAnalityka[[#This Row],[Quality/Quantity]],0)</f>
        <v>0</v>
      </c>
      <c r="K19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1" spans="10:12">
      <c r="J1981">
        <f>DropAnalityka[[#This Row],[Sell Drop]]+IF(DropAnalityka[[#This Row],[Drop]]="Scroll", 2000*DropAnalityka[[#This Row],[Quality/Quantity]],0)</f>
        <v>0</v>
      </c>
      <c r="K19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2" spans="10:12">
      <c r="J1982">
        <f>DropAnalityka[[#This Row],[Sell Drop]]+IF(DropAnalityka[[#This Row],[Drop]]="Scroll", 2000*DropAnalityka[[#This Row],[Quality/Quantity]],0)</f>
        <v>0</v>
      </c>
      <c r="K19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3" spans="10:12">
      <c r="J1983">
        <f>DropAnalityka[[#This Row],[Sell Drop]]+IF(DropAnalityka[[#This Row],[Drop]]="Scroll", 2000*DropAnalityka[[#This Row],[Quality/Quantity]],0)</f>
        <v>0</v>
      </c>
      <c r="K19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4" spans="10:12">
      <c r="J1984">
        <f>DropAnalityka[[#This Row],[Sell Drop]]+IF(DropAnalityka[[#This Row],[Drop]]="Scroll", 2000*DropAnalityka[[#This Row],[Quality/Quantity]],0)</f>
        <v>0</v>
      </c>
      <c r="K19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5" spans="1:13">
      <c r="J1985">
        <f>DropAnalityka[[#This Row],[Sell Drop]]+IF(DropAnalityka[[#This Row],[Drop]]="Scroll", 2000*DropAnalityka[[#This Row],[Quality/Quantity]],0)</f>
        <v>0</v>
      </c>
      <c r="K19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6" spans="1:13">
      <c r="J1986">
        <f>DropAnalityka[[#This Row],[Sell Drop]]+IF(DropAnalityka[[#This Row],[Drop]]="Scroll", 2000*DropAnalityka[[#This Row],[Quality/Quantity]],0)</f>
        <v>0</v>
      </c>
      <c r="K19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7" spans="1:13">
      <c r="J1987">
        <f>DropAnalityka[[#This Row],[Sell Drop]]+IF(DropAnalityka[[#This Row],[Drop]]="Scroll", 2000*DropAnalityka[[#This Row],[Quality/Quantity]],0)</f>
        <v>0</v>
      </c>
      <c r="K19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8" spans="1:13">
      <c r="J1988">
        <f>DropAnalityka[[#This Row],[Sell Drop]]+IF(DropAnalityka[[#This Row],[Drop]]="Scroll", 2000*DropAnalityka[[#This Row],[Quality/Quantity]],0)</f>
        <v>0</v>
      </c>
      <c r="K19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9" spans="1:13">
      <c r="J1989">
        <f>DropAnalityka[[#This Row],[Sell Drop]]+IF(DropAnalityka[[#This Row],[Drop]]="Scroll", 2000*DropAnalityka[[#This Row],[Quality/Quantity]],0)</f>
        <v>0</v>
      </c>
      <c r="K19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0" spans="1:13">
      <c r="J1990">
        <f>DropAnalityka[[#This Row],[Sell Drop]]+IF(DropAnalityka[[#This Row],[Drop]]="Scroll", 2000*DropAnalityka[[#This Row],[Quality/Quantity]],0)</f>
        <v>0</v>
      </c>
      <c r="K19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1" spans="1:13">
      <c r="J1991">
        <f>DropAnalityka[[#This Row],[Sell Drop]]+IF(DropAnalityka[[#This Row],[Drop]]="Scroll", 2000*DropAnalityka[[#This Row],[Quality/Quantity]],0)</f>
        <v>0</v>
      </c>
      <c r="K19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2" spans="1:13">
      <c r="J1992">
        <f>DropAnalityka[[#This Row],[Sell Drop]]+IF(DropAnalityka[[#This Row],[Drop]]="Scroll", 2000*DropAnalityka[[#This Row],[Quality/Quantity]],0)</f>
        <v>0</v>
      </c>
      <c r="K19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3" spans="1:13">
      <c r="J1993">
        <f>DropAnalityka[[#This Row],[Sell Drop]]+IF(DropAnalityka[[#This Row],[Drop]]="Scroll", 2000*DropAnalityka[[#This Row],[Quality/Quantity]],0)</f>
        <v>0</v>
      </c>
      <c r="K19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4" spans="1:13">
      <c r="J1994">
        <f>DropAnalityka[[#This Row],[Sell Drop]]+IF(DropAnalityka[[#This Row],[Drop]]="Scroll", 2000*DropAnalityka[[#This Row],[Quality/Quantity]],0)</f>
        <v>0</v>
      </c>
      <c r="K19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5" spans="1:13">
      <c r="J1995">
        <f>DropAnalityka[[#This Row],[Sell Drop]]+IF(DropAnalityka[[#This Row],[Drop]]="Scroll", 2000*DropAnalityka[[#This Row],[Quality/Quantity]],0)</f>
        <v>0</v>
      </c>
      <c r="K19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6" spans="1:13">
      <c r="J1996">
        <f>DropAnalityka[[#This Row],[Sell Drop]]+IF(DropAnalityka[[#This Row],[Drop]]="Scroll", 2000*DropAnalityka[[#This Row],[Quality/Quantity]],0)</f>
        <v>0</v>
      </c>
      <c r="K19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7" spans="1:13">
      <c r="J1997">
        <f>DropAnalityka[[#This Row],[Sell Drop]]+IF(DropAnalityka[[#This Row],[Drop]]="Scroll", 2000*DropAnalityka[[#This Row],[Quality/Quantity]],0)</f>
        <v>0</v>
      </c>
      <c r="K19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8" spans="1:13">
      <c r="J1998">
        <f>DropAnalityka[[#This Row],[Sell Drop]]+IF(DropAnalityka[[#This Row],[Drop]]="Scroll", 2000*DropAnalityka[[#This Row],[Quality/Quantity]],0)</f>
        <v>0</v>
      </c>
      <c r="K19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9" spans="1:13">
      <c r="J1999">
        <f>DropAnalityka[[#This Row],[Sell Drop]]+IF(DropAnalityka[[#This Row],[Drop]]="Scroll", 2000*DropAnalityka[[#This Row],[Quality/Quantity]],0)</f>
        <v>0</v>
      </c>
      <c r="K19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Drop]]+IF(DropAnalityka[[#This Row],[Drop]]="Scroll", 2000*DropAnalityka[[#This Row],[Quality/Quantity]],0)</f>
        <v>0</v>
      </c>
      <c r="K2000" s="87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00" s="87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000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7"/>
  <sheetViews>
    <sheetView tabSelected="1" topLeftCell="A10" zoomScale="85" zoomScaleNormal="85" workbookViewId="0">
      <selection activeCell="M45" sqref="M45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57" t="s">
        <v>256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9"/>
    </row>
    <row r="3" spans="1:16" ht="15">
      <c r="A3" s="37" t="s">
        <v>234</v>
      </c>
      <c r="B3" s="36" t="s">
        <v>249</v>
      </c>
      <c r="C3" s="36" t="s">
        <v>255</v>
      </c>
      <c r="D3" s="36" t="s">
        <v>239</v>
      </c>
      <c r="E3" s="36" t="s">
        <v>249</v>
      </c>
      <c r="F3" s="36" t="s">
        <v>255</v>
      </c>
      <c r="G3" s="36" t="s">
        <v>244</v>
      </c>
      <c r="H3" s="36" t="s">
        <v>249</v>
      </c>
      <c r="I3" s="36" t="s">
        <v>255</v>
      </c>
      <c r="J3" s="57"/>
      <c r="K3" s="36" t="s">
        <v>249</v>
      </c>
      <c r="L3" s="58" t="s">
        <v>255</v>
      </c>
    </row>
    <row r="4" spans="1:16">
      <c r="A4" s="5" t="s">
        <v>237</v>
      </c>
      <c r="B4" s="6" t="s">
        <v>250</v>
      </c>
      <c r="C4" s="6" t="s">
        <v>226</v>
      </c>
      <c r="D4" s="6" t="s">
        <v>240</v>
      </c>
      <c r="E4" s="6" t="s">
        <v>250</v>
      </c>
      <c r="F4" s="6"/>
      <c r="G4" s="6" t="s">
        <v>245</v>
      </c>
      <c r="H4" s="6" t="s">
        <v>250</v>
      </c>
      <c r="I4" s="62" t="s">
        <v>226</v>
      </c>
      <c r="J4" s="59" t="s">
        <v>253</v>
      </c>
      <c r="K4" s="59" t="s">
        <v>34</v>
      </c>
      <c r="L4" s="60" t="s">
        <v>226</v>
      </c>
    </row>
    <row r="5" spans="1:16">
      <c r="A5" s="5" t="s">
        <v>236</v>
      </c>
      <c r="B5" s="6" t="s">
        <v>251</v>
      </c>
      <c r="C5" s="6" t="s">
        <v>226</v>
      </c>
      <c r="D5" s="6" t="s">
        <v>241</v>
      </c>
      <c r="E5" s="6" t="s">
        <v>251</v>
      </c>
      <c r="F5" s="62" t="s">
        <v>226</v>
      </c>
      <c r="G5" s="6" t="s">
        <v>246</v>
      </c>
      <c r="H5" s="6" t="s">
        <v>34</v>
      </c>
      <c r="I5" s="6" t="s">
        <v>226</v>
      </c>
      <c r="J5" s="6"/>
      <c r="K5" s="6"/>
      <c r="L5" s="61"/>
    </row>
    <row r="6" spans="1:16">
      <c r="A6" s="5" t="s">
        <v>235</v>
      </c>
      <c r="B6" s="6" t="s">
        <v>251</v>
      </c>
      <c r="C6" s="62" t="s">
        <v>226</v>
      </c>
      <c r="D6" s="6" t="s">
        <v>242</v>
      </c>
      <c r="E6" s="6" t="s">
        <v>251</v>
      </c>
      <c r="F6" s="6" t="s">
        <v>226</v>
      </c>
      <c r="G6" s="6" t="s">
        <v>247</v>
      </c>
      <c r="H6" s="6" t="s">
        <v>250</v>
      </c>
      <c r="I6" s="62" t="s">
        <v>226</v>
      </c>
      <c r="J6" s="6"/>
      <c r="K6" s="6"/>
      <c r="L6" s="61"/>
    </row>
    <row r="7" spans="1:16" ht="15" thickBot="1">
      <c r="A7" s="7" t="s">
        <v>238</v>
      </c>
      <c r="B7" s="8" t="s">
        <v>254</v>
      </c>
      <c r="C7" s="8" t="s">
        <v>226</v>
      </c>
      <c r="D7" s="8" t="s">
        <v>243</v>
      </c>
      <c r="E7" s="8" t="s">
        <v>252</v>
      </c>
      <c r="F7" s="8"/>
      <c r="G7" s="8" t="s">
        <v>248</v>
      </c>
      <c r="H7" s="8" t="s">
        <v>252</v>
      </c>
      <c r="I7" s="8" t="s">
        <v>226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0" t="s">
        <v>257</v>
      </c>
      <c r="E9" s="161"/>
      <c r="F9" s="161"/>
      <c r="G9" s="161"/>
      <c r="H9" s="161"/>
      <c r="I9" s="161"/>
      <c r="J9" s="161"/>
      <c r="K9" s="161"/>
      <c r="L9" s="161"/>
      <c r="M9" s="161"/>
      <c r="N9" s="161"/>
      <c r="O9" s="161"/>
      <c r="P9" s="162"/>
    </row>
    <row r="10" spans="1:16" ht="15">
      <c r="A10" s="37" t="s">
        <v>258</v>
      </c>
      <c r="B10" s="36" t="s">
        <v>249</v>
      </c>
      <c r="C10" s="36" t="s">
        <v>255</v>
      </c>
      <c r="D10" s="72" t="s">
        <v>259</v>
      </c>
      <c r="E10" s="71" t="s">
        <v>249</v>
      </c>
      <c r="F10" s="71" t="s">
        <v>255</v>
      </c>
      <c r="G10" s="71" t="s">
        <v>260</v>
      </c>
      <c r="H10" s="71" t="s">
        <v>249</v>
      </c>
      <c r="I10" s="71" t="s">
        <v>255</v>
      </c>
      <c r="J10" s="71" t="s">
        <v>203</v>
      </c>
      <c r="K10" s="71"/>
      <c r="L10" s="71" t="s">
        <v>249</v>
      </c>
      <c r="M10" s="71" t="s">
        <v>255</v>
      </c>
      <c r="N10" s="65"/>
      <c r="O10" s="71" t="s">
        <v>249</v>
      </c>
      <c r="P10" s="73" t="s">
        <v>255</v>
      </c>
    </row>
    <row r="11" spans="1:16">
      <c r="A11" s="5" t="s">
        <v>274</v>
      </c>
      <c r="B11" s="6" t="s">
        <v>251</v>
      </c>
      <c r="C11" s="74" t="s">
        <v>226</v>
      </c>
      <c r="D11" s="69" t="s">
        <v>261</v>
      </c>
      <c r="E11" s="65" t="s">
        <v>251</v>
      </c>
      <c r="F11" s="65" t="s">
        <v>226</v>
      </c>
      <c r="G11" s="65" t="s">
        <v>265</v>
      </c>
      <c r="H11" s="65" t="s">
        <v>34</v>
      </c>
      <c r="I11" s="65" t="s">
        <v>226</v>
      </c>
      <c r="J11" s="65" t="s">
        <v>269</v>
      </c>
      <c r="K11" s="65"/>
      <c r="L11" s="65" t="s">
        <v>34</v>
      </c>
      <c r="M11" s="65"/>
      <c r="N11" s="65" t="s">
        <v>273</v>
      </c>
      <c r="O11" s="65"/>
      <c r="P11" s="66" t="s">
        <v>226</v>
      </c>
    </row>
    <row r="12" spans="1:16">
      <c r="A12" s="5" t="s">
        <v>275</v>
      </c>
      <c r="B12" s="6" t="s">
        <v>34</v>
      </c>
      <c r="C12" s="74" t="s">
        <v>226</v>
      </c>
      <c r="D12" s="69" t="s">
        <v>262</v>
      </c>
      <c r="E12" s="65" t="s">
        <v>34</v>
      </c>
      <c r="F12" s="65" t="s">
        <v>226</v>
      </c>
      <c r="G12" s="65" t="s">
        <v>266</v>
      </c>
      <c r="H12" s="65" t="s">
        <v>250</v>
      </c>
      <c r="I12" s="65" t="s">
        <v>226</v>
      </c>
      <c r="J12" s="65" t="s">
        <v>270</v>
      </c>
      <c r="K12" s="65"/>
      <c r="L12" s="65" t="s">
        <v>250</v>
      </c>
      <c r="M12" s="65" t="s">
        <v>226</v>
      </c>
      <c r="N12" s="65"/>
      <c r="O12" s="65"/>
      <c r="P12" s="66"/>
    </row>
    <row r="13" spans="1:16">
      <c r="A13" s="5" t="s">
        <v>276</v>
      </c>
      <c r="B13" s="6" t="s">
        <v>251</v>
      </c>
      <c r="C13" s="74" t="s">
        <v>226</v>
      </c>
      <c r="D13" s="69" t="s">
        <v>263</v>
      </c>
      <c r="E13" s="65" t="s">
        <v>251</v>
      </c>
      <c r="F13" s="65" t="s">
        <v>226</v>
      </c>
      <c r="G13" s="65" t="s">
        <v>267</v>
      </c>
      <c r="H13" s="65" t="s">
        <v>251</v>
      </c>
      <c r="I13" s="65" t="s">
        <v>226</v>
      </c>
      <c r="J13" s="65" t="s">
        <v>271</v>
      </c>
      <c r="K13" s="65"/>
      <c r="L13" s="65" t="s">
        <v>250</v>
      </c>
      <c r="M13" s="65" t="s">
        <v>226</v>
      </c>
      <c r="N13" s="65"/>
      <c r="O13" s="65"/>
      <c r="P13" s="66"/>
    </row>
    <row r="14" spans="1:16" ht="15" thickBot="1">
      <c r="A14" s="7" t="s">
        <v>277</v>
      </c>
      <c r="B14" s="8" t="s">
        <v>250</v>
      </c>
      <c r="C14" s="75" t="s">
        <v>226</v>
      </c>
      <c r="D14" s="70" t="s">
        <v>264</v>
      </c>
      <c r="E14" s="67" t="s">
        <v>278</v>
      </c>
      <c r="F14" s="67" t="s">
        <v>226</v>
      </c>
      <c r="G14" s="67" t="s">
        <v>268</v>
      </c>
      <c r="H14" s="67" t="s">
        <v>278</v>
      </c>
      <c r="I14" s="67" t="s">
        <v>226</v>
      </c>
      <c r="J14" s="67" t="s">
        <v>272</v>
      </c>
      <c r="K14" s="67"/>
      <c r="L14" s="67" t="s">
        <v>278</v>
      </c>
      <c r="M14" s="67" t="s">
        <v>226</v>
      </c>
      <c r="N14" s="67"/>
      <c r="O14" s="67"/>
      <c r="P14" s="68"/>
    </row>
    <row r="17" spans="1:20" ht="15" thickBot="1"/>
    <row r="18" spans="1:20" ht="15" thickBot="1">
      <c r="F18" s="163" t="s">
        <v>285</v>
      </c>
      <c r="G18" s="164"/>
      <c r="H18" s="165"/>
      <c r="I18" s="166" t="s">
        <v>286</v>
      </c>
      <c r="J18" s="167"/>
      <c r="K18" s="168"/>
      <c r="L18" s="169" t="s">
        <v>18</v>
      </c>
      <c r="M18" s="170"/>
      <c r="N18" s="171"/>
      <c r="O18" s="172" t="s">
        <v>288</v>
      </c>
      <c r="P18" s="173"/>
      <c r="Q18" s="174"/>
      <c r="R18" s="154" t="s">
        <v>287</v>
      </c>
      <c r="S18" s="155"/>
      <c r="T18" s="156"/>
    </row>
    <row r="19" spans="1:20" ht="15.75" thickBot="1">
      <c r="C19" s="37" t="s">
        <v>281</v>
      </c>
      <c r="D19" s="36" t="s">
        <v>282</v>
      </c>
      <c r="E19" s="58" t="s">
        <v>283</v>
      </c>
      <c r="F19" s="91" t="s">
        <v>289</v>
      </c>
      <c r="G19" s="92" t="s">
        <v>320</v>
      </c>
      <c r="H19" s="93" t="s">
        <v>290</v>
      </c>
      <c r="I19" s="99" t="s">
        <v>289</v>
      </c>
      <c r="J19" s="100" t="s">
        <v>320</v>
      </c>
      <c r="K19" s="101" t="s">
        <v>290</v>
      </c>
      <c r="L19" s="107" t="s">
        <v>289</v>
      </c>
      <c r="M19" s="108" t="s">
        <v>320</v>
      </c>
      <c r="N19" s="109" t="s">
        <v>290</v>
      </c>
      <c r="O19" s="125" t="s">
        <v>289</v>
      </c>
      <c r="P19" s="126" t="s">
        <v>320</v>
      </c>
      <c r="Q19" s="127" t="s">
        <v>290</v>
      </c>
      <c r="R19" s="115" t="s">
        <v>289</v>
      </c>
      <c r="S19" s="116" t="s">
        <v>320</v>
      </c>
      <c r="T19" s="117" t="s">
        <v>290</v>
      </c>
    </row>
    <row r="20" spans="1:20" ht="15">
      <c r="A20" s="76" t="s">
        <v>284</v>
      </c>
      <c r="B20" s="81" t="s">
        <v>259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284</v>
      </c>
      <c r="B21" s="82" t="s">
        <v>261</v>
      </c>
      <c r="C21" s="5" t="s">
        <v>226</v>
      </c>
      <c r="D21" s="82" t="s">
        <v>293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284</v>
      </c>
      <c r="B22" s="82" t="s">
        <v>262</v>
      </c>
      <c r="C22" s="5" t="s">
        <v>226</v>
      </c>
      <c r="D22" s="82" t="s">
        <v>293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284</v>
      </c>
      <c r="B23" s="82" t="s">
        <v>263</v>
      </c>
      <c r="C23" s="5" t="s">
        <v>226</v>
      </c>
      <c r="D23" s="82" t="s">
        <v>293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284</v>
      </c>
      <c r="B24" s="83" t="s">
        <v>264</v>
      </c>
      <c r="C24" s="5" t="s">
        <v>226</v>
      </c>
      <c r="D24" s="5" t="s">
        <v>226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284</v>
      </c>
      <c r="B25" s="81" t="s">
        <v>260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284</v>
      </c>
      <c r="B26" s="82" t="s">
        <v>265</v>
      </c>
      <c r="C26" s="5" t="s">
        <v>226</v>
      </c>
      <c r="D26" s="82" t="s">
        <v>294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284</v>
      </c>
      <c r="B27" s="82" t="s">
        <v>266</v>
      </c>
      <c r="C27" s="5" t="s">
        <v>226</v>
      </c>
      <c r="D27" s="82" t="s">
        <v>294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284</v>
      </c>
      <c r="B28" s="82" t="s">
        <v>267</v>
      </c>
      <c r="C28" s="5" t="s">
        <v>226</v>
      </c>
      <c r="D28" s="82" t="s">
        <v>294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284</v>
      </c>
      <c r="B29" s="83" t="s">
        <v>268</v>
      </c>
      <c r="C29" s="5" t="s">
        <v>226</v>
      </c>
      <c r="D29" s="5" t="s">
        <v>226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284</v>
      </c>
      <c r="B30" s="81" t="s">
        <v>203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284</v>
      </c>
      <c r="B31" s="148" t="s">
        <v>269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284</v>
      </c>
      <c r="B32" s="82" t="s">
        <v>270</v>
      </c>
      <c r="C32" s="5" t="s">
        <v>226</v>
      </c>
      <c r="D32" s="82" t="s">
        <v>294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284</v>
      </c>
      <c r="B33" s="82" t="s">
        <v>271</v>
      </c>
      <c r="C33" s="5" t="s">
        <v>226</v>
      </c>
      <c r="D33" s="82" t="s">
        <v>294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284</v>
      </c>
      <c r="B34" s="83" t="s">
        <v>272</v>
      </c>
      <c r="C34" s="5" t="s">
        <v>226</v>
      </c>
      <c r="D34" s="5" t="s">
        <v>226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284</v>
      </c>
      <c r="B35" s="84" t="s">
        <v>273</v>
      </c>
      <c r="C35" s="7" t="s">
        <v>226</v>
      </c>
      <c r="D35" s="83" t="s">
        <v>294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291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292</v>
      </c>
      <c r="F37" s="95">
        <v>258</v>
      </c>
      <c r="G37" s="95">
        <v>61</v>
      </c>
      <c r="H37" s="95">
        <v>27</v>
      </c>
      <c r="I37" s="103">
        <v>39</v>
      </c>
      <c r="J37" s="103">
        <v>30</v>
      </c>
      <c r="K37" s="103">
        <v>14</v>
      </c>
      <c r="L37" s="111">
        <v>53</v>
      </c>
      <c r="M37" s="111">
        <v>23</v>
      </c>
      <c r="N37" s="111">
        <v>12</v>
      </c>
      <c r="O37" s="129">
        <v>159</v>
      </c>
      <c r="P37" s="129">
        <v>34</v>
      </c>
      <c r="Q37" s="129">
        <v>21</v>
      </c>
      <c r="R37" s="119">
        <v>19</v>
      </c>
      <c r="S37" s="119">
        <v>16</v>
      </c>
      <c r="T37" s="120">
        <v>5</v>
      </c>
    </row>
    <row r="38" spans="1:21" ht="15.75" thickBot="1">
      <c r="E38" s="86" t="s">
        <v>131</v>
      </c>
      <c r="F38" s="98">
        <f>MAXA(F36-F37,0)</f>
        <v>0</v>
      </c>
      <c r="G38" s="98">
        <f t="shared" ref="G38:T38" si="1">MAXA(G36-G37,0)</f>
        <v>4</v>
      </c>
      <c r="H38" s="98">
        <f t="shared" si="1"/>
        <v>0</v>
      </c>
      <c r="I38" s="106">
        <f t="shared" si="1"/>
        <v>6</v>
      </c>
      <c r="J38" s="106">
        <f t="shared" si="1"/>
        <v>35</v>
      </c>
      <c r="K38" s="106">
        <f t="shared" si="1"/>
        <v>0</v>
      </c>
      <c r="L38" s="114">
        <f t="shared" si="1"/>
        <v>0</v>
      </c>
      <c r="M38" s="114">
        <f t="shared" si="1"/>
        <v>42</v>
      </c>
      <c r="N38" s="114">
        <f t="shared" si="1"/>
        <v>13</v>
      </c>
      <c r="O38" s="132">
        <f t="shared" si="1"/>
        <v>0</v>
      </c>
      <c r="P38" s="132">
        <f t="shared" si="1"/>
        <v>98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2" t="s">
        <v>322</v>
      </c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3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7.419354838709677</v>
      </c>
      <c r="H40" s="136">
        <f>H$38/VLOOKUP(H$19,Tabela11[#All],6,FALSE)</f>
        <v>0</v>
      </c>
      <c r="I40" s="136">
        <f>I$38/VLOOKUP(I$19,Tabela11[#All],6,FALSE)</f>
        <v>5.564516129032258</v>
      </c>
      <c r="J40" s="136">
        <f>J$38/VLOOKUP(J$19,Tabela11[#All],6,FALSE)</f>
        <v>64.91935483870968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77.903225806451616</v>
      </c>
      <c r="N40" s="136">
        <f>N$38/VLOOKUP(N$19,Tabela11[#All],6,FALSE)</f>
        <v>55.370370370370367</v>
      </c>
      <c r="O40" s="136">
        <f>O$38/VLOOKUP(O$19,Tabela11[#All],6,FALSE)</f>
        <v>0</v>
      </c>
      <c r="P40" s="136">
        <f>P$38/VLOOKUP(P$19,Tabela11[#All],6,FALSE)</f>
        <v>181.7741935483871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18.285714285714285</v>
      </c>
      <c r="H41" s="136">
        <f>H$38/VLOOKUP(H$19,Tabela11[#All],5,FALSE)</f>
        <v>0</v>
      </c>
      <c r="I41" s="136">
        <f>I$38/VLOOKUP(I$19,Tabela11[#All],5,FALSE)</f>
        <v>4.4651162790697674</v>
      </c>
      <c r="J41" s="136">
        <f>J$38/VLOOKUP(J$19,Tabela11[#All],5,FALSE)</f>
        <v>160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192</v>
      </c>
      <c r="N41" s="136">
        <f>N$38/VLOOKUP(N$19,Tabela11[#All],5,FALSE)</f>
        <v>59.428571428571431</v>
      </c>
      <c r="O41" s="136">
        <f>O$38/VLOOKUP(O$19,Tabela11[#All],5,FALSE)</f>
        <v>0</v>
      </c>
      <c r="P41" s="136">
        <f>P$38/VLOOKUP(P$19,Tabela11[#All],5,FALSE)</f>
        <v>448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7.243243243243243</v>
      </c>
      <c r="H42" s="138">
        <f>H$38/VLOOKUP(H$19,Tabela11[#All],4,FALSE)</f>
        <v>0</v>
      </c>
      <c r="I42" s="138">
        <f>I$38/VLOOKUP(I$19,Tabela11[#All],4,FALSE)</f>
        <v>4.2315789473684209</v>
      </c>
      <c r="J42" s="138">
        <f>J$38/VLOOKUP(J$19,Tabela11[#All],4,FALSE)</f>
        <v>63.378378378378372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76.054054054054049</v>
      </c>
      <c r="N42" s="138">
        <f>N$38/VLOOKUP(N$19,Tabela11[#All],4,FALSE)</f>
        <v>96.777777777777771</v>
      </c>
      <c r="O42" s="138">
        <f>O$38/VLOOKUP(O$19,Tabela11[#All],4,FALSE)</f>
        <v>0</v>
      </c>
      <c r="P42" s="138">
        <f>P$38/VLOOKUP(P$19,Tabela11[#All],4,FALSE)</f>
        <v>177.45945945945945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49" t="s">
        <v>321</v>
      </c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1"/>
      <c r="U44" s="140" t="s">
        <v>323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46.148387096774186</v>
      </c>
      <c r="H45" s="144">
        <f>H$38/VLOOKUP(H$19,Tabela11[#All],6,FALSE)*(7-12*0.065)</f>
        <v>0</v>
      </c>
      <c r="I45" s="144">
        <f>I$38/VLOOKUP(I$19,Tabela11[#All],6,FALSE)*(7-12*0.065)</f>
        <v>34.611290322580643</v>
      </c>
      <c r="J45" s="144">
        <f>J$38/VLOOKUP(J$19,Tabela11[#All],6,FALSE)*(7-12*0.065)</f>
        <v>403.79838709677421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484.55806451612904</v>
      </c>
      <c r="N45" s="144">
        <f>N$38/VLOOKUP(N$19,Tabela11[#All],6,FALSE)*(7-12*0.065)</f>
        <v>344.40370370370368</v>
      </c>
      <c r="O45" s="144">
        <f>O$38/VLOOKUP(O$19,Tabela11[#All],6,FALSE)*(7-12*0.065)</f>
        <v>0</v>
      </c>
      <c r="P45" s="144">
        <f>P$38/VLOOKUP(P$19,Tabela11[#All],6,FALSE)*(7-12*0.065)</f>
        <v>1130.6354838709678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2065.1403225806453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113.73714285714284</v>
      </c>
      <c r="H46" s="144">
        <f>H$38/VLOOKUP(H$19,Tabela11[#All],5,FALSE)*(7-12*0.065)</f>
        <v>0</v>
      </c>
      <c r="I46" s="144">
        <f>I$38/VLOOKUP(I$19,Tabela11[#All],5,FALSE)*(7-12*0.065)</f>
        <v>27.773023255813953</v>
      </c>
      <c r="J46" s="144">
        <f>J$38/VLOOKUP(J$19,Tabela11[#All],5,FALSE)*(7-12*0.065)</f>
        <v>995.19999999999993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1194.24</v>
      </c>
      <c r="N46" s="144">
        <f>N$38/VLOOKUP(N$19,Tabela11[#All],5,FALSE)*(7-12*0.065)</f>
        <v>369.64571428571429</v>
      </c>
      <c r="O46" s="144">
        <f>O$38/VLOOKUP(O$19,Tabela11[#All],5,FALSE)*(7-12*0.065)</f>
        <v>0</v>
      </c>
      <c r="P46" s="144">
        <f>P$38/VLOOKUP(P$19,Tabela11[#All],5,FALSE)*(7-12*0.065)</f>
        <v>2786.56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5089.7371428571423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37.809729729729725</v>
      </c>
      <c r="H47" s="146">
        <f>H$38/VLOOKUP(H$19,Tabela11[#All],4,FALSE)*(6-12*0.065)</f>
        <v>0</v>
      </c>
      <c r="I47" s="146">
        <f>I$38/VLOOKUP(I$19,Tabela11[#All],4,FALSE)*(6-12*0.065)</f>
        <v>22.088842105263154</v>
      </c>
      <c r="J47" s="146">
        <f>J$38/VLOOKUP(J$19,Tabela11[#All],4,FALSE)*(6-12*0.065)</f>
        <v>330.83513513513509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397.00216216216211</v>
      </c>
      <c r="N47" s="146">
        <f>N$38/VLOOKUP(N$19,Tabela11[#All],4,FALSE)*(6-12*0.065)</f>
        <v>505.17999999999995</v>
      </c>
      <c r="O47" s="146">
        <f>O$38/VLOOKUP(O$19,Tabela11[#All],4,FALSE)*(6-12*0.065)</f>
        <v>0</v>
      </c>
      <c r="P47" s="146">
        <f>P$38/VLOOKUP(P$19,Tabela11[#All],4,FALSE)*(6-12*0.065)</f>
        <v>926.33837837837825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1800.163243243243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6"/>
  <sheetViews>
    <sheetView workbookViewId="0">
      <selection activeCell="P25" sqref="P25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195</v>
      </c>
      <c r="J1" s="85" t="s">
        <v>22</v>
      </c>
      <c r="K1" s="85" t="s">
        <v>57</v>
      </c>
      <c r="L1" s="85" t="s">
        <v>56</v>
      </c>
      <c r="M1" s="85" t="s">
        <v>199</v>
      </c>
      <c r="N1" s="85" t="s">
        <v>196</v>
      </c>
      <c r="O1" s="85" t="s">
        <v>201</v>
      </c>
      <c r="P1" s="85" t="s">
        <v>24</v>
      </c>
      <c r="Q1" s="85" t="s">
        <v>279</v>
      </c>
      <c r="R1" s="85" t="s">
        <v>295</v>
      </c>
      <c r="S1" s="85" t="s">
        <v>145</v>
      </c>
      <c r="T1" s="85" t="s">
        <v>144</v>
      </c>
      <c r="U1" t="s">
        <v>147</v>
      </c>
      <c r="V1" t="s">
        <v>148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5183.6111111111113</v>
      </c>
      <c r="J2" s="19">
        <f>AVERAGEIFS(DropAnalityka[Energy Drop],DropAnalityka[Location],LocFeatures[[#This Row],[Location]],DropAnalityka[LVL],LocFeatures[[#This Row],[LVL]],DropAnalityka[Stage],LocFeatures[[#This Row],[Stage]])</f>
        <v>0.72222222222222221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4510.1111111111113</v>
      </c>
      <c r="N2" s="56">
        <f>LocFeatures[[#This Row],[Drop worth gain]]/(LocFeatures[[#This Row],[E. Cost]]-LocFeatures[[#This Row],[Energy gain]])</f>
        <v>1581.4406779661017</v>
      </c>
      <c r="O2" s="56">
        <f>LocFeatures[[#This Row],[XP Train Gain]]/(LocFeatures[[#This Row],[E. Cost]]-LocFeatures[[#This Row],[Energy gain]])</f>
        <v>1215.457627118644</v>
      </c>
      <c r="P2" s="56">
        <f>(LocFeatures[[#This Row],[XP Train Gain]]+LocFeatures[[#This Row],[XP drop]])/(LocFeatures[[#This Row],[E. Cost]]-LocFeatures[[#This Row],[Energy gain]])</f>
        <v>2591.4237288135596</v>
      </c>
      <c r="Q2" s="53">
        <f>COUNTIFS(DropAnalityka[Location],LocFeatures[[#This Row],[Location]],DropAnalityka[LVL],LocFeatures[[#This Row],[LVL]],DropAnalityka[Stage],LocFeatures[[#This Row],[Stage]])</f>
        <v>18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5053.6470338983054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1417.5</v>
      </c>
      <c r="N3" s="56">
        <f>LocFeatures[[#This Row],[Drop worth gain]]/(LocFeatures[[#This Row],[E. Cost]]-LocFeatures[[#This Row],[Energy gain]])</f>
        <v>1792.2906403940885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1803.9014778325122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62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1130.6666666666667</v>
      </c>
      <c r="O4" s="56">
        <f>LocFeatures[[#This Row],[XP Train Gain]]/(LocFeatures[[#This Row],[E. Cost]]-LocFeatures[[#This Row],[Energy gain]])</f>
        <v>804</v>
      </c>
      <c r="P4" s="56">
        <f>(LocFeatures[[#This Row],[XP Train Gain]]+LocFeatures[[#This Row],[XP drop]])/(LocFeatures[[#This Row],[E. Cost]]-LocFeatures[[#This Row],[Energy gain]])</f>
        <v>804</v>
      </c>
      <c r="Q4" s="53">
        <f>COUNTIFS(DropAnalityka[Location],LocFeatures[[#This Row],[Location]],DropAnalityka[LVL],LocFeatures[[#This Row],[LVL]],DropAnalityka[Stage],LocFeatures[[#This Row],[Stage]])</f>
        <v>1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62</v>
      </c>
      <c r="B5" s="10" t="s">
        <v>9</v>
      </c>
      <c r="C5" s="10">
        <v>3</v>
      </c>
      <c r="D5" s="10">
        <v>3</v>
      </c>
      <c r="E5" s="10">
        <v>804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6">
        <f>AVERAGEIFS(DropAnalityka[Exp Gain],DropAnalityka[Location],LocFeatures[[#This Row],[Location]],DropAnalityka[LVL],LocFeatures[[#This Row],[LVL]],DropAnalityka[Stage],LocFeatures[[#This Row],[Stage]])</f>
        <v>0</v>
      </c>
      <c r="N5" s="56">
        <f>LocFeatures[[#This Row],[Drop worth gain]]/(LocFeatures[[#This Row],[E. Cost]]-LocFeatures[[#This Row],[Energy gain]])</f>
        <v>988</v>
      </c>
      <c r="O5" s="56">
        <f>LocFeatures[[#This Row],[XP Train Gain]]/(LocFeatures[[#This Row],[E. Cost]]-LocFeatures[[#This Row],[Energy gain]])</f>
        <v>804</v>
      </c>
      <c r="P5" s="56">
        <f>(LocFeatures[[#This Row],[XP Train Gain]]+LocFeatures[[#This Row],[XP drop]])/(LocFeatures[[#This Row],[E. Cost]]-LocFeatures[[#This Row],[Energy gain]])</f>
        <v>804</v>
      </c>
      <c r="Q5" s="53">
        <f>COUNTIFS(DropAnalityka[Location],LocFeatures[[#This Row],[Location]],DropAnalityka[LVL],LocFeatures[[#This Row],[LVL]],DropAnalityka[Stage],LocFeatures[[#This Row],[Stage]])</f>
        <v>2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5"/>
    </row>
    <row r="6" spans="1:22" s="10" customFormat="1">
      <c r="A6" s="10" t="s">
        <v>31</v>
      </c>
      <c r="B6" s="10" t="s">
        <v>30</v>
      </c>
      <c r="C6" s="10">
        <v>1</v>
      </c>
      <c r="D6" s="10">
        <v>4</v>
      </c>
      <c r="E6" s="10">
        <v>1276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5581.1860465116279</v>
      </c>
      <c r="J6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6" s="10">
        <f>4*LocFeatures[[#This Row],[XP Gain per member]]</f>
        <v>5104</v>
      </c>
      <c r="L6">
        <f>3*LocFeatures[[#This Row],[XP Gain per member]]</f>
        <v>3828</v>
      </c>
      <c r="M6" s="56">
        <f>AVERAGEIFS(DropAnalityka[Exp Gain],DropAnalityka[Location],LocFeatures[[#This Row],[Location]],DropAnalityka[LVL],LocFeatures[[#This Row],[LVL]],DropAnalityka[Stage],LocFeatures[[#This Row],[Stage]])</f>
        <v>4127.5348837209303</v>
      </c>
      <c r="N6" s="56">
        <f>LocFeatures[[#This Row],[Drop worth gain]]/(LocFeatures[[#This Row],[E. Cost]]-LocFeatures[[#This Row],[Energy gain]])</f>
        <v>1739.0652173913045</v>
      </c>
      <c r="O6" s="56">
        <f>LocFeatures[[#This Row],[XP Train Gain]]/(LocFeatures[[#This Row],[E. Cost]]-LocFeatures[[#This Row],[Energy gain]])</f>
        <v>1192.7826086956522</v>
      </c>
      <c r="P6" s="56">
        <f>(LocFeatures[[#This Row],[XP Train Gain]]+LocFeatures[[#This Row],[XP drop]])/(LocFeatures[[#This Row],[E. Cost]]-LocFeatures[[#This Row],[Energy gain]])</f>
        <v>2478.898550724638</v>
      </c>
      <c r="Q6" s="53">
        <f>COUNTIFS(DropAnalityka[Location],LocFeatures[[#This Row],[Location]],DropAnalityka[LVL],LocFeatures[[#This Row],[LVL]],DropAnalityka[Stage],LocFeatures[[#This Row],[Stage]])</f>
        <v>43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6"/>
    </row>
    <row r="7" spans="1:22" s="10" customFormat="1">
      <c r="A7" s="10" t="s">
        <v>31</v>
      </c>
      <c r="B7" s="10" t="s">
        <v>30</v>
      </c>
      <c r="C7" s="10">
        <v>11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4993.5753424657532</v>
      </c>
      <c r="J7" s="19">
        <f>AVERAGEIFS(DropAnalityka[Energy Drop],DropAnalityka[Location],LocFeatures[[#This Row],[Location]],DropAnalityka[LVL],LocFeatures[[#This Row],[LVL]],DropAnalityka[Stage],LocFeatures[[#This Row],[Stage]])</f>
        <v>0.9178082191780822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1733.4520547945206</v>
      </c>
      <c r="N7" s="56">
        <f>LocFeatures[[#This Row],[Drop worth gain]]/(LocFeatures[[#This Row],[E. Cost]]-LocFeatures[[#This Row],[Energy gain]])</f>
        <v>1620.1377777777777</v>
      </c>
      <c r="O7" s="56">
        <f>LocFeatures[[#This Row],[XP Train Gain]]/(LocFeatures[[#This Row],[E. Cost]]-LocFeatures[[#This Row],[Energy gain]])</f>
        <v>1241.9733333333334</v>
      </c>
      <c r="P7" s="56">
        <f>(LocFeatures[[#This Row],[XP Train Gain]]+LocFeatures[[#This Row],[XP drop]])/(LocFeatures[[#This Row],[E. Cost]]-LocFeatures[[#This Row],[Energy gain]])</f>
        <v>1804.3822222222223</v>
      </c>
      <c r="Q7" s="49">
        <f>COUNTIFS(DropAnalityka[Location],LocFeatures[[#This Row],[Location]],DropAnalityka[LVL],LocFeatures[[#This Row],[LVL]],DropAnalityka[Stage],LocFeatures[[#This Row],[Stage]])</f>
        <v>73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4650.6850987654325</v>
      </c>
      <c r="S7">
        <v>58</v>
      </c>
      <c r="T7" s="10" t="s">
        <v>280</v>
      </c>
      <c r="U7"/>
      <c r="V7"/>
    </row>
    <row r="8" spans="1:22" s="10" customFormat="1">
      <c r="A8" s="10" t="s">
        <v>31</v>
      </c>
      <c r="B8" s="10" t="s">
        <v>9</v>
      </c>
      <c r="C8" s="10">
        <v>1</v>
      </c>
      <c r="D8" s="10">
        <v>3</v>
      </c>
      <c r="E8" s="10">
        <v>756</v>
      </c>
      <c r="F8" s="10">
        <v>13</v>
      </c>
      <c r="G8" s="10" t="s">
        <v>18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8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8" s="10">
        <f>4*LocFeatures[[#This Row],[XP Gain per member]]</f>
        <v>3024</v>
      </c>
      <c r="L8">
        <f>3*LocFeatures[[#This Row],[XP Gain per member]]</f>
        <v>2268</v>
      </c>
      <c r="M8" s="56">
        <f>AVERAGEIFS(DropAnalityka[Exp Gain],DropAnalityka[Location],LocFeatures[[#This Row],[Location]],DropAnalityka[LVL],LocFeatures[[#This Row],[LVL]],DropAnalityka[Stage],LocFeatures[[#This Row],[Stage]])</f>
        <v>560</v>
      </c>
      <c r="N8" s="56">
        <f>LocFeatures[[#This Row],[Drop worth gain]]/(LocFeatures[[#This Row],[E. Cost]]-LocFeatures[[#This Row],[Energy gain]])</f>
        <v>1518.4476744186045</v>
      </c>
      <c r="O8" s="56">
        <f>LocFeatures[[#This Row],[XP Train Gain]]/(LocFeatures[[#This Row],[E. Cost]]-LocFeatures[[#This Row],[Energy gain]])</f>
        <v>1068.0697674418604</v>
      </c>
      <c r="P8" s="56">
        <f>(LocFeatures[[#This Row],[XP Train Gain]]+LocFeatures[[#This Row],[XP drop]])/(LocFeatures[[#This Row],[E. Cost]]-LocFeatures[[#This Row],[Energy gain]])</f>
        <v>1331.7906976744187</v>
      </c>
      <c r="Q8" s="53">
        <f>COUNTIFS(DropAnalityka[Location],LocFeatures[[#This Row],[Location]],DropAnalityka[LVL],LocFeatures[[#This Row],[LVL]],DropAnalityka[Stage],LocFeatures[[#This Row],[Stage]])</f>
        <v>81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8"/>
    </row>
    <row r="9" spans="1:22" s="10" customFormat="1">
      <c r="A9" s="10" t="s">
        <v>191</v>
      </c>
      <c r="B9" s="10" t="s">
        <v>9</v>
      </c>
      <c r="C9" s="10">
        <v>5</v>
      </c>
      <c r="D9" s="10">
        <v>6</v>
      </c>
      <c r="E9" s="10">
        <v>605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7394.5</v>
      </c>
      <c r="J9" s="19">
        <f>AVERAGEIFS(DropAnalityka[Energy Drop],DropAnalityka[Location],LocFeatures[[#This Row],[Location]],DropAnalityka[LVL],LocFeatures[[#This Row],[LVL]],DropAnalityka[Stage],LocFeatures[[#This Row],[Stage]])</f>
        <v>1.75</v>
      </c>
      <c r="K9" s="10">
        <f>5*LocFeatures[[#This Row],[XP Gain per member]]</f>
        <v>3025</v>
      </c>
      <c r="L9">
        <f>3*LocFeatures[[#This Row],[XP Gain per member]]</f>
        <v>1815</v>
      </c>
      <c r="M9" s="56">
        <f>AVERAGEIFS(DropAnalityka[Exp Gain],DropAnalityka[Location],LocFeatures[[#This Row],[Location]],DropAnalityka[LVL],LocFeatures[[#This Row],[LVL]],DropAnalityka[Stage],LocFeatures[[#This Row],[Stage]])</f>
        <v>0</v>
      </c>
      <c r="N9" s="56">
        <f>LocFeatures[[#This Row],[Drop worth gain]]/(LocFeatures[[#This Row],[E. Cost]]-LocFeatures[[#This Row],[Energy gain]])</f>
        <v>1739.8823529411766</v>
      </c>
      <c r="O9" s="56">
        <f>LocFeatures[[#This Row],[XP Train Gain]]/(LocFeatures[[#This Row],[E. Cost]]-LocFeatures[[#This Row],[Energy gain]])</f>
        <v>427.05882352941177</v>
      </c>
      <c r="P9" s="56">
        <f>(LocFeatures[[#This Row],[XP Train Gain]]+LocFeatures[[#This Row],[XP drop]])/(LocFeatures[[#This Row],[E. Cost]]-LocFeatures[[#This Row],[Energy gain]])</f>
        <v>427.05882352941177</v>
      </c>
      <c r="Q9" s="53">
        <f>COUNTIFS(DropAnalityka[Location],LocFeatures[[#This Row],[Location]],DropAnalityka[LVL],LocFeatures[[#This Row],[LVL]],DropAnalityka[Stage],LocFeatures[[#This Row],[Stage]])</f>
        <v>16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4742.6588235294112</v>
      </c>
      <c r="S9"/>
      <c r="T9"/>
      <c r="U9"/>
      <c r="V9"/>
    </row>
    <row r="10" spans="1:22" s="10" customFormat="1">
      <c r="A10" s="10" t="s">
        <v>191</v>
      </c>
      <c r="B10" s="10" t="s">
        <v>9</v>
      </c>
      <c r="C10" s="10">
        <v>6</v>
      </c>
      <c r="D10" s="10">
        <v>7</v>
      </c>
      <c r="E10" s="10">
        <v>760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7963.2727272727279</v>
      </c>
      <c r="J10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0" s="10">
        <f>5*LocFeatures[[#This Row],[XP Gain per member]]</f>
        <v>3800</v>
      </c>
      <c r="L10">
        <f>3*LocFeatures[[#This Row],[XP Gain per member]]</f>
        <v>2280</v>
      </c>
      <c r="M10" s="56">
        <f>AVERAGEIFS(DropAnalityka[Exp Gain],DropAnalityka[Location],LocFeatures[[#This Row],[Location]],DropAnalityka[LVL],LocFeatures[[#This Row],[LVL]],DropAnalityka[Stage],LocFeatures[[#This Row],[Stage]])</f>
        <v>6005.636363636364</v>
      </c>
      <c r="N10" s="56">
        <f>LocFeatures[[#This Row],[Drop worth gain]]/(LocFeatures[[#This Row],[E. Cost]]-LocFeatures[[#This Row],[Energy gain]])</f>
        <v>1307.4029850746269</v>
      </c>
      <c r="O10" s="56">
        <f>LocFeatures[[#This Row],[XP Train Gain]]/(LocFeatures[[#This Row],[E. Cost]]-LocFeatures[[#This Row],[Energy gain]])</f>
        <v>374.32835820895525</v>
      </c>
      <c r="P10" s="56">
        <f>(LocFeatures[[#This Row],[XP Train Gain]]+LocFeatures[[#This Row],[XP drop]])/(LocFeatures[[#This Row],[E. Cost]]-LocFeatures[[#This Row],[Energy gain]])</f>
        <v>1360.3283582089553</v>
      </c>
      <c r="Q10" s="53">
        <f>COUNTIFS(DropAnalityka[Location],LocFeatures[[#This Row],[Location]],DropAnalityka[LVL],LocFeatures[[#This Row],[LVL]],DropAnalityka[Stage],LocFeatures[[#This Row],[Stage]])</f>
        <v>11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3119.4985074626866</v>
      </c>
      <c r="S10"/>
      <c r="T10"/>
      <c r="U10"/>
      <c r="V10"/>
    </row>
    <row r="11" spans="1:22" s="10" customFormat="1">
      <c r="A11" s="10" t="s">
        <v>37</v>
      </c>
      <c r="B11" s="10" t="s">
        <v>9</v>
      </c>
      <c r="C11" s="10">
        <v>4</v>
      </c>
      <c r="D11" s="10">
        <v>5</v>
      </c>
      <c r="E11" s="10">
        <v>439</v>
      </c>
      <c r="F11" s="10">
        <v>10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1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1" s="10">
        <f>4*LocFeatures[[#This Row],[XP Gain per member]]</f>
        <v>1756</v>
      </c>
      <c r="L11">
        <f>3*LocFeatures[[#This Row],[XP Gain per member]]</f>
        <v>1317</v>
      </c>
      <c r="M11" s="56">
        <f>AVERAGEIFS(DropAnalityka[Exp Gain],DropAnalityka[Location],LocFeatures[[#This Row],[Location]],DropAnalityka[LVL],LocFeatures[[#This Row],[LVL]],DropAnalityka[Stage],LocFeatures[[#This Row],[Stage]])</f>
        <v>0</v>
      </c>
      <c r="N11" s="56">
        <f>LocFeatures[[#This Row],[Drop worth gain]]/(LocFeatures[[#This Row],[E. Cost]]-LocFeatures[[#This Row],[Energy gain]])</f>
        <v>962.46666666666681</v>
      </c>
      <c r="O11" s="56">
        <f>LocFeatures[[#This Row],[XP Train Gain]]/(LocFeatures[[#This Row],[E. Cost]]-LocFeatures[[#This Row],[Energy gain]])</f>
        <v>307.3</v>
      </c>
      <c r="P11" s="56">
        <f>(LocFeatures[[#This Row],[XP Train Gain]]+LocFeatures[[#This Row],[XP drop]])/(LocFeatures[[#This Row],[E. Cost]]-LocFeatures[[#This Row],[Energy gain]])</f>
        <v>307.3</v>
      </c>
      <c r="Q11" s="53">
        <f>COUNTIFS(DropAnalityka[Location],LocFeatures[[#This Row],[Location]],DropAnalityka[LVL],LocFeatures[[#This Row],[LVL]],DropAnalityka[Stage],LocFeatures[[#This Row],[Stage]])</f>
        <v>7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S11"/>
    </row>
    <row r="12" spans="1:22" s="10" customFormat="1">
      <c r="A12" s="10" t="s">
        <v>37</v>
      </c>
      <c r="B12" s="10" t="s">
        <v>9</v>
      </c>
      <c r="C12" s="10">
        <v>5</v>
      </c>
      <c r="D12">
        <v>6</v>
      </c>
      <c r="E12">
        <v>642</v>
      </c>
      <c r="F12">
        <v>12</v>
      </c>
      <c r="G12" t="s">
        <v>18</v>
      </c>
      <c r="H12" t="s">
        <v>21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2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2">
        <f>4*LocFeatures[[#This Row],[XP Gain per member]]</f>
        <v>2568</v>
      </c>
      <c r="L12">
        <f>3*LocFeatures[[#This Row],[XP Gain per member]]</f>
        <v>1926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263.25</v>
      </c>
      <c r="O12" s="56">
        <f>LocFeatures[[#This Row],[XP Train Gain]]/(LocFeatures[[#This Row],[E. Cost]]-LocFeatures[[#This Row],[Energy gain]])</f>
        <v>361.125</v>
      </c>
      <c r="P12" s="56">
        <f>(LocFeatures[[#This Row],[XP Train Gain]]+LocFeatures[[#This Row],[XP drop]])/(LocFeatures[[#This Row],[E. Cost]]-LocFeatures[[#This Row],[Energy gain]])</f>
        <v>361.125</v>
      </c>
      <c r="Q12" s="49">
        <f>COUNTIFS(DropAnalityka[Location],LocFeatures[[#This Row],[Location]],DropAnalityka[LVL],LocFeatures[[#This Row],[LVL]],DropAnalityka[Stage],LocFeatures[[#This Row],[Stage]])</f>
        <v>3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  <c r="S12"/>
      <c r="T12"/>
      <c r="U12"/>
      <c r="V12"/>
    </row>
    <row r="13" spans="1:22">
      <c r="A13" s="10" t="s">
        <v>37</v>
      </c>
      <c r="B13" s="10" t="s">
        <v>9</v>
      </c>
      <c r="C13" s="10">
        <v>7</v>
      </c>
      <c r="D13" s="10">
        <v>6</v>
      </c>
      <c r="E13" s="10">
        <v>616</v>
      </c>
      <c r="F13" s="10"/>
      <c r="G13" s="10"/>
      <c r="H13" s="10"/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3" s="10">
        <f>5*LocFeatures[[#This Row],[XP Gain per member]]</f>
        <v>3080</v>
      </c>
      <c r="L13">
        <f>3*LocFeatures[[#This Row],[XP Gain per member]]</f>
        <v>1848</v>
      </c>
      <c r="M13" s="56">
        <f>AVERAGEIFS(DropAnalityka[Exp Gain],DropAnalityka[Location],LocFeatures[[#This Row],[Location]],DropAnalityka[LVL],LocFeatures[[#This Row],[LVL]],DropAnalityka[Stage],LocFeatures[[#This Row],[Stage]])</f>
        <v>1065.516129032258</v>
      </c>
      <c r="N13" s="56">
        <f>LocFeatures[[#This Row],[Drop worth gain]]/(LocFeatures[[#This Row],[E. Cost]]-LocFeatures[[#This Row],[Energy gain]])</f>
        <v>605.169642857143</v>
      </c>
      <c r="O13" s="56">
        <f>LocFeatures[[#This Row],[XP Train Gain]]/(LocFeatures[[#This Row],[E. Cost]]-LocFeatures[[#This Row],[Energy gain]])</f>
        <v>341</v>
      </c>
      <c r="P13" s="56">
        <f>(LocFeatures[[#This Row],[XP Train Gain]]+LocFeatures[[#This Row],[XP drop]])/(LocFeatures[[#This Row],[E. Cost]]-LocFeatures[[#This Row],[Energy gain]])</f>
        <v>537.6130952380953</v>
      </c>
      <c r="Q13" s="53">
        <f>COUNTIFS(DropAnalityka[Location],LocFeatures[[#This Row],[Location]],DropAnalityka[LVL],LocFeatures[[#This Row],[LVL]],DropAnalityka[Stage],LocFeatures[[#This Row],[Stage]])</f>
        <v>62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4" spans="1:22">
      <c r="A14" t="s">
        <v>37</v>
      </c>
      <c r="B14" t="s">
        <v>9</v>
      </c>
      <c r="C14">
        <v>9</v>
      </c>
      <c r="D14">
        <v>7</v>
      </c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3899.3750000000005</v>
      </c>
      <c r="J14" s="19">
        <f>AVERAGEIFS(DropAnalityka[Energy Drop],DropAnalityka[Location],LocFeatures[[#This Row],[Location]],DropAnalityka[LVL],LocFeatures[[#This Row],[LVL]],DropAnalityka[Stage],LocFeatures[[#This Row],[Stage]])</f>
        <v>0.91666666666666663</v>
      </c>
      <c r="K14">
        <f>4*LocFeatures[[#This Row],[XP Gain per member]]</f>
        <v>0</v>
      </c>
      <c r="L14">
        <f>3*LocFeatures[[#This Row],[XP Gain per member]]</f>
        <v>0</v>
      </c>
      <c r="M14" s="56">
        <f>AVERAGEIFS(DropAnalityka[Exp Gain],DropAnalityka[Location],LocFeatures[[#This Row],[Location]],DropAnalityka[LVL],LocFeatures[[#This Row],[LVL]],DropAnalityka[Stage],LocFeatures[[#This Row],[Stage]])</f>
        <v>5505.166666666667</v>
      </c>
      <c r="N14" s="56">
        <f>LocFeatures[[#This Row],[Drop worth gain]]/(LocFeatures[[#This Row],[E. Cost]]-LocFeatures[[#This Row],[Energy gain]])</f>
        <v>640.99315068493161</v>
      </c>
      <c r="O14" s="56">
        <f>LocFeatures[[#This Row],[XP Train Gain]]/(LocFeatures[[#This Row],[E. Cost]]-LocFeatures[[#This Row],[Energy gain]])</f>
        <v>0</v>
      </c>
      <c r="P14" s="56">
        <f>(LocFeatures[[#This Row],[XP Train Gain]]+LocFeatures[[#This Row],[XP drop]])/(LocFeatures[[#This Row],[E. Cost]]-LocFeatures[[#This Row],[Energy gain]])</f>
        <v>904.95890410958918</v>
      </c>
      <c r="Q14" s="49">
        <f>COUNTIFS(DropAnalityka[Location],LocFeatures[[#This Row],[Location]],DropAnalityka[LVL],LocFeatures[[#This Row],[LVL]],DropAnalityka[Stage],LocFeatures[[#This Row],[Stage]])</f>
        <v>24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1457.4589041095892</v>
      </c>
    </row>
    <row r="15" spans="1:22">
      <c r="A15" s="10" t="s">
        <v>61</v>
      </c>
      <c r="B15" s="10" t="s">
        <v>32</v>
      </c>
      <c r="C15" s="10">
        <v>2</v>
      </c>
      <c r="D15" s="10">
        <v>5</v>
      </c>
      <c r="E15" s="10">
        <v>1500</v>
      </c>
      <c r="F15" s="10">
        <v>10</v>
      </c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5" s="19">
        <f>AVERAGEIFS(DropAnalityka[Energy Drop],DropAnalityka[Location],LocFeatures[[#This Row],[Location]],DropAnalityka[LVL],LocFeatures[[#This Row],[LVL]],DropAnalityka[Stage],LocFeatures[[#This Row],[Stage]])</f>
        <v>1</v>
      </c>
      <c r="K15" s="10">
        <f>4*LocFeatures[[#This Row],[XP Gain per member]]</f>
        <v>6000</v>
      </c>
      <c r="L15">
        <f>3*LocFeatures[[#This Row],[XP Gain per member]]</f>
        <v>4500</v>
      </c>
      <c r="M15" s="56">
        <f>AVERAGEIFS(DropAnalityka[Exp Gain],DropAnalityka[Location],LocFeatures[[#This Row],[Location]],DropAnalityka[LVL],LocFeatures[[#This Row],[LVL]],DropAnalityka[Stage],LocFeatures[[#This Row],[Stage]])</f>
        <v>66062</v>
      </c>
      <c r="N15" s="56">
        <f>LocFeatures[[#This Row],[Drop worth gain]]/(LocFeatures[[#This Row],[E. Cost]]-LocFeatures[[#This Row],[Energy gain]])</f>
        <v>3173</v>
      </c>
      <c r="O15" s="56">
        <f>LocFeatures[[#This Row],[XP Train Gain]]/(LocFeatures[[#This Row],[E. Cost]]-LocFeatures[[#This Row],[Energy gain]])</f>
        <v>1125</v>
      </c>
      <c r="P15" s="56">
        <f>(LocFeatures[[#This Row],[XP Train Gain]]+LocFeatures[[#This Row],[XP drop]])/(LocFeatures[[#This Row],[E. Cost]]-LocFeatures[[#This Row],[Energy gain]])</f>
        <v>17640.5</v>
      </c>
      <c r="Q15" s="53">
        <f>COUNTIFS(DropAnalityka[Location],LocFeatures[[#This Row],[Location]],DropAnalityka[LVL],LocFeatures[[#This Row],[LVL]],DropAnalityka[Stage],LocFeatures[[#This Row],[Stage]])</f>
        <v>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5" s="10"/>
      <c r="U15" s="10"/>
      <c r="V15" s="10"/>
    </row>
    <row r="16" spans="1:22">
      <c r="A16" s="10" t="s">
        <v>8</v>
      </c>
      <c r="B16" s="10" t="s">
        <v>30</v>
      </c>
      <c r="C16" s="10">
        <v>3</v>
      </c>
      <c r="D16" s="10">
        <v>4</v>
      </c>
      <c r="E16" s="10">
        <v>1098</v>
      </c>
      <c r="F16" s="10">
        <v>12</v>
      </c>
      <c r="G16" s="10" t="s">
        <v>18</v>
      </c>
      <c r="H16" s="10"/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4179.565312046444</v>
      </c>
      <c r="J1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6" s="10">
        <f>4*LocFeatures[[#This Row],[XP Gain per member]]</f>
        <v>4392</v>
      </c>
      <c r="L16">
        <f>3*LocFeatures[[#This Row],[XP Gain per member]]</f>
        <v>3294</v>
      </c>
      <c r="M16" s="56">
        <f>AVERAGEIFS(DropAnalityka[Exp Gain],DropAnalityka[Location],LocFeatures[[#This Row],[Location]],DropAnalityka[LVL],LocFeatures[[#This Row],[LVL]],DropAnalityka[Stage],LocFeatures[[#This Row],[Stage]])</f>
        <v>2387.5849056603774</v>
      </c>
      <c r="N16" s="56">
        <f>LocFeatures[[#This Row],[Drop worth gain]]/(LocFeatures[[#This Row],[E. Cost]]-LocFeatures[[#This Row],[Energy gain]])</f>
        <v>1334.4395273401299</v>
      </c>
      <c r="O16" s="56">
        <f>LocFeatures[[#This Row],[XP Train Gain]]/(LocFeatures[[#This Row],[E. Cost]]-LocFeatures[[#This Row],[Energy gain]])</f>
        <v>1051.698795180723</v>
      </c>
      <c r="P16" s="56">
        <f>(LocFeatures[[#This Row],[XP Train Gain]]+LocFeatures[[#This Row],[XP drop]])/(LocFeatures[[#This Row],[E. Cost]]-LocFeatures[[#This Row],[Energy gain]])</f>
        <v>1814.0000000000002</v>
      </c>
      <c r="Q16" s="53">
        <f>COUNTIFS(DropAnalityka[Location],LocFeatures[[#This Row],[Location]],DropAnalityka[LVL],LocFeatures[[#This Row],[LVL]],DropAnalityka[Stage],LocFeatures[[#This Row],[Stage]])</f>
        <v>53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6" s="10"/>
      <c r="U16" s="10"/>
      <c r="V16" s="10"/>
    </row>
    <row r="17" spans="1:22">
      <c r="A17" s="10" t="s">
        <v>8</v>
      </c>
      <c r="B17" s="10" t="s">
        <v>30</v>
      </c>
      <c r="C17" s="10">
        <v>6</v>
      </c>
      <c r="D17" s="10">
        <v>5</v>
      </c>
      <c r="E17" s="10">
        <v>1116</v>
      </c>
      <c r="F17" s="10">
        <v>12</v>
      </c>
      <c r="G17" s="10"/>
      <c r="H17" s="10"/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7" s="19">
        <f>AVERAGEIFS(DropAnalityka[Energy Drop],DropAnalityka[Location],LocFeatures[[#This Row],[Location]],DropAnalityka[LVL],LocFeatures[[#This Row],[LVL]],DropAnalityka[Stage],LocFeatures[[#This Row],[Stage]])</f>
        <v>1</v>
      </c>
      <c r="K17" s="10">
        <f>4*LocFeatures[[#This Row],[XP Gain per member]]</f>
        <v>4464</v>
      </c>
      <c r="L17">
        <f>3*LocFeatures[[#This Row],[XP Gain per member]]</f>
        <v>3348</v>
      </c>
      <c r="M17" s="56">
        <f>AVERAGEIFS(DropAnalityka[Exp Gain],DropAnalityka[Location],LocFeatures[[#This Row],[Location]],DropAnalityka[LVL],LocFeatures[[#This Row],[LVL]],DropAnalityka[Stage],LocFeatures[[#This Row],[Stage]])</f>
        <v>0</v>
      </c>
      <c r="N17" s="56">
        <f>LocFeatures[[#This Row],[Drop worth gain]]/(LocFeatures[[#This Row],[E. Cost]]-LocFeatures[[#This Row],[Energy gain]])</f>
        <v>663</v>
      </c>
      <c r="O17" s="56">
        <f>LocFeatures[[#This Row],[XP Train Gain]]/(LocFeatures[[#This Row],[E. Cost]]-LocFeatures[[#This Row],[Energy gain]])</f>
        <v>837</v>
      </c>
      <c r="P17" s="56">
        <f>(LocFeatures[[#This Row],[XP Train Gain]]+LocFeatures[[#This Row],[XP drop]])/(LocFeatures[[#This Row],[E. Cost]]-LocFeatures[[#This Row],[Energy gain]])</f>
        <v>837</v>
      </c>
      <c r="Q17" s="53">
        <f>COUNTIFS(DropAnalityka[Location],LocFeatures[[#This Row],[Location]],DropAnalityka[LVL],LocFeatures[[#This Row],[LVL]],DropAnalityka[Stage],LocFeatures[[#This Row],[Stage]])</f>
        <v>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7" s="10"/>
      <c r="U17" s="10"/>
      <c r="V17" s="10"/>
    </row>
    <row r="18" spans="1:22">
      <c r="A18" s="10" t="s">
        <v>8</v>
      </c>
      <c r="B18" s="10" t="s">
        <v>32</v>
      </c>
      <c r="C18" s="10">
        <v>3</v>
      </c>
      <c r="D18" s="10">
        <v>5</v>
      </c>
      <c r="E18" s="10">
        <v>1800</v>
      </c>
      <c r="F18" s="10">
        <v>12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8" s="10">
        <f>4*LocFeatures[[#This Row],[XP Gain per member]]</f>
        <v>7200</v>
      </c>
      <c r="L18">
        <f>3*LocFeatures[[#This Row],[XP Gain per member]]</f>
        <v>5400</v>
      </c>
      <c r="M18" s="56">
        <f>AVERAGEIFS(DropAnalityka[Exp Gain],DropAnalityka[Location],LocFeatures[[#This Row],[Location]],DropAnalityka[LVL],LocFeatures[[#This Row],[LVL]],DropAnalityka[Stage],LocFeatures[[#This Row],[Stage]])</f>
        <v>1984.6666666666667</v>
      </c>
      <c r="N18" s="56">
        <f>LocFeatures[[#This Row],[Drop worth gain]]/(LocFeatures[[#This Row],[E. Cost]]-LocFeatures[[#This Row],[Energy gain]])</f>
        <v>1097.8548644338116</v>
      </c>
      <c r="O18" s="56">
        <f>LocFeatures[[#This Row],[XP Train Gain]]/(LocFeatures[[#This Row],[E. Cost]]-LocFeatures[[#This Row],[Energy gain]])</f>
        <v>1343.5406698564593</v>
      </c>
      <c r="P18" s="56">
        <f>(LocFeatures[[#This Row],[XP Train Gain]]+LocFeatures[[#This Row],[XP drop]])/(LocFeatures[[#This Row],[E. Cost]]-LocFeatures[[#This Row],[Energy gain]])</f>
        <v>1837.3333333333335</v>
      </c>
      <c r="Q18" s="53">
        <f>COUNTIFS(DropAnalityka[Location],LocFeatures[[#This Row],[Location]],DropAnalityka[LVL],LocFeatures[[#This Row],[LVL]],DropAnalityka[Stage],LocFeatures[[#This Row],[Stage]])</f>
        <v>156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3620.4537543859647</v>
      </c>
      <c r="T18" s="10"/>
      <c r="U18" s="10"/>
      <c r="V18" s="10"/>
    </row>
    <row r="19" spans="1:22">
      <c r="A19" s="10" t="s">
        <v>8</v>
      </c>
      <c r="B19" s="10" t="s">
        <v>32</v>
      </c>
      <c r="C19" s="10">
        <v>13</v>
      </c>
      <c r="D19" s="10">
        <v>5</v>
      </c>
      <c r="E19" s="10">
        <v>1800</v>
      </c>
      <c r="F19" s="10">
        <v>12</v>
      </c>
      <c r="G19" s="10"/>
      <c r="H19" s="10"/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9" s="10">
        <f>4*LocFeatures[[#This Row],[XP Gain per member]]</f>
        <v>7200</v>
      </c>
      <c r="L19">
        <f>3*LocFeatures[[#This Row],[XP Gain per member]]</f>
        <v>5400</v>
      </c>
      <c r="M19" s="56">
        <f>AVERAGEIFS(DropAnalityka[Exp Gain],DropAnalityka[Location],LocFeatures[[#This Row],[Location]],DropAnalityka[LVL],LocFeatures[[#This Row],[LVL]],DropAnalityka[Stage],LocFeatures[[#This Row],[Stage]])</f>
        <v>0</v>
      </c>
      <c r="N19" s="56">
        <f>LocFeatures[[#This Row],[Drop worth gain]]/(LocFeatures[[#This Row],[E. Cost]]-LocFeatures[[#This Row],[Energy gain]])</f>
        <v>916.54666666666662</v>
      </c>
      <c r="O19" s="56">
        <f>LocFeatures[[#This Row],[XP Train Gain]]/(LocFeatures[[#This Row],[E. Cost]]-LocFeatures[[#This Row],[Energy gain]])</f>
        <v>1296</v>
      </c>
      <c r="P19" s="56">
        <f>(LocFeatures[[#This Row],[XP Train Gain]]+LocFeatures[[#This Row],[XP drop]])/(LocFeatures[[#This Row],[E. Cost]]-LocFeatures[[#This Row],[Energy gain]])</f>
        <v>1296</v>
      </c>
      <c r="Q19" s="53">
        <f>COUNTIFS(DropAnalityka[Location],LocFeatures[[#This Row],[Location]],DropAnalityka[LVL],LocFeatures[[#This Row],[LVL]],DropAnalityka[Stage],LocFeatures[[#This Row],[Stage]])</f>
        <v>18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9">
        <v>92</v>
      </c>
      <c r="T19" s="10" t="s">
        <v>280</v>
      </c>
    </row>
    <row r="20" spans="1:22">
      <c r="A20" t="s">
        <v>8</v>
      </c>
      <c r="B20" t="s">
        <v>9</v>
      </c>
      <c r="C20">
        <v>3</v>
      </c>
      <c r="D20">
        <v>3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2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20">
        <f>4*LocFeatures[[#This Row],[XP Gain per member]]</f>
        <v>2568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20" s="56">
        <f>LocFeatures[[#This Row],[Drop worth gain]]/(LocFeatures[[#This Row],[E. Cost]]-LocFeatures[[#This Row],[Energy gain]])</f>
        <v>1284.4719101123596</v>
      </c>
      <c r="O20" s="56">
        <f>LocFeatures[[#This Row],[XP Train Gain]]/(LocFeatures[[#This Row],[E. Cost]]-LocFeatures[[#This Row],[Energy gain]])</f>
        <v>887.25842696629206</v>
      </c>
      <c r="P20" s="56">
        <f>(LocFeatures[[#This Row],[XP Train Gain]]+LocFeatures[[#This Row],[XP drop]])/(LocFeatures[[#This Row],[E. Cost]]-LocFeatures[[#This Row],[Energy gain]])</f>
        <v>1396.9213483146066</v>
      </c>
      <c r="Q20" s="49">
        <f>COUNTIFS(DropAnalityka[Location],LocFeatures[[#This Row],[Location]],DropAnalityka[LVL],LocFeatures[[#This Row],[LVL]],DropAnalityka[Stage],LocFeatures[[#This Row],[Stage]])</f>
        <v>41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21" spans="1:22">
      <c r="A21" t="s">
        <v>8</v>
      </c>
      <c r="B21" t="s">
        <v>9</v>
      </c>
      <c r="C21">
        <v>3</v>
      </c>
      <c r="D21">
        <v>3</v>
      </c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2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21">
        <f>4*LocFeatures[[#This Row],[XP Gain per member]]</f>
        <v>0</v>
      </c>
      <c r="L21">
        <f>3*LocFeatures[[#This Row],[XP Gain per member]]</f>
        <v>0</v>
      </c>
      <c r="M21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21" s="56">
        <f>LocFeatures[[#This Row],[Drop worth gain]]/(LocFeatures[[#This Row],[E. Cost]]-LocFeatures[[#This Row],[Energy gain]])</f>
        <v>1284.4719101123596</v>
      </c>
      <c r="O21" s="56">
        <f>LocFeatures[[#This Row],[XP Train Gain]]/(LocFeatures[[#This Row],[E. Cost]]-LocFeatures[[#This Row],[Energy gain]])</f>
        <v>0</v>
      </c>
      <c r="P21" s="56">
        <f>(LocFeatures[[#This Row],[XP Train Gain]]+LocFeatures[[#This Row],[XP drop]])/(LocFeatures[[#This Row],[E. Cost]]-LocFeatures[[#This Row],[Energy gain]])</f>
        <v>509.66292134831451</v>
      </c>
      <c r="Q21" s="49">
        <f>COUNTIFS(DropAnalityka[Location],LocFeatures[[#This Row],[Location]],DropAnalityka[LVL],LocFeatures[[#This Row],[LVL]],DropAnalityka[Stage],LocFeatures[[#This Row],[Stage]])</f>
        <v>41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2" spans="1:22">
      <c r="A22" s="10" t="s">
        <v>230</v>
      </c>
      <c r="B22" t="s">
        <v>9</v>
      </c>
      <c r="C22">
        <v>8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2" s="19">
        <f>AVERAGEIFS(DropAnalityka[Energy Drop],DropAnalityka[Location],LocFeatures[[#This Row],[Location]],DropAnalityka[LVL],LocFeatures[[#This Row],[LVL]],DropAnalityka[Stage],LocFeatures[[#This Row],[Stage]])</f>
        <v>1</v>
      </c>
      <c r="K22">
        <f>4*LocFeatures[[#This Row],[XP Gain per member]]</f>
        <v>2568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0</v>
      </c>
      <c r="N22" s="56">
        <f>LocFeatures[[#This Row],[Drop worth gain]]/(LocFeatures[[#This Row],[E. Cost]]-LocFeatures[[#This Row],[Energy gain]])</f>
        <v>778.62068965517244</v>
      </c>
      <c r="O22" s="56">
        <f>LocFeatures[[#This Row],[XP Train Gain]]/(LocFeatures[[#This Row],[E. Cost]]-LocFeatures[[#This Row],[Energy gain]])</f>
        <v>321</v>
      </c>
      <c r="P22" s="56">
        <f>(LocFeatures[[#This Row],[XP Train Gain]]+LocFeatures[[#This Row],[XP drop]])/(LocFeatures[[#This Row],[E. Cost]]-LocFeatures[[#This Row],[Energy gain]])</f>
        <v>321</v>
      </c>
      <c r="Q22" s="49">
        <f>COUNTIFS(DropAnalityka[Location],LocFeatures[[#This Row],[Location]],DropAnalityka[LVL],LocFeatures[[#This Row],[LVL]],DropAnalityka[Stage],LocFeatures[[#This Row],[Stage]])</f>
        <v>29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3" spans="1:22">
      <c r="A23" s="10" t="s">
        <v>230</v>
      </c>
      <c r="B23" t="s">
        <v>9</v>
      </c>
      <c r="C23">
        <v>9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3435.5149253731342</v>
      </c>
      <c r="J23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3">
        <f>4*LocFeatures[[#This Row],[XP Gain per member]]</f>
        <v>2568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1059.9499999999998</v>
      </c>
      <c r="N23" s="56">
        <f>LocFeatures[[#This Row],[Drop worth gain]]/(LocFeatures[[#This Row],[E. Cost]]-LocFeatures[[#This Row],[Energy gain]])</f>
        <v>551.98920863309343</v>
      </c>
      <c r="O23" s="56">
        <f>LocFeatures[[#This Row],[XP Train Gain]]/(LocFeatures[[#This Row],[E. Cost]]-LocFeatures[[#This Row],[Energy gain]])</f>
        <v>309.45323741007195</v>
      </c>
      <c r="P23" s="56">
        <f>(LocFeatures[[#This Row],[XP Train Gain]]+LocFeatures[[#This Row],[XP drop]])/(LocFeatures[[#This Row],[E. Cost]]-LocFeatures[[#This Row],[Energy gain]])</f>
        <v>479.75695443645077</v>
      </c>
      <c r="Q23" s="49">
        <f>COUNTIFS(DropAnalityka[Location],LocFeatures[[#This Row],[Location]],DropAnalityka[LVL],LocFeatures[[#This Row],[LVL]],DropAnalityka[Stage],LocFeatures[[#This Row],[Stage]])</f>
        <v>67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4" spans="1:22">
      <c r="A24" s="10" t="s">
        <v>300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4*LocFeatures[[#This Row],[XP Gain per member]]</f>
        <v>2568</v>
      </c>
      <c r="L24">
        <f>3*LocFeatures[[#This Row],[XP Gain per member]]</f>
        <v>1926</v>
      </c>
      <c r="M24" s="56">
        <f>AVERAGEIFS(DropAnalityka[Exp Gain],DropAnalityka[Location],LocFeatures[[#This Row],[Location]],DropAnalityka[LVL],LocFeatures[[#This Row],[LVL]],DropAnalityka[Stage],LocFeatures[[#This Row],[Stage]])</f>
        <v>4893.4814814814818</v>
      </c>
      <c r="N24" s="56">
        <f>LocFeatures[[#This Row],[Drop worth gain]]/(LocFeatures[[#This Row],[E. Cost]]-LocFeatures[[#This Row],[Energy gain]])</f>
        <v>596.11627906976742</v>
      </c>
      <c r="O24" s="56">
        <f>LocFeatures[[#This Row],[XP Train Gain]]/(LocFeatures[[#This Row],[E. Cost]]-LocFeatures[[#This Row],[Energy gain]])</f>
        <v>302.33720930232556</v>
      </c>
      <c r="P24" s="56">
        <f>(LocFeatures[[#This Row],[XP Train Gain]]+LocFeatures[[#This Row],[XP drop]])/(LocFeatures[[#This Row],[E. Cost]]-LocFeatures[[#This Row],[Energy gain]])</f>
        <v>1070.5</v>
      </c>
      <c r="Q24" s="49">
        <f>COUNTIFS(DropAnalityka[Location],LocFeatures[[#This Row],[Location]],DropAnalityka[LVL],LocFeatures[[#This Row],[LVL]],DropAnalityka[Stage],LocFeatures[[#This Row],[Stage]])</f>
        <v>27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t="s">
        <v>251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6">
        <f>AVERAGEIFS(DropAnalityka[Exp Gain],DropAnalityka[Location],LocFeatures[[#This Row],[Location]],DropAnalityka[LVL],LocFeatures[[#This Row],[LVL]],DropAnalityka[Stage],LocFeatures[[#This Row],[Stage]])</f>
        <v>6606.1999999999989</v>
      </c>
      <c r="N25" s="56">
        <f>LocFeatures[[#This Row],[Drop worth gain]]/(LocFeatures[[#This Row],[E. Cost]]-LocFeatures[[#This Row],[Energy gain]])</f>
        <v>1846.9</v>
      </c>
      <c r="O25" s="56">
        <f>LocFeatures[[#This Row],[XP Train Gain]]/(LocFeatures[[#This Row],[E. Cost]]-LocFeatures[[#This Row],[Energy gain]])</f>
        <v>0</v>
      </c>
      <c r="P25" s="56">
        <f>(LocFeatures[[#This Row],[XP Train Gain]]+LocFeatures[[#This Row],[XP drop]])/(LocFeatures[[#This Row],[E. Cost]]-LocFeatures[[#This Row],[Energy gain]])</f>
        <v>1321.2399999999998</v>
      </c>
      <c r="Q25" s="49">
        <f>COUNTIFS(DropAnalityka[Location],LocFeatures[[#This Row],[Location]],DropAnalityka[LVL],LocFeatures[[#This Row],[LVL]],DropAnalityka[Stage],LocFeatures[[#This Row],[Stage]])</f>
        <v>8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2">
      <c r="I26" s="49"/>
      <c r="M26" s="49"/>
      <c r="O26" s="54"/>
      <c r="Q26" s="49"/>
    </row>
    <row r="27" spans="1:22">
      <c r="I27" s="49"/>
      <c r="M27" s="49"/>
      <c r="O27" s="54"/>
      <c r="Q27" s="49"/>
    </row>
    <row r="28" spans="1:22"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  <row r="95" spans="9:17">
      <c r="I95" s="49"/>
      <c r="M95" s="49"/>
      <c r="O95" s="54"/>
      <c r="Q95" s="49"/>
    </row>
    <row r="96" spans="9:17">
      <c r="I96" s="49"/>
      <c r="M96" s="49"/>
      <c r="O96" s="54"/>
      <c r="Q96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topLeftCell="E1" zoomScaleNormal="100" workbookViewId="0">
      <selection activeCell="L5" sqref="L5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2" width="4.375" bestFit="1" customWidth="1"/>
    <col min="23" max="23" width="4.8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308</v>
      </c>
    </row>
    <row r="2" spans="1:23">
      <c r="R2" s="175" t="s">
        <v>313</v>
      </c>
      <c r="S2" s="175"/>
      <c r="T2" s="175"/>
      <c r="U2" s="175"/>
      <c r="V2" s="175"/>
      <c r="W2" s="175"/>
    </row>
    <row r="3" spans="1:23" ht="15" thickBot="1">
      <c r="B3" s="11" t="s">
        <v>70</v>
      </c>
      <c r="G3" s="11" t="s">
        <v>297</v>
      </c>
      <c r="H3" s="11" t="s">
        <v>161</v>
      </c>
      <c r="Q3" s="6" t="s">
        <v>33</v>
      </c>
      <c r="R3" s="133" t="s">
        <v>314</v>
      </c>
      <c r="S3" s="134" t="s">
        <v>315</v>
      </c>
      <c r="T3" s="134" t="s">
        <v>316</v>
      </c>
      <c r="U3" s="134" t="s">
        <v>317</v>
      </c>
      <c r="V3" s="134" t="s">
        <v>318</v>
      </c>
      <c r="W3" s="135" t="s">
        <v>319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141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GETPIVOTDATA("Quality/Quantity",$G$3,"Stage",4,"Grade","high")/GETPIVOTDATA("LVL",$G$31,"Stage",4)</f>
        <v>0</v>
      </c>
      <c r="S4" s="88">
        <f>GETPIVOTDATA("Quality/Quantity",$G$3,"Stage",5,"Grade","high")/GETPIVOTDATA("LVL",$G$31,"Stage",5)</f>
        <v>0</v>
      </c>
      <c r="T4" s="88">
        <f>GETPIVOTDATA("Quality/Quantity",$G$3,"Stage",7,"Grade","high")/GETPIVOTDATA("LVL",$G$31,"Stage",7)</f>
        <v>0.13432835820895522</v>
      </c>
      <c r="U4" s="88">
        <f>GETPIVOTDATA("Quality/Quantity",$G$3,"Stage",8,"Grade","high")/GETPIVOTDATA("LVL",$G$31,"Stage",8)</f>
        <v>0.21875</v>
      </c>
      <c r="V4" s="88">
        <f>GETPIVOTDATA("Quality/Quantity",$G$3,"Stage",9,"Grade","high")/GETPIVOTDATA("LVL",$G$31,"Stage",9)</f>
        <v>0.23478260869565218</v>
      </c>
      <c r="W4" s="89">
        <f>GETPIVOTDATA("Quality/Quantity",$G$3,"Stage",10,"Grade","high")/GETPIVOTDATA("LVL",$G$31,"Stage",10)</f>
        <v>0.5</v>
      </c>
    </row>
    <row r="5" spans="1:23">
      <c r="A5" s="12" t="s">
        <v>62</v>
      </c>
      <c r="B5" s="1">
        <v>1482.1746031746031</v>
      </c>
      <c r="C5" s="1">
        <v>1083.5645161290322</v>
      </c>
      <c r="D5" s="15">
        <v>0.8571428571428571</v>
      </c>
      <c r="E5" s="49">
        <v>34</v>
      </c>
      <c r="G5" s="12" t="s">
        <v>311</v>
      </c>
      <c r="H5" s="49"/>
      <c r="I5" s="49"/>
      <c r="J5" s="49">
        <v>9</v>
      </c>
      <c r="K5" s="49">
        <v>7</v>
      </c>
      <c r="L5" s="49">
        <v>27</v>
      </c>
      <c r="M5" s="49">
        <v>3</v>
      </c>
      <c r="N5" s="49">
        <v>46</v>
      </c>
      <c r="Q5" s="6" t="str">
        <f>G6</f>
        <v>low</v>
      </c>
      <c r="R5" s="90">
        <f>GETPIVOTDATA("Quality/Quantity",$G$3,"Stage",4,"Grade","low")/GETPIVOTDATA("LVL",$G$31,"Stage",4)</f>
        <v>0.5714285714285714</v>
      </c>
      <c r="S5" s="88">
        <f>GETPIVOTDATA("Quality/Quantity",$G$3,"Stage",5,"Grade","low")/GETPIVOTDATA("LVL",$G$31,"Stage",5)</f>
        <v>1.2</v>
      </c>
      <c r="T5" s="88">
        <f>GETPIVOTDATA("Quality/Quantity",$G$3,"Stage",7,"Grade","low")/GETPIVOTDATA("LVL",$G$31,"Stage",7)</f>
        <v>1.4179104477611941</v>
      </c>
      <c r="U5" s="88">
        <f>GETPIVOTDATA("Quality/Quantity",$G$3,"Stage",8,"Grade","low")/GETPIVOTDATA("LVL",$G$31,"Stage",8)</f>
        <v>1.34375</v>
      </c>
      <c r="V5" s="88">
        <f>GETPIVOTDATA("Quality/Quantity",$G$3,"Stage",9,"Grade","low")/GETPIVOTDATA("LVL",$G$31,"Stage",9)</f>
        <v>1.0782608695652174</v>
      </c>
      <c r="W5" s="89">
        <f>GETPIVOTDATA("Quality/Quantity",$G$3,"Stage",10,"Grade","low")/GETPIVOTDATA("LVL",$G$31,"Stage",10)</f>
        <v>1.6666666666666667</v>
      </c>
    </row>
    <row r="6" spans="1:23">
      <c r="A6" s="13" t="s">
        <v>30</v>
      </c>
      <c r="B6" s="1">
        <v>1527.2962962962963</v>
      </c>
      <c r="C6" s="1">
        <v>2088.96</v>
      </c>
      <c r="D6" s="15">
        <v>0.85185185185185186</v>
      </c>
      <c r="E6" s="49">
        <v>4</v>
      </c>
      <c r="G6" s="12" t="s">
        <v>309</v>
      </c>
      <c r="H6" s="49">
        <v>4</v>
      </c>
      <c r="I6" s="49">
        <v>24</v>
      </c>
      <c r="J6" s="49">
        <v>95</v>
      </c>
      <c r="K6" s="49">
        <v>43</v>
      </c>
      <c r="L6" s="49">
        <v>124</v>
      </c>
      <c r="M6" s="49">
        <v>10</v>
      </c>
      <c r="N6" s="49">
        <v>300</v>
      </c>
      <c r="Q6" s="6" t="str">
        <f>G7</f>
        <v>med.</v>
      </c>
      <c r="R6" s="90">
        <f>GETPIVOTDATA("Quality/Quantity",$G$3,"Stage",4,"Grade","med.")/GETPIVOTDATA("LVL",$G$31,"Stage",4)</f>
        <v>0.14285714285714285</v>
      </c>
      <c r="S6" s="88">
        <f>GETPIVOTDATA("Quality/Quantity",$G$3,"Stage",5,"Grade","med.")/GETPIVOTDATA("LVL",$G$31,"Stage",5)</f>
        <v>0.5</v>
      </c>
      <c r="T6" s="88">
        <f>GETPIVOTDATA("Quality/Quantity",$G$3,"Stage",7,"Grade","med.")/GETPIVOTDATA("LVL",$G$31,"Stage",7)</f>
        <v>0.55223880597014929</v>
      </c>
      <c r="U6" s="88">
        <f>GETPIVOTDATA("Quality/Quantity",$G$3,"Stage",8,"Grade","med.")/GETPIVOTDATA("LVL",$G$31,"Stage",8)</f>
        <v>0.21875</v>
      </c>
      <c r="V6" s="88">
        <f>GETPIVOTDATA("Quality/Quantity",$G$3,"Stage",9,"Grade","med.")/GETPIVOTDATA("LVL",$G$31,"Stage",9)</f>
        <v>0.53913043478260869</v>
      </c>
      <c r="W6" s="89">
        <f>GETPIVOTDATA("Quality/Quantity",$G$3,"Stage",10,"Grade","med.")/GETPIVOTDATA("LVL",$G$31,"Stage",10)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310</v>
      </c>
      <c r="H7" s="49">
        <v>1</v>
      </c>
      <c r="I7" s="49">
        <v>10</v>
      </c>
      <c r="J7" s="49">
        <v>37</v>
      </c>
      <c r="K7" s="49">
        <v>7</v>
      </c>
      <c r="L7" s="49">
        <v>62</v>
      </c>
      <c r="M7" s="49">
        <v>2</v>
      </c>
      <c r="N7" s="49">
        <v>119</v>
      </c>
    </row>
    <row r="8" spans="1:23">
      <c r="A8" s="14">
        <v>11</v>
      </c>
      <c r="B8" s="1">
        <v>1550.7777777777778</v>
      </c>
      <c r="C8" s="1">
        <v>2149.4375</v>
      </c>
      <c r="D8" s="15">
        <v>0.72222222222222221</v>
      </c>
      <c r="E8" s="49">
        <v>4</v>
      </c>
      <c r="G8" s="12" t="s">
        <v>67</v>
      </c>
      <c r="H8" s="49">
        <v>10</v>
      </c>
      <c r="I8" s="49">
        <v>11</v>
      </c>
      <c r="J8" s="49">
        <v>26</v>
      </c>
      <c r="K8" s="49">
        <v>39</v>
      </c>
      <c r="L8" s="49">
        <v>27</v>
      </c>
      <c r="M8" s="49"/>
      <c r="N8" s="49">
        <v>113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  <c r="G9" s="12" t="s">
        <v>68</v>
      </c>
      <c r="H9" s="49">
        <v>15</v>
      </c>
      <c r="I9" s="49">
        <v>45</v>
      </c>
      <c r="J9" s="49">
        <v>167</v>
      </c>
      <c r="K9" s="49">
        <v>96</v>
      </c>
      <c r="L9" s="49">
        <v>240</v>
      </c>
      <c r="M9" s="49">
        <v>15</v>
      </c>
      <c r="N9" s="49">
        <v>578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1501.8383838383838</v>
      </c>
      <c r="C13" s="1">
        <v>1270.5482233502539</v>
      </c>
      <c r="D13" s="15">
        <v>0.8737373737373737</v>
      </c>
      <c r="E13" s="49">
        <v>59</v>
      </c>
    </row>
    <row r="14" spans="1:23">
      <c r="A14" s="13" t="s">
        <v>30</v>
      </c>
      <c r="B14" s="1">
        <v>1572.931623931624</v>
      </c>
      <c r="C14" s="1">
        <v>1577.2068965517242</v>
      </c>
      <c r="D14" s="15">
        <v>0.87179487179487181</v>
      </c>
      <c r="E14" s="49">
        <v>33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</row>
    <row r="17" spans="1:14">
      <c r="A17" s="14">
        <v>11</v>
      </c>
      <c r="B17" s="1">
        <v>1544.5753424657535</v>
      </c>
      <c r="C17" s="1">
        <v>1545.5138888888889</v>
      </c>
      <c r="D17" s="15">
        <v>0.9178082191780822</v>
      </c>
      <c r="E17" s="49">
        <v>21</v>
      </c>
      <c r="H17" s="17"/>
      <c r="I17" s="17"/>
      <c r="J17" s="17"/>
      <c r="K17" s="17"/>
      <c r="L17" s="17"/>
      <c r="M17" s="17"/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</row>
    <row r="23" spans="1:14">
      <c r="A23" s="12" t="s">
        <v>37</v>
      </c>
      <c r="B23" s="1">
        <v>2277.1489361702129</v>
      </c>
      <c r="C23" s="1">
        <v>0</v>
      </c>
      <c r="D23" s="15">
        <v>0.67021276595744683</v>
      </c>
      <c r="E23" s="49">
        <v>93</v>
      </c>
    </row>
    <row r="24" spans="1:14">
      <c r="A24" s="13" t="s">
        <v>9</v>
      </c>
      <c r="B24" s="1">
        <v>2277.1489361702129</v>
      </c>
      <c r="C24" s="1">
        <v>0</v>
      </c>
      <c r="D24" s="15">
        <v>0.67021276595744683</v>
      </c>
      <c r="E24" s="49">
        <v>93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2596.7727272727275</v>
      </c>
      <c r="C28" s="1">
        <v>0</v>
      </c>
      <c r="D28" s="15">
        <v>0.90909090909090906</v>
      </c>
      <c r="E28" s="49">
        <v>21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  <c r="G31" s="11" t="s">
        <v>298</v>
      </c>
      <c r="H31" s="11" t="s">
        <v>161</v>
      </c>
    </row>
    <row r="32" spans="1:14">
      <c r="A32" s="12" t="s">
        <v>8</v>
      </c>
      <c r="B32" s="1">
        <v>1458.825925925926</v>
      </c>
      <c r="C32" s="1">
        <v>923.01520912547528</v>
      </c>
      <c r="D32" s="15">
        <v>0.92962962962962958</v>
      </c>
      <c r="E32" s="49">
        <v>78</v>
      </c>
      <c r="G32" s="11" t="s">
        <v>66</v>
      </c>
      <c r="H32">
        <v>4</v>
      </c>
      <c r="I32">
        <v>5</v>
      </c>
      <c r="J32">
        <v>7</v>
      </c>
      <c r="K32">
        <v>8</v>
      </c>
      <c r="L32">
        <v>9</v>
      </c>
      <c r="M32">
        <v>10</v>
      </c>
      <c r="N32" t="s">
        <v>68</v>
      </c>
    </row>
    <row r="33" spans="1:14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  <c r="G33" s="12" t="s">
        <v>192</v>
      </c>
      <c r="H33" s="49"/>
      <c r="I33" s="49">
        <v>1</v>
      </c>
      <c r="J33" s="49">
        <v>1</v>
      </c>
      <c r="K33" s="49">
        <v>3</v>
      </c>
      <c r="L33" s="49">
        <v>1</v>
      </c>
      <c r="M33" s="49">
        <v>4</v>
      </c>
      <c r="N33" s="49">
        <v>10</v>
      </c>
    </row>
    <row r="34" spans="1:14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  <c r="G34" s="12" t="s">
        <v>157</v>
      </c>
      <c r="H34" s="49"/>
      <c r="I34" s="49">
        <v>16</v>
      </c>
      <c r="J34" s="49"/>
      <c r="K34" s="49"/>
      <c r="L34" s="49"/>
      <c r="M34" s="49"/>
      <c r="N34" s="49">
        <v>16</v>
      </c>
    </row>
    <row r="35" spans="1:14">
      <c r="A35" s="14">
        <v>6</v>
      </c>
      <c r="B35" s="1">
        <v>1500</v>
      </c>
      <c r="C35" s="1">
        <v>1152</v>
      </c>
      <c r="D35" s="15">
        <v>1</v>
      </c>
      <c r="E35" s="49"/>
      <c r="G35" s="12" t="s">
        <v>37</v>
      </c>
      <c r="H35" s="49">
        <v>7</v>
      </c>
      <c r="I35" s="49">
        <v>3</v>
      </c>
      <c r="J35" s="49">
        <v>62</v>
      </c>
      <c r="K35" s="49"/>
      <c r="L35" s="49">
        <v>22</v>
      </c>
      <c r="M35" s="49"/>
      <c r="N35" s="49">
        <v>94</v>
      </c>
    </row>
    <row r="36" spans="1:14">
      <c r="A36" s="13" t="s">
        <v>32</v>
      </c>
      <c r="B36" s="1">
        <v>1525.316091954023</v>
      </c>
      <c r="C36" s="1">
        <v>1179.7083333333333</v>
      </c>
      <c r="D36" s="15">
        <v>0.96551724137931039</v>
      </c>
      <c r="E36" s="49">
        <v>43</v>
      </c>
      <c r="G36" s="12" t="s">
        <v>230</v>
      </c>
      <c r="H36" s="49"/>
      <c r="I36" s="49"/>
      <c r="J36" s="49">
        <v>4</v>
      </c>
      <c r="K36" s="49">
        <v>29</v>
      </c>
      <c r="L36" s="49">
        <v>65</v>
      </c>
      <c r="M36" s="49"/>
      <c r="N36" s="49">
        <v>98</v>
      </c>
    </row>
    <row r="37" spans="1:14">
      <c r="A37" s="14">
        <v>3</v>
      </c>
      <c r="B37" s="1">
        <v>1519.1730769230769</v>
      </c>
      <c r="C37" s="1">
        <v>1172.4266666666667</v>
      </c>
      <c r="D37" s="15">
        <v>0.98076923076923073</v>
      </c>
      <c r="E37" s="49">
        <v>40</v>
      </c>
      <c r="G37" s="12" t="s">
        <v>300</v>
      </c>
      <c r="H37" s="49"/>
      <c r="I37" s="49"/>
      <c r="J37" s="49"/>
      <c r="K37" s="49"/>
      <c r="L37" s="49">
        <v>27</v>
      </c>
      <c r="M37" s="49">
        <v>2</v>
      </c>
      <c r="N37" s="49">
        <v>29</v>
      </c>
    </row>
    <row r="38" spans="1:14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  <c r="G38" s="12" t="s">
        <v>68</v>
      </c>
      <c r="H38" s="49">
        <v>7</v>
      </c>
      <c r="I38" s="49">
        <v>20</v>
      </c>
      <c r="J38" s="49">
        <v>67</v>
      </c>
      <c r="K38" s="49">
        <v>32</v>
      </c>
      <c r="L38" s="49">
        <v>115</v>
      </c>
      <c r="M38" s="49">
        <v>6</v>
      </c>
      <c r="N38" s="49">
        <v>247</v>
      </c>
    </row>
    <row r="39" spans="1:14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14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14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14">
      <c r="A42" s="12" t="s">
        <v>68</v>
      </c>
      <c r="B42" s="1">
        <v>1586.736231884058</v>
      </c>
      <c r="C42" s="1">
        <v>925.24264705882354</v>
      </c>
      <c r="D42" s="15">
        <v>0.86521739130434783</v>
      </c>
      <c r="E42" s="49">
        <v>265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138</v>
      </c>
      <c r="C1" s="47" t="s">
        <v>139</v>
      </c>
      <c r="D1" s="48" t="s">
        <v>140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features'!$P$5</f>
        <v>244446.5316455696</v>
      </c>
      <c r="D3">
        <f>'EXP lvls'!O10/Summary!C3</f>
        <v>15.587212362352442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146</v>
      </c>
      <c r="Q9" s="4" t="s">
        <v>150</v>
      </c>
      <c r="R9" s="4" t="s">
        <v>151</v>
      </c>
      <c r="S9" s="4" t="s">
        <v>152</v>
      </c>
      <c r="T9" s="4" t="s">
        <v>153</v>
      </c>
      <c r="U9" s="4" t="s">
        <v>151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2720629.4078270243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2240231.1779845771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2177957.3333753715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2177957.3333753711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3095781.6466244725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2549140.4838337749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2478279.5923609068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2478279.5923609063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2238285.1890322273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4412.5320512820508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1843057.4378360554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4412.5320512820508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1791824.2108291441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4412.5320512820508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1791824.2108291439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4412.5320512820508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633675.27339379641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4412.5320512820508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855270.63008499378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4412.5320512820508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1808292.0337956513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4412.5320512820508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1396262.4705368832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2952106.8697387287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1182928.4009420075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2501056.3074771855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142</v>
      </c>
      <c r="B31" s="1">
        <f t="shared" ref="B31" si="16">(2*$G31+$H31)/($O31-$N31)*L31</f>
        <v>777635.90992051805</v>
      </c>
      <c r="C31" s="1">
        <f t="shared" ref="C31" si="17">($G31+$H31)/($O31-$N31)*M31</f>
        <v>552772.61605828663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830648.54047689121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143</v>
      </c>
      <c r="B33" s="1">
        <f t="shared" ref="B33" si="20">(2*$G33+$H33)/($O33-$N33)*L33</f>
        <v>779032.96320282586</v>
      </c>
      <c r="C33" s="1">
        <f t="shared" ref="C33" si="21">($G33+$H33)/($O33-$N33)*M33</f>
        <v>830648.54047689121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142</v>
      </c>
      <c r="B34" s="1">
        <f t="shared" si="18"/>
        <v>978199.64871903579</v>
      </c>
      <c r="C34" s="1">
        <f t="shared" si="19"/>
        <v>399660.86134496192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4412.5320512820508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600568.30153634935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4412.5320512820508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142</v>
      </c>
      <c r="B36" s="1">
        <f t="shared" si="22"/>
        <v>868436.33021463954</v>
      </c>
      <c r="C36" s="1">
        <f t="shared" si="23"/>
        <v>633085.77958172816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951334.71436433669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143</v>
      </c>
      <c r="B38" s="1">
        <f t="shared" si="22"/>
        <v>869996.5099981653</v>
      </c>
      <c r="C38" s="1">
        <f t="shared" si="23"/>
        <v>951334.71436433669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154</v>
      </c>
      <c r="B39" s="1">
        <f t="shared" si="22"/>
        <v>2080681.0261995876</v>
      </c>
      <c r="C39" s="1">
        <f t="shared" si="23"/>
        <v>1479025.6974536353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1787776.7245854186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212</v>
      </c>
      <c r="B1" t="s">
        <v>223</v>
      </c>
      <c r="C1" t="s">
        <v>213</v>
      </c>
      <c r="D1" t="s">
        <v>214</v>
      </c>
      <c r="E1" t="s">
        <v>215</v>
      </c>
      <c r="F1" t="s">
        <v>216</v>
      </c>
      <c r="G1" t="s">
        <v>178</v>
      </c>
      <c r="H1" t="s">
        <v>217</v>
      </c>
      <c r="I1" t="s">
        <v>218</v>
      </c>
      <c r="J1" t="s">
        <v>219</v>
      </c>
      <c r="K1" t="s">
        <v>222</v>
      </c>
      <c r="L1" t="s">
        <v>224</v>
      </c>
      <c r="M1" t="s">
        <v>225</v>
      </c>
    </row>
    <row r="2" spans="1:13">
      <c r="A2" t="s">
        <v>220</v>
      </c>
      <c r="C2">
        <v>1</v>
      </c>
      <c r="D2">
        <v>4</v>
      </c>
      <c r="G2">
        <v>3</v>
      </c>
      <c r="J2">
        <v>7</v>
      </c>
    </row>
    <row r="3" spans="1:13">
      <c r="A3" t="s">
        <v>220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221</v>
      </c>
      <c r="C4">
        <v>1</v>
      </c>
      <c r="E4">
        <v>119</v>
      </c>
      <c r="G4">
        <v>3</v>
      </c>
      <c r="H4">
        <v>5</v>
      </c>
      <c r="J4">
        <v>10</v>
      </c>
      <c r="M4" t="s">
        <v>226</v>
      </c>
    </row>
    <row r="5" spans="1:13">
      <c r="A5" t="s">
        <v>220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226</v>
      </c>
    </row>
    <row r="6" spans="1:13">
      <c r="A6" t="s">
        <v>221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220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220</v>
      </c>
      <c r="C8">
        <v>4</v>
      </c>
      <c r="G8">
        <v>6</v>
      </c>
      <c r="H8">
        <v>6</v>
      </c>
    </row>
    <row r="9" spans="1:13">
      <c r="A9" t="s">
        <v>221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220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zoomScale="85" zoomScaleNormal="85" workbookViewId="0">
      <selection activeCell="A13" activeCellId="2" sqref="A27:XFD27 A20:XFD20 A13:XFD13"/>
    </sheetView>
  </sheetViews>
  <sheetFormatPr defaultRowHeight="14.25"/>
  <cols>
    <col min="1" max="1" width="12.375" customWidth="1"/>
    <col min="2" max="2" width="15.5" customWidth="1"/>
    <col min="5" max="9" width="11.25" customWidth="1"/>
    <col min="13" max="13" width="9.375" bestFit="1" customWidth="1"/>
    <col min="17" max="17" width="13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126</v>
      </c>
      <c r="B1" s="42" t="s">
        <v>125</v>
      </c>
      <c r="C1" s="42" t="s">
        <v>124</v>
      </c>
      <c r="D1" s="42" t="s">
        <v>123</v>
      </c>
      <c r="E1" s="42" t="s">
        <v>122</v>
      </c>
      <c r="F1" s="42" t="s">
        <v>121</v>
      </c>
      <c r="G1" s="42" t="s">
        <v>120</v>
      </c>
      <c r="H1" s="42" t="s">
        <v>119</v>
      </c>
      <c r="I1" s="42" t="s">
        <v>118</v>
      </c>
      <c r="J1" s="40" t="s">
        <v>117</v>
      </c>
      <c r="K1" s="42" t="s">
        <v>116</v>
      </c>
      <c r="L1" s="42" t="s">
        <v>115</v>
      </c>
      <c r="M1" s="42" t="s">
        <v>114</v>
      </c>
      <c r="N1" s="42" t="s">
        <v>113</v>
      </c>
      <c r="O1" s="42" t="s">
        <v>112</v>
      </c>
      <c r="P1" s="42" t="s">
        <v>111</v>
      </c>
      <c r="Q1" s="41" t="s">
        <v>110</v>
      </c>
      <c r="R1" s="40" t="s">
        <v>109</v>
      </c>
      <c r="S1" s="39"/>
      <c r="T1" s="39"/>
      <c r="U1" s="39"/>
      <c r="V1" s="39" t="s">
        <v>5</v>
      </c>
      <c r="W1" t="s">
        <v>108</v>
      </c>
      <c r="X1" t="s">
        <v>107</v>
      </c>
      <c r="Y1" t="s">
        <v>86</v>
      </c>
      <c r="AA1" s="39" t="s">
        <v>5</v>
      </c>
      <c r="AB1" t="s">
        <v>108</v>
      </c>
      <c r="AC1" t="s">
        <v>107</v>
      </c>
      <c r="AD1" t="s">
        <v>86</v>
      </c>
    </row>
    <row r="2" spans="1:30" ht="15" thickBot="1">
      <c r="A2" s="22" t="s">
        <v>106</v>
      </c>
      <c r="B2" s="22" t="s">
        <v>105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104</v>
      </c>
      <c r="B3" s="22" t="s">
        <v>95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104</v>
      </c>
      <c r="B4" s="25" t="s">
        <v>94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26</v>
      </c>
      <c r="AB4" s="1">
        <v>4</v>
      </c>
      <c r="AC4" s="1">
        <v>4</v>
      </c>
      <c r="AD4" s="1">
        <v>3</v>
      </c>
    </row>
    <row r="5" spans="1:30" ht="15" thickBot="1">
      <c r="A5" s="25" t="s">
        <v>104</v>
      </c>
      <c r="B5" s="25" t="s">
        <v>89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26</v>
      </c>
      <c r="AB5" s="1">
        <v>2</v>
      </c>
      <c r="AC5" s="1">
        <v>2.25</v>
      </c>
      <c r="AD5" s="1">
        <v>2</v>
      </c>
    </row>
    <row r="6" spans="1:30" ht="15" thickBot="1">
      <c r="A6" s="25" t="s">
        <v>103</v>
      </c>
      <c r="B6" s="25" t="s">
        <v>95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93</v>
      </c>
      <c r="B7" s="25" t="s">
        <v>95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102</v>
      </c>
      <c r="AA7" t="s">
        <v>27</v>
      </c>
      <c r="AB7">
        <v>5</v>
      </c>
      <c r="AC7">
        <v>6</v>
      </c>
      <c r="AD7">
        <v>4</v>
      </c>
    </row>
    <row r="8" spans="1:30" ht="15.75" thickBot="1">
      <c r="A8" s="25" t="s">
        <v>92</v>
      </c>
      <c r="B8" s="25" t="s">
        <v>95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129</v>
      </c>
      <c r="U8" s="38" t="s">
        <v>101</v>
      </c>
      <c r="V8" s="37" t="s">
        <v>100</v>
      </c>
      <c r="W8" s="36" t="s">
        <v>99</v>
      </c>
      <c r="X8" s="35" t="s">
        <v>98</v>
      </c>
      <c r="AA8" t="s">
        <v>27</v>
      </c>
      <c r="AB8">
        <v>2.25</v>
      </c>
      <c r="AC8">
        <v>3</v>
      </c>
      <c r="AD8">
        <v>2.25</v>
      </c>
    </row>
    <row r="9" spans="1:30" ht="15" thickBot="1">
      <c r="A9" s="25" t="s">
        <v>91</v>
      </c>
      <c r="B9" s="25" t="s">
        <v>95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130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90</v>
      </c>
      <c r="B10" s="25" t="s">
        <v>95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130</v>
      </c>
      <c r="U10" s="34">
        <v>0.3</v>
      </c>
      <c r="V10" s="33">
        <v>0.1</v>
      </c>
      <c r="W10" s="32">
        <v>0.12</v>
      </c>
      <c r="X10" s="31">
        <v>0.15</v>
      </c>
      <c r="AA10" t="s">
        <v>28</v>
      </c>
      <c r="AB10">
        <v>8</v>
      </c>
      <c r="AC10">
        <v>8</v>
      </c>
      <c r="AD10">
        <v>5</v>
      </c>
    </row>
    <row r="11" spans="1:30" ht="15" thickBot="1">
      <c r="A11" s="25" t="s">
        <v>97</v>
      </c>
      <c r="B11" s="25" t="s">
        <v>95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130</v>
      </c>
      <c r="U11" s="34">
        <v>0.5</v>
      </c>
      <c r="V11" s="33">
        <v>0.1</v>
      </c>
      <c r="W11" s="32">
        <v>0.12</v>
      </c>
      <c r="X11" s="31">
        <v>0.11</v>
      </c>
      <c r="AA11" t="s">
        <v>28</v>
      </c>
      <c r="AB11">
        <v>2.25</v>
      </c>
      <c r="AC11">
        <v>3.33</v>
      </c>
      <c r="AD11">
        <v>2.5</v>
      </c>
    </row>
    <row r="12" spans="1:30" ht="15" thickBot="1">
      <c r="A12" s="25" t="s">
        <v>96</v>
      </c>
      <c r="B12" s="25" t="s">
        <v>95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15" thickBot="1">
      <c r="A13" s="25" t="s">
        <v>127</v>
      </c>
      <c r="B13" s="25" t="s">
        <v>95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29</v>
      </c>
      <c r="AB13">
        <v>11</v>
      </c>
      <c r="AC13">
        <v>11</v>
      </c>
      <c r="AD13">
        <v>7</v>
      </c>
    </row>
    <row r="14" spans="1:30" ht="15" thickBot="1">
      <c r="A14" s="25" t="s">
        <v>93</v>
      </c>
      <c r="B14" s="25" t="s">
        <v>94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29</v>
      </c>
      <c r="AB14">
        <v>3</v>
      </c>
      <c r="AC14">
        <v>4</v>
      </c>
      <c r="AD14">
        <v>3</v>
      </c>
    </row>
    <row r="15" spans="1:30" ht="15" thickBot="1">
      <c r="A15" s="25" t="s">
        <v>92</v>
      </c>
      <c r="B15" s="25" t="s">
        <v>94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91</v>
      </c>
      <c r="B16" s="25" t="s">
        <v>94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90</v>
      </c>
      <c r="B17" s="25" t="s">
        <v>94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97</v>
      </c>
      <c r="B18" s="25" t="s">
        <v>94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128</v>
      </c>
    </row>
    <row r="19" spans="1:25" ht="15" thickBot="1">
      <c r="A19" s="25" t="s">
        <v>96</v>
      </c>
      <c r="B19" s="25" t="s">
        <v>94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15" thickBot="1">
      <c r="A20" s="25" t="s">
        <v>127</v>
      </c>
      <c r="B20" s="25" t="s">
        <v>94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101</v>
      </c>
    </row>
    <row r="21" spans="1:25" ht="15" thickBot="1">
      <c r="A21" s="25" t="s">
        <v>93</v>
      </c>
      <c r="B21" s="25" t="s">
        <v>89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92</v>
      </c>
      <c r="B22" s="25" t="s">
        <v>89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91</v>
      </c>
      <c r="B23" s="25" t="s">
        <v>89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90</v>
      </c>
      <c r="B24" s="25" t="s">
        <v>89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97</v>
      </c>
      <c r="B25" s="25" t="s">
        <v>89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15" thickBot="1">
      <c r="A26" s="25" t="s">
        <v>96</v>
      </c>
      <c r="B26" s="25" t="s">
        <v>89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87</v>
      </c>
      <c r="Y26" t="s">
        <v>88</v>
      </c>
    </row>
    <row r="27" spans="1:25" ht="15" thickBot="1">
      <c r="A27" s="25" t="s">
        <v>127</v>
      </c>
      <c r="B27" s="25" t="s">
        <v>89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87</v>
      </c>
      <c r="X27" t="s">
        <v>27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86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85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84</v>
      </c>
      <c r="X30" t="s">
        <v>83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173</v>
      </c>
      <c r="B1" t="s">
        <v>174</v>
      </c>
      <c r="C1" t="s">
        <v>175</v>
      </c>
      <c r="D1" t="s">
        <v>179</v>
      </c>
      <c r="E1" t="s">
        <v>176</v>
      </c>
      <c r="F1" t="s">
        <v>10</v>
      </c>
    </row>
    <row r="2" spans="1:6">
      <c r="A2" t="s">
        <v>163</v>
      </c>
      <c r="B2" t="s">
        <v>207</v>
      </c>
      <c r="C2" t="s">
        <v>183</v>
      </c>
      <c r="D2" t="s">
        <v>188</v>
      </c>
      <c r="E2" t="s">
        <v>189</v>
      </c>
      <c r="F2" t="s">
        <v>210</v>
      </c>
    </row>
    <row r="3" spans="1:6">
      <c r="A3" t="s">
        <v>164</v>
      </c>
      <c r="B3" t="s">
        <v>207</v>
      </c>
      <c r="C3" t="s">
        <v>187</v>
      </c>
      <c r="D3" t="s">
        <v>185</v>
      </c>
      <c r="E3" t="s">
        <v>186</v>
      </c>
      <c r="F3" t="s">
        <v>210</v>
      </c>
    </row>
    <row r="4" spans="1:6">
      <c r="A4" t="s">
        <v>165</v>
      </c>
      <c r="B4" t="s">
        <v>207</v>
      </c>
      <c r="C4" t="s">
        <v>166</v>
      </c>
      <c r="D4" t="s">
        <v>188</v>
      </c>
      <c r="E4" t="s">
        <v>190</v>
      </c>
      <c r="F4" t="s">
        <v>211</v>
      </c>
    </row>
    <row r="5" spans="1:6">
      <c r="A5" t="s">
        <v>168</v>
      </c>
      <c r="B5" t="s">
        <v>167</v>
      </c>
      <c r="C5" t="s">
        <v>183</v>
      </c>
      <c r="D5" t="s">
        <v>202</v>
      </c>
      <c r="E5" t="s">
        <v>184</v>
      </c>
      <c r="F5" t="s">
        <v>211</v>
      </c>
    </row>
    <row r="6" spans="1:6">
      <c r="A6" t="s">
        <v>169</v>
      </c>
      <c r="B6" t="s">
        <v>170</v>
      </c>
      <c r="C6" t="s">
        <v>171</v>
      </c>
      <c r="D6" t="s">
        <v>182</v>
      </c>
      <c r="E6" t="s">
        <v>177</v>
      </c>
      <c r="F6" t="s">
        <v>211</v>
      </c>
    </row>
    <row r="7" spans="1:6">
      <c r="A7" t="s">
        <v>149</v>
      </c>
      <c r="B7" t="s">
        <v>203</v>
      </c>
      <c r="C7" t="s">
        <v>204</v>
      </c>
    </row>
    <row r="8" spans="1:6">
      <c r="A8" t="s">
        <v>205</v>
      </c>
      <c r="B8" t="s">
        <v>172</v>
      </c>
      <c r="C8" t="s">
        <v>91</v>
      </c>
      <c r="D8" t="s">
        <v>206</v>
      </c>
    </row>
    <row r="9" spans="1:6">
      <c r="A9" t="s">
        <v>208</v>
      </c>
      <c r="B9" t="s">
        <v>170</v>
      </c>
      <c r="C9" t="s">
        <v>209</v>
      </c>
      <c r="D9" t="s">
        <v>188</v>
      </c>
      <c r="F9" t="s">
        <v>211</v>
      </c>
    </row>
    <row r="10" spans="1:6">
      <c r="A10" t="s">
        <v>231</v>
      </c>
      <c r="B10" t="s">
        <v>172</v>
      </c>
      <c r="C10" t="s">
        <v>91</v>
      </c>
    </row>
    <row r="11" spans="1:6">
      <c r="A11" t="s">
        <v>232</v>
      </c>
      <c r="B11" t="s">
        <v>167</v>
      </c>
      <c r="C11" t="s">
        <v>91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Drop analityka</vt:lpstr>
      <vt:lpstr>Fusion</vt:lpstr>
      <vt:lpstr>Location features</vt:lpstr>
      <vt:lpstr>TabPrz</vt:lpstr>
      <vt:lpstr>Summary</vt:lpstr>
      <vt:lpstr>Runes</vt:lpstr>
      <vt:lpstr>Runes for DPS</vt:lpstr>
      <vt:lpstr>Runes to mobs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2015-10-22T07:10:19Z</dcterms:modified>
</cp:coreProperties>
</file>