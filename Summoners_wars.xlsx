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defaultThemeVersion="124226"/>
  <bookViews>
    <workbookView xWindow="240" yWindow="90" windowWidth="24720" windowHeight="11820"/>
  </bookViews>
  <sheets>
    <sheet name="EXP lvls" sheetId="1" r:id="rId1"/>
    <sheet name="Location features" sheetId="4" r:id="rId2"/>
    <sheet name="Drop analityka" sheetId="3" r:id="rId3"/>
    <sheet name="Summary" sheetId="2" r:id="rId4"/>
    <sheet name="Runes for DPS" sheetId="6" r:id="rId5"/>
    <sheet name="TabPrz" sheetId="5" r:id="rId6"/>
    <sheet name="Runes to mobs" sheetId="7" r:id="rId7"/>
  </sheets>
  <calcPr calcId="145621"/>
  <pivotCaches>
    <pivotCache cacheId="0" r:id="rId8"/>
  </pivotCaches>
</workbook>
</file>

<file path=xl/calcChain.xml><?xml version="1.0" encoding="utf-8"?>
<calcChain xmlns="http://schemas.openxmlformats.org/spreadsheetml/2006/main">
  <c r="M17" i="1" l="1"/>
  <c r="M19" i="1" s="1"/>
  <c r="J2" i="3"/>
  <c r="J3" i="3"/>
  <c r="J4" i="3"/>
  <c r="J5" i="3"/>
  <c r="J6" i="3"/>
  <c r="J7" i="3"/>
  <c r="J8" i="3"/>
  <c r="J9" i="3"/>
  <c r="J10" i="3"/>
  <c r="J11" i="3"/>
  <c r="J12" i="3"/>
  <c r="J13" i="3"/>
  <c r="J14" i="3"/>
  <c r="J15" i="3"/>
  <c r="J16" i="3"/>
  <c r="J17" i="3"/>
  <c r="J18" i="3"/>
  <c r="J19" i="3"/>
  <c r="J20" i="3"/>
  <c r="J21" i="3"/>
  <c r="J22" i="3"/>
  <c r="J23" i="3"/>
  <c r="J24" i="3"/>
  <c r="J25" i="3"/>
  <c r="J26" i="3"/>
  <c r="J27" i="3"/>
  <c r="J28" i="3"/>
  <c r="J29" i="3"/>
  <c r="J30" i="3"/>
  <c r="J31" i="3"/>
  <c r="J32" i="3"/>
  <c r="J33" i="3"/>
  <c r="J34" i="3"/>
  <c r="J35" i="3"/>
  <c r="J36" i="3"/>
  <c r="J37" i="3"/>
  <c r="J38" i="3"/>
  <c r="J39" i="3"/>
  <c r="J40" i="3"/>
  <c r="J41" i="3"/>
  <c r="J42" i="3"/>
  <c r="J43" i="3"/>
  <c r="J44" i="3"/>
  <c r="J45" i="3"/>
  <c r="J46" i="3"/>
  <c r="J47" i="3"/>
  <c r="J48" i="3"/>
  <c r="J49" i="3"/>
  <c r="J50" i="3"/>
  <c r="J51" i="3"/>
  <c r="J52" i="3"/>
  <c r="J53" i="3"/>
  <c r="J54" i="3"/>
  <c r="J55" i="3"/>
  <c r="J56" i="3"/>
  <c r="J57" i="3"/>
  <c r="J58" i="3"/>
  <c r="J59" i="3"/>
  <c r="J60" i="3"/>
  <c r="J61" i="3"/>
  <c r="J62" i="3"/>
  <c r="J63" i="3"/>
  <c r="J64" i="3"/>
  <c r="J65" i="3"/>
  <c r="J66" i="3"/>
  <c r="J67" i="3"/>
  <c r="J68" i="3"/>
  <c r="J69" i="3"/>
  <c r="J70" i="3"/>
  <c r="J71" i="3"/>
  <c r="J72" i="3"/>
  <c r="J73" i="3"/>
  <c r="J74" i="3"/>
  <c r="J75" i="3"/>
  <c r="J76" i="3"/>
  <c r="J77" i="3"/>
  <c r="J78" i="3"/>
  <c r="J79" i="3"/>
  <c r="J80" i="3"/>
  <c r="J81" i="3"/>
  <c r="J82" i="3"/>
  <c r="J83" i="3"/>
  <c r="J84" i="3"/>
  <c r="J85" i="3"/>
  <c r="J86" i="3"/>
  <c r="J87" i="3"/>
  <c r="J88" i="3"/>
  <c r="J89" i="3"/>
  <c r="J90" i="3"/>
  <c r="J91" i="3"/>
  <c r="J92" i="3"/>
  <c r="J93" i="3"/>
  <c r="J94" i="3"/>
  <c r="J95" i="3"/>
  <c r="J96" i="3"/>
  <c r="J97" i="3"/>
  <c r="J98" i="3"/>
  <c r="J99" i="3"/>
  <c r="J100" i="3"/>
  <c r="J101" i="3"/>
  <c r="J102" i="3"/>
  <c r="J103" i="3"/>
  <c r="J104" i="3"/>
  <c r="J105" i="3"/>
  <c r="J106" i="3"/>
  <c r="J107" i="3"/>
  <c r="J108" i="3"/>
  <c r="J109" i="3"/>
  <c r="J110" i="3"/>
  <c r="J111" i="3"/>
  <c r="J112" i="3"/>
  <c r="J113" i="3"/>
  <c r="J114" i="3"/>
  <c r="J115" i="3"/>
  <c r="J116" i="3"/>
  <c r="J117" i="3"/>
  <c r="J118" i="3"/>
  <c r="J119" i="3"/>
  <c r="J120" i="3"/>
  <c r="J121" i="3"/>
  <c r="J122" i="3"/>
  <c r="J123" i="3"/>
  <c r="J124" i="3"/>
  <c r="J125" i="3"/>
  <c r="J126" i="3"/>
  <c r="J127" i="3"/>
  <c r="J128" i="3"/>
  <c r="J129" i="3"/>
  <c r="J130" i="3"/>
  <c r="J131" i="3"/>
  <c r="J132" i="3"/>
  <c r="J133" i="3"/>
  <c r="J134" i="3"/>
  <c r="J135" i="3"/>
  <c r="J136" i="3"/>
  <c r="J137" i="3"/>
  <c r="J138" i="3"/>
  <c r="J139" i="3"/>
  <c r="J140" i="3"/>
  <c r="J141" i="3"/>
  <c r="J142" i="3"/>
  <c r="J143" i="3"/>
  <c r="J144" i="3"/>
  <c r="J145" i="3"/>
  <c r="J146" i="3"/>
  <c r="J147" i="3"/>
  <c r="J148" i="3"/>
  <c r="J149" i="3"/>
  <c r="J150" i="3"/>
  <c r="J151" i="3"/>
  <c r="J152" i="3"/>
  <c r="J153" i="3"/>
  <c r="J154" i="3"/>
  <c r="J155" i="3"/>
  <c r="J156" i="3"/>
  <c r="J157" i="3"/>
  <c r="J158" i="3"/>
  <c r="J159" i="3"/>
  <c r="J160" i="3"/>
  <c r="J161" i="3"/>
  <c r="J162" i="3"/>
  <c r="J163" i="3"/>
  <c r="J164" i="3"/>
  <c r="J165" i="3"/>
  <c r="J166" i="3"/>
  <c r="J167" i="3"/>
  <c r="J168" i="3"/>
  <c r="J169" i="3"/>
  <c r="J170" i="3"/>
  <c r="J171" i="3"/>
  <c r="J172" i="3"/>
  <c r="J173" i="3"/>
  <c r="J174" i="3"/>
  <c r="J175" i="3"/>
  <c r="J176" i="3"/>
  <c r="J177" i="3"/>
  <c r="J178" i="3"/>
  <c r="J179" i="3"/>
  <c r="J180" i="3"/>
  <c r="J181" i="3"/>
  <c r="J182" i="3"/>
  <c r="J183" i="3"/>
  <c r="J184" i="3"/>
  <c r="J185" i="3"/>
  <c r="J186" i="3"/>
  <c r="J187" i="3"/>
  <c r="J188" i="3"/>
  <c r="J189" i="3"/>
  <c r="J190" i="3"/>
  <c r="J191" i="3"/>
  <c r="J192" i="3"/>
  <c r="J193" i="3"/>
  <c r="J194" i="3"/>
  <c r="J195" i="3"/>
  <c r="J196" i="3"/>
  <c r="J197" i="3"/>
  <c r="J198" i="3"/>
  <c r="J199" i="3"/>
  <c r="J200" i="3"/>
  <c r="J201" i="3"/>
  <c r="J202" i="3"/>
  <c r="J203" i="3"/>
  <c r="J204" i="3"/>
  <c r="J205" i="3"/>
  <c r="J206" i="3"/>
  <c r="J207" i="3"/>
  <c r="J208" i="3"/>
  <c r="J209" i="3"/>
  <c r="J210" i="3"/>
  <c r="J211" i="3"/>
  <c r="J212" i="3"/>
  <c r="J213" i="3"/>
  <c r="J214" i="3"/>
  <c r="J215" i="3"/>
  <c r="J216" i="3"/>
  <c r="J217" i="3"/>
  <c r="J218" i="3"/>
  <c r="J219" i="3"/>
  <c r="J220" i="3"/>
  <c r="J221" i="3"/>
  <c r="J222" i="3"/>
  <c r="J223" i="3"/>
  <c r="J224" i="3"/>
  <c r="J225" i="3"/>
  <c r="J226" i="3"/>
  <c r="J227" i="3"/>
  <c r="J228" i="3"/>
  <c r="J229" i="3"/>
  <c r="J230" i="3"/>
  <c r="J231" i="3"/>
  <c r="J232" i="3"/>
  <c r="J233" i="3"/>
  <c r="J234" i="3"/>
  <c r="J235" i="3"/>
  <c r="J236" i="3"/>
  <c r="J237" i="3"/>
  <c r="J238" i="3"/>
  <c r="J239" i="3"/>
  <c r="J240" i="3"/>
  <c r="J241" i="3"/>
  <c r="J242" i="3"/>
  <c r="J243" i="3"/>
  <c r="J244" i="3"/>
  <c r="J245" i="3"/>
  <c r="J246" i="3"/>
  <c r="J247" i="3"/>
  <c r="J248" i="3"/>
  <c r="J249" i="3"/>
  <c r="J250" i="3"/>
  <c r="J251" i="3"/>
  <c r="J252" i="3"/>
  <c r="J253" i="3"/>
  <c r="J254" i="3"/>
  <c r="J255" i="3"/>
  <c r="J256" i="3"/>
  <c r="J257" i="3"/>
  <c r="J258" i="3"/>
  <c r="J259" i="3"/>
  <c r="J260" i="3"/>
  <c r="J261" i="3"/>
  <c r="J262" i="3"/>
  <c r="J263" i="3"/>
  <c r="J264" i="3"/>
  <c r="J265" i="3"/>
  <c r="J266" i="3"/>
  <c r="J267" i="3"/>
  <c r="J268" i="3"/>
  <c r="J269" i="3"/>
  <c r="J270" i="3"/>
  <c r="J271" i="3"/>
  <c r="J272" i="3"/>
  <c r="J273" i="3"/>
  <c r="J274" i="3"/>
  <c r="J275" i="3"/>
  <c r="J276" i="3"/>
  <c r="J277" i="3"/>
  <c r="J278" i="3"/>
  <c r="J279" i="3"/>
  <c r="J280" i="3"/>
  <c r="J281" i="3"/>
  <c r="J282" i="3"/>
  <c r="J283" i="3"/>
  <c r="J284" i="3"/>
  <c r="J285" i="3"/>
  <c r="J286" i="3"/>
  <c r="J287" i="3"/>
  <c r="J288" i="3"/>
  <c r="J289" i="3"/>
  <c r="J290" i="3"/>
  <c r="J291" i="3"/>
  <c r="J292" i="3"/>
  <c r="J293" i="3"/>
  <c r="J294" i="3"/>
  <c r="J295" i="3"/>
  <c r="J296" i="3"/>
  <c r="J297" i="3"/>
  <c r="J298" i="3"/>
  <c r="J299" i="3"/>
  <c r="J300" i="3"/>
  <c r="J301" i="3"/>
  <c r="J302" i="3"/>
  <c r="J303" i="3"/>
  <c r="J304" i="3"/>
  <c r="J305" i="3"/>
  <c r="J306" i="3"/>
  <c r="J307" i="3"/>
  <c r="J308" i="3"/>
  <c r="J309" i="3"/>
  <c r="J310" i="3"/>
  <c r="J311" i="3"/>
  <c r="J312" i="3"/>
  <c r="J313" i="3"/>
  <c r="J314" i="3"/>
  <c r="J315" i="3"/>
  <c r="J316" i="3"/>
  <c r="J317" i="3"/>
  <c r="J318" i="3"/>
  <c r="J319" i="3"/>
  <c r="J320" i="3"/>
  <c r="J321" i="3"/>
  <c r="J322" i="3"/>
  <c r="J323" i="3"/>
  <c r="J324" i="3"/>
  <c r="J325" i="3"/>
  <c r="J326" i="3"/>
  <c r="J327" i="3"/>
  <c r="J328" i="3"/>
  <c r="J329" i="3"/>
  <c r="J330" i="3"/>
  <c r="J331" i="3"/>
  <c r="J332" i="3"/>
  <c r="J333" i="3"/>
  <c r="J334" i="3"/>
  <c r="J335" i="3"/>
  <c r="J336" i="3"/>
  <c r="J337" i="3"/>
  <c r="J338" i="3"/>
  <c r="J339" i="3"/>
  <c r="J340" i="3"/>
  <c r="J341" i="3"/>
  <c r="J342" i="3"/>
  <c r="J343" i="3"/>
  <c r="J344" i="3"/>
  <c r="J345" i="3"/>
  <c r="J346" i="3"/>
  <c r="J347" i="3"/>
  <c r="J348" i="3"/>
  <c r="J349" i="3"/>
  <c r="J350" i="3"/>
  <c r="J351" i="3"/>
  <c r="J352" i="3"/>
  <c r="J353" i="3"/>
  <c r="J354" i="3"/>
  <c r="J355" i="3"/>
  <c r="J356" i="3"/>
  <c r="J357" i="3"/>
  <c r="J358" i="3"/>
  <c r="J359" i="3"/>
  <c r="J360" i="3"/>
  <c r="J361" i="3"/>
  <c r="J362" i="3"/>
  <c r="J363" i="3"/>
  <c r="J364" i="3"/>
  <c r="J365" i="3"/>
  <c r="J366" i="3"/>
  <c r="J367" i="3"/>
  <c r="J368" i="3"/>
  <c r="J369" i="3"/>
  <c r="J370" i="3"/>
  <c r="J371" i="3"/>
  <c r="J372" i="3"/>
  <c r="J373" i="3"/>
  <c r="J374" i="3"/>
  <c r="J375" i="3"/>
  <c r="J376" i="3"/>
  <c r="J377" i="3"/>
  <c r="J378" i="3"/>
  <c r="J379" i="3"/>
  <c r="J380" i="3"/>
  <c r="J381" i="3"/>
  <c r="J382" i="3"/>
  <c r="J383" i="3"/>
  <c r="J384" i="3"/>
  <c r="J385" i="3"/>
  <c r="J386" i="3"/>
  <c r="J387" i="3"/>
  <c r="J388" i="3"/>
  <c r="J389" i="3"/>
  <c r="J390" i="3"/>
  <c r="J391" i="3"/>
  <c r="J392" i="3"/>
  <c r="J393" i="3"/>
  <c r="J394" i="3"/>
  <c r="J395" i="3"/>
  <c r="J396" i="3"/>
  <c r="J397" i="3"/>
  <c r="J398" i="3"/>
  <c r="J399" i="3"/>
  <c r="J400" i="3"/>
  <c r="J401" i="3"/>
  <c r="J402" i="3"/>
  <c r="J403" i="3"/>
  <c r="J404" i="3"/>
  <c r="J405" i="3"/>
  <c r="J406" i="3"/>
  <c r="J407" i="3"/>
  <c r="J408" i="3"/>
  <c r="J409" i="3"/>
  <c r="J410" i="3"/>
  <c r="J411" i="3"/>
  <c r="J412" i="3"/>
  <c r="J413" i="3"/>
  <c r="J414" i="3"/>
  <c r="J415" i="3"/>
  <c r="J416" i="3"/>
  <c r="J417" i="3"/>
  <c r="J418" i="3"/>
  <c r="J419" i="3"/>
  <c r="J420" i="3"/>
  <c r="J421" i="3"/>
  <c r="J422" i="3"/>
  <c r="J423" i="3"/>
  <c r="J424" i="3"/>
  <c r="J425" i="3"/>
  <c r="J426" i="3"/>
  <c r="J427" i="3"/>
  <c r="J428" i="3"/>
  <c r="J429" i="3"/>
  <c r="J430" i="3"/>
  <c r="J431" i="3"/>
  <c r="J432" i="3"/>
  <c r="J433" i="3"/>
  <c r="J434" i="3"/>
  <c r="J435" i="3"/>
  <c r="J436" i="3"/>
  <c r="J437" i="3"/>
  <c r="J438" i="3"/>
  <c r="J439" i="3"/>
  <c r="J440" i="3"/>
  <c r="J441" i="3"/>
  <c r="J442" i="3"/>
  <c r="J443" i="3"/>
  <c r="J444" i="3"/>
  <c r="J445" i="3"/>
  <c r="J446" i="3"/>
  <c r="J447" i="3"/>
  <c r="J448" i="3"/>
  <c r="J449" i="3"/>
  <c r="J450" i="3"/>
  <c r="J451" i="3"/>
  <c r="J452" i="3"/>
  <c r="J453" i="3"/>
  <c r="J454" i="3"/>
  <c r="J455" i="3"/>
  <c r="J456" i="3"/>
  <c r="J457" i="3"/>
  <c r="J458" i="3"/>
  <c r="J459" i="3"/>
  <c r="J460" i="3"/>
  <c r="J461" i="3"/>
  <c r="J462" i="3"/>
  <c r="J463" i="3"/>
  <c r="J464" i="3"/>
  <c r="J465" i="3"/>
  <c r="J466" i="3"/>
  <c r="J467" i="3"/>
  <c r="J468" i="3"/>
  <c r="J469" i="3"/>
  <c r="J470" i="3"/>
  <c r="J471" i="3"/>
  <c r="J472" i="3"/>
  <c r="J473" i="3"/>
  <c r="J474" i="3"/>
  <c r="J475" i="3"/>
  <c r="J476" i="3"/>
  <c r="J477" i="3"/>
  <c r="J478" i="3"/>
  <c r="J479" i="3"/>
  <c r="J480" i="3"/>
  <c r="J481" i="3"/>
  <c r="J482" i="3"/>
  <c r="J483" i="3"/>
  <c r="J484" i="3"/>
  <c r="J485" i="3"/>
  <c r="J486" i="3"/>
  <c r="J487" i="3"/>
  <c r="J488" i="3"/>
  <c r="J489" i="3"/>
  <c r="J490" i="3"/>
  <c r="J491" i="3"/>
  <c r="J492" i="3"/>
  <c r="J493" i="3"/>
  <c r="J494" i="3"/>
  <c r="J495" i="3"/>
  <c r="J496" i="3"/>
  <c r="J497" i="3"/>
  <c r="J498" i="3"/>
  <c r="J499" i="3"/>
  <c r="J500" i="3"/>
  <c r="J501" i="3"/>
  <c r="J502" i="3"/>
  <c r="J503" i="3"/>
  <c r="J504" i="3"/>
  <c r="J505" i="3"/>
  <c r="J506" i="3"/>
  <c r="J507" i="3"/>
  <c r="J508" i="3"/>
  <c r="J509" i="3"/>
  <c r="J510" i="3"/>
  <c r="J511" i="3"/>
  <c r="J512" i="3"/>
  <c r="J513" i="3"/>
  <c r="J514" i="3"/>
  <c r="J515" i="3"/>
  <c r="J516" i="3"/>
  <c r="J517" i="3"/>
  <c r="J518" i="3"/>
  <c r="J519" i="3"/>
  <c r="J520" i="3"/>
  <c r="J521" i="3"/>
  <c r="J522" i="3"/>
  <c r="J523" i="3"/>
  <c r="J524" i="3"/>
  <c r="J525" i="3"/>
  <c r="J526" i="3"/>
  <c r="J527" i="3"/>
  <c r="J528" i="3"/>
  <c r="J529" i="3"/>
  <c r="J530" i="3"/>
  <c r="J531" i="3"/>
  <c r="J532" i="3"/>
  <c r="J533" i="3"/>
  <c r="J534" i="3"/>
  <c r="J535" i="3"/>
  <c r="J536" i="3"/>
  <c r="J537" i="3"/>
  <c r="J538" i="3"/>
  <c r="J539" i="3"/>
  <c r="J540" i="3"/>
  <c r="J541" i="3"/>
  <c r="J542" i="3"/>
  <c r="J543" i="3"/>
  <c r="J544" i="3"/>
  <c r="J545" i="3"/>
  <c r="J546" i="3"/>
  <c r="J547" i="3"/>
  <c r="J548" i="3"/>
  <c r="J549" i="3"/>
  <c r="J550" i="3"/>
  <c r="J551" i="3"/>
  <c r="J552" i="3"/>
  <c r="J553" i="3"/>
  <c r="J554" i="3"/>
  <c r="J555" i="3"/>
  <c r="J556" i="3"/>
  <c r="J557" i="3"/>
  <c r="J558" i="3"/>
  <c r="J559" i="3"/>
  <c r="J560" i="3"/>
  <c r="J561" i="3"/>
  <c r="J562" i="3"/>
  <c r="J563" i="3"/>
  <c r="J564" i="3"/>
  <c r="J565" i="3"/>
  <c r="J566" i="3"/>
  <c r="J567" i="3"/>
  <c r="J568" i="3"/>
  <c r="J569" i="3"/>
  <c r="J570" i="3"/>
  <c r="J571" i="3"/>
  <c r="J572" i="3"/>
  <c r="J573" i="3"/>
  <c r="J574" i="3"/>
  <c r="J575" i="3"/>
  <c r="J576" i="3"/>
  <c r="J577" i="3"/>
  <c r="J578" i="3"/>
  <c r="J579" i="3"/>
  <c r="J580" i="3"/>
  <c r="J581" i="3"/>
  <c r="J582" i="3"/>
  <c r="J583" i="3"/>
  <c r="J584" i="3"/>
  <c r="J585" i="3"/>
  <c r="J586" i="3"/>
  <c r="J587" i="3"/>
  <c r="J588" i="3"/>
  <c r="J589" i="3"/>
  <c r="J590" i="3"/>
  <c r="J591" i="3"/>
  <c r="J592" i="3"/>
  <c r="J593" i="3"/>
  <c r="J594" i="3"/>
  <c r="J595" i="3"/>
  <c r="J596" i="3"/>
  <c r="J597" i="3"/>
  <c r="J598" i="3"/>
  <c r="J599" i="3"/>
  <c r="J600" i="3"/>
  <c r="J601" i="3"/>
  <c r="J602" i="3"/>
  <c r="J603" i="3"/>
  <c r="J604" i="3"/>
  <c r="J605" i="3"/>
  <c r="J606" i="3"/>
  <c r="J607" i="3"/>
  <c r="J608" i="3"/>
  <c r="J609" i="3"/>
  <c r="J610" i="3"/>
  <c r="J611" i="3"/>
  <c r="J612" i="3"/>
  <c r="J613" i="3"/>
  <c r="J614" i="3"/>
  <c r="J615" i="3"/>
  <c r="J616" i="3"/>
  <c r="J617" i="3"/>
  <c r="J618" i="3"/>
  <c r="J619" i="3"/>
  <c r="J620" i="3"/>
  <c r="J621" i="3"/>
  <c r="J622" i="3"/>
  <c r="J623" i="3"/>
  <c r="J624" i="3"/>
  <c r="J625" i="3"/>
  <c r="J626" i="3"/>
  <c r="J627" i="3"/>
  <c r="J628" i="3"/>
  <c r="J629" i="3"/>
  <c r="J630" i="3"/>
  <c r="J631" i="3"/>
  <c r="J632" i="3"/>
  <c r="J633" i="3"/>
  <c r="J634" i="3"/>
  <c r="J635" i="3"/>
  <c r="J636" i="3"/>
  <c r="J637" i="3"/>
  <c r="J638" i="3"/>
  <c r="J639" i="3"/>
  <c r="J640" i="3"/>
  <c r="J641" i="3"/>
  <c r="J642" i="3"/>
  <c r="J643" i="3"/>
  <c r="J644" i="3"/>
  <c r="J645" i="3"/>
  <c r="J646" i="3"/>
  <c r="J647" i="3"/>
  <c r="J648" i="3"/>
  <c r="J649" i="3"/>
  <c r="J650" i="3"/>
  <c r="J651" i="3"/>
  <c r="J652" i="3"/>
  <c r="J653" i="3"/>
  <c r="J654" i="3"/>
  <c r="J655" i="3"/>
  <c r="J656" i="3"/>
  <c r="J657" i="3"/>
  <c r="J658" i="3"/>
  <c r="J659" i="3"/>
  <c r="J660" i="3"/>
  <c r="J661" i="3"/>
  <c r="J662" i="3"/>
  <c r="J663" i="3"/>
  <c r="J664" i="3"/>
  <c r="J665" i="3"/>
  <c r="J666" i="3"/>
  <c r="J667" i="3"/>
  <c r="J668" i="3"/>
  <c r="J669" i="3"/>
  <c r="J670" i="3"/>
  <c r="J671" i="3"/>
  <c r="J672" i="3"/>
  <c r="J673" i="3"/>
  <c r="J674" i="3"/>
  <c r="J675" i="3"/>
  <c r="J676" i="3"/>
  <c r="J677" i="3"/>
  <c r="J678" i="3"/>
  <c r="J679" i="3"/>
  <c r="J680" i="3"/>
  <c r="J681" i="3"/>
  <c r="J682" i="3"/>
  <c r="J683" i="3"/>
  <c r="J684" i="3"/>
  <c r="J685" i="3"/>
  <c r="J686" i="3"/>
  <c r="J687" i="3"/>
  <c r="J688" i="3"/>
  <c r="J689" i="3"/>
  <c r="J690" i="3"/>
  <c r="J691" i="3"/>
  <c r="J692" i="3"/>
  <c r="J693" i="3"/>
  <c r="J694" i="3"/>
  <c r="J695" i="3"/>
  <c r="J696" i="3"/>
  <c r="J697" i="3"/>
  <c r="J698" i="3"/>
  <c r="J699" i="3"/>
  <c r="J700" i="3"/>
  <c r="J701" i="3"/>
  <c r="J702" i="3"/>
  <c r="J703" i="3"/>
  <c r="J704" i="3"/>
  <c r="J705" i="3"/>
  <c r="J706" i="3"/>
  <c r="J707" i="3"/>
  <c r="J708" i="3"/>
  <c r="J709" i="3"/>
  <c r="J710" i="3"/>
  <c r="J711" i="3"/>
  <c r="J712" i="3"/>
  <c r="J713" i="3"/>
  <c r="J714" i="3"/>
  <c r="J715" i="3"/>
  <c r="J716" i="3"/>
  <c r="J717" i="3"/>
  <c r="J718" i="3"/>
  <c r="J719" i="3"/>
  <c r="J720" i="3"/>
  <c r="J721" i="3"/>
  <c r="J722" i="3"/>
  <c r="J723" i="3"/>
  <c r="J724" i="3"/>
  <c r="J725" i="3"/>
  <c r="J726" i="3"/>
  <c r="J727" i="3"/>
  <c r="J728" i="3"/>
  <c r="J729" i="3"/>
  <c r="J730" i="3"/>
  <c r="J731" i="3"/>
  <c r="J732" i="3"/>
  <c r="J733" i="3"/>
  <c r="J734" i="3"/>
  <c r="J735" i="3"/>
  <c r="J736" i="3"/>
  <c r="J737" i="3"/>
  <c r="J738" i="3"/>
  <c r="J739" i="3"/>
  <c r="J740" i="3"/>
  <c r="J741" i="3"/>
  <c r="J742" i="3"/>
  <c r="J743" i="3"/>
  <c r="J12" i="4"/>
  <c r="M18" i="1" l="1"/>
  <c r="M20" i="1" s="1"/>
  <c r="I743" i="3"/>
  <c r="I742" i="3"/>
  <c r="I741" i="3"/>
  <c r="I740" i="3"/>
  <c r="I739" i="3"/>
  <c r="I738" i="3"/>
  <c r="I737" i="3"/>
  <c r="I736" i="3"/>
  <c r="I735" i="3"/>
  <c r="I734" i="3"/>
  <c r="I733" i="3"/>
  <c r="I732" i="3"/>
  <c r="I731" i="3"/>
  <c r="I730" i="3"/>
  <c r="I729" i="3"/>
  <c r="I728" i="3"/>
  <c r="I727" i="3"/>
  <c r="I726" i="3"/>
  <c r="I725" i="3"/>
  <c r="I724" i="3"/>
  <c r="I723" i="3"/>
  <c r="I722" i="3"/>
  <c r="I721" i="3"/>
  <c r="I720" i="3"/>
  <c r="I719" i="3"/>
  <c r="I718" i="3"/>
  <c r="I717" i="3"/>
  <c r="I716" i="3"/>
  <c r="I715" i="3"/>
  <c r="I714" i="3"/>
  <c r="I713" i="3"/>
  <c r="I712" i="3"/>
  <c r="I711" i="3"/>
  <c r="I710" i="3"/>
  <c r="I709" i="3"/>
  <c r="I708" i="3"/>
  <c r="I707" i="3"/>
  <c r="I706" i="3"/>
  <c r="I705" i="3"/>
  <c r="I704" i="3"/>
  <c r="I703" i="3"/>
  <c r="I702" i="3"/>
  <c r="I701" i="3"/>
  <c r="I700" i="3"/>
  <c r="I699" i="3"/>
  <c r="I698" i="3"/>
  <c r="I697" i="3"/>
  <c r="I696" i="3"/>
  <c r="I695" i="3"/>
  <c r="I694" i="3"/>
  <c r="I693" i="3"/>
  <c r="I692" i="3"/>
  <c r="I691" i="3"/>
  <c r="I690" i="3"/>
  <c r="I689" i="3"/>
  <c r="I688" i="3"/>
  <c r="I687" i="3"/>
  <c r="I686" i="3"/>
  <c r="I685" i="3"/>
  <c r="I684" i="3"/>
  <c r="I683" i="3"/>
  <c r="I682" i="3"/>
  <c r="I681" i="3"/>
  <c r="I680" i="3"/>
  <c r="I679" i="3"/>
  <c r="I678" i="3"/>
  <c r="I677" i="3"/>
  <c r="I676" i="3"/>
  <c r="I675" i="3"/>
  <c r="I674" i="3"/>
  <c r="I673" i="3"/>
  <c r="I672" i="3"/>
  <c r="I671" i="3"/>
  <c r="I670" i="3"/>
  <c r="I669" i="3"/>
  <c r="I668" i="3"/>
  <c r="I667" i="3"/>
  <c r="I666" i="3"/>
  <c r="I665" i="3"/>
  <c r="I664" i="3"/>
  <c r="I663" i="3"/>
  <c r="I662" i="3"/>
  <c r="I661" i="3"/>
  <c r="I660" i="3"/>
  <c r="I659" i="3"/>
  <c r="I658" i="3"/>
  <c r="I657" i="3"/>
  <c r="I656" i="3"/>
  <c r="I655" i="3"/>
  <c r="I654" i="3"/>
  <c r="I653" i="3"/>
  <c r="I652" i="3"/>
  <c r="I651" i="3"/>
  <c r="I650" i="3"/>
  <c r="I649" i="3"/>
  <c r="I648" i="3"/>
  <c r="I647" i="3"/>
  <c r="I646" i="3"/>
  <c r="I645" i="3"/>
  <c r="I644" i="3"/>
  <c r="I643" i="3"/>
  <c r="I642" i="3"/>
  <c r="I641" i="3"/>
  <c r="I640" i="3"/>
  <c r="I639" i="3"/>
  <c r="I638" i="3"/>
  <c r="I637" i="3"/>
  <c r="I636" i="3"/>
  <c r="I635" i="3"/>
  <c r="I634" i="3"/>
  <c r="I633" i="3"/>
  <c r="I632" i="3"/>
  <c r="I631" i="3"/>
  <c r="I630" i="3"/>
  <c r="I629" i="3"/>
  <c r="I628" i="3"/>
  <c r="I627" i="3"/>
  <c r="I626" i="3"/>
  <c r="I625" i="3"/>
  <c r="I624" i="3"/>
  <c r="I623" i="3"/>
  <c r="I622" i="3"/>
  <c r="I621" i="3"/>
  <c r="I620" i="3"/>
  <c r="I619" i="3"/>
  <c r="I618" i="3"/>
  <c r="I617" i="3"/>
  <c r="I616" i="3"/>
  <c r="I615" i="3"/>
  <c r="I614" i="3"/>
  <c r="I613" i="3"/>
  <c r="I612" i="3"/>
  <c r="I611" i="3"/>
  <c r="I610" i="3"/>
  <c r="I609" i="3"/>
  <c r="I608" i="3"/>
  <c r="I607" i="3"/>
  <c r="I606" i="3"/>
  <c r="I605" i="3"/>
  <c r="I604" i="3"/>
  <c r="I603" i="3"/>
  <c r="I602" i="3"/>
  <c r="I601" i="3"/>
  <c r="I600" i="3"/>
  <c r="I599" i="3"/>
  <c r="I598" i="3"/>
  <c r="I597" i="3"/>
  <c r="I596" i="3"/>
  <c r="I595" i="3"/>
  <c r="I594" i="3"/>
  <c r="I593" i="3"/>
  <c r="I592" i="3"/>
  <c r="I591" i="3"/>
  <c r="I590" i="3"/>
  <c r="I589" i="3"/>
  <c r="I588" i="3"/>
  <c r="I587" i="3"/>
  <c r="I586" i="3"/>
  <c r="I585" i="3"/>
  <c r="I584" i="3"/>
  <c r="I583" i="3"/>
  <c r="I582" i="3"/>
  <c r="I581" i="3"/>
  <c r="I580" i="3"/>
  <c r="I579" i="3"/>
  <c r="I578" i="3"/>
  <c r="I577" i="3"/>
  <c r="I576" i="3"/>
  <c r="I575" i="3"/>
  <c r="I574" i="3"/>
  <c r="I573" i="3"/>
  <c r="I572" i="3"/>
  <c r="I571" i="3"/>
  <c r="I570" i="3"/>
  <c r="I569" i="3"/>
  <c r="I568" i="3"/>
  <c r="I567" i="3"/>
  <c r="I566" i="3"/>
  <c r="I565" i="3"/>
  <c r="I564" i="3"/>
  <c r="I563" i="3"/>
  <c r="I562" i="3"/>
  <c r="I561" i="3"/>
  <c r="I560" i="3"/>
  <c r="I559" i="3"/>
  <c r="I558" i="3"/>
  <c r="I557" i="3"/>
  <c r="I556" i="3"/>
  <c r="I555" i="3"/>
  <c r="I554" i="3"/>
  <c r="I553" i="3"/>
  <c r="I552" i="3"/>
  <c r="I551" i="3"/>
  <c r="I550" i="3"/>
  <c r="I549" i="3"/>
  <c r="I548" i="3"/>
  <c r="I547" i="3"/>
  <c r="I546" i="3"/>
  <c r="I545" i="3"/>
  <c r="I544" i="3"/>
  <c r="I543" i="3"/>
  <c r="I542" i="3"/>
  <c r="I541" i="3"/>
  <c r="I540" i="3"/>
  <c r="I539" i="3"/>
  <c r="I538" i="3"/>
  <c r="I537" i="3"/>
  <c r="I536" i="3"/>
  <c r="I535" i="3"/>
  <c r="I534" i="3"/>
  <c r="I533" i="3"/>
  <c r="I532" i="3"/>
  <c r="I531" i="3"/>
  <c r="I530" i="3"/>
  <c r="I529" i="3"/>
  <c r="I528" i="3"/>
  <c r="I527" i="3"/>
  <c r="I526" i="3"/>
  <c r="I525" i="3"/>
  <c r="I524" i="3"/>
  <c r="I523" i="3"/>
  <c r="I522" i="3"/>
  <c r="I521" i="3"/>
  <c r="I520" i="3"/>
  <c r="I519" i="3"/>
  <c r="I518" i="3"/>
  <c r="I517" i="3"/>
  <c r="I516" i="3"/>
  <c r="I515" i="3"/>
  <c r="I514" i="3"/>
  <c r="I513" i="3"/>
  <c r="I512" i="3"/>
  <c r="I511" i="3"/>
  <c r="I510" i="3"/>
  <c r="I509" i="3"/>
  <c r="I508" i="3"/>
  <c r="I507" i="3"/>
  <c r="I506" i="3"/>
  <c r="I505" i="3"/>
  <c r="I504" i="3"/>
  <c r="I503" i="3"/>
  <c r="I502" i="3"/>
  <c r="I501" i="3"/>
  <c r="I500" i="3"/>
  <c r="I499" i="3"/>
  <c r="I498" i="3"/>
  <c r="I497" i="3"/>
  <c r="I496" i="3"/>
  <c r="I495" i="3"/>
  <c r="I494" i="3"/>
  <c r="I493" i="3"/>
  <c r="I492" i="3"/>
  <c r="I491" i="3"/>
  <c r="I490" i="3"/>
  <c r="I489" i="3"/>
  <c r="I488" i="3"/>
  <c r="I487" i="3"/>
  <c r="I486" i="3"/>
  <c r="I485" i="3"/>
  <c r="I484" i="3"/>
  <c r="I483" i="3"/>
  <c r="I482" i="3"/>
  <c r="I481" i="3"/>
  <c r="I480" i="3"/>
  <c r="I479" i="3"/>
  <c r="I478" i="3"/>
  <c r="I477" i="3"/>
  <c r="I476" i="3"/>
  <c r="I475" i="3"/>
  <c r="I474" i="3"/>
  <c r="I473" i="3"/>
  <c r="I472" i="3"/>
  <c r="I471" i="3"/>
  <c r="I470" i="3"/>
  <c r="I469" i="3"/>
  <c r="I468" i="3"/>
  <c r="I467" i="3"/>
  <c r="I466" i="3"/>
  <c r="I465" i="3"/>
  <c r="I464" i="3"/>
  <c r="I463" i="3"/>
  <c r="I462" i="3"/>
  <c r="I461" i="3"/>
  <c r="I460" i="3"/>
  <c r="I459" i="3"/>
  <c r="I458" i="3"/>
  <c r="I457" i="3"/>
  <c r="I456" i="3"/>
  <c r="I455" i="3"/>
  <c r="I454" i="3"/>
  <c r="I453" i="3"/>
  <c r="I452" i="3"/>
  <c r="I451" i="3"/>
  <c r="I450" i="3"/>
  <c r="I449" i="3"/>
  <c r="I448" i="3"/>
  <c r="I447" i="3"/>
  <c r="I446" i="3"/>
  <c r="I445" i="3"/>
  <c r="I444" i="3"/>
  <c r="I443" i="3"/>
  <c r="I442" i="3"/>
  <c r="I441" i="3"/>
  <c r="I440" i="3"/>
  <c r="I439" i="3"/>
  <c r="I438" i="3"/>
  <c r="I437" i="3"/>
  <c r="I436" i="3"/>
  <c r="I435" i="3"/>
  <c r="I434" i="3"/>
  <c r="I433" i="3"/>
  <c r="I432" i="3"/>
  <c r="I431" i="3"/>
  <c r="I430" i="3"/>
  <c r="I429" i="3"/>
  <c r="I428" i="3"/>
  <c r="I427" i="3"/>
  <c r="I426" i="3"/>
  <c r="I425" i="3"/>
  <c r="I424" i="3"/>
  <c r="I423" i="3"/>
  <c r="I422" i="3"/>
  <c r="I421" i="3"/>
  <c r="I420" i="3"/>
  <c r="I419" i="3"/>
  <c r="I418" i="3"/>
  <c r="I417" i="3"/>
  <c r="I416" i="3"/>
  <c r="I415" i="3"/>
  <c r="I414" i="3"/>
  <c r="I413" i="3"/>
  <c r="I412" i="3"/>
  <c r="I411" i="3"/>
  <c r="I410" i="3"/>
  <c r="I409" i="3"/>
  <c r="I408" i="3"/>
  <c r="I407" i="3"/>
  <c r="I406" i="3"/>
  <c r="I405" i="3"/>
  <c r="I404" i="3"/>
  <c r="I403" i="3"/>
  <c r="I402" i="3"/>
  <c r="I401" i="3"/>
  <c r="I400" i="3"/>
  <c r="I399" i="3"/>
  <c r="I398" i="3"/>
  <c r="I397" i="3"/>
  <c r="I396" i="3"/>
  <c r="I395" i="3"/>
  <c r="I394" i="3"/>
  <c r="I393" i="3"/>
  <c r="I392" i="3"/>
  <c r="I391" i="3"/>
  <c r="I390" i="3"/>
  <c r="I389" i="3"/>
  <c r="I388" i="3"/>
  <c r="I387" i="3"/>
  <c r="I386" i="3"/>
  <c r="I385" i="3"/>
  <c r="I384" i="3"/>
  <c r="I383" i="3"/>
  <c r="I382" i="3"/>
  <c r="I381" i="3"/>
  <c r="I379" i="3"/>
  <c r="I372" i="3"/>
  <c r="I371" i="3"/>
  <c r="I364" i="3"/>
  <c r="I360" i="3"/>
  <c r="I354" i="3"/>
  <c r="I349" i="3"/>
  <c r="I343" i="3"/>
  <c r="I324" i="3"/>
  <c r="I319" i="3"/>
  <c r="I314" i="3"/>
  <c r="I307" i="3"/>
  <c r="I299" i="3"/>
  <c r="I296" i="3"/>
  <c r="I294" i="3"/>
  <c r="I283" i="3"/>
  <c r="I276" i="3"/>
  <c r="I273" i="3"/>
  <c r="I271" i="3"/>
  <c r="I269" i="3"/>
  <c r="I267" i="3"/>
  <c r="I253" i="3"/>
  <c r="I252" i="3"/>
  <c r="I249" i="3"/>
  <c r="I248" i="3"/>
  <c r="I240" i="3"/>
  <c r="I234" i="3"/>
  <c r="I233" i="3"/>
  <c r="I232" i="3"/>
  <c r="I221" i="3"/>
  <c r="I216" i="3"/>
  <c r="I201" i="3"/>
  <c r="I200" i="3"/>
  <c r="I197" i="3"/>
  <c r="I185" i="3"/>
  <c r="I181" i="3"/>
  <c r="I175" i="3"/>
  <c r="I173" i="3"/>
  <c r="I172" i="3"/>
  <c r="I171" i="3"/>
  <c r="I169" i="3"/>
  <c r="I167" i="3"/>
  <c r="I166" i="3"/>
  <c r="I162" i="3"/>
  <c r="I161" i="3"/>
  <c r="I160" i="3"/>
  <c r="I157" i="3"/>
  <c r="I154" i="3"/>
  <c r="I152" i="3"/>
  <c r="I150" i="3"/>
  <c r="I3" i="3"/>
  <c r="I4" i="3"/>
  <c r="I5" i="3"/>
  <c r="I6" i="3"/>
  <c r="I7" i="3"/>
  <c r="I8" i="3"/>
  <c r="I9" i="3"/>
  <c r="I10" i="3"/>
  <c r="I11" i="3"/>
  <c r="I12" i="3"/>
  <c r="I13" i="3"/>
  <c r="I14" i="3"/>
  <c r="I15" i="3"/>
  <c r="I16" i="3"/>
  <c r="I17" i="3"/>
  <c r="I18" i="3"/>
  <c r="I19" i="3"/>
  <c r="I20" i="3"/>
  <c r="I21" i="3"/>
  <c r="I22" i="3"/>
  <c r="I23" i="3"/>
  <c r="I24" i="3"/>
  <c r="I25" i="3"/>
  <c r="I26" i="3"/>
  <c r="I27" i="3"/>
  <c r="I28" i="3"/>
  <c r="I29" i="3"/>
  <c r="I30" i="3"/>
  <c r="I31" i="3"/>
  <c r="I32" i="3"/>
  <c r="I33" i="3"/>
  <c r="I34" i="3"/>
  <c r="I35" i="3"/>
  <c r="I36" i="3"/>
  <c r="I37" i="3"/>
  <c r="I38" i="3"/>
  <c r="I39" i="3"/>
  <c r="I40" i="3"/>
  <c r="I41" i="3"/>
  <c r="I42" i="3"/>
  <c r="I43" i="3"/>
  <c r="I44" i="3"/>
  <c r="I45" i="3"/>
  <c r="I46" i="3"/>
  <c r="I47" i="3"/>
  <c r="I48" i="3"/>
  <c r="I49" i="3"/>
  <c r="I50" i="3"/>
  <c r="I51" i="3"/>
  <c r="I52" i="3"/>
  <c r="I53" i="3"/>
  <c r="I54" i="3"/>
  <c r="I55" i="3"/>
  <c r="I56" i="3"/>
  <c r="I57" i="3"/>
  <c r="I58" i="3"/>
  <c r="I59" i="3"/>
  <c r="I60" i="3"/>
  <c r="I61" i="3"/>
  <c r="I62" i="3"/>
  <c r="I63" i="3"/>
  <c r="I64" i="3"/>
  <c r="I65" i="3"/>
  <c r="I66" i="3"/>
  <c r="I67" i="3"/>
  <c r="I68" i="3"/>
  <c r="I69" i="3"/>
  <c r="I70" i="3"/>
  <c r="I71" i="3"/>
  <c r="I72" i="3"/>
  <c r="I73" i="3"/>
  <c r="I74" i="3"/>
  <c r="I75" i="3"/>
  <c r="I76" i="3"/>
  <c r="I77" i="3"/>
  <c r="I78" i="3"/>
  <c r="I79" i="3"/>
  <c r="I80" i="3"/>
  <c r="I81" i="3"/>
  <c r="I82" i="3"/>
  <c r="I83" i="3"/>
  <c r="I84" i="3"/>
  <c r="I85" i="3"/>
  <c r="I86" i="3"/>
  <c r="I87" i="3"/>
  <c r="I88" i="3"/>
  <c r="I89" i="3"/>
  <c r="I90" i="3"/>
  <c r="I91" i="3"/>
  <c r="I92" i="3"/>
  <c r="I93" i="3"/>
  <c r="I94" i="3"/>
  <c r="I95" i="3"/>
  <c r="I96" i="3"/>
  <c r="I97" i="3"/>
  <c r="I98" i="3"/>
  <c r="I99" i="3"/>
  <c r="I100" i="3"/>
  <c r="I101" i="3"/>
  <c r="I102" i="3"/>
  <c r="I103" i="3"/>
  <c r="I104" i="3"/>
  <c r="I105" i="3"/>
  <c r="I106" i="3"/>
  <c r="I107" i="3"/>
  <c r="I108" i="3"/>
  <c r="I109" i="3"/>
  <c r="I110" i="3"/>
  <c r="I111" i="3"/>
  <c r="I112" i="3"/>
  <c r="I113" i="3"/>
  <c r="I114" i="3"/>
  <c r="I115" i="3"/>
  <c r="I116" i="3"/>
  <c r="I117" i="3"/>
  <c r="I118" i="3"/>
  <c r="I119" i="3"/>
  <c r="I120" i="3"/>
  <c r="I121" i="3"/>
  <c r="I122" i="3"/>
  <c r="I123" i="3"/>
  <c r="I124" i="3"/>
  <c r="I125" i="3"/>
  <c r="I126" i="3"/>
  <c r="I127" i="3"/>
  <c r="I128" i="3"/>
  <c r="I129" i="3"/>
  <c r="I130" i="3"/>
  <c r="I131" i="3"/>
  <c r="I132" i="3"/>
  <c r="I133" i="3"/>
  <c r="I134" i="3"/>
  <c r="I135" i="3"/>
  <c r="I136" i="3"/>
  <c r="I137" i="3"/>
  <c r="I138" i="3"/>
  <c r="I139" i="3"/>
  <c r="I140" i="3"/>
  <c r="I141" i="3"/>
  <c r="I142" i="3"/>
  <c r="I143" i="3"/>
  <c r="I144" i="3"/>
  <c r="I145" i="3"/>
  <c r="I146" i="3"/>
  <c r="I147" i="3"/>
  <c r="I148" i="3"/>
  <c r="I149" i="3"/>
  <c r="I2" i="3"/>
  <c r="K21" i="4"/>
  <c r="L21" i="4"/>
  <c r="J21" i="4"/>
  <c r="I21" i="4"/>
  <c r="M16" i="1"/>
  <c r="O16" i="1" s="1"/>
  <c r="M21" i="1" l="1"/>
  <c r="M22" i="1" s="1"/>
  <c r="M23" i="1" s="1"/>
  <c r="N21" i="4"/>
  <c r="M21" i="4"/>
  <c r="O18" i="1"/>
  <c r="I16" i="5"/>
  <c r="I15" i="5"/>
  <c r="I14" i="5"/>
  <c r="I18" i="4"/>
  <c r="O20" i="1" l="1"/>
  <c r="U4" i="1"/>
  <c r="V4" i="1" s="1"/>
  <c r="U5" i="1"/>
  <c r="V5" i="1" s="1"/>
  <c r="U6" i="1"/>
  <c r="V6" i="1" s="1"/>
  <c r="U7" i="1"/>
  <c r="V7" i="1" s="1"/>
  <c r="U8" i="1"/>
  <c r="V8" i="1" s="1"/>
  <c r="K2" i="4"/>
  <c r="K3" i="4"/>
  <c r="K4" i="4"/>
  <c r="K5" i="4"/>
  <c r="K6" i="4"/>
  <c r="K7" i="4"/>
  <c r="K8" i="4"/>
  <c r="K9" i="4"/>
  <c r="K10" i="4"/>
  <c r="K11" i="4"/>
  <c r="K12" i="4"/>
  <c r="K13" i="4"/>
  <c r="K14" i="4"/>
  <c r="K15" i="4"/>
  <c r="K16" i="4"/>
  <c r="K17" i="4"/>
  <c r="K18" i="4"/>
  <c r="K19" i="4"/>
  <c r="K20" i="4"/>
  <c r="K22" i="4"/>
  <c r="K23" i="4"/>
  <c r="K24" i="4"/>
  <c r="K25" i="4"/>
  <c r="K26" i="4"/>
  <c r="K27" i="4"/>
  <c r="K28" i="4"/>
  <c r="K29" i="4"/>
  <c r="K30" i="4"/>
  <c r="K31" i="4"/>
  <c r="K32" i="4"/>
  <c r="K33" i="4"/>
  <c r="K34" i="4"/>
  <c r="K35" i="4"/>
  <c r="K36" i="4"/>
  <c r="K37" i="4"/>
  <c r="K38" i="4"/>
  <c r="K39" i="4"/>
  <c r="K40" i="4"/>
  <c r="K41" i="4"/>
  <c r="K42" i="4"/>
  <c r="K43" i="4"/>
  <c r="K44" i="4"/>
  <c r="K45" i="4"/>
  <c r="K46" i="4"/>
  <c r="K47" i="4"/>
  <c r="K48" i="4"/>
  <c r="K49" i="4"/>
  <c r="K50" i="4"/>
  <c r="K51" i="4"/>
  <c r="K52" i="4"/>
  <c r="K53" i="4"/>
  <c r="K54" i="4"/>
  <c r="K55" i="4"/>
  <c r="K56" i="4"/>
  <c r="K57" i="4"/>
  <c r="K58" i="4"/>
  <c r="K59" i="4"/>
  <c r="K60" i="4"/>
  <c r="K61" i="4"/>
  <c r="K62" i="4"/>
  <c r="K63" i="4"/>
  <c r="K64" i="4"/>
  <c r="K65" i="4"/>
  <c r="K66" i="4"/>
  <c r="K67" i="4"/>
  <c r="K68" i="4"/>
  <c r="K69" i="4"/>
  <c r="K70" i="4"/>
  <c r="K71" i="4"/>
  <c r="K72" i="4"/>
  <c r="K73" i="4"/>
  <c r="K74" i="4"/>
  <c r="K75" i="4"/>
  <c r="K76" i="4"/>
  <c r="K77" i="4"/>
  <c r="K78" i="4"/>
  <c r="K79" i="4"/>
  <c r="K80" i="4"/>
  <c r="K81" i="4"/>
  <c r="K82" i="4"/>
  <c r="K83" i="4"/>
  <c r="K84" i="4"/>
  <c r="K85" i="4"/>
  <c r="K86" i="4"/>
  <c r="K87" i="4"/>
  <c r="K88" i="4"/>
  <c r="K89" i="4"/>
  <c r="K90" i="4"/>
  <c r="K91" i="4"/>
  <c r="K92" i="4"/>
  <c r="K93" i="4"/>
  <c r="K94" i="4"/>
  <c r="K95" i="4"/>
  <c r="K96" i="4"/>
  <c r="K97" i="4"/>
  <c r="K98" i="4"/>
  <c r="K99" i="4"/>
  <c r="K100" i="4"/>
  <c r="K101" i="4"/>
  <c r="K102" i="4"/>
  <c r="K103" i="4"/>
  <c r="K104" i="4"/>
  <c r="K105" i="4"/>
  <c r="K106" i="4"/>
  <c r="K107" i="4"/>
  <c r="K108" i="4"/>
  <c r="K109" i="4"/>
  <c r="K110" i="4"/>
  <c r="K111" i="4"/>
  <c r="K112" i="4"/>
  <c r="K113" i="4"/>
  <c r="K114" i="4"/>
  <c r="K115" i="4"/>
  <c r="J20" i="4"/>
  <c r="I20" i="4"/>
  <c r="L20" i="4"/>
  <c r="Y8" i="1" l="1"/>
  <c r="Y7" i="1"/>
  <c r="Y6" i="1"/>
  <c r="Y5" i="1"/>
  <c r="Y4" i="1"/>
  <c r="X4" i="1"/>
  <c r="X8" i="1"/>
  <c r="X7" i="1"/>
  <c r="X6" i="1"/>
  <c r="X5" i="1"/>
  <c r="N20" i="4"/>
  <c r="M20" i="4"/>
  <c r="Q17" i="1"/>
  <c r="O22" i="1" l="1"/>
  <c r="O24" i="1" s="1"/>
  <c r="M3" i="1"/>
  <c r="M4" i="1" s="1"/>
  <c r="O40" i="2"/>
  <c r="O39" i="2"/>
  <c r="S33" i="2"/>
  <c r="P38" i="2"/>
  <c r="P33" i="2"/>
  <c r="O38" i="2"/>
  <c r="M38" i="2"/>
  <c r="O33" i="2"/>
  <c r="O37" i="2"/>
  <c r="M37" i="2"/>
  <c r="O36" i="2"/>
  <c r="M36" i="2"/>
  <c r="O35" i="2"/>
  <c r="O34" i="2"/>
  <c r="O32" i="2"/>
  <c r="O31" i="2"/>
  <c r="M5" i="1" l="1"/>
  <c r="M7" i="1" s="1"/>
  <c r="O4" i="1"/>
  <c r="X2" i="6"/>
  <c r="AD2" i="6"/>
  <c r="Y2" i="6" s="1"/>
  <c r="O2" i="6" s="1"/>
  <c r="P2" i="6" s="1"/>
  <c r="R2" i="6" s="1"/>
  <c r="AC2" i="6"/>
  <c r="AB2" i="6"/>
  <c r="W2" i="6" s="1"/>
  <c r="E3" i="6"/>
  <c r="E4" i="6" s="1"/>
  <c r="F3" i="6"/>
  <c r="G4" i="6"/>
  <c r="G5" i="6" s="1"/>
  <c r="G6" i="6" s="1"/>
  <c r="N4" i="6"/>
  <c r="N7" i="6" s="1"/>
  <c r="U3" i="1"/>
  <c r="V3" i="1" s="1"/>
  <c r="U2" i="1"/>
  <c r="L19" i="4"/>
  <c r="L18" i="4"/>
  <c r="L38" i="2" s="1"/>
  <c r="Q38" i="2" s="1"/>
  <c r="Y2" i="1" l="1"/>
  <c r="V2" i="1"/>
  <c r="M6" i="1"/>
  <c r="L36" i="2"/>
  <c r="L37" i="2"/>
  <c r="X2" i="1"/>
  <c r="G7" i="6"/>
  <c r="G8" i="6" s="1"/>
  <c r="G14" i="6" s="1"/>
  <c r="G15" i="6" s="1"/>
  <c r="D3" i="6"/>
  <c r="O3" i="6"/>
  <c r="N8" i="6"/>
  <c r="N5" i="6"/>
  <c r="O4" i="6"/>
  <c r="F4" i="6"/>
  <c r="D4" i="6" s="1"/>
  <c r="E5" i="6"/>
  <c r="C4" i="6"/>
  <c r="E7" i="6"/>
  <c r="C3" i="6"/>
  <c r="Y3" i="1"/>
  <c r="X3" i="1"/>
  <c r="O30" i="2"/>
  <c r="O29" i="2"/>
  <c r="O28" i="2"/>
  <c r="J15" i="4"/>
  <c r="N27" i="2" s="1"/>
  <c r="O27" i="2"/>
  <c r="O26" i="2"/>
  <c r="O25" i="2"/>
  <c r="O24" i="2"/>
  <c r="O23" i="2"/>
  <c r="O22" i="2"/>
  <c r="F11" i="2"/>
  <c r="F12" i="2" s="1"/>
  <c r="F13" i="2" s="1"/>
  <c r="F14" i="2" s="1"/>
  <c r="F15" i="2" s="1"/>
  <c r="F16" i="2" s="1"/>
  <c r="F17" i="2" s="1"/>
  <c r="F18" i="2" s="1"/>
  <c r="F19" i="2" s="1"/>
  <c r="F20" i="2" s="1"/>
  <c r="F21" i="2" s="1"/>
  <c r="F22" i="2" s="1"/>
  <c r="O21" i="2"/>
  <c r="O20" i="2"/>
  <c r="H20" i="2"/>
  <c r="O19" i="2"/>
  <c r="O18" i="2"/>
  <c r="O6" i="1" l="1"/>
  <c r="M9" i="1"/>
  <c r="M8" i="1"/>
  <c r="N22" i="2"/>
  <c r="N34" i="2"/>
  <c r="N35" i="2"/>
  <c r="G9" i="6"/>
  <c r="G10" i="6" s="1"/>
  <c r="G16" i="6" s="1"/>
  <c r="G17" i="6" s="1"/>
  <c r="O7" i="6"/>
  <c r="O5" i="6"/>
  <c r="N6" i="6"/>
  <c r="O6" i="6" s="1"/>
  <c r="N9" i="6"/>
  <c r="O8" i="6"/>
  <c r="F7" i="6"/>
  <c r="D7" i="6" s="1"/>
  <c r="F5" i="6"/>
  <c r="D5" i="6" s="1"/>
  <c r="E6" i="6"/>
  <c r="C6" i="6" s="1"/>
  <c r="C5" i="6"/>
  <c r="L4" i="6"/>
  <c r="M4" i="6" s="1"/>
  <c r="P4" i="6" s="1"/>
  <c r="R4" i="6" s="1"/>
  <c r="K4" i="6"/>
  <c r="K3" i="6"/>
  <c r="L3" i="6"/>
  <c r="M3" i="6" s="1"/>
  <c r="P3" i="6" s="1"/>
  <c r="R3" i="6" s="1"/>
  <c r="C7" i="6"/>
  <c r="E8" i="6"/>
  <c r="N24" i="2"/>
  <c r="N18" i="2"/>
  <c r="N21" i="2"/>
  <c r="N23" i="2"/>
  <c r="N19" i="2"/>
  <c r="N20" i="2"/>
  <c r="G22" i="2"/>
  <c r="F23" i="2"/>
  <c r="N26" i="2"/>
  <c r="N25" i="2"/>
  <c r="L17" i="4"/>
  <c r="J17" i="4"/>
  <c r="I17" i="4"/>
  <c r="L16" i="4"/>
  <c r="J16" i="4"/>
  <c r="I16" i="4"/>
  <c r="L15" i="4"/>
  <c r="I15" i="4"/>
  <c r="M10" i="1" l="1"/>
  <c r="O10" i="1" s="1"/>
  <c r="O8" i="1"/>
  <c r="G11" i="6"/>
  <c r="G12" i="6" s="1"/>
  <c r="G13" i="6" s="1"/>
  <c r="G18" i="6"/>
  <c r="G19" i="6" s="1"/>
  <c r="G20" i="6" s="1"/>
  <c r="G21" i="6"/>
  <c r="G22" i="6" s="1"/>
  <c r="G23" i="6" s="1"/>
  <c r="G24" i="6" s="1"/>
  <c r="G25" i="6" s="1"/>
  <c r="G26" i="6" s="1"/>
  <c r="G27" i="6" s="1"/>
  <c r="O9" i="6"/>
  <c r="N10" i="6"/>
  <c r="F6" i="6"/>
  <c r="D6" i="6" s="1"/>
  <c r="F8" i="6"/>
  <c r="D8" i="6" s="1"/>
  <c r="L7" i="6"/>
  <c r="M7" i="6" s="1"/>
  <c r="P7" i="6" s="1"/>
  <c r="R7" i="6" s="1"/>
  <c r="K7" i="6"/>
  <c r="L5" i="6"/>
  <c r="M5" i="6" s="1"/>
  <c r="P5" i="6" s="1"/>
  <c r="R5" i="6" s="1"/>
  <c r="K5" i="6"/>
  <c r="L6" i="6"/>
  <c r="K6" i="6"/>
  <c r="C8" i="6"/>
  <c r="E14" i="6"/>
  <c r="E9" i="6"/>
  <c r="L27" i="2"/>
  <c r="L25" i="2"/>
  <c r="L26" i="2"/>
  <c r="G24" i="2"/>
  <c r="G23" i="2"/>
  <c r="F24" i="2"/>
  <c r="F25" i="2" s="1"/>
  <c r="M26" i="2"/>
  <c r="M27" i="2"/>
  <c r="M25" i="2"/>
  <c r="M17" i="4"/>
  <c r="M16" i="4"/>
  <c r="N16" i="4"/>
  <c r="N17" i="4"/>
  <c r="L12" i="4"/>
  <c r="I12" i="4"/>
  <c r="M11" i="1" l="1"/>
  <c r="O12" i="1"/>
  <c r="L35" i="2"/>
  <c r="L34" i="2"/>
  <c r="M35" i="2"/>
  <c r="M34" i="2"/>
  <c r="M6" i="6"/>
  <c r="P6" i="6" s="1"/>
  <c r="R6" i="6" s="1"/>
  <c r="O10" i="6"/>
  <c r="N11" i="6"/>
  <c r="N14" i="6"/>
  <c r="F14" i="6"/>
  <c r="D14" i="6" s="1"/>
  <c r="F9" i="6"/>
  <c r="D9" i="6" s="1"/>
  <c r="L8" i="6"/>
  <c r="K8" i="6"/>
  <c r="C9" i="6"/>
  <c r="E10" i="6"/>
  <c r="E15" i="6"/>
  <c r="C15" i="6" s="1"/>
  <c r="C14" i="6"/>
  <c r="L24" i="2"/>
  <c r="B24" i="2" s="1"/>
  <c r="L18" i="2"/>
  <c r="L23" i="2"/>
  <c r="B23" i="2" s="1"/>
  <c r="L21" i="2"/>
  <c r="L22" i="2"/>
  <c r="B22" i="2" s="1"/>
  <c r="L20" i="2"/>
  <c r="L19" i="2"/>
  <c r="F26" i="2"/>
  <c r="G25" i="2"/>
  <c r="B25" i="2" s="1"/>
  <c r="M23" i="2"/>
  <c r="C23" i="2" s="1"/>
  <c r="M22" i="2"/>
  <c r="C22" i="2" s="1"/>
  <c r="M19" i="2"/>
  <c r="M18" i="2"/>
  <c r="M21" i="2"/>
  <c r="M20" i="2"/>
  <c r="M24" i="2"/>
  <c r="C24" i="2" s="1"/>
  <c r="M12" i="4"/>
  <c r="N12" i="4"/>
  <c r="L9" i="4"/>
  <c r="I14" i="4"/>
  <c r="M14" i="4" s="1"/>
  <c r="L14" i="4"/>
  <c r="N14" i="4" s="1"/>
  <c r="J13" i="4"/>
  <c r="I13" i="4"/>
  <c r="L13" i="4"/>
  <c r="O17" i="2"/>
  <c r="C45" i="2"/>
  <c r="B45" i="2"/>
  <c r="C44" i="2"/>
  <c r="B44" i="2"/>
  <c r="J8" i="4"/>
  <c r="J9" i="4"/>
  <c r="J18" i="4" s="1"/>
  <c r="O13" i="2"/>
  <c r="O12" i="2"/>
  <c r="O16" i="2"/>
  <c r="L39" i="2" l="1"/>
  <c r="L40" i="2"/>
  <c r="N39" i="2"/>
  <c r="N40" i="2"/>
  <c r="J19" i="4"/>
  <c r="M19" i="4" s="1"/>
  <c r="N32" i="2"/>
  <c r="N33" i="2"/>
  <c r="N31" i="2"/>
  <c r="L33" i="2"/>
  <c r="L32" i="2"/>
  <c r="L31" i="2"/>
  <c r="N12" i="6"/>
  <c r="O11" i="6"/>
  <c r="O14" i="6"/>
  <c r="N15" i="6"/>
  <c r="F15" i="6"/>
  <c r="D15" i="6" s="1"/>
  <c r="M8" i="6"/>
  <c r="P8" i="6" s="1"/>
  <c r="R8" i="6" s="1"/>
  <c r="F10" i="6"/>
  <c r="D10" i="6" s="1"/>
  <c r="K9" i="6"/>
  <c r="L9" i="6"/>
  <c r="C10" i="6"/>
  <c r="E16" i="6"/>
  <c r="E11" i="6"/>
  <c r="L14" i="6"/>
  <c r="M14" i="6" s="1"/>
  <c r="K14" i="6"/>
  <c r="L15" i="6"/>
  <c r="K15" i="6"/>
  <c r="L30" i="2"/>
  <c r="L29" i="2"/>
  <c r="L28" i="2"/>
  <c r="C25" i="2"/>
  <c r="N30" i="2"/>
  <c r="N29" i="2"/>
  <c r="N28" i="2"/>
  <c r="G27" i="2"/>
  <c r="G26" i="2"/>
  <c r="F27" i="2"/>
  <c r="F28" i="2" s="1"/>
  <c r="N13" i="4"/>
  <c r="N17" i="2"/>
  <c r="M13" i="4"/>
  <c r="H12" i="2"/>
  <c r="O15" i="2"/>
  <c r="O14" i="2"/>
  <c r="O11" i="2"/>
  <c r="O10" i="2"/>
  <c r="N19" i="4" l="1"/>
  <c r="U33" i="2"/>
  <c r="R33" i="2"/>
  <c r="T33" i="2"/>
  <c r="Q33" i="2"/>
  <c r="N38" i="2"/>
  <c r="R38" i="2" s="1"/>
  <c r="N37" i="2"/>
  <c r="M18" i="4"/>
  <c r="N36" i="2"/>
  <c r="N13" i="6"/>
  <c r="O13" i="6" s="1"/>
  <c r="O12" i="6"/>
  <c r="P14" i="6"/>
  <c r="R14" i="6" s="1"/>
  <c r="N16" i="6"/>
  <c r="O15" i="6"/>
  <c r="F11" i="6"/>
  <c r="D11" i="6" s="1"/>
  <c r="F16" i="6"/>
  <c r="D16" i="6" s="1"/>
  <c r="M15" i="6"/>
  <c r="M9" i="6"/>
  <c r="P9" i="6" s="1"/>
  <c r="R9" i="6" s="1"/>
  <c r="K10" i="6"/>
  <c r="L10" i="6"/>
  <c r="C11" i="6"/>
  <c r="E12" i="6"/>
  <c r="E17" i="6"/>
  <c r="E18" i="6" s="1"/>
  <c r="C16" i="6"/>
  <c r="N18" i="4"/>
  <c r="F29" i="2"/>
  <c r="F30" i="2" s="1"/>
  <c r="F31" i="2" s="1"/>
  <c r="F32" i="2" s="1"/>
  <c r="G28" i="2"/>
  <c r="B27" i="2"/>
  <c r="C27" i="2"/>
  <c r="B26" i="2"/>
  <c r="C26" i="2"/>
  <c r="N15" i="4"/>
  <c r="M15" i="4"/>
  <c r="H16" i="2"/>
  <c r="L17" i="2"/>
  <c r="I9" i="4"/>
  <c r="I8" i="4"/>
  <c r="L8" i="4"/>
  <c r="A3" i="2"/>
  <c r="B3" i="2" s="1"/>
  <c r="L2" i="4"/>
  <c r="J2" i="4"/>
  <c r="I2" i="4"/>
  <c r="L4" i="4"/>
  <c r="J4" i="4"/>
  <c r="I4" i="4"/>
  <c r="M40" i="2" l="1"/>
  <c r="M39" i="2"/>
  <c r="G36" i="2"/>
  <c r="C36" i="2" s="1"/>
  <c r="F34" i="2"/>
  <c r="F35" i="2" s="1"/>
  <c r="F36" i="2" s="1"/>
  <c r="F37" i="2" s="1"/>
  <c r="F33" i="2"/>
  <c r="H33" i="2" s="1"/>
  <c r="B33" i="2" s="1"/>
  <c r="M33" i="2"/>
  <c r="M32" i="2"/>
  <c r="M31" i="2"/>
  <c r="G31" i="2"/>
  <c r="H32" i="2"/>
  <c r="G34" i="2"/>
  <c r="H35" i="2"/>
  <c r="C12" i="6"/>
  <c r="L12" i="6" s="1"/>
  <c r="E13" i="6"/>
  <c r="C13" i="6" s="1"/>
  <c r="E19" i="6"/>
  <c r="C18" i="6"/>
  <c r="O16" i="6"/>
  <c r="N17" i="6"/>
  <c r="P15" i="6"/>
  <c r="R15" i="6" s="1"/>
  <c r="F17" i="6"/>
  <c r="D17" i="6" s="1"/>
  <c r="F12" i="6"/>
  <c r="M10" i="6"/>
  <c r="P10" i="6" s="1"/>
  <c r="R10" i="6" s="1"/>
  <c r="K11" i="6"/>
  <c r="L11" i="6"/>
  <c r="M11" i="6" s="1"/>
  <c r="P11" i="6" s="1"/>
  <c r="R11" i="6" s="1"/>
  <c r="E21" i="6"/>
  <c r="C17" i="6"/>
  <c r="L16" i="6"/>
  <c r="K16" i="6"/>
  <c r="M29" i="2"/>
  <c r="M28" i="2"/>
  <c r="C28" i="2" s="1"/>
  <c r="M30" i="2"/>
  <c r="B28" i="2"/>
  <c r="G30" i="2"/>
  <c r="G29" i="2"/>
  <c r="M17" i="2"/>
  <c r="M9" i="4"/>
  <c r="L13" i="2"/>
  <c r="L12" i="2"/>
  <c r="L10" i="2"/>
  <c r="L11" i="2"/>
  <c r="N2" i="4"/>
  <c r="L16" i="2"/>
  <c r="L14" i="2"/>
  <c r="L15" i="2"/>
  <c r="M12" i="2"/>
  <c r="M13" i="2"/>
  <c r="N16" i="2"/>
  <c r="N14" i="2"/>
  <c r="N15" i="2"/>
  <c r="M16" i="2"/>
  <c r="M14" i="2"/>
  <c r="M15" i="2"/>
  <c r="N12" i="2"/>
  <c r="N13" i="2"/>
  <c r="N10" i="2"/>
  <c r="N11" i="2"/>
  <c r="M10" i="2"/>
  <c r="M11" i="2"/>
  <c r="N8" i="4"/>
  <c r="M8" i="4"/>
  <c r="N9" i="4"/>
  <c r="M2" i="4"/>
  <c r="N4" i="4"/>
  <c r="M4" i="4"/>
  <c r="C3" i="2" l="1"/>
  <c r="P12" i="4"/>
  <c r="O15" i="4"/>
  <c r="O12" i="4"/>
  <c r="C33" i="2"/>
  <c r="B36" i="2"/>
  <c r="H37" i="2"/>
  <c r="F38" i="2"/>
  <c r="B34" i="2"/>
  <c r="C34" i="2"/>
  <c r="B31" i="2"/>
  <c r="C31" i="2"/>
  <c r="C32" i="2"/>
  <c r="B32" i="2"/>
  <c r="B35" i="2"/>
  <c r="C35" i="2"/>
  <c r="P15" i="4"/>
  <c r="D3" i="2"/>
  <c r="L18" i="6"/>
  <c r="K18" i="6"/>
  <c r="L13" i="6"/>
  <c r="K13" i="6"/>
  <c r="K12" i="6"/>
  <c r="E20" i="6"/>
  <c r="C20" i="6" s="1"/>
  <c r="C19" i="6"/>
  <c r="F13" i="6"/>
  <c r="D13" i="6" s="1"/>
  <c r="D12" i="6"/>
  <c r="M12" i="6" s="1"/>
  <c r="P12" i="6" s="1"/>
  <c r="R12" i="6" s="1"/>
  <c r="N18" i="6"/>
  <c r="N21" i="6"/>
  <c r="O17" i="6"/>
  <c r="F18" i="6"/>
  <c r="D18" i="6" s="1"/>
  <c r="F21" i="6"/>
  <c r="D21" i="6" s="1"/>
  <c r="M16" i="6"/>
  <c r="P16" i="6" s="1"/>
  <c r="R16" i="6" s="1"/>
  <c r="L17" i="6"/>
  <c r="K17" i="6"/>
  <c r="E22" i="6"/>
  <c r="C21" i="6"/>
  <c r="B29" i="2"/>
  <c r="C29" i="2"/>
  <c r="B30" i="2"/>
  <c r="C30" i="2"/>
  <c r="G19" i="2"/>
  <c r="H18" i="2"/>
  <c r="G21" i="2"/>
  <c r="H21" i="2"/>
  <c r="G20" i="2"/>
  <c r="P9" i="4"/>
  <c r="O9" i="4"/>
  <c r="H10" i="2"/>
  <c r="H17" i="2"/>
  <c r="G13" i="2"/>
  <c r="G12" i="2"/>
  <c r="H13" i="2"/>
  <c r="G11" i="2"/>
  <c r="H14" i="2"/>
  <c r="G15" i="2"/>
  <c r="G17" i="2"/>
  <c r="E44" i="2"/>
  <c r="F44" i="2" s="1"/>
  <c r="G16" i="2"/>
  <c r="H38" i="2" l="1"/>
  <c r="C38" i="2" s="1"/>
  <c r="F39" i="2"/>
  <c r="C37" i="2"/>
  <c r="B37" i="2"/>
  <c r="K20" i="6"/>
  <c r="L20" i="6"/>
  <c r="K19" i="6"/>
  <c r="L19" i="6"/>
  <c r="M13" i="6"/>
  <c r="P13" i="6" s="1"/>
  <c r="R13" i="6" s="1"/>
  <c r="O21" i="6"/>
  <c r="N22" i="6"/>
  <c r="N19" i="6"/>
  <c r="O18" i="6"/>
  <c r="F19" i="6"/>
  <c r="M18" i="6"/>
  <c r="M17" i="6"/>
  <c r="P17" i="6" s="1"/>
  <c r="R17" i="6" s="1"/>
  <c r="F22" i="6"/>
  <c r="D22" i="6" s="1"/>
  <c r="E23" i="6"/>
  <c r="C22" i="6"/>
  <c r="L21" i="6"/>
  <c r="K21" i="6"/>
  <c r="B20" i="2"/>
  <c r="C20" i="2"/>
  <c r="C19" i="2"/>
  <c r="B19" i="2"/>
  <c r="C18" i="2"/>
  <c r="B18" i="2"/>
  <c r="B21" i="2"/>
  <c r="C21" i="2"/>
  <c r="B10" i="2"/>
  <c r="C10" i="2"/>
  <c r="C11" i="2"/>
  <c r="B11" i="2"/>
  <c r="B13" i="2"/>
  <c r="C13" i="2"/>
  <c r="B12" i="2"/>
  <c r="C12" i="2"/>
  <c r="B17" i="2"/>
  <c r="C17" i="2"/>
  <c r="C14" i="2"/>
  <c r="B14" i="2"/>
  <c r="C16" i="2"/>
  <c r="B16" i="2"/>
  <c r="E45" i="2"/>
  <c r="F45" i="2" s="1"/>
  <c r="B15" i="2"/>
  <c r="C15" i="2"/>
  <c r="B38" i="2" l="1"/>
  <c r="F40" i="2"/>
  <c r="H40" i="2" s="1"/>
  <c r="G39" i="2"/>
  <c r="F20" i="6"/>
  <c r="D20" i="6" s="1"/>
  <c r="M20" i="6" s="1"/>
  <c r="D19" i="6"/>
  <c r="M19" i="6" s="1"/>
  <c r="N23" i="6"/>
  <c r="O23" i="6" s="1"/>
  <c r="O22" i="6"/>
  <c r="N20" i="6"/>
  <c r="O20" i="6" s="1"/>
  <c r="O19" i="6"/>
  <c r="P18" i="6"/>
  <c r="R18" i="6" s="1"/>
  <c r="F23" i="6"/>
  <c r="D23" i="6" s="1"/>
  <c r="M21" i="6"/>
  <c r="P21" i="6" s="1"/>
  <c r="R21" i="6" s="1"/>
  <c r="L22" i="6"/>
  <c r="K22" i="6"/>
  <c r="E24" i="6"/>
  <c r="C23" i="6"/>
  <c r="B39" i="2" l="1"/>
  <c r="C39" i="2"/>
  <c r="B40" i="2"/>
  <c r="C40" i="2"/>
  <c r="P19" i="6"/>
  <c r="R19" i="6" s="1"/>
  <c r="C24" i="6"/>
  <c r="K24" i="6" s="1"/>
  <c r="E25" i="6"/>
  <c r="P20" i="6"/>
  <c r="R20" i="6" s="1"/>
  <c r="N24" i="6"/>
  <c r="O24" i="6" s="1"/>
  <c r="F24" i="6"/>
  <c r="D24" i="6" s="1"/>
  <c r="M22" i="6"/>
  <c r="P22" i="6" s="1"/>
  <c r="R22" i="6" s="1"/>
  <c r="L23" i="6"/>
  <c r="M23" i="6" s="1"/>
  <c r="K23" i="6"/>
  <c r="L24" i="6" l="1"/>
  <c r="M24" i="6" s="1"/>
  <c r="E26" i="6"/>
  <c r="C25" i="6"/>
  <c r="N25" i="6"/>
  <c r="O25" i="6" s="1"/>
  <c r="P23" i="6"/>
  <c r="R23" i="6" s="1"/>
  <c r="F25" i="6"/>
  <c r="D25" i="6" s="1"/>
  <c r="C26" i="6" l="1"/>
  <c r="E27" i="6"/>
  <c r="C27" i="6" s="1"/>
  <c r="K25" i="6"/>
  <c r="L25" i="6"/>
  <c r="M25" i="6" s="1"/>
  <c r="N26" i="6"/>
  <c r="O26" i="6" s="1"/>
  <c r="P24" i="6"/>
  <c r="R24" i="6" s="1"/>
  <c r="F26" i="6"/>
  <c r="L27" i="6" l="1"/>
  <c r="K27" i="6"/>
  <c r="L26" i="6"/>
  <c r="K26" i="6"/>
  <c r="F27" i="6"/>
  <c r="D27" i="6" s="1"/>
  <c r="D26" i="6"/>
  <c r="M26" i="6" s="1"/>
  <c r="N27" i="6"/>
  <c r="O27" i="6" s="1"/>
  <c r="P25" i="6"/>
  <c r="R25" i="6" s="1"/>
  <c r="P26" i="6" l="1"/>
  <c r="R26" i="6" s="1"/>
  <c r="M27" i="6"/>
  <c r="P27" i="6" s="1"/>
  <c r="R27" i="6" s="1"/>
</calcChain>
</file>

<file path=xl/sharedStrings.xml><?xml version="1.0" encoding="utf-8"?>
<sst xmlns="http://schemas.openxmlformats.org/spreadsheetml/2006/main" count="1628" uniqueCount="217">
  <si>
    <t>Star</t>
  </si>
  <si>
    <t>EXP to TOP lvl</t>
  </si>
  <si>
    <t>Gold</t>
  </si>
  <si>
    <t>XP</t>
  </si>
  <si>
    <t>Energy refill</t>
  </si>
  <si>
    <t>LVL</t>
  </si>
  <si>
    <t>Stage</t>
  </si>
  <si>
    <t>Location</t>
  </si>
  <si>
    <t>Tamor Desert</t>
  </si>
  <si>
    <t>Normal</t>
  </si>
  <si>
    <t>Uwagi</t>
  </si>
  <si>
    <t>Wind/Fire/Wind</t>
  </si>
  <si>
    <t>Drop</t>
  </si>
  <si>
    <t>2*</t>
  </si>
  <si>
    <t>Mana drop</t>
  </si>
  <si>
    <t>XP Gain</t>
  </si>
  <si>
    <t>XP Gain per member</t>
  </si>
  <si>
    <t>Energy Drop</t>
  </si>
  <si>
    <t>1*</t>
  </si>
  <si>
    <t>Fire</t>
  </si>
  <si>
    <t>Mon nbr</t>
  </si>
  <si>
    <t>Soloable</t>
  </si>
  <si>
    <t>Y - long</t>
  </si>
  <si>
    <t>Y - fast</t>
  </si>
  <si>
    <t>Energy gain</t>
  </si>
  <si>
    <t>E. Cost</t>
  </si>
  <si>
    <t>XP/Energy</t>
  </si>
  <si>
    <t> Level</t>
  </si>
  <si>
    <t>3*</t>
  </si>
  <si>
    <t>4*</t>
  </si>
  <si>
    <t>5*</t>
  </si>
  <si>
    <t>6*</t>
  </si>
  <si>
    <t>Hard</t>
  </si>
  <si>
    <t>Faimon</t>
  </si>
  <si>
    <t>Hell</t>
  </si>
  <si>
    <t>Kolumna1</t>
  </si>
  <si>
    <t>Scroll</t>
  </si>
  <si>
    <t>Kolumna2</t>
  </si>
  <si>
    <t>Kolumna3</t>
  </si>
  <si>
    <t>Giant</t>
  </si>
  <si>
    <t>HoMagic</t>
  </si>
  <si>
    <t>Energy pool</t>
  </si>
  <si>
    <t>Boost cost</t>
  </si>
  <si>
    <t>Mana Gain</t>
  </si>
  <si>
    <t>Energy Gain</t>
  </si>
  <si>
    <t>Energy Cost</t>
  </si>
  <si>
    <t>xp boost 1 day</t>
  </si>
  <si>
    <t>save min</t>
  </si>
  <si>
    <t>save max</t>
  </si>
  <si>
    <t>save avg</t>
  </si>
  <si>
    <t>energy per day</t>
  </si>
  <si>
    <t>total E on XP boost</t>
  </si>
  <si>
    <t>xp boost 3 day</t>
  </si>
  <si>
    <t>XB boost 3D</t>
  </si>
  <si>
    <t>XB boost 1D</t>
  </si>
  <si>
    <t>Ene on boost</t>
  </si>
  <si>
    <t>Ene normal</t>
  </si>
  <si>
    <t>Energy on refill</t>
  </si>
  <si>
    <t>XP boost 3D + refill</t>
  </si>
  <si>
    <t>XP Train Gain</t>
  </si>
  <si>
    <t>XP Total Gain</t>
  </si>
  <si>
    <t>Quality/Quantity</t>
  </si>
  <si>
    <t>Fod</t>
  </si>
  <si>
    <t>Rainb</t>
  </si>
  <si>
    <t>EoWat(Low)</t>
  </si>
  <si>
    <t>EoMag(Mid)</t>
  </si>
  <si>
    <t>EoMag(Low)</t>
  </si>
  <si>
    <t>Mt White</t>
  </si>
  <si>
    <t>Aiden</t>
  </si>
  <si>
    <t>1D on boost</t>
  </si>
  <si>
    <t>12h on boost</t>
  </si>
  <si>
    <t>3D on boost</t>
  </si>
  <si>
    <t>Etykiety wierszy</t>
  </si>
  <si>
    <t>(puste)</t>
  </si>
  <si>
    <t>Suma końcowa</t>
  </si>
  <si>
    <t>Średnia z Mana drop</t>
  </si>
  <si>
    <t>Wartości</t>
  </si>
  <si>
    <t>Średnia z Sell drop</t>
  </si>
  <si>
    <t>Średnia z Energy Drop</t>
  </si>
  <si>
    <t>Time</t>
  </si>
  <si>
    <t>Buffed</t>
  </si>
  <si>
    <t>Cost</t>
  </si>
  <si>
    <t>Burned</t>
  </si>
  <si>
    <t>Xp/Mana</t>
  </si>
  <si>
    <t>Cost to max</t>
  </si>
  <si>
    <t>Nbr needed</t>
  </si>
  <si>
    <t>trojek full</t>
  </si>
  <si>
    <t>trojek 1</t>
  </si>
  <si>
    <t>czworek 1</t>
  </si>
  <si>
    <t>czworki full</t>
  </si>
  <si>
    <t>3-6%</t>
  </si>
  <si>
    <t xml:space="preserve">Atk </t>
  </si>
  <si>
    <t>Crit D</t>
  </si>
  <si>
    <t>Crit C</t>
  </si>
  <si>
    <t>Substat</t>
  </si>
  <si>
    <t>Basic Substat</t>
  </si>
  <si>
    <t>Atk%/Crit.C/Atk%</t>
  </si>
  <si>
    <t>2xBlade</t>
  </si>
  <si>
    <t>Blade</t>
  </si>
  <si>
    <t>Rage</t>
  </si>
  <si>
    <t>Fatal</t>
  </si>
  <si>
    <t>Atk%/Crit.D/Atk%</t>
  </si>
  <si>
    <t>Atk%/Atk%/Atk%</t>
  </si>
  <si>
    <t>Fatal+Blade</t>
  </si>
  <si>
    <t>3xBlade</t>
  </si>
  <si>
    <t>Crit D%</t>
  </si>
  <si>
    <t>Crit C%</t>
  </si>
  <si>
    <t>Atk%</t>
  </si>
  <si>
    <t>Crit C % lvl</t>
  </si>
  <si>
    <t>Atk % &gt; Crit C% &gt; Crit D%</t>
  </si>
  <si>
    <t>Status+Blade</t>
  </si>
  <si>
    <t>Status</t>
  </si>
  <si>
    <t>N/A</t>
  </si>
  <si>
    <t>Base</t>
  </si>
  <si>
    <t>Crit D rune</t>
  </si>
  <si>
    <t>Atk rune</t>
  </si>
  <si>
    <t>% change to basic</t>
  </si>
  <si>
    <t>AvgDmg Basic</t>
  </si>
  <si>
    <t>AvgDmg</t>
  </si>
  <si>
    <t>Crit Chance</t>
  </si>
  <si>
    <t>Crit Chance Basic</t>
  </si>
  <si>
    <t>DmgC</t>
  </si>
  <si>
    <t>Dmg</t>
  </si>
  <si>
    <t>Atk</t>
  </si>
  <si>
    <t>Nbr of Crit C rune</t>
  </si>
  <si>
    <t>Nbr of Crit D rune</t>
  </si>
  <si>
    <t>Nbr of Atk rune</t>
  </si>
  <si>
    <t>% of Crit C from subs</t>
  </si>
  <si>
    <t>Crit D % from subs</t>
  </si>
  <si>
    <t>Atk % from subs</t>
  </si>
  <si>
    <t>CritD</t>
  </si>
  <si>
    <t>Atk Mult</t>
  </si>
  <si>
    <t>Runes</t>
  </si>
  <si>
    <t>Set</t>
  </si>
  <si>
    <t>Rage+Blade</t>
  </si>
  <si>
    <t>A/A/A ; A/CC/A</t>
  </si>
  <si>
    <t>Rune</t>
  </si>
  <si>
    <t>3*/9</t>
  </si>
  <si>
    <t>Missing</t>
  </si>
  <si>
    <t>Done</t>
  </si>
  <si>
    <t>piątki 1</t>
  </si>
  <si>
    <t>dwójek full</t>
  </si>
  <si>
    <t>XP to gain</t>
  </si>
  <si>
    <t>Total XP to gain</t>
  </si>
  <si>
    <t>dwójek 1</t>
  </si>
  <si>
    <t>Energy/Day</t>
  </si>
  <si>
    <t>XP/day</t>
  </si>
  <si>
    <t>Days to Finish</t>
  </si>
  <si>
    <t>Licznik z Drop</t>
  </si>
  <si>
    <t>Normal day</t>
  </si>
  <si>
    <t>Energy refill (on double XP event 1h)</t>
  </si>
  <si>
    <t>SetToComplete</t>
  </si>
  <si>
    <t>TimeToComplete Sek</t>
  </si>
  <si>
    <t>Comb/hour</t>
  </si>
  <si>
    <t>MagicKnight+Ramagos</t>
  </si>
  <si>
    <t>TimeToComplete Sek2</t>
  </si>
  <si>
    <t>SetToComplete2</t>
  </si>
  <si>
    <t>Ramagos</t>
  </si>
  <si>
    <t>XP/hour</t>
  </si>
  <si>
    <t>Energy spend</t>
  </si>
  <si>
    <t>Comb2/hour</t>
  </si>
  <si>
    <t>XP2/hour</t>
  </si>
  <si>
    <t>Normal day 1D XP</t>
  </si>
  <si>
    <t>EoMag(low)</t>
  </si>
  <si>
    <t>proc succ</t>
  </si>
  <si>
    <t>proc gain</t>
  </si>
  <si>
    <t>HoLight</t>
  </si>
  <si>
    <t>EoLig(low)</t>
  </si>
  <si>
    <t>EoLig(mid)</t>
  </si>
  <si>
    <t>SD(sala)</t>
  </si>
  <si>
    <t>Evolve</t>
  </si>
  <si>
    <t>SummStone</t>
  </si>
  <si>
    <t>Etykiety kolumn</t>
  </si>
  <si>
    <t>Licznik z Energy Drop</t>
  </si>
  <si>
    <t>energy spend</t>
  </si>
  <si>
    <t>SweetCookie</t>
  </si>
  <si>
    <t>Belladeon</t>
  </si>
  <si>
    <t>Darion</t>
  </si>
  <si>
    <t>Konamiya</t>
  </si>
  <si>
    <t>Energy</t>
  </si>
  <si>
    <t>Swift</t>
  </si>
  <si>
    <t>Bernard</t>
  </si>
  <si>
    <t>Shannon</t>
  </si>
  <si>
    <t>Despair</t>
  </si>
  <si>
    <t>Energy/Focus</t>
  </si>
  <si>
    <t>Violent</t>
  </si>
  <si>
    <t>Name</t>
  </si>
  <si>
    <t>Set 1</t>
  </si>
  <si>
    <t>Set 2</t>
  </si>
  <si>
    <t>Substats</t>
  </si>
  <si>
    <t>HP/Acc</t>
  </si>
  <si>
    <t>SPD</t>
  </si>
  <si>
    <t xml:space="preserve">Slots 2/4/6 </t>
  </si>
  <si>
    <t>jedynek full</t>
  </si>
  <si>
    <t>jedynek 1</t>
  </si>
  <si>
    <t>HP/HP/Acc</t>
  </si>
  <si>
    <t>Focus/Energy</t>
  </si>
  <si>
    <t>SPD/Acc</t>
  </si>
  <si>
    <t>SPD//Acc</t>
  </si>
  <si>
    <t>HP/HP/HP</t>
  </si>
  <si>
    <t>HP/CP/Acc</t>
  </si>
  <si>
    <t>Energy/Revenge</t>
  </si>
  <si>
    <t>SPD/HP/HP</t>
  </si>
  <si>
    <t>Acc/SPD</t>
  </si>
  <si>
    <t>B10 farm</t>
  </si>
  <si>
    <t>SPD/HP</t>
  </si>
  <si>
    <t>Giants</t>
  </si>
  <si>
    <t>EoDark(low)</t>
  </si>
  <si>
    <t>HoDark</t>
  </si>
  <si>
    <t>Drop Worth</t>
  </si>
  <si>
    <t>Sell Drop</t>
  </si>
  <si>
    <t>Drop worth gain</t>
  </si>
  <si>
    <t>DropWorthGain/Energy</t>
  </si>
  <si>
    <t>Dragon</t>
  </si>
  <si>
    <t>Exp Gain</t>
  </si>
  <si>
    <t>MagicKnight</t>
  </si>
  <si>
    <t>19.54.42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</si>
</sst>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0.0"/>
    <numFmt numFmtId="165" formatCode="0.0%"/>
  </numFmts>
  <fonts count="6">
    <font>
      <sz val="11"/>
      <color theme="1"/>
      <name val="Czcionka tekstu podstawowego"/>
      <family val="2"/>
      <charset val="238"/>
    </font>
    <font>
      <b/>
      <sz val="11"/>
      <color theme="0"/>
      <name val="Czcionka tekstu podstawowego"/>
      <family val="2"/>
      <charset val="238"/>
    </font>
    <font>
      <sz val="11"/>
      <color rgb="FF222222"/>
      <name val="Arial"/>
      <family val="2"/>
      <charset val="238"/>
    </font>
    <font>
      <b/>
      <sz val="11"/>
      <color theme="1"/>
      <name val="Czcionka tekstu podstawowego"/>
      <charset val="238"/>
    </font>
    <font>
      <sz val="11"/>
      <color rgb="FF222222"/>
      <name val="Arial"/>
      <family val="2"/>
      <charset val="238"/>
    </font>
    <font>
      <sz val="11"/>
      <color theme="1"/>
      <name val="Czcionka tekstu podstawowego"/>
      <charset val="238"/>
    </font>
  </fonts>
  <fills count="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4"/>
        <bgColor theme="4"/>
      </patternFill>
    </fill>
    <fill>
      <patternFill patternType="solid">
        <fgColor rgb="FFF5F5F5"/>
        <bgColor indexed="64"/>
      </patternFill>
    </fill>
  </fills>
  <borders count="16">
    <border>
      <left/>
      <right/>
      <top/>
      <bottom/>
      <diagonal/>
    </border>
    <border>
      <left/>
      <right style="thin">
        <color theme="0"/>
      </right>
      <top/>
      <bottom style="thick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rgb="FFC1BFBF"/>
      </left>
      <right style="medium">
        <color rgb="FFC1BFBF"/>
      </right>
      <top style="medium">
        <color rgb="FFC1BFBF"/>
      </top>
      <bottom style="medium">
        <color rgb="FFC1BFBF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rgb="FFC1BFBF"/>
      </left>
      <right style="medium">
        <color rgb="FFC1BFBF"/>
      </right>
      <top/>
      <bottom/>
      <diagonal/>
    </border>
  </borders>
  <cellStyleXfs count="1">
    <xf numFmtId="0" fontId="0" fillId="0" borderId="0"/>
  </cellStyleXfs>
  <cellXfs count="53">
    <xf numFmtId="0" fontId="0" fillId="0" borderId="0" xfId="0"/>
    <xf numFmtId="4" fontId="0" fillId="0" borderId="0" xfId="0" applyNumberFormat="1"/>
    <xf numFmtId="0" fontId="0" fillId="2" borderId="0" xfId="0" applyFill="1"/>
    <xf numFmtId="0" fontId="1" fillId="3" borderId="1" xfId="0" applyFont="1" applyFill="1" applyBorder="1"/>
    <xf numFmtId="0" fontId="1" fillId="3" borderId="0" xfId="0" applyFont="1" applyFill="1" applyBorder="1"/>
    <xf numFmtId="0" fontId="0" fillId="0" borderId="6" xfId="0" applyBorder="1"/>
    <xf numFmtId="0" fontId="0" fillId="0" borderId="0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0" xfId="0" applyFill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9" fontId="0" fillId="0" borderId="0" xfId="0" applyNumberFormat="1"/>
    <xf numFmtId="21" fontId="0" fillId="0" borderId="0" xfId="0" applyNumberFormat="1"/>
    <xf numFmtId="164" fontId="0" fillId="0" borderId="0" xfId="0" applyNumberFormat="1"/>
    <xf numFmtId="165" fontId="0" fillId="0" borderId="0" xfId="0" applyNumberFormat="1"/>
    <xf numFmtId="2" fontId="0" fillId="0" borderId="0" xfId="0" applyNumberFormat="1"/>
    <xf numFmtId="4" fontId="2" fillId="4" borderId="10" xfId="0" applyNumberFormat="1" applyFont="1" applyFill="1" applyBorder="1" applyAlignment="1">
      <alignment horizontal="left" wrapText="1"/>
    </xf>
    <xf numFmtId="9" fontId="2" fillId="4" borderId="10" xfId="0" applyNumberFormat="1" applyFont="1" applyFill="1" applyBorder="1" applyAlignment="1">
      <alignment horizontal="left" wrapText="1"/>
    </xf>
    <xf numFmtId="0" fontId="2" fillId="4" borderId="10" xfId="0" applyFont="1" applyFill="1" applyBorder="1" applyAlignment="1">
      <alignment horizontal="left" wrapText="1"/>
    </xf>
    <xf numFmtId="3" fontId="2" fillId="4" borderId="10" xfId="0" applyNumberFormat="1" applyFont="1" applyFill="1" applyBorder="1" applyAlignment="1">
      <alignment horizontal="left" wrapText="1"/>
    </xf>
    <xf numFmtId="9" fontId="2" fillId="0" borderId="10" xfId="0" applyNumberFormat="1" applyFont="1" applyFill="1" applyBorder="1" applyAlignment="1">
      <alignment horizontal="left" wrapText="1"/>
    </xf>
    <xf numFmtId="0" fontId="2" fillId="0" borderId="10" xfId="0" applyFont="1" applyFill="1" applyBorder="1" applyAlignment="1">
      <alignment horizontal="left" wrapText="1"/>
    </xf>
    <xf numFmtId="3" fontId="2" fillId="0" borderId="10" xfId="0" applyNumberFormat="1" applyFont="1" applyFill="1" applyBorder="1" applyAlignment="1">
      <alignment horizontal="left" wrapText="1"/>
    </xf>
    <xf numFmtId="9" fontId="0" fillId="0" borderId="9" xfId="0" applyNumberFormat="1" applyBorder="1"/>
    <xf numFmtId="9" fontId="0" fillId="0" borderId="8" xfId="0" applyNumberFormat="1" applyBorder="1"/>
    <xf numFmtId="9" fontId="0" fillId="0" borderId="7" xfId="0" applyNumberFormat="1" applyBorder="1"/>
    <xf numFmtId="165" fontId="0" fillId="0" borderId="11" xfId="0" applyNumberFormat="1" applyBorder="1"/>
    <xf numFmtId="9" fontId="0" fillId="0" borderId="12" xfId="0" applyNumberFormat="1" applyBorder="1"/>
    <xf numFmtId="9" fontId="0" fillId="0" borderId="0" xfId="0" applyNumberFormat="1" applyBorder="1"/>
    <xf numFmtId="9" fontId="0" fillId="0" borderId="6" xfId="0" applyNumberFormat="1" applyBorder="1"/>
    <xf numFmtId="165" fontId="0" fillId="0" borderId="13" xfId="0" applyNumberFormat="1" applyBorder="1"/>
    <xf numFmtId="165" fontId="3" fillId="0" borderId="5" xfId="0" applyNumberFormat="1" applyFont="1" applyBorder="1"/>
    <xf numFmtId="0" fontId="3" fillId="0" borderId="4" xfId="0" applyFont="1" applyBorder="1"/>
    <xf numFmtId="0" fontId="3" fillId="0" borderId="3" xfId="0" applyFont="1" applyBorder="1"/>
    <xf numFmtId="165" fontId="3" fillId="0" borderId="14" xfId="0" applyNumberFormat="1" applyFont="1" applyBorder="1"/>
    <xf numFmtId="0" fontId="4" fillId="4" borderId="0" xfId="0" applyFont="1" applyFill="1" applyBorder="1" applyAlignment="1">
      <alignment horizontal="left" vertical="center" wrapText="1"/>
    </xf>
    <xf numFmtId="0" fontId="4" fillId="4" borderId="15" xfId="0" applyFont="1" applyFill="1" applyBorder="1" applyAlignment="1">
      <alignment horizontal="left" vertical="center" wrapText="1"/>
    </xf>
    <xf numFmtId="0" fontId="3" fillId="0" borderId="0" xfId="0" applyFont="1"/>
    <xf numFmtId="0" fontId="4" fillId="4" borderId="10" xfId="0" applyFont="1" applyFill="1" applyBorder="1" applyAlignment="1">
      <alignment horizontal="left" vertical="center" wrapText="1"/>
    </xf>
    <xf numFmtId="4" fontId="2" fillId="0" borderId="10" xfId="0" applyNumberFormat="1" applyFont="1" applyFill="1" applyBorder="1" applyAlignment="1">
      <alignment horizontal="left" wrapText="1"/>
    </xf>
    <xf numFmtId="4" fontId="3" fillId="0" borderId="0" xfId="0" applyNumberFormat="1" applyFont="1"/>
    <xf numFmtId="4" fontId="0" fillId="0" borderId="0" xfId="0" applyNumberFormat="1" applyBorder="1"/>
    <xf numFmtId="0" fontId="0" fillId="0" borderId="3" xfId="0" applyBorder="1" applyAlignment="1"/>
    <xf numFmtId="0" fontId="0" fillId="0" borderId="4" xfId="0" applyBorder="1" applyAlignment="1"/>
    <xf numFmtId="0" fontId="0" fillId="0" borderId="5" xfId="0" applyBorder="1" applyAlignment="1"/>
    <xf numFmtId="0" fontId="0" fillId="0" borderId="0" xfId="0" applyNumberFormat="1"/>
    <xf numFmtId="0" fontId="0" fillId="0" borderId="2" xfId="0" applyFont="1" applyFill="1" applyBorder="1"/>
    <xf numFmtId="0" fontId="0" fillId="0" borderId="2" xfId="0" applyFill="1" applyBorder="1"/>
    <xf numFmtId="4" fontId="5" fillId="0" borderId="0" xfId="0" applyNumberFormat="1" applyFont="1"/>
  </cellXfs>
  <cellStyles count="1">
    <cellStyle name="Normalny" xfId="0" builtinId="0"/>
  </cellStyles>
  <dxfs count="6">
    <dxf>
      <numFmt numFmtId="13" formatCode="0%"/>
    </dxf>
    <dxf>
      <numFmt numFmtId="4" formatCode="#,##0.00"/>
    </dxf>
    <dxf>
      <numFmt numFmtId="0" formatCode="General"/>
    </dxf>
    <dxf>
      <numFmt numFmtId="0" formatCode="General"/>
    </dxf>
    <dxf>
      <numFmt numFmtId="4" formatCode="#,##0.00"/>
    </dxf>
    <dxf>
      <numFmt numFmtId="4" formatCode="#,##0.0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mzacharuk" refreshedDate="42268.515900231483" createdVersion="3" refreshedVersion="3" minRefreshableVersion="3" recordCount="742">
  <cacheSource type="worksheet">
    <worksheetSource name="DropAnalityka"/>
  </cacheSource>
  <cacheFields count="9">
    <cacheField name="Location" numFmtId="0">
      <sharedItems containsBlank="1" count="8">
        <s v="Tamor Desert"/>
        <s v="Faimon"/>
        <s v="Giant"/>
        <s v="HoMagic"/>
        <s v="Mt White"/>
        <s v="Aiden"/>
        <s v="HoLight"/>
        <m/>
      </sharedItems>
    </cacheField>
    <cacheField name="LVL" numFmtId="0">
      <sharedItems containsBlank="1" count="4">
        <s v="Normal"/>
        <s v="Hard"/>
        <m/>
        <s v="Hell"/>
      </sharedItems>
    </cacheField>
    <cacheField name="Stage" numFmtId="0">
      <sharedItems containsString="0" containsBlank="1" containsNumber="1" containsInteger="1" minValue="1" maxValue="6" count="7">
        <n v="1"/>
        <n v="3"/>
        <n v="6"/>
        <n v="5"/>
        <n v="4"/>
        <n v="2"/>
        <m/>
      </sharedItems>
    </cacheField>
    <cacheField name="Mana drop" numFmtId="0">
      <sharedItems containsString="0" containsBlank="1" containsNumber="1" containsInteger="1" minValue="310" maxValue="3389"/>
    </cacheField>
    <cacheField name="Energy Drop" numFmtId="0">
      <sharedItems containsString="0" containsBlank="1" containsNumber="1" containsInteger="1" minValue="0" maxValue="4"/>
    </cacheField>
    <cacheField name="Drop" numFmtId="0">
      <sharedItems containsBlank="1" count="13">
        <m/>
        <s v="Fod"/>
        <s v="Scroll"/>
        <s v="EoMag(Low)"/>
        <s v="Rainb"/>
        <s v="EoMag(Mid)"/>
        <s v="EoWat(Low)"/>
        <s v="EoLig(low)"/>
        <s v="EoLig(mid)"/>
        <s v="SD(sala)"/>
        <s v="SummStone"/>
        <s v="SweetCookie"/>
        <s v="Lowx2" u="1"/>
      </sharedItems>
    </cacheField>
    <cacheField name="Quality/Quantity" numFmtId="0">
      <sharedItems containsBlank="1" containsMixedTypes="1" containsNumber="1" containsInteger="1" minValue="1" maxValue="4"/>
    </cacheField>
    <cacheField name="Sell drop" numFmtId="0">
      <sharedItems containsString="0" containsBlank="1" containsNumber="1" containsInteger="1" minValue="0" maxValue="3182"/>
    </cacheField>
    <cacheField name="Time" numFmtId="0">
      <sharedItems containsNonDate="0" containsDate="1" containsString="0" containsBlank="1" minDate="1899-12-30T07:56:20" maxDate="1899-12-30T08:32: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742">
  <r>
    <x v="0"/>
    <x v="0"/>
    <x v="0"/>
    <n v="1315"/>
    <n v="2"/>
    <x v="0"/>
    <m/>
    <n v="912"/>
    <m/>
  </r>
  <r>
    <x v="0"/>
    <x v="0"/>
    <x v="1"/>
    <n v="1255"/>
    <n v="0"/>
    <x v="0"/>
    <m/>
    <n v="325"/>
    <m/>
  </r>
  <r>
    <x v="0"/>
    <x v="0"/>
    <x v="1"/>
    <n v="1668"/>
    <n v="1"/>
    <x v="1"/>
    <s v="2*"/>
    <n v="0"/>
    <m/>
  </r>
  <r>
    <x v="0"/>
    <x v="0"/>
    <x v="1"/>
    <n v="1008"/>
    <n v="0"/>
    <x v="0"/>
    <m/>
    <n v="325"/>
    <m/>
  </r>
  <r>
    <x v="0"/>
    <x v="0"/>
    <x v="1"/>
    <n v="1619"/>
    <n v="1"/>
    <x v="0"/>
    <m/>
    <n v="325"/>
    <m/>
  </r>
  <r>
    <x v="0"/>
    <x v="0"/>
    <x v="1"/>
    <n v="1152"/>
    <n v="1"/>
    <x v="0"/>
    <m/>
    <n v="720"/>
    <m/>
  </r>
  <r>
    <x v="0"/>
    <x v="0"/>
    <x v="1"/>
    <n v="1007"/>
    <n v="0"/>
    <x v="2"/>
    <n v="1"/>
    <n v="0"/>
    <m/>
  </r>
  <r>
    <x v="0"/>
    <x v="0"/>
    <x v="1"/>
    <n v="1401"/>
    <n v="0"/>
    <x v="1"/>
    <s v="2*"/>
    <n v="0"/>
    <m/>
  </r>
  <r>
    <x v="0"/>
    <x v="0"/>
    <x v="1"/>
    <n v="1705"/>
    <n v="1"/>
    <x v="2"/>
    <n v="1"/>
    <n v="0"/>
    <m/>
  </r>
  <r>
    <x v="0"/>
    <x v="0"/>
    <x v="1"/>
    <n v="1033"/>
    <n v="0"/>
    <x v="0"/>
    <m/>
    <n v="720"/>
    <m/>
  </r>
  <r>
    <x v="0"/>
    <x v="0"/>
    <x v="1"/>
    <n v="645"/>
    <n v="0"/>
    <x v="1"/>
    <s v="2*"/>
    <n v="0"/>
    <m/>
  </r>
  <r>
    <x v="0"/>
    <x v="0"/>
    <x v="1"/>
    <n v="1091"/>
    <n v="4"/>
    <x v="0"/>
    <m/>
    <n v="325"/>
    <m/>
  </r>
  <r>
    <x v="0"/>
    <x v="0"/>
    <x v="1"/>
    <n v="519"/>
    <n v="2"/>
    <x v="0"/>
    <m/>
    <n v="487"/>
    <m/>
  </r>
  <r>
    <x v="0"/>
    <x v="0"/>
    <x v="1"/>
    <n v="1378"/>
    <n v="1"/>
    <x v="0"/>
    <m/>
    <n v="325"/>
    <m/>
  </r>
  <r>
    <x v="0"/>
    <x v="0"/>
    <x v="1"/>
    <n v="1455"/>
    <n v="1"/>
    <x v="0"/>
    <m/>
    <n v="325"/>
    <m/>
  </r>
  <r>
    <x v="0"/>
    <x v="0"/>
    <x v="1"/>
    <n v="790"/>
    <n v="2"/>
    <x v="1"/>
    <s v="1*"/>
    <n v="0"/>
    <m/>
  </r>
  <r>
    <x v="0"/>
    <x v="0"/>
    <x v="1"/>
    <n v="1881"/>
    <n v="2"/>
    <x v="2"/>
    <n v="1"/>
    <n v="0"/>
    <m/>
  </r>
  <r>
    <x v="0"/>
    <x v="0"/>
    <x v="1"/>
    <n v="1508"/>
    <n v="0"/>
    <x v="0"/>
    <m/>
    <n v="325"/>
    <m/>
  </r>
  <r>
    <x v="0"/>
    <x v="0"/>
    <x v="1"/>
    <n v="970"/>
    <n v="0"/>
    <x v="0"/>
    <m/>
    <n v="433"/>
    <m/>
  </r>
  <r>
    <x v="0"/>
    <x v="0"/>
    <x v="1"/>
    <n v="1863"/>
    <n v="0"/>
    <x v="0"/>
    <m/>
    <n v="379"/>
    <m/>
  </r>
  <r>
    <x v="0"/>
    <x v="0"/>
    <x v="1"/>
    <n v="1298"/>
    <n v="1"/>
    <x v="1"/>
    <s v="1*"/>
    <n v="0"/>
    <m/>
  </r>
  <r>
    <x v="0"/>
    <x v="0"/>
    <x v="1"/>
    <n v="867"/>
    <n v="2"/>
    <x v="0"/>
    <m/>
    <n v="325"/>
    <m/>
  </r>
  <r>
    <x v="0"/>
    <x v="0"/>
    <x v="1"/>
    <n v="1453"/>
    <n v="1"/>
    <x v="0"/>
    <m/>
    <n v="325"/>
    <m/>
  </r>
  <r>
    <x v="0"/>
    <x v="0"/>
    <x v="1"/>
    <n v="1293"/>
    <n v="0"/>
    <x v="2"/>
    <m/>
    <n v="0"/>
    <m/>
  </r>
  <r>
    <x v="0"/>
    <x v="0"/>
    <x v="1"/>
    <n v="1406"/>
    <n v="0"/>
    <x v="0"/>
    <m/>
    <n v="325"/>
    <m/>
  </r>
  <r>
    <x v="0"/>
    <x v="0"/>
    <x v="1"/>
    <n v="1172"/>
    <n v="1"/>
    <x v="2"/>
    <m/>
    <n v="0"/>
    <m/>
  </r>
  <r>
    <x v="0"/>
    <x v="0"/>
    <x v="1"/>
    <n v="1517"/>
    <n v="2"/>
    <x v="0"/>
    <m/>
    <n v="325"/>
    <m/>
  </r>
  <r>
    <x v="0"/>
    <x v="0"/>
    <x v="1"/>
    <n v="679"/>
    <n v="0"/>
    <x v="0"/>
    <m/>
    <n v="379"/>
    <m/>
  </r>
  <r>
    <x v="0"/>
    <x v="0"/>
    <x v="1"/>
    <n v="1263"/>
    <n v="0"/>
    <x v="0"/>
    <m/>
    <n v="487"/>
    <m/>
  </r>
  <r>
    <x v="0"/>
    <x v="0"/>
    <x v="1"/>
    <n v="497"/>
    <n v="1"/>
    <x v="2"/>
    <m/>
    <n v="0"/>
    <m/>
  </r>
  <r>
    <x v="0"/>
    <x v="0"/>
    <x v="1"/>
    <n v="621"/>
    <n v="1"/>
    <x v="0"/>
    <m/>
    <n v="720"/>
    <m/>
  </r>
  <r>
    <x v="0"/>
    <x v="0"/>
    <x v="1"/>
    <n v="1165"/>
    <n v="1"/>
    <x v="0"/>
    <m/>
    <n v="325"/>
    <m/>
  </r>
  <r>
    <x v="0"/>
    <x v="0"/>
    <x v="1"/>
    <n v="1390"/>
    <n v="1"/>
    <x v="2"/>
    <m/>
    <n v="0"/>
    <m/>
  </r>
  <r>
    <x v="0"/>
    <x v="0"/>
    <x v="1"/>
    <n v="999"/>
    <n v="1"/>
    <x v="2"/>
    <m/>
    <n v="0"/>
    <m/>
  </r>
  <r>
    <x v="0"/>
    <x v="0"/>
    <x v="1"/>
    <n v="1117"/>
    <n v="2"/>
    <x v="0"/>
    <m/>
    <n v="325"/>
    <m/>
  </r>
  <r>
    <x v="0"/>
    <x v="0"/>
    <x v="1"/>
    <n v="794"/>
    <n v="1"/>
    <x v="0"/>
    <m/>
    <n v="325"/>
    <m/>
  </r>
  <r>
    <x v="0"/>
    <x v="0"/>
    <x v="1"/>
    <n v="1432"/>
    <n v="1"/>
    <x v="0"/>
    <m/>
    <n v="325"/>
    <m/>
  </r>
  <r>
    <x v="0"/>
    <x v="0"/>
    <x v="1"/>
    <n v="1485"/>
    <n v="0"/>
    <x v="0"/>
    <m/>
    <n v="433"/>
    <m/>
  </r>
  <r>
    <x v="0"/>
    <x v="0"/>
    <x v="1"/>
    <n v="1301"/>
    <n v="1"/>
    <x v="0"/>
    <m/>
    <n v="379"/>
    <m/>
  </r>
  <r>
    <x v="0"/>
    <x v="0"/>
    <x v="1"/>
    <n v="1501"/>
    <n v="0"/>
    <x v="0"/>
    <m/>
    <n v="720"/>
    <m/>
  </r>
  <r>
    <x v="0"/>
    <x v="1"/>
    <x v="1"/>
    <n v="1470"/>
    <n v="0"/>
    <x v="0"/>
    <m/>
    <n v="1080"/>
    <m/>
  </r>
  <r>
    <x v="0"/>
    <x v="1"/>
    <x v="1"/>
    <n v="1058"/>
    <n v="1"/>
    <x v="2"/>
    <m/>
    <n v="0"/>
    <m/>
  </r>
  <r>
    <x v="1"/>
    <x v="0"/>
    <x v="0"/>
    <n v="1552"/>
    <n v="2"/>
    <x v="0"/>
    <m/>
    <n v="2128"/>
    <m/>
  </r>
  <r>
    <x v="1"/>
    <x v="0"/>
    <x v="0"/>
    <n v="1468"/>
    <n v="1"/>
    <x v="2"/>
    <m/>
    <n v="0"/>
    <m/>
  </r>
  <r>
    <x v="1"/>
    <x v="0"/>
    <x v="0"/>
    <n v="1481"/>
    <n v="1"/>
    <x v="0"/>
    <m/>
    <n v="0"/>
    <m/>
  </r>
  <r>
    <x v="1"/>
    <x v="0"/>
    <x v="0"/>
    <n v="1928"/>
    <n v="1"/>
    <x v="0"/>
    <m/>
    <n v="1824"/>
    <m/>
  </r>
  <r>
    <x v="1"/>
    <x v="0"/>
    <x v="0"/>
    <n v="1273"/>
    <n v="1"/>
    <x v="0"/>
    <m/>
    <n v="0"/>
    <m/>
  </r>
  <r>
    <x v="1"/>
    <x v="0"/>
    <x v="0"/>
    <n v="698"/>
    <n v="2"/>
    <x v="0"/>
    <m/>
    <n v="892"/>
    <m/>
  </r>
  <r>
    <x v="1"/>
    <x v="0"/>
    <x v="0"/>
    <n v="1500"/>
    <n v="1"/>
    <x v="0"/>
    <m/>
    <n v="2128"/>
    <m/>
  </r>
  <r>
    <x v="1"/>
    <x v="0"/>
    <x v="0"/>
    <n v="310"/>
    <n v="1"/>
    <x v="2"/>
    <m/>
    <n v="0"/>
    <m/>
  </r>
  <r>
    <x v="1"/>
    <x v="0"/>
    <x v="0"/>
    <n v="1386"/>
    <n v="0"/>
    <x v="0"/>
    <m/>
    <n v="823"/>
    <m/>
  </r>
  <r>
    <x v="1"/>
    <x v="0"/>
    <x v="0"/>
    <n v="1353"/>
    <n v="1"/>
    <x v="0"/>
    <m/>
    <n v="1824"/>
    <m/>
  </r>
  <r>
    <x v="1"/>
    <x v="0"/>
    <x v="0"/>
    <n v="1480"/>
    <n v="1"/>
    <x v="2"/>
    <m/>
    <n v="0"/>
    <m/>
  </r>
  <r>
    <x v="1"/>
    <x v="0"/>
    <x v="0"/>
    <n v="1618"/>
    <n v="1"/>
    <x v="2"/>
    <m/>
    <n v="0"/>
    <m/>
  </r>
  <r>
    <x v="1"/>
    <x v="0"/>
    <x v="0"/>
    <n v="1145"/>
    <n v="3"/>
    <x v="0"/>
    <m/>
    <n v="1824"/>
    <m/>
  </r>
  <r>
    <x v="1"/>
    <x v="0"/>
    <x v="0"/>
    <n v="1164"/>
    <n v="0"/>
    <x v="0"/>
    <m/>
    <n v="823"/>
    <m/>
  </r>
  <r>
    <x v="0"/>
    <x v="1"/>
    <x v="2"/>
    <n v="1500"/>
    <n v="1"/>
    <x v="0"/>
    <m/>
    <n v="1152"/>
    <m/>
  </r>
  <r>
    <x v="1"/>
    <x v="0"/>
    <x v="0"/>
    <n v="1215"/>
    <n v="1"/>
    <x v="0"/>
    <m/>
    <n v="823"/>
    <m/>
  </r>
  <r>
    <x v="1"/>
    <x v="0"/>
    <x v="0"/>
    <n v="1268"/>
    <n v="2"/>
    <x v="0"/>
    <m/>
    <n v="1824"/>
    <m/>
  </r>
  <r>
    <x v="1"/>
    <x v="0"/>
    <x v="0"/>
    <n v="1694"/>
    <n v="0"/>
    <x v="0"/>
    <m/>
    <n v="960"/>
    <m/>
  </r>
  <r>
    <x v="1"/>
    <x v="0"/>
    <x v="0"/>
    <n v="1722"/>
    <n v="1"/>
    <x v="0"/>
    <m/>
    <n v="1824"/>
    <m/>
  </r>
  <r>
    <x v="1"/>
    <x v="0"/>
    <x v="0"/>
    <n v="852"/>
    <n v="0"/>
    <x v="0"/>
    <m/>
    <n v="823"/>
    <m/>
  </r>
  <r>
    <x v="1"/>
    <x v="0"/>
    <x v="0"/>
    <n v="1720"/>
    <n v="1"/>
    <x v="0"/>
    <m/>
    <n v="892"/>
    <m/>
  </r>
  <r>
    <x v="1"/>
    <x v="0"/>
    <x v="0"/>
    <n v="1162"/>
    <n v="1"/>
    <x v="0"/>
    <m/>
    <n v="823"/>
    <m/>
  </r>
  <r>
    <x v="1"/>
    <x v="0"/>
    <x v="0"/>
    <n v="1888"/>
    <n v="2"/>
    <x v="2"/>
    <m/>
    <n v="0"/>
    <m/>
  </r>
  <r>
    <x v="1"/>
    <x v="0"/>
    <x v="0"/>
    <n v="703"/>
    <n v="0"/>
    <x v="0"/>
    <m/>
    <n v="960"/>
    <m/>
  </r>
  <r>
    <x v="1"/>
    <x v="0"/>
    <x v="0"/>
    <n v="1958"/>
    <n v="2"/>
    <x v="2"/>
    <m/>
    <n v="0"/>
    <m/>
  </r>
  <r>
    <x v="1"/>
    <x v="0"/>
    <x v="0"/>
    <n v="1380"/>
    <n v="1"/>
    <x v="0"/>
    <m/>
    <n v="823"/>
    <m/>
  </r>
  <r>
    <x v="0"/>
    <x v="1"/>
    <x v="1"/>
    <n v="1241"/>
    <n v="0"/>
    <x v="0"/>
    <m/>
    <n v="720"/>
    <m/>
  </r>
  <r>
    <x v="0"/>
    <x v="1"/>
    <x v="1"/>
    <n v="2522"/>
    <n v="2"/>
    <x v="1"/>
    <s v="2*"/>
    <n v="0"/>
    <m/>
  </r>
  <r>
    <x v="0"/>
    <x v="1"/>
    <x v="1"/>
    <n v="1714"/>
    <n v="0"/>
    <x v="0"/>
    <m/>
    <n v="720"/>
    <m/>
  </r>
  <r>
    <x v="0"/>
    <x v="1"/>
    <x v="1"/>
    <n v="1068"/>
    <n v="0"/>
    <x v="0"/>
    <m/>
    <n v="720"/>
    <m/>
  </r>
  <r>
    <x v="0"/>
    <x v="1"/>
    <x v="1"/>
    <n v="1616"/>
    <n v="0"/>
    <x v="0"/>
    <m/>
    <n v="720"/>
    <m/>
  </r>
  <r>
    <x v="0"/>
    <x v="1"/>
    <x v="1"/>
    <n v="1019"/>
    <n v="2"/>
    <x v="1"/>
    <s v="2*"/>
    <n v="0"/>
    <m/>
  </r>
  <r>
    <x v="0"/>
    <x v="1"/>
    <x v="1"/>
    <n v="1705"/>
    <n v="1"/>
    <x v="0"/>
    <m/>
    <n v="1159"/>
    <m/>
  </r>
  <r>
    <x v="0"/>
    <x v="1"/>
    <x v="1"/>
    <n v="1196"/>
    <n v="1"/>
    <x v="2"/>
    <n v="2"/>
    <n v="0"/>
    <m/>
  </r>
  <r>
    <x v="0"/>
    <x v="1"/>
    <x v="1"/>
    <n v="780"/>
    <n v="1"/>
    <x v="0"/>
    <m/>
    <n v="720"/>
    <m/>
  </r>
  <r>
    <x v="0"/>
    <x v="1"/>
    <x v="1"/>
    <n v="1258"/>
    <n v="0"/>
    <x v="0"/>
    <m/>
    <n v="720"/>
    <m/>
  </r>
  <r>
    <x v="0"/>
    <x v="0"/>
    <x v="1"/>
    <n v="2183"/>
    <n v="1"/>
    <x v="2"/>
    <m/>
    <n v="0"/>
    <m/>
  </r>
  <r>
    <x v="0"/>
    <x v="0"/>
    <x v="1"/>
    <n v="985"/>
    <n v="0"/>
    <x v="0"/>
    <m/>
    <n v="720"/>
    <m/>
  </r>
  <r>
    <x v="0"/>
    <x v="1"/>
    <x v="1"/>
    <n v="1518"/>
    <n v="0"/>
    <x v="0"/>
    <m/>
    <n v="960"/>
    <m/>
  </r>
  <r>
    <x v="0"/>
    <x v="1"/>
    <x v="1"/>
    <n v="1785"/>
    <n v="3"/>
    <x v="0"/>
    <m/>
    <n v="1159"/>
    <m/>
  </r>
  <r>
    <x v="0"/>
    <x v="1"/>
    <x v="1"/>
    <n v="1866"/>
    <n v="3"/>
    <x v="2"/>
    <m/>
    <n v="0"/>
    <m/>
  </r>
  <r>
    <x v="0"/>
    <x v="1"/>
    <x v="1"/>
    <n v="1249"/>
    <n v="1"/>
    <x v="0"/>
    <m/>
    <n v="1546"/>
    <m/>
  </r>
  <r>
    <x v="0"/>
    <x v="1"/>
    <x v="1"/>
    <n v="904"/>
    <n v="0"/>
    <x v="0"/>
    <m/>
    <n v="1159"/>
    <m/>
  </r>
  <r>
    <x v="0"/>
    <x v="1"/>
    <x v="1"/>
    <n v="1447"/>
    <n v="0"/>
    <x v="2"/>
    <m/>
    <n v="0"/>
    <m/>
  </r>
  <r>
    <x v="0"/>
    <x v="1"/>
    <x v="1"/>
    <n v="1756"/>
    <n v="2"/>
    <x v="0"/>
    <m/>
    <n v="720"/>
    <m/>
  </r>
  <r>
    <x v="0"/>
    <x v="1"/>
    <x v="1"/>
    <n v="1070"/>
    <n v="0"/>
    <x v="0"/>
    <m/>
    <n v="840"/>
    <m/>
  </r>
  <r>
    <x v="0"/>
    <x v="1"/>
    <x v="1"/>
    <n v="1710"/>
    <n v="0"/>
    <x v="2"/>
    <m/>
    <n v="0"/>
    <m/>
  </r>
  <r>
    <x v="0"/>
    <x v="1"/>
    <x v="1"/>
    <n v="1226"/>
    <n v="0"/>
    <x v="0"/>
    <m/>
    <n v="1159"/>
    <m/>
  </r>
  <r>
    <x v="0"/>
    <x v="1"/>
    <x v="1"/>
    <n v="1124"/>
    <n v="0"/>
    <x v="0"/>
    <m/>
    <n v="1159"/>
    <m/>
  </r>
  <r>
    <x v="0"/>
    <x v="1"/>
    <x v="1"/>
    <n v="1725"/>
    <n v="2"/>
    <x v="2"/>
    <m/>
    <n v="0"/>
    <m/>
  </r>
  <r>
    <x v="0"/>
    <x v="1"/>
    <x v="1"/>
    <n v="1933"/>
    <n v="1"/>
    <x v="0"/>
    <m/>
    <n v="720"/>
    <m/>
  </r>
  <r>
    <x v="0"/>
    <x v="1"/>
    <x v="1"/>
    <n v="1398"/>
    <n v="2"/>
    <x v="2"/>
    <m/>
    <n v="0"/>
    <m/>
  </r>
  <r>
    <x v="0"/>
    <x v="1"/>
    <x v="1"/>
    <n v="1984"/>
    <n v="1"/>
    <x v="0"/>
    <m/>
    <n v="720"/>
    <m/>
  </r>
  <r>
    <x v="0"/>
    <x v="1"/>
    <x v="1"/>
    <n v="1093"/>
    <n v="0"/>
    <x v="0"/>
    <m/>
    <n v="720"/>
    <m/>
  </r>
  <r>
    <x v="0"/>
    <x v="1"/>
    <x v="1"/>
    <n v="1133"/>
    <n v="2"/>
    <x v="0"/>
    <m/>
    <n v="1159"/>
    <m/>
  </r>
  <r>
    <x v="0"/>
    <x v="1"/>
    <x v="1"/>
    <n v="1193"/>
    <n v="2"/>
    <x v="0"/>
    <m/>
    <n v="1546"/>
    <m/>
  </r>
  <r>
    <x v="0"/>
    <x v="1"/>
    <x v="1"/>
    <n v="1346"/>
    <n v="1"/>
    <x v="2"/>
    <m/>
    <n v="0"/>
    <m/>
  </r>
  <r>
    <x v="1"/>
    <x v="0"/>
    <x v="0"/>
    <n v="1167"/>
    <n v="1"/>
    <x v="0"/>
    <m/>
    <n v="2128"/>
    <m/>
  </r>
  <r>
    <x v="1"/>
    <x v="0"/>
    <x v="0"/>
    <n v="1005"/>
    <n v="0"/>
    <x v="0"/>
    <m/>
    <n v="1976"/>
    <m/>
  </r>
  <r>
    <x v="1"/>
    <x v="0"/>
    <x v="0"/>
    <n v="1738"/>
    <n v="0"/>
    <x v="0"/>
    <m/>
    <n v="1824"/>
    <m/>
  </r>
  <r>
    <x v="1"/>
    <x v="0"/>
    <x v="0"/>
    <n v="1440"/>
    <n v="0"/>
    <x v="0"/>
    <m/>
    <n v="823"/>
    <m/>
  </r>
  <r>
    <x v="1"/>
    <x v="0"/>
    <x v="0"/>
    <n v="632"/>
    <n v="0"/>
    <x v="0"/>
    <m/>
    <n v="1824"/>
    <m/>
  </r>
  <r>
    <x v="1"/>
    <x v="0"/>
    <x v="0"/>
    <n v="2032"/>
    <n v="1"/>
    <x v="0"/>
    <m/>
    <n v="2128"/>
    <m/>
  </r>
  <r>
    <x v="1"/>
    <x v="0"/>
    <x v="0"/>
    <n v="559"/>
    <n v="0"/>
    <x v="0"/>
    <m/>
    <n v="823"/>
    <m/>
  </r>
  <r>
    <x v="1"/>
    <x v="0"/>
    <x v="0"/>
    <n v="1582"/>
    <n v="0"/>
    <x v="0"/>
    <m/>
    <n v="1824"/>
    <m/>
  </r>
  <r>
    <x v="1"/>
    <x v="0"/>
    <x v="0"/>
    <n v="1981"/>
    <n v="1"/>
    <x v="2"/>
    <m/>
    <n v="0"/>
    <m/>
  </r>
  <r>
    <x v="1"/>
    <x v="0"/>
    <x v="0"/>
    <n v="859"/>
    <n v="2"/>
    <x v="0"/>
    <m/>
    <n v="1824"/>
    <m/>
  </r>
  <r>
    <x v="1"/>
    <x v="0"/>
    <x v="0"/>
    <n v="874"/>
    <n v="0"/>
    <x v="0"/>
    <m/>
    <n v="1824"/>
    <m/>
  </r>
  <r>
    <x v="1"/>
    <x v="0"/>
    <x v="0"/>
    <n v="1505"/>
    <n v="0"/>
    <x v="0"/>
    <m/>
    <n v="960"/>
    <m/>
  </r>
  <r>
    <x v="1"/>
    <x v="0"/>
    <x v="0"/>
    <n v="1971"/>
    <n v="2"/>
    <x v="0"/>
    <m/>
    <n v="823"/>
    <m/>
  </r>
  <r>
    <x v="1"/>
    <x v="0"/>
    <x v="0"/>
    <n v="991"/>
    <n v="0"/>
    <x v="2"/>
    <m/>
    <n v="0"/>
    <m/>
  </r>
  <r>
    <x v="1"/>
    <x v="0"/>
    <x v="0"/>
    <n v="1762"/>
    <n v="1"/>
    <x v="0"/>
    <m/>
    <n v="1824"/>
    <m/>
  </r>
  <r>
    <x v="1"/>
    <x v="0"/>
    <x v="0"/>
    <n v="1178"/>
    <n v="1"/>
    <x v="0"/>
    <m/>
    <n v="892"/>
    <m/>
  </r>
  <r>
    <x v="1"/>
    <x v="0"/>
    <x v="0"/>
    <n v="1010"/>
    <n v="0"/>
    <x v="2"/>
    <m/>
    <n v="0"/>
    <m/>
  </r>
  <r>
    <x v="0"/>
    <x v="1"/>
    <x v="1"/>
    <n v="961"/>
    <n v="0"/>
    <x v="0"/>
    <m/>
    <n v="1159"/>
    <m/>
  </r>
  <r>
    <x v="2"/>
    <x v="2"/>
    <x v="1"/>
    <n v="1603"/>
    <n v="1"/>
    <x v="0"/>
    <m/>
    <n v="1752"/>
    <m/>
  </r>
  <r>
    <x v="3"/>
    <x v="2"/>
    <x v="3"/>
    <n v="1712"/>
    <n v="2"/>
    <x v="3"/>
    <n v="2"/>
    <n v="0"/>
    <m/>
  </r>
  <r>
    <x v="0"/>
    <x v="1"/>
    <x v="1"/>
    <n v="532"/>
    <n v="2"/>
    <x v="0"/>
    <m/>
    <n v="720"/>
    <m/>
  </r>
  <r>
    <x v="0"/>
    <x v="1"/>
    <x v="1"/>
    <n v="1301"/>
    <n v="0"/>
    <x v="0"/>
    <m/>
    <n v="1739"/>
    <m/>
  </r>
  <r>
    <x v="0"/>
    <x v="1"/>
    <x v="1"/>
    <n v="1244"/>
    <n v="0"/>
    <x v="0"/>
    <m/>
    <n v="840"/>
    <m/>
  </r>
  <r>
    <x v="0"/>
    <x v="1"/>
    <x v="1"/>
    <n v="1900"/>
    <n v="0"/>
    <x v="2"/>
    <m/>
    <n v="0"/>
    <m/>
  </r>
  <r>
    <x v="0"/>
    <x v="1"/>
    <x v="1"/>
    <n v="621"/>
    <n v="1"/>
    <x v="2"/>
    <m/>
    <n v="0"/>
    <m/>
  </r>
  <r>
    <x v="0"/>
    <x v="1"/>
    <x v="1"/>
    <n v="1299"/>
    <n v="0"/>
    <x v="0"/>
    <m/>
    <n v="1159"/>
    <m/>
  </r>
  <r>
    <x v="0"/>
    <x v="1"/>
    <x v="1"/>
    <n v="1187"/>
    <n v="1"/>
    <x v="0"/>
    <m/>
    <n v="1159"/>
    <m/>
  </r>
  <r>
    <x v="0"/>
    <x v="1"/>
    <x v="1"/>
    <n v="1395"/>
    <n v="1"/>
    <x v="0"/>
    <m/>
    <n v="1352"/>
    <m/>
  </r>
  <r>
    <x v="0"/>
    <x v="1"/>
    <x v="1"/>
    <n v="1797"/>
    <n v="2"/>
    <x v="1"/>
    <s v="2*"/>
    <n v="0"/>
    <m/>
  </r>
  <r>
    <x v="0"/>
    <x v="1"/>
    <x v="1"/>
    <n v="1295"/>
    <n v="0"/>
    <x v="2"/>
    <m/>
    <n v="0"/>
    <m/>
  </r>
  <r>
    <x v="0"/>
    <x v="1"/>
    <x v="1"/>
    <n v="2244"/>
    <n v="2"/>
    <x v="4"/>
    <s v="2*"/>
    <n v="0"/>
    <m/>
  </r>
  <r>
    <x v="0"/>
    <x v="1"/>
    <x v="1"/>
    <n v="1719"/>
    <n v="1"/>
    <x v="1"/>
    <s v="1*"/>
    <n v="0"/>
    <m/>
  </r>
  <r>
    <x v="1"/>
    <x v="0"/>
    <x v="0"/>
    <n v="677"/>
    <n v="0"/>
    <x v="1"/>
    <s v="2*"/>
    <n v="0"/>
    <m/>
  </r>
  <r>
    <x v="1"/>
    <x v="0"/>
    <x v="0"/>
    <n v="1098"/>
    <n v="2"/>
    <x v="0"/>
    <m/>
    <n v="823"/>
    <m/>
  </r>
  <r>
    <x v="1"/>
    <x v="0"/>
    <x v="0"/>
    <n v="1357"/>
    <n v="1"/>
    <x v="2"/>
    <m/>
    <n v="0"/>
    <m/>
  </r>
  <r>
    <x v="1"/>
    <x v="0"/>
    <x v="0"/>
    <n v="871"/>
    <n v="0"/>
    <x v="0"/>
    <m/>
    <n v="823"/>
    <m/>
  </r>
  <r>
    <x v="1"/>
    <x v="0"/>
    <x v="0"/>
    <n v="1258"/>
    <n v="0"/>
    <x v="1"/>
    <s v="2*"/>
    <n v="0"/>
    <m/>
  </r>
  <r>
    <x v="1"/>
    <x v="0"/>
    <x v="0"/>
    <n v="1950"/>
    <n v="1"/>
    <x v="0"/>
    <m/>
    <n v="823"/>
    <m/>
  </r>
  <r>
    <x v="1"/>
    <x v="0"/>
    <x v="0"/>
    <n v="1467"/>
    <n v="2"/>
    <x v="0"/>
    <m/>
    <n v="823"/>
    <m/>
  </r>
  <r>
    <x v="1"/>
    <x v="0"/>
    <x v="0"/>
    <n v="2122"/>
    <n v="3"/>
    <x v="2"/>
    <m/>
    <n v="0"/>
    <m/>
  </r>
  <r>
    <x v="1"/>
    <x v="0"/>
    <x v="0"/>
    <n v="1756"/>
    <n v="0"/>
    <x v="0"/>
    <m/>
    <n v="1824"/>
    <m/>
  </r>
  <r>
    <x v="1"/>
    <x v="0"/>
    <x v="0"/>
    <n v="1403"/>
    <n v="2"/>
    <x v="0"/>
    <m/>
    <n v="960"/>
    <m/>
  </r>
  <r>
    <x v="1"/>
    <x v="0"/>
    <x v="0"/>
    <n v="1242"/>
    <n v="0"/>
    <x v="0"/>
    <m/>
    <n v="823"/>
    <m/>
  </r>
  <r>
    <x v="1"/>
    <x v="0"/>
    <x v="0"/>
    <n v="1482"/>
    <n v="1"/>
    <x v="0"/>
    <m/>
    <n v="892"/>
    <m/>
  </r>
  <r>
    <x v="1"/>
    <x v="0"/>
    <x v="0"/>
    <n v="908"/>
    <n v="3"/>
    <x v="2"/>
    <m/>
    <n v="0"/>
    <m/>
  </r>
  <r>
    <x v="1"/>
    <x v="0"/>
    <x v="0"/>
    <n v="1969"/>
    <n v="0"/>
    <x v="0"/>
    <m/>
    <n v="823"/>
    <m/>
  </r>
  <r>
    <x v="1"/>
    <x v="0"/>
    <x v="0"/>
    <n v="1354"/>
    <n v="0"/>
    <x v="0"/>
    <m/>
    <n v="1824"/>
    <m/>
  </r>
  <r>
    <x v="1"/>
    <x v="0"/>
    <x v="0"/>
    <n v="1568"/>
    <n v="0"/>
    <x v="0"/>
    <m/>
    <n v="823"/>
    <m/>
  </r>
  <r>
    <x v="1"/>
    <x v="0"/>
    <x v="0"/>
    <n v="1520"/>
    <n v="0"/>
    <x v="0"/>
    <m/>
    <n v="823"/>
    <m/>
  </r>
  <r>
    <x v="1"/>
    <x v="0"/>
    <x v="0"/>
    <n v="1605"/>
    <n v="0"/>
    <x v="2"/>
    <m/>
    <m/>
    <m/>
  </r>
  <r>
    <x v="1"/>
    <x v="0"/>
    <x v="0"/>
    <n v="1979"/>
    <n v="1"/>
    <x v="0"/>
    <m/>
    <n v="1824"/>
    <m/>
  </r>
  <r>
    <x v="1"/>
    <x v="0"/>
    <x v="0"/>
    <n v="1846"/>
    <n v="1"/>
    <x v="2"/>
    <m/>
    <n v="0"/>
    <m/>
  </r>
  <r>
    <x v="1"/>
    <x v="0"/>
    <x v="0"/>
    <n v="1861"/>
    <n v="1"/>
    <x v="0"/>
    <m/>
    <n v="823"/>
    <m/>
  </r>
  <r>
    <x v="1"/>
    <x v="0"/>
    <x v="0"/>
    <n v="1519"/>
    <n v="3"/>
    <x v="2"/>
    <m/>
    <n v="0"/>
    <m/>
  </r>
  <r>
    <x v="1"/>
    <x v="0"/>
    <x v="0"/>
    <n v="1049"/>
    <n v="1"/>
    <x v="0"/>
    <m/>
    <n v="960"/>
    <m/>
  </r>
  <r>
    <x v="1"/>
    <x v="0"/>
    <x v="0"/>
    <n v="992"/>
    <n v="1"/>
    <x v="0"/>
    <m/>
    <n v="2128"/>
    <m/>
  </r>
  <r>
    <x v="1"/>
    <x v="0"/>
    <x v="0"/>
    <n v="1441"/>
    <n v="1"/>
    <x v="2"/>
    <m/>
    <n v="0"/>
    <m/>
  </r>
  <r>
    <x v="1"/>
    <x v="0"/>
    <x v="0"/>
    <n v="1549"/>
    <n v="1"/>
    <x v="0"/>
    <m/>
    <n v="823"/>
    <m/>
  </r>
  <r>
    <x v="1"/>
    <x v="0"/>
    <x v="0"/>
    <n v="1078"/>
    <n v="0"/>
    <x v="0"/>
    <m/>
    <n v="1824"/>
    <m/>
  </r>
  <r>
    <x v="1"/>
    <x v="0"/>
    <x v="0"/>
    <n v="1900"/>
    <n v="1"/>
    <x v="2"/>
    <m/>
    <n v="0"/>
    <m/>
  </r>
  <r>
    <x v="1"/>
    <x v="0"/>
    <x v="0"/>
    <n v="1954"/>
    <n v="1"/>
    <x v="2"/>
    <m/>
    <n v="0"/>
    <m/>
  </r>
  <r>
    <x v="1"/>
    <x v="0"/>
    <x v="0"/>
    <n v="1261"/>
    <n v="1"/>
    <x v="2"/>
    <m/>
    <n v="0"/>
    <m/>
  </r>
  <r>
    <x v="1"/>
    <x v="0"/>
    <x v="0"/>
    <n v="1559"/>
    <n v="1"/>
    <x v="1"/>
    <s v="2*"/>
    <n v="0"/>
    <m/>
  </r>
  <r>
    <x v="1"/>
    <x v="0"/>
    <x v="0"/>
    <n v="1232"/>
    <n v="0"/>
    <x v="0"/>
    <m/>
    <n v="892"/>
    <m/>
  </r>
  <r>
    <x v="1"/>
    <x v="0"/>
    <x v="0"/>
    <n v="1417"/>
    <n v="0"/>
    <x v="0"/>
    <m/>
    <n v="823"/>
    <m/>
  </r>
  <r>
    <x v="1"/>
    <x v="0"/>
    <x v="0"/>
    <n v="1648"/>
    <n v="2"/>
    <x v="2"/>
    <m/>
    <n v="0"/>
    <m/>
  </r>
  <r>
    <x v="1"/>
    <x v="0"/>
    <x v="0"/>
    <n v="1770"/>
    <n v="2"/>
    <x v="2"/>
    <m/>
    <n v="0"/>
    <m/>
  </r>
  <r>
    <x v="1"/>
    <x v="0"/>
    <x v="0"/>
    <n v="1391"/>
    <n v="1"/>
    <x v="0"/>
    <m/>
    <n v="823"/>
    <m/>
  </r>
  <r>
    <x v="1"/>
    <x v="0"/>
    <x v="0"/>
    <n v="1192"/>
    <n v="0"/>
    <x v="2"/>
    <m/>
    <n v="0"/>
    <m/>
  </r>
  <r>
    <x v="3"/>
    <x v="0"/>
    <x v="4"/>
    <n v="1346"/>
    <n v="1"/>
    <x v="3"/>
    <n v="2"/>
    <n v="0"/>
    <m/>
  </r>
  <r>
    <x v="3"/>
    <x v="0"/>
    <x v="4"/>
    <n v="1240"/>
    <n v="0"/>
    <x v="2"/>
    <n v="2"/>
    <n v="0"/>
    <m/>
  </r>
  <r>
    <x v="3"/>
    <x v="0"/>
    <x v="4"/>
    <n v="1238"/>
    <n v="0"/>
    <x v="2"/>
    <n v="3"/>
    <n v="0"/>
    <m/>
  </r>
  <r>
    <x v="3"/>
    <x v="0"/>
    <x v="4"/>
    <n v="1236"/>
    <n v="1"/>
    <x v="2"/>
    <n v="2"/>
    <n v="0"/>
    <m/>
  </r>
  <r>
    <x v="3"/>
    <x v="0"/>
    <x v="4"/>
    <n v="1365"/>
    <n v="1"/>
    <x v="5"/>
    <n v="1"/>
    <n v="0"/>
    <m/>
  </r>
  <r>
    <x v="3"/>
    <x v="0"/>
    <x v="4"/>
    <n v="1240"/>
    <n v="1"/>
    <x v="2"/>
    <n v="3"/>
    <n v="0"/>
    <m/>
  </r>
  <r>
    <x v="3"/>
    <x v="0"/>
    <x v="4"/>
    <n v="1209"/>
    <n v="1"/>
    <x v="6"/>
    <n v="2"/>
    <n v="0"/>
    <m/>
  </r>
  <r>
    <x v="0"/>
    <x v="1"/>
    <x v="1"/>
    <n v="1206"/>
    <n v="0"/>
    <x v="0"/>
    <m/>
    <m/>
    <m/>
  </r>
  <r>
    <x v="4"/>
    <x v="3"/>
    <x v="5"/>
    <n v="1192"/>
    <n v="1"/>
    <x v="4"/>
    <s v="2*"/>
    <n v="0"/>
    <m/>
  </r>
  <r>
    <x v="0"/>
    <x v="1"/>
    <x v="1"/>
    <n v="1212"/>
    <n v="2"/>
    <x v="0"/>
    <m/>
    <n v="1352"/>
    <m/>
  </r>
  <r>
    <x v="0"/>
    <x v="1"/>
    <x v="1"/>
    <n v="564"/>
    <n v="0"/>
    <x v="1"/>
    <s v="2*"/>
    <n v="0"/>
    <m/>
  </r>
  <r>
    <x v="0"/>
    <x v="1"/>
    <x v="1"/>
    <n v="2224"/>
    <n v="2"/>
    <x v="2"/>
    <n v="2"/>
    <n v="0"/>
    <m/>
  </r>
  <r>
    <x v="0"/>
    <x v="1"/>
    <x v="1"/>
    <n v="1341"/>
    <n v="1"/>
    <x v="1"/>
    <s v="1*"/>
    <n v="0"/>
    <m/>
  </r>
  <r>
    <x v="0"/>
    <x v="1"/>
    <x v="1"/>
    <n v="1482"/>
    <n v="0"/>
    <x v="0"/>
    <m/>
    <n v="720"/>
    <m/>
  </r>
  <r>
    <x v="0"/>
    <x v="1"/>
    <x v="1"/>
    <n v="1565"/>
    <n v="0"/>
    <x v="0"/>
    <m/>
    <n v="720"/>
    <m/>
  </r>
  <r>
    <x v="0"/>
    <x v="1"/>
    <x v="1"/>
    <n v="1627"/>
    <n v="0"/>
    <x v="2"/>
    <n v="2"/>
    <n v="0"/>
    <m/>
  </r>
  <r>
    <x v="0"/>
    <x v="3"/>
    <x v="1"/>
    <n v="1597"/>
    <n v="1"/>
    <x v="0"/>
    <m/>
    <n v="2067"/>
    <m/>
  </r>
  <r>
    <x v="0"/>
    <x v="3"/>
    <x v="1"/>
    <n v="1772"/>
    <n v="1"/>
    <x v="0"/>
    <m/>
    <n v="1159"/>
    <m/>
  </r>
  <r>
    <x v="5"/>
    <x v="0"/>
    <x v="0"/>
    <n v="1111"/>
    <n v="1"/>
    <x v="0"/>
    <m/>
    <n v="1824"/>
    <m/>
  </r>
  <r>
    <x v="5"/>
    <x v="0"/>
    <x v="5"/>
    <n v="2526"/>
    <n v="0"/>
    <x v="0"/>
    <m/>
    <n v="866"/>
    <m/>
  </r>
  <r>
    <x v="5"/>
    <x v="0"/>
    <x v="1"/>
    <n v="1458"/>
    <n v="0"/>
    <x v="0"/>
    <m/>
    <n v="1440"/>
    <m/>
  </r>
  <r>
    <x v="5"/>
    <x v="0"/>
    <x v="1"/>
    <n v="1590"/>
    <n v="0"/>
    <x v="0"/>
    <m/>
    <n v="1440"/>
    <m/>
  </r>
  <r>
    <x v="5"/>
    <x v="0"/>
    <x v="0"/>
    <n v="1062"/>
    <n v="0"/>
    <x v="0"/>
    <m/>
    <n v="823"/>
    <m/>
  </r>
  <r>
    <x v="5"/>
    <x v="0"/>
    <x v="0"/>
    <n v="1492"/>
    <n v="1"/>
    <x v="0"/>
    <m/>
    <n v="1976"/>
    <m/>
  </r>
  <r>
    <x v="5"/>
    <x v="0"/>
    <x v="0"/>
    <n v="1482"/>
    <n v="1"/>
    <x v="0"/>
    <m/>
    <n v="823"/>
    <m/>
  </r>
  <r>
    <x v="5"/>
    <x v="0"/>
    <x v="0"/>
    <n v="1762"/>
    <n v="0"/>
    <x v="0"/>
    <m/>
    <n v="823"/>
    <m/>
  </r>
  <r>
    <x v="5"/>
    <x v="0"/>
    <x v="0"/>
    <n v="1391"/>
    <n v="1"/>
    <x v="0"/>
    <m/>
    <n v="2128"/>
    <m/>
  </r>
  <r>
    <x v="5"/>
    <x v="0"/>
    <x v="0"/>
    <n v="1281"/>
    <n v="1"/>
    <x v="2"/>
    <n v="1"/>
    <n v="0"/>
    <m/>
  </r>
  <r>
    <x v="5"/>
    <x v="0"/>
    <x v="0"/>
    <n v="1169"/>
    <n v="0"/>
    <x v="0"/>
    <m/>
    <n v="823"/>
    <m/>
  </r>
  <r>
    <x v="5"/>
    <x v="0"/>
    <x v="0"/>
    <n v="1657"/>
    <n v="2"/>
    <x v="0"/>
    <m/>
    <n v="892"/>
    <m/>
  </r>
  <r>
    <x v="5"/>
    <x v="0"/>
    <x v="0"/>
    <n v="1214"/>
    <n v="0"/>
    <x v="2"/>
    <n v="1"/>
    <n v="0"/>
    <m/>
  </r>
  <r>
    <x v="5"/>
    <x v="0"/>
    <x v="0"/>
    <n v="1156"/>
    <n v="0"/>
    <x v="2"/>
    <n v="1"/>
    <n v="0"/>
    <m/>
  </r>
  <r>
    <x v="5"/>
    <x v="0"/>
    <x v="0"/>
    <n v="1190"/>
    <n v="2"/>
    <x v="0"/>
    <m/>
    <n v="823"/>
    <m/>
  </r>
  <r>
    <x v="5"/>
    <x v="0"/>
    <x v="0"/>
    <n v="2017"/>
    <n v="0"/>
    <x v="0"/>
    <m/>
    <n v="960"/>
    <m/>
  </r>
  <r>
    <x v="5"/>
    <x v="0"/>
    <x v="0"/>
    <n v="1407"/>
    <n v="0"/>
    <x v="0"/>
    <m/>
    <n v="2128"/>
    <m/>
  </r>
  <r>
    <x v="5"/>
    <x v="0"/>
    <x v="0"/>
    <n v="710"/>
    <n v="1"/>
    <x v="0"/>
    <m/>
    <n v="892"/>
    <m/>
  </r>
  <r>
    <x v="5"/>
    <x v="0"/>
    <x v="0"/>
    <n v="1242"/>
    <n v="4"/>
    <x v="0"/>
    <m/>
    <n v="960"/>
    <m/>
  </r>
  <r>
    <x v="5"/>
    <x v="0"/>
    <x v="0"/>
    <n v="1757"/>
    <n v="3"/>
    <x v="0"/>
    <m/>
    <n v="2280"/>
    <m/>
  </r>
  <r>
    <x v="5"/>
    <x v="0"/>
    <x v="0"/>
    <n v="1460"/>
    <n v="1"/>
    <x v="0"/>
    <m/>
    <n v="823"/>
    <m/>
  </r>
  <r>
    <x v="5"/>
    <x v="0"/>
    <x v="0"/>
    <n v="1307"/>
    <n v="1"/>
    <x v="0"/>
    <m/>
    <n v="823"/>
    <m/>
  </r>
  <r>
    <x v="5"/>
    <x v="0"/>
    <x v="0"/>
    <n v="1260"/>
    <n v="1"/>
    <x v="0"/>
    <m/>
    <n v="892"/>
    <m/>
  </r>
  <r>
    <x v="5"/>
    <x v="0"/>
    <x v="0"/>
    <n v="1859"/>
    <n v="1"/>
    <x v="0"/>
    <m/>
    <n v="823"/>
    <m/>
  </r>
  <r>
    <x v="5"/>
    <x v="0"/>
    <x v="0"/>
    <n v="1744"/>
    <n v="0"/>
    <x v="0"/>
    <m/>
    <n v="823"/>
    <m/>
  </r>
  <r>
    <x v="5"/>
    <x v="0"/>
    <x v="0"/>
    <n v="1711"/>
    <n v="1"/>
    <x v="0"/>
    <m/>
    <n v="2280"/>
    <m/>
  </r>
  <r>
    <x v="5"/>
    <x v="0"/>
    <x v="0"/>
    <n v="693"/>
    <n v="1"/>
    <x v="0"/>
    <m/>
    <n v="2128"/>
    <m/>
  </r>
  <r>
    <x v="5"/>
    <x v="0"/>
    <x v="0"/>
    <n v="1404"/>
    <n v="0"/>
    <x v="1"/>
    <s v="2*"/>
    <n v="0"/>
    <m/>
  </r>
  <r>
    <x v="5"/>
    <x v="0"/>
    <x v="0"/>
    <n v="1291"/>
    <n v="1"/>
    <x v="2"/>
    <m/>
    <n v="0"/>
    <m/>
  </r>
  <r>
    <x v="5"/>
    <x v="0"/>
    <x v="0"/>
    <n v="1391"/>
    <n v="2"/>
    <x v="1"/>
    <s v="2*"/>
    <n v="0"/>
    <m/>
  </r>
  <r>
    <x v="5"/>
    <x v="0"/>
    <x v="0"/>
    <n v="2322"/>
    <n v="1"/>
    <x v="0"/>
    <m/>
    <n v="892"/>
    <m/>
  </r>
  <r>
    <x v="5"/>
    <x v="0"/>
    <x v="0"/>
    <n v="1538"/>
    <n v="2"/>
    <x v="0"/>
    <m/>
    <n v="823"/>
    <m/>
  </r>
  <r>
    <x v="5"/>
    <x v="0"/>
    <x v="0"/>
    <n v="686"/>
    <n v="0"/>
    <x v="0"/>
    <m/>
    <n v="823"/>
    <m/>
  </r>
  <r>
    <x v="5"/>
    <x v="0"/>
    <x v="0"/>
    <n v="1437"/>
    <n v="1"/>
    <x v="2"/>
    <n v="1"/>
    <n v="0"/>
    <m/>
  </r>
  <r>
    <x v="5"/>
    <x v="0"/>
    <x v="0"/>
    <n v="1376"/>
    <n v="1"/>
    <x v="1"/>
    <s v="2*"/>
    <n v="0"/>
    <m/>
  </r>
  <r>
    <x v="5"/>
    <x v="0"/>
    <x v="0"/>
    <n v="1953"/>
    <n v="1"/>
    <x v="0"/>
    <m/>
    <n v="823"/>
    <m/>
  </r>
  <r>
    <x v="5"/>
    <x v="0"/>
    <x v="0"/>
    <n v="1294"/>
    <n v="0"/>
    <x v="0"/>
    <m/>
    <n v="823"/>
    <m/>
  </r>
  <r>
    <x v="5"/>
    <x v="0"/>
    <x v="0"/>
    <n v="1130"/>
    <n v="2"/>
    <x v="1"/>
    <s v="2*"/>
    <n v="0"/>
    <m/>
  </r>
  <r>
    <x v="5"/>
    <x v="0"/>
    <x v="0"/>
    <n v="2414"/>
    <n v="0"/>
    <x v="1"/>
    <s v="2*"/>
    <n v="0"/>
    <m/>
  </r>
  <r>
    <x v="5"/>
    <x v="0"/>
    <x v="0"/>
    <n v="1779"/>
    <n v="1"/>
    <x v="1"/>
    <s v="2*"/>
    <n v="0"/>
    <m/>
  </r>
  <r>
    <x v="5"/>
    <x v="0"/>
    <x v="0"/>
    <n v="979"/>
    <n v="1"/>
    <x v="0"/>
    <m/>
    <n v="823"/>
    <m/>
  </r>
  <r>
    <x v="5"/>
    <x v="0"/>
    <x v="0"/>
    <n v="1775"/>
    <n v="1"/>
    <x v="0"/>
    <m/>
    <n v="1824"/>
    <m/>
  </r>
  <r>
    <x v="5"/>
    <x v="0"/>
    <x v="0"/>
    <n v="2068"/>
    <n v="2"/>
    <x v="1"/>
    <s v="2*"/>
    <n v="0"/>
    <m/>
  </r>
  <r>
    <x v="5"/>
    <x v="0"/>
    <x v="0"/>
    <n v="1735"/>
    <n v="1"/>
    <x v="0"/>
    <m/>
    <n v="823"/>
    <m/>
  </r>
  <r>
    <x v="5"/>
    <x v="0"/>
    <x v="0"/>
    <n v="2104"/>
    <n v="4"/>
    <x v="2"/>
    <m/>
    <n v="0"/>
    <m/>
  </r>
  <r>
    <x v="5"/>
    <x v="0"/>
    <x v="0"/>
    <n v="1385"/>
    <n v="0"/>
    <x v="2"/>
    <m/>
    <n v="0"/>
    <m/>
  </r>
  <r>
    <x v="5"/>
    <x v="0"/>
    <x v="0"/>
    <n v="1562"/>
    <n v="1"/>
    <x v="2"/>
    <m/>
    <n v="0"/>
    <m/>
  </r>
  <r>
    <x v="5"/>
    <x v="0"/>
    <x v="0"/>
    <n v="1650"/>
    <n v="0"/>
    <x v="0"/>
    <m/>
    <n v="823"/>
    <m/>
  </r>
  <r>
    <x v="5"/>
    <x v="0"/>
    <x v="0"/>
    <n v="1498"/>
    <n v="1"/>
    <x v="0"/>
    <m/>
    <n v="0"/>
    <m/>
  </r>
  <r>
    <x v="5"/>
    <x v="0"/>
    <x v="0"/>
    <n v="1387"/>
    <n v="1"/>
    <x v="0"/>
    <m/>
    <n v="823"/>
    <m/>
  </r>
  <r>
    <x v="5"/>
    <x v="0"/>
    <x v="0"/>
    <n v="2065"/>
    <n v="3"/>
    <x v="0"/>
    <m/>
    <n v="823"/>
    <m/>
  </r>
  <r>
    <x v="5"/>
    <x v="0"/>
    <x v="0"/>
    <n v="1270"/>
    <n v="1"/>
    <x v="0"/>
    <m/>
    <n v="1824"/>
    <m/>
  </r>
  <r>
    <x v="5"/>
    <x v="0"/>
    <x v="0"/>
    <n v="805"/>
    <n v="2"/>
    <x v="2"/>
    <m/>
    <n v="0"/>
    <m/>
  </r>
  <r>
    <x v="5"/>
    <x v="0"/>
    <x v="0"/>
    <n v="1426"/>
    <n v="1"/>
    <x v="0"/>
    <m/>
    <n v="0"/>
    <m/>
  </r>
  <r>
    <x v="5"/>
    <x v="0"/>
    <x v="0"/>
    <n v="1985"/>
    <n v="0"/>
    <x v="0"/>
    <m/>
    <n v="1824"/>
    <m/>
  </r>
  <r>
    <x v="5"/>
    <x v="0"/>
    <x v="0"/>
    <n v="534"/>
    <n v="0"/>
    <x v="0"/>
    <m/>
    <n v="960"/>
    <m/>
  </r>
  <r>
    <x v="5"/>
    <x v="0"/>
    <x v="0"/>
    <n v="1771"/>
    <n v="0"/>
    <x v="0"/>
    <m/>
    <n v="823"/>
    <m/>
  </r>
  <r>
    <x v="5"/>
    <x v="0"/>
    <x v="0"/>
    <n v="1455"/>
    <n v="0"/>
    <x v="1"/>
    <s v="2*"/>
    <n v="0"/>
    <m/>
  </r>
  <r>
    <x v="5"/>
    <x v="0"/>
    <x v="0"/>
    <n v="1687"/>
    <n v="0"/>
    <x v="0"/>
    <m/>
    <n v="823"/>
    <m/>
  </r>
  <r>
    <x v="5"/>
    <x v="0"/>
    <x v="0"/>
    <n v="1486"/>
    <n v="1"/>
    <x v="0"/>
    <m/>
    <n v="823"/>
    <m/>
  </r>
  <r>
    <x v="5"/>
    <x v="0"/>
    <x v="0"/>
    <n v="1799"/>
    <n v="1"/>
    <x v="2"/>
    <m/>
    <n v="0"/>
    <m/>
  </r>
  <r>
    <x v="5"/>
    <x v="0"/>
    <x v="0"/>
    <n v="1437"/>
    <n v="0"/>
    <x v="2"/>
    <m/>
    <n v="0"/>
    <m/>
  </r>
  <r>
    <x v="5"/>
    <x v="0"/>
    <x v="0"/>
    <n v="1653"/>
    <n v="1"/>
    <x v="0"/>
    <m/>
    <n v="1824"/>
    <m/>
  </r>
  <r>
    <x v="5"/>
    <x v="0"/>
    <x v="0"/>
    <n v="1162"/>
    <n v="1"/>
    <x v="0"/>
    <m/>
    <n v="823"/>
    <m/>
  </r>
  <r>
    <x v="5"/>
    <x v="0"/>
    <x v="0"/>
    <n v="1535"/>
    <n v="0"/>
    <x v="2"/>
    <m/>
    <n v="0"/>
    <m/>
  </r>
  <r>
    <x v="5"/>
    <x v="0"/>
    <x v="0"/>
    <n v="1913"/>
    <n v="1"/>
    <x v="2"/>
    <m/>
    <n v="0"/>
    <m/>
  </r>
  <r>
    <x v="5"/>
    <x v="0"/>
    <x v="0"/>
    <n v="2320"/>
    <n v="1"/>
    <x v="0"/>
    <m/>
    <n v="823"/>
    <m/>
  </r>
  <r>
    <x v="5"/>
    <x v="0"/>
    <x v="0"/>
    <n v="1826"/>
    <n v="1"/>
    <x v="0"/>
    <m/>
    <n v="823"/>
    <m/>
  </r>
  <r>
    <x v="5"/>
    <x v="0"/>
    <x v="0"/>
    <n v="1600"/>
    <n v="0"/>
    <x v="0"/>
    <m/>
    <n v="2128"/>
    <m/>
  </r>
  <r>
    <x v="5"/>
    <x v="0"/>
    <x v="0"/>
    <n v="1293"/>
    <n v="1"/>
    <x v="0"/>
    <m/>
    <n v="892"/>
    <m/>
  </r>
  <r>
    <x v="5"/>
    <x v="0"/>
    <x v="0"/>
    <n v="1136"/>
    <n v="0"/>
    <x v="0"/>
    <m/>
    <n v="823"/>
    <m/>
  </r>
  <r>
    <x v="5"/>
    <x v="0"/>
    <x v="0"/>
    <n v="2791"/>
    <n v="0"/>
    <x v="0"/>
    <m/>
    <n v="823"/>
    <m/>
  </r>
  <r>
    <x v="5"/>
    <x v="0"/>
    <x v="0"/>
    <n v="3389"/>
    <n v="1"/>
    <x v="0"/>
    <m/>
    <n v="1976"/>
    <m/>
  </r>
  <r>
    <x v="5"/>
    <x v="0"/>
    <x v="0"/>
    <n v="1297"/>
    <n v="3"/>
    <x v="0"/>
    <m/>
    <n v="823"/>
    <m/>
  </r>
  <r>
    <x v="5"/>
    <x v="0"/>
    <x v="0"/>
    <n v="1726"/>
    <n v="1"/>
    <x v="0"/>
    <m/>
    <n v="1824"/>
    <m/>
  </r>
  <r>
    <x v="0"/>
    <x v="3"/>
    <x v="1"/>
    <n v="1484"/>
    <n v="2"/>
    <x v="0"/>
    <m/>
    <n v="1159"/>
    <m/>
  </r>
  <r>
    <x v="0"/>
    <x v="3"/>
    <x v="1"/>
    <n v="1202"/>
    <n v="2"/>
    <x v="0"/>
    <m/>
    <n v="1159"/>
    <m/>
  </r>
  <r>
    <x v="5"/>
    <x v="0"/>
    <x v="0"/>
    <n v="562"/>
    <n v="0"/>
    <x v="0"/>
    <m/>
    <n v="1824"/>
    <m/>
  </r>
  <r>
    <x v="5"/>
    <x v="0"/>
    <x v="0"/>
    <n v="649"/>
    <n v="1"/>
    <x v="0"/>
    <m/>
    <n v="823"/>
    <m/>
  </r>
  <r>
    <x v="5"/>
    <x v="0"/>
    <x v="0"/>
    <n v="1241"/>
    <n v="1"/>
    <x v="2"/>
    <m/>
    <n v="0"/>
    <m/>
  </r>
  <r>
    <x v="5"/>
    <x v="0"/>
    <x v="0"/>
    <n v="1560"/>
    <n v="0"/>
    <x v="0"/>
    <m/>
    <n v="823"/>
    <d v="1899-12-30T07:56:20"/>
  </r>
  <r>
    <x v="5"/>
    <x v="0"/>
    <x v="0"/>
    <n v="1231"/>
    <n v="1"/>
    <x v="2"/>
    <m/>
    <n v="0"/>
    <d v="1899-12-30T07:59:05"/>
  </r>
  <r>
    <x v="5"/>
    <x v="0"/>
    <x v="0"/>
    <n v="566"/>
    <n v="1"/>
    <x v="0"/>
    <m/>
    <n v="823"/>
    <m/>
  </r>
  <r>
    <x v="5"/>
    <x v="0"/>
    <x v="0"/>
    <n v="723"/>
    <n v="1"/>
    <x v="2"/>
    <m/>
    <n v="0"/>
    <m/>
  </r>
  <r>
    <x v="5"/>
    <x v="0"/>
    <x v="0"/>
    <n v="1626"/>
    <n v="1"/>
    <x v="0"/>
    <m/>
    <n v="1824"/>
    <m/>
  </r>
  <r>
    <x v="5"/>
    <x v="0"/>
    <x v="0"/>
    <n v="2033"/>
    <n v="2"/>
    <x v="2"/>
    <m/>
    <n v="0"/>
    <m/>
  </r>
  <r>
    <x v="5"/>
    <x v="0"/>
    <x v="0"/>
    <n v="1600"/>
    <n v="1"/>
    <x v="0"/>
    <m/>
    <n v="1824"/>
    <d v="1899-12-30T08:13:20"/>
  </r>
  <r>
    <x v="5"/>
    <x v="0"/>
    <x v="0"/>
    <n v="702"/>
    <n v="0"/>
    <x v="0"/>
    <m/>
    <n v="1824"/>
    <m/>
  </r>
  <r>
    <x v="5"/>
    <x v="0"/>
    <x v="0"/>
    <n v="1330"/>
    <n v="0"/>
    <x v="2"/>
    <m/>
    <n v="0"/>
    <m/>
  </r>
  <r>
    <x v="5"/>
    <x v="0"/>
    <x v="0"/>
    <n v="1054"/>
    <n v="0"/>
    <x v="1"/>
    <s v="2*"/>
    <n v="0"/>
    <m/>
  </r>
  <r>
    <x v="5"/>
    <x v="0"/>
    <x v="0"/>
    <n v="1391"/>
    <n v="0"/>
    <x v="0"/>
    <m/>
    <n v="1824"/>
    <m/>
  </r>
  <r>
    <x v="5"/>
    <x v="0"/>
    <x v="0"/>
    <n v="1603"/>
    <n v="2"/>
    <x v="0"/>
    <m/>
    <n v="1824"/>
    <m/>
  </r>
  <r>
    <x v="5"/>
    <x v="0"/>
    <x v="0"/>
    <n v="1415"/>
    <n v="0"/>
    <x v="0"/>
    <m/>
    <n v="960"/>
    <m/>
  </r>
  <r>
    <x v="5"/>
    <x v="0"/>
    <x v="0"/>
    <n v="1206"/>
    <n v="1"/>
    <x v="0"/>
    <m/>
    <n v="823"/>
    <d v="1899-12-30T08:31:40"/>
  </r>
  <r>
    <x v="1"/>
    <x v="0"/>
    <x v="0"/>
    <n v="1840"/>
    <n v="1"/>
    <x v="0"/>
    <m/>
    <n v="823"/>
    <d v="1899-12-30T08:32:00"/>
  </r>
  <r>
    <x v="1"/>
    <x v="0"/>
    <x v="0"/>
    <n v="1042"/>
    <n v="0"/>
    <x v="2"/>
    <m/>
    <n v="0"/>
    <m/>
  </r>
  <r>
    <x v="3"/>
    <x v="0"/>
    <x v="3"/>
    <n v="1500"/>
    <n v="0"/>
    <x v="3"/>
    <n v="4"/>
    <n v="0"/>
    <m/>
  </r>
  <r>
    <x v="6"/>
    <x v="0"/>
    <x v="3"/>
    <n v="1500"/>
    <n v="0"/>
    <x v="7"/>
    <n v="3"/>
    <n v="0"/>
    <m/>
  </r>
  <r>
    <x v="6"/>
    <x v="0"/>
    <x v="3"/>
    <n v="1782"/>
    <n v="0"/>
    <x v="7"/>
    <n v="2"/>
    <n v="0"/>
    <m/>
  </r>
  <r>
    <x v="6"/>
    <x v="0"/>
    <x v="3"/>
    <n v="1666"/>
    <n v="1"/>
    <x v="8"/>
    <n v="1"/>
    <n v="0"/>
    <m/>
  </r>
  <r>
    <x v="6"/>
    <x v="0"/>
    <x v="3"/>
    <n v="1556"/>
    <n v="0"/>
    <x v="7"/>
    <n v="2"/>
    <n v="0"/>
    <m/>
  </r>
  <r>
    <x v="6"/>
    <x v="0"/>
    <x v="3"/>
    <n v="2860"/>
    <n v="0"/>
    <x v="8"/>
    <n v="1"/>
    <n v="0"/>
    <m/>
  </r>
  <r>
    <x v="6"/>
    <x v="0"/>
    <x v="3"/>
    <n v="2986"/>
    <n v="0"/>
    <x v="7"/>
    <n v="2"/>
    <n v="0"/>
    <m/>
  </r>
  <r>
    <x v="6"/>
    <x v="0"/>
    <x v="3"/>
    <n v="3172"/>
    <n v="1"/>
    <x v="9"/>
    <s v="2*"/>
    <n v="0"/>
    <m/>
  </r>
  <r>
    <x v="6"/>
    <x v="0"/>
    <x v="3"/>
    <n v="1420"/>
    <n v="0"/>
    <x v="8"/>
    <n v="2"/>
    <n v="0"/>
    <m/>
  </r>
  <r>
    <x v="6"/>
    <x v="0"/>
    <x v="3"/>
    <n v="1352"/>
    <n v="0"/>
    <x v="8"/>
    <n v="1"/>
    <n v="0"/>
    <m/>
  </r>
  <r>
    <x v="6"/>
    <x v="0"/>
    <x v="3"/>
    <n v="1362"/>
    <n v="0"/>
    <x v="2"/>
    <n v="4"/>
    <n v="0"/>
    <m/>
  </r>
  <r>
    <x v="6"/>
    <x v="0"/>
    <x v="3"/>
    <n v="1428"/>
    <n v="1"/>
    <x v="10"/>
    <n v="3"/>
    <n v="0"/>
    <m/>
  </r>
  <r>
    <x v="6"/>
    <x v="0"/>
    <x v="3"/>
    <n v="1500"/>
    <n v="4"/>
    <x v="2"/>
    <n v="2"/>
    <n v="0"/>
    <m/>
  </r>
  <r>
    <x v="6"/>
    <x v="0"/>
    <x v="3"/>
    <n v="1559"/>
    <n v="0"/>
    <x v="8"/>
    <n v="1"/>
    <n v="0"/>
    <m/>
  </r>
  <r>
    <x v="6"/>
    <x v="0"/>
    <x v="3"/>
    <n v="1600"/>
    <n v="0"/>
    <x v="8"/>
    <n v="3"/>
    <n v="0"/>
    <m/>
  </r>
  <r>
    <x v="6"/>
    <x v="0"/>
    <x v="3"/>
    <n v="1480"/>
    <n v="1"/>
    <x v="2"/>
    <n v="2"/>
    <n v="0"/>
    <m/>
  </r>
  <r>
    <x v="6"/>
    <x v="0"/>
    <x v="3"/>
    <n v="1389"/>
    <n v="0"/>
    <x v="7"/>
    <n v="4"/>
    <n v="0"/>
    <m/>
  </r>
  <r>
    <x v="1"/>
    <x v="1"/>
    <x v="5"/>
    <n v="1617"/>
    <n v="1"/>
    <x v="0"/>
    <m/>
    <n v="1920"/>
    <m/>
  </r>
  <r>
    <x v="1"/>
    <x v="1"/>
    <x v="0"/>
    <n v="1347"/>
    <n v="1"/>
    <x v="1"/>
    <s v="2*"/>
    <n v="0"/>
    <m/>
  </r>
  <r>
    <x v="1"/>
    <x v="1"/>
    <x v="0"/>
    <n v="2050"/>
    <n v="0"/>
    <x v="0"/>
    <m/>
    <n v="3182"/>
    <m/>
  </r>
  <r>
    <x v="1"/>
    <x v="1"/>
    <x v="0"/>
    <n v="999"/>
    <n v="2"/>
    <x v="0"/>
    <m/>
    <n v="2937"/>
    <m/>
  </r>
  <r>
    <x v="1"/>
    <x v="1"/>
    <x v="0"/>
    <n v="1097"/>
    <n v="1"/>
    <x v="0"/>
    <m/>
    <n v="2937"/>
    <m/>
  </r>
  <r>
    <x v="1"/>
    <x v="1"/>
    <x v="0"/>
    <n v="1283"/>
    <n v="1"/>
    <x v="0"/>
    <m/>
    <n v="1824"/>
    <m/>
  </r>
  <r>
    <x v="1"/>
    <x v="1"/>
    <x v="0"/>
    <n v="1407"/>
    <n v="0"/>
    <x v="2"/>
    <n v="2"/>
    <n v="0"/>
    <m/>
  </r>
  <r>
    <x v="1"/>
    <x v="1"/>
    <x v="0"/>
    <n v="1280"/>
    <n v="0"/>
    <x v="0"/>
    <m/>
    <n v="3182"/>
    <m/>
  </r>
  <r>
    <x v="1"/>
    <x v="1"/>
    <x v="0"/>
    <n v="1506"/>
    <n v="1"/>
    <x v="11"/>
    <n v="1"/>
    <n v="0"/>
    <m/>
  </r>
  <r>
    <x v="1"/>
    <x v="1"/>
    <x v="0"/>
    <n v="1513"/>
    <n v="0"/>
    <x v="1"/>
    <s v="3*"/>
    <n v="0"/>
    <m/>
  </r>
  <r>
    <x v="1"/>
    <x v="1"/>
    <x v="0"/>
    <m/>
    <m/>
    <x v="0"/>
    <m/>
    <m/>
    <m/>
  </r>
  <r>
    <x v="1"/>
    <x v="1"/>
    <x v="0"/>
    <m/>
    <m/>
    <x v="0"/>
    <m/>
    <m/>
    <m/>
  </r>
  <r>
    <x v="1"/>
    <x v="1"/>
    <x v="0"/>
    <m/>
    <m/>
    <x v="0"/>
    <m/>
    <m/>
    <m/>
  </r>
  <r>
    <x v="1"/>
    <x v="1"/>
    <x v="0"/>
    <m/>
    <m/>
    <x v="0"/>
    <m/>
    <m/>
    <m/>
  </r>
  <r>
    <x v="1"/>
    <x v="1"/>
    <x v="0"/>
    <m/>
    <m/>
    <x v="0"/>
    <m/>
    <m/>
    <m/>
  </r>
  <r>
    <x v="1"/>
    <x v="1"/>
    <x v="0"/>
    <m/>
    <m/>
    <x v="0"/>
    <m/>
    <m/>
    <m/>
  </r>
  <r>
    <x v="1"/>
    <x v="1"/>
    <x v="0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ela przestawna2" cacheId="0" applyNumberFormats="0" applyBorderFormats="0" applyFontFormats="0" applyPatternFormats="0" applyAlignmentFormats="0" applyWidthHeightFormats="1" dataCaption="Wartości" updatedVersion="3" minRefreshableVersion="3" showCalcMbrs="0" useAutoFormatting="1" itemPrintTitles="1" createdVersion="3" indent="0" outline="1" outlineData="1" multipleFieldFilters="0">
  <location ref="G3:L11" firstHeaderRow="1" firstDataRow="2" firstDataCol="1"/>
  <pivotFields count="9">
    <pivotField axis="axisRow" showAll="0">
      <items count="9">
        <item h="1" x="5"/>
        <item x="1"/>
        <item h="1" x="2"/>
        <item h="1" x="3"/>
        <item h="1" x="4"/>
        <item h="1" x="0"/>
        <item h="1" x="7"/>
        <item h="1" x="6"/>
        <item t="default"/>
      </items>
    </pivotField>
    <pivotField axis="axisRow" showAll="0">
      <items count="5">
        <item x="1"/>
        <item x="3"/>
        <item x="0"/>
        <item x="2"/>
        <item t="default"/>
      </items>
    </pivotField>
    <pivotField axis="axisRow" showAll="0">
      <items count="8">
        <item x="0"/>
        <item x="5"/>
        <item x="1"/>
        <item x="4"/>
        <item x="3"/>
        <item x="2"/>
        <item x="6"/>
        <item t="default"/>
      </items>
    </pivotField>
    <pivotField showAll="0"/>
    <pivotField dataField="1" showAll="0"/>
    <pivotField axis="axisCol" showAll="0">
      <items count="14">
        <item x="3"/>
        <item x="5"/>
        <item x="6"/>
        <item x="1"/>
        <item m="1" x="12"/>
        <item x="4"/>
        <item x="2"/>
        <item x="0"/>
        <item x="7"/>
        <item x="8"/>
        <item x="9"/>
        <item x="10"/>
        <item x="11"/>
        <item t="default"/>
      </items>
    </pivotField>
    <pivotField showAll="0"/>
    <pivotField showAll="0"/>
    <pivotField showAll="0"/>
  </pivotFields>
  <rowFields count="3">
    <field x="0"/>
    <field x="1"/>
    <field x="2"/>
  </rowFields>
  <rowItems count="7">
    <i>
      <x v="1"/>
    </i>
    <i r="1">
      <x/>
    </i>
    <i r="2">
      <x/>
    </i>
    <i r="2">
      <x v="1"/>
    </i>
    <i r="1">
      <x v="2"/>
    </i>
    <i r="2">
      <x/>
    </i>
    <i t="grand">
      <x/>
    </i>
  </rowItems>
  <colFields count="1">
    <field x="5"/>
  </colFields>
  <colItems count="5">
    <i>
      <x v="3"/>
    </i>
    <i>
      <x v="6"/>
    </i>
    <i>
      <x v="7"/>
    </i>
    <i>
      <x v="12"/>
    </i>
    <i t="grand">
      <x/>
    </i>
  </colItems>
  <dataFields count="1">
    <dataField name="Licznik z Energy Drop" fld="4" subtotal="count" baseField="0" baseItem="0"/>
  </dataFields>
  <pivotTableStyleInfo name="PivotStyleLight16" showRowHeaders="1" showColHeaders="1" showRowStripes="0" showColStripes="0" showLastColumn="1"/>
</pivotTableDefinition>
</file>

<file path=xl/pivotTables/pivotTable2.xml><?xml version="1.0" encoding="utf-8"?>
<pivotTableDefinition xmlns="http://schemas.openxmlformats.org/spreadsheetml/2006/main" name="Tabela przestawna1" cacheId="0" applyNumberFormats="0" applyBorderFormats="0" applyFontFormats="0" applyPatternFormats="0" applyAlignmentFormats="0" applyWidthHeightFormats="1" dataCaption="Wartości" updatedVersion="3" minRefreshableVersion="3" showCalcMbrs="0" useAutoFormatting="1" itemPrintTitles="1" createdVersion="3" indent="0" outline="1" outlineData="1" multipleFieldFilters="0">
  <location ref="A3:E37" firstHeaderRow="1" firstDataRow="2" firstDataCol="1"/>
  <pivotFields count="9">
    <pivotField axis="axisRow" showAll="0">
      <items count="9">
        <item x="5"/>
        <item x="1"/>
        <item x="2"/>
        <item x="3"/>
        <item x="4"/>
        <item x="0"/>
        <item h="1" x="7"/>
        <item h="1" x="6"/>
        <item t="default"/>
      </items>
    </pivotField>
    <pivotField axis="axisRow" showAll="0">
      <items count="5">
        <item x="1"/>
        <item x="3"/>
        <item x="0"/>
        <item x="2"/>
        <item t="default"/>
      </items>
    </pivotField>
    <pivotField axis="axisRow" showAll="0">
      <items count="8">
        <item x="0"/>
        <item x="5"/>
        <item x="1"/>
        <item x="4"/>
        <item x="3"/>
        <item x="2"/>
        <item x="6"/>
        <item t="default"/>
      </items>
    </pivotField>
    <pivotField dataField="1" showAll="0"/>
    <pivotField dataField="1" showAll="0"/>
    <pivotField dataField="1" showAll="0"/>
    <pivotField showAll="0"/>
    <pivotField dataField="1" showAll="0"/>
    <pivotField showAll="0" defaultSubtotal="0"/>
  </pivotFields>
  <rowFields count="3">
    <field x="0"/>
    <field x="1"/>
    <field x="2"/>
  </rowFields>
  <rowItems count="33">
    <i>
      <x/>
    </i>
    <i r="1">
      <x v="2"/>
    </i>
    <i r="2">
      <x/>
    </i>
    <i r="2">
      <x v="1"/>
    </i>
    <i r="2">
      <x v="2"/>
    </i>
    <i>
      <x v="1"/>
    </i>
    <i r="1">
      <x/>
    </i>
    <i r="2">
      <x/>
    </i>
    <i r="2">
      <x v="1"/>
    </i>
    <i r="1">
      <x v="2"/>
    </i>
    <i r="2">
      <x/>
    </i>
    <i>
      <x v="2"/>
    </i>
    <i r="1">
      <x v="3"/>
    </i>
    <i r="2">
      <x v="2"/>
    </i>
    <i>
      <x v="3"/>
    </i>
    <i r="1">
      <x v="2"/>
    </i>
    <i r="2">
      <x v="3"/>
    </i>
    <i r="2">
      <x v="4"/>
    </i>
    <i r="1">
      <x v="3"/>
    </i>
    <i r="2">
      <x v="4"/>
    </i>
    <i>
      <x v="4"/>
    </i>
    <i r="1">
      <x v="1"/>
    </i>
    <i r="2">
      <x v="1"/>
    </i>
    <i>
      <x v="5"/>
    </i>
    <i r="1">
      <x/>
    </i>
    <i r="2">
      <x v="2"/>
    </i>
    <i r="2">
      <x v="5"/>
    </i>
    <i r="1">
      <x v="1"/>
    </i>
    <i r="2">
      <x v="2"/>
    </i>
    <i r="1">
      <x v="2"/>
    </i>
    <i r="2">
      <x/>
    </i>
    <i r="2">
      <x v="2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dataFields count="4">
    <dataField name="Średnia z Mana drop" fld="3" subtotal="average" baseField="0" baseItem="0" numFmtId="4"/>
    <dataField name="Średnia z Sell drop" fld="7" subtotal="average" baseField="0" baseItem="0" numFmtId="4"/>
    <dataField name="Średnia z Energy Drop" fld="4" subtotal="average" baseField="0" baseItem="0" numFmtId="9"/>
    <dataField name="Licznik z Drop" fld="5" subtotal="count" baseField="0" baseItem="0"/>
  </dataFields>
  <formats count="2">
    <format dxfId="1">
      <pivotArea outline="0" collapsedLevelsAreSubtotals="1" fieldPosition="0">
        <references count="1">
          <reference field="4294967294" count="2" selected="0">
            <x v="0"/>
            <x v="1"/>
          </reference>
        </references>
      </pivotArea>
    </format>
    <format dxfId="0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</formats>
  <pivotTableStyleInfo name="PivotStyleLight16" showRowHeaders="1" showColHeaders="1" showRowStripes="0" showColStripes="0" showLastColumn="1"/>
</pivotTableDefinition>
</file>

<file path=xl/tables/table1.xml><?xml version="1.0" encoding="utf-8"?>
<table xmlns="http://schemas.openxmlformats.org/spreadsheetml/2006/main" id="3" name="Tabela3" displayName="Tabela3" ref="D1:J41" totalsRowShown="0">
  <autoFilter ref="D1:J41"/>
  <tableColumns count="7">
    <tableColumn id="1" name=" Level"/>
    <tableColumn id="2" name="1*"/>
    <tableColumn id="3" name="2*"/>
    <tableColumn id="4" name="3*"/>
    <tableColumn id="5" name="4*"/>
    <tableColumn id="6" name="5*"/>
    <tableColumn id="7" name="6*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4" name="Tabela4" displayName="Tabela4" ref="A1:B7" totalsRowShown="0">
  <autoFilter ref="A1:B7"/>
  <tableColumns count="2">
    <tableColumn id="1" name="Star"/>
    <tableColumn id="2" name="EXP to TOP lvl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id="6" name="Tabela6" displayName="Tabela6" ref="L2:O11" totalsRowShown="0">
  <autoFilter ref="L2:O11"/>
  <tableColumns count="4">
    <tableColumn id="1" name="Kolumna1"/>
    <tableColumn id="2" name="Missing"/>
    <tableColumn id="3" name="Done"/>
    <tableColumn id="4" name="XP to gain" dataDxfId="5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id="5" name="Tabela66" displayName="Tabela66" ref="L14:P23" totalsRowShown="0">
  <autoFilter ref="L14:P23"/>
  <tableColumns count="5">
    <tableColumn id="1" name="Kolumna1"/>
    <tableColumn id="2" name="Missing"/>
    <tableColumn id="3" name="Done"/>
    <tableColumn id="4" name="XP to gain" dataDxfId="4"/>
    <tableColumn id="5" name="Kolumna2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id="2" name="LocFeatures" displayName="LocFeatures" ref="A1:T115" totalsRowShown="0">
  <autoFilter ref="A1:T115"/>
  <tableColumns count="20">
    <tableColumn id="1" name="Location"/>
    <tableColumn id="2" name="LVL"/>
    <tableColumn id="3" name="Stage"/>
    <tableColumn id="4" name="E. Cost"/>
    <tableColumn id="5" name="XP Gain per member"/>
    <tableColumn id="6" name="Mon nbr"/>
    <tableColumn id="7" name="Uwagi"/>
    <tableColumn id="8" name="Soloable"/>
    <tableColumn id="9" name="Drop worth gain"/>
    <tableColumn id="10" name="Energy gain"/>
    <tableColumn id="17" name="XP Total Gain" dataDxfId="3">
      <calculatedColumnFormula>4*LocFeatures[[#This Row],[XP Gain per member]]</calculatedColumnFormula>
    </tableColumn>
    <tableColumn id="11" name="XP Train Gain"/>
    <tableColumn id="12" name="DropWorthGain/Energy"/>
    <tableColumn id="13" name="XP/Energy"/>
    <tableColumn id="15" name="Kolumna2"/>
    <tableColumn id="16" name="Kolumna3"/>
    <tableColumn id="18" name="TimeToComplete Sek"/>
    <tableColumn id="19" name="SetToComplete"/>
    <tableColumn id="20" name="TimeToComplete Sek2"/>
    <tableColumn id="21" name="SetToComplete2"/>
  </tableColumns>
  <tableStyleInfo name="TableStyleMedium9" showFirstColumn="0" showLastColumn="0" showRowStripes="1" showColumnStripes="0"/>
</table>
</file>

<file path=xl/tables/table6.xml><?xml version="1.0" encoding="utf-8"?>
<table xmlns="http://schemas.openxmlformats.org/spreadsheetml/2006/main" id="1" name="DropAnalityka" displayName="DropAnalityka" ref="A1:K743" totalsRowShown="0">
  <autoFilter ref="A1:K743"/>
  <tableColumns count="11">
    <tableColumn id="1" name="Location"/>
    <tableColumn id="2" name="LVL"/>
    <tableColumn id="3" name="Stage"/>
    <tableColumn id="4" name="Mana drop"/>
    <tableColumn id="5" name="Energy Drop"/>
    <tableColumn id="6" name="Drop"/>
    <tableColumn id="8" name="Quality/Quantity"/>
    <tableColumn id="11" name="Sell Drop"/>
    <tableColumn id="7" name="Drop Worth"/>
    <tableColumn id="10" name="Exp Gain" dataDxfId="2">
      <calculatedColumnFormula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calculatedColumnFormula>
    </tableColumn>
    <tableColumn id="9" name="Time"/>
  </tableColumns>
  <tableStyleInfo name="TableStyleMedium9" showFirstColumn="0" showLastColumn="0" showRowStripes="1" showColumnStripes="0"/>
</table>
</file>

<file path=xl/tables/table7.xml><?xml version="1.0" encoding="utf-8"?>
<table xmlns="http://schemas.openxmlformats.org/spreadsheetml/2006/main" id="7" name="Tabela7" displayName="Tabela7" ref="A1:F38" totalsRowShown="0">
  <autoFilter ref="A1:F38"/>
  <tableColumns count="6">
    <tableColumn id="1" name="Name"/>
    <tableColumn id="2" name="Set 1"/>
    <tableColumn id="3" name="Set 2"/>
    <tableColumn id="6" name="Slots 2/4/6 "/>
    <tableColumn id="4" name="Substats"/>
    <tableColumn id="5" name="Uwagi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Motyw pakietu Office">
  <a:themeElements>
    <a:clrScheme name="Pakiet 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Pakiet 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Pakiet 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Relationship Id="rId5" Type="http://schemas.openxmlformats.org/officeDocument/2006/relationships/table" Target="../tables/table4.xml"/><Relationship Id="rId4" Type="http://schemas.openxmlformats.org/officeDocument/2006/relationships/table" Target="../tables/table3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Y41"/>
  <sheetViews>
    <sheetView tabSelected="1" workbookViewId="0">
      <selection activeCell="H23" sqref="H23"/>
    </sheetView>
  </sheetViews>
  <sheetFormatPr defaultRowHeight="14.25"/>
  <cols>
    <col min="2" max="2" width="15.875" customWidth="1"/>
    <col min="12" max="12" width="16.25" bestFit="1" customWidth="1"/>
    <col min="13" max="14" width="16.25" customWidth="1"/>
    <col min="15" max="15" width="12.375" bestFit="1" customWidth="1"/>
    <col min="22" max="22" width="10.75" bestFit="1" customWidth="1"/>
    <col min="23" max="23" width="10.75" customWidth="1"/>
    <col min="24" max="24" width="7.875" bestFit="1" customWidth="1"/>
  </cols>
  <sheetData>
    <row r="1" spans="1:25">
      <c r="A1" t="s">
        <v>0</v>
      </c>
      <c r="B1" t="s">
        <v>1</v>
      </c>
      <c r="D1" t="s">
        <v>27</v>
      </c>
      <c r="E1" t="s">
        <v>18</v>
      </c>
      <c r="F1" t="s">
        <v>13</v>
      </c>
      <c r="G1" t="s">
        <v>28</v>
      </c>
      <c r="H1" t="s">
        <v>29</v>
      </c>
      <c r="I1" t="s">
        <v>30</v>
      </c>
      <c r="J1" t="s">
        <v>31</v>
      </c>
      <c r="R1" t="s">
        <v>80</v>
      </c>
      <c r="S1" t="s">
        <v>81</v>
      </c>
      <c r="T1" t="s">
        <v>82</v>
      </c>
      <c r="U1" t="s">
        <v>15</v>
      </c>
      <c r="V1" t="s">
        <v>84</v>
      </c>
      <c r="W1" t="s">
        <v>170</v>
      </c>
      <c r="X1" t="s">
        <v>83</v>
      </c>
      <c r="Y1" t="s">
        <v>85</v>
      </c>
    </row>
    <row r="2" spans="1:25">
      <c r="A2">
        <v>1</v>
      </c>
      <c r="B2">
        <v>15120</v>
      </c>
      <c r="D2">
        <v>1</v>
      </c>
      <c r="E2">
        <v>460</v>
      </c>
      <c r="F2">
        <v>552</v>
      </c>
      <c r="G2">
        <v>662</v>
      </c>
      <c r="H2">
        <v>796</v>
      </c>
      <c r="I2">
        <v>952</v>
      </c>
      <c r="J2">
        <v>1150</v>
      </c>
      <c r="L2" t="s">
        <v>35</v>
      </c>
      <c r="M2" t="s">
        <v>138</v>
      </c>
      <c r="N2" t="s">
        <v>139</v>
      </c>
      <c r="O2" t="s">
        <v>142</v>
      </c>
      <c r="R2" t="s">
        <v>18</v>
      </c>
      <c r="S2">
        <v>150</v>
      </c>
      <c r="T2" t="s">
        <v>18</v>
      </c>
      <c r="U2">
        <f>Tabela3[[#This Row],[2*]]+0.401*F3</f>
        <v>800.21900000000005</v>
      </c>
      <c r="V2" s="17">
        <f>$S2*$B$2/$U2</f>
        <v>2834.2241311440989</v>
      </c>
      <c r="W2" s="17">
        <v>1600</v>
      </c>
      <c r="X2" s="17">
        <f t="shared" ref="X2:X8" si="0">U2/S2</f>
        <v>5.3347933333333337</v>
      </c>
      <c r="Y2">
        <f>$B$2/U2</f>
        <v>18.894827540960662</v>
      </c>
    </row>
    <row r="3" spans="1:25">
      <c r="A3">
        <v>2</v>
      </c>
      <c r="B3">
        <v>35822</v>
      </c>
      <c r="D3">
        <v>2</v>
      </c>
      <c r="E3">
        <v>516</v>
      </c>
      <c r="F3">
        <v>619</v>
      </c>
      <c r="G3">
        <v>743</v>
      </c>
      <c r="H3">
        <v>892</v>
      </c>
      <c r="I3">
        <v>1068</v>
      </c>
      <c r="J3">
        <v>1290</v>
      </c>
      <c r="L3" t="s">
        <v>140</v>
      </c>
      <c r="M3">
        <f>5-N3</f>
        <v>5</v>
      </c>
      <c r="N3">
        <v>0</v>
      </c>
      <c r="O3" s="1">
        <v>0</v>
      </c>
      <c r="P3">
        <v>2</v>
      </c>
      <c r="R3" t="s">
        <v>13</v>
      </c>
      <c r="S3">
        <v>500</v>
      </c>
      <c r="T3" t="s">
        <v>13</v>
      </c>
      <c r="U3">
        <f>F2+Tabela3[[#This Row],[2*]]+0.847*F4</f>
        <v>1759.665</v>
      </c>
      <c r="V3" s="17">
        <f>$S3*$B$3/$U3</f>
        <v>10178.641957418031</v>
      </c>
      <c r="W3" s="17">
        <v>4000</v>
      </c>
      <c r="X3" s="17">
        <f t="shared" si="0"/>
        <v>3.5193300000000001</v>
      </c>
      <c r="Y3">
        <f>$B$3/U3</f>
        <v>20.357283914836064</v>
      </c>
    </row>
    <row r="4" spans="1:25">
      <c r="A4">
        <v>3</v>
      </c>
      <c r="B4">
        <v>82182</v>
      </c>
      <c r="D4">
        <v>3</v>
      </c>
      <c r="E4">
        <v>579</v>
      </c>
      <c r="F4">
        <v>695</v>
      </c>
      <c r="G4">
        <v>834</v>
      </c>
      <c r="H4">
        <v>1002</v>
      </c>
      <c r="I4">
        <v>1199</v>
      </c>
      <c r="J4">
        <v>1447</v>
      </c>
      <c r="L4" t="s">
        <v>89</v>
      </c>
      <c r="M4">
        <f>M3-Tabela6[[#This Row],[Done]]</f>
        <v>3</v>
      </c>
      <c r="N4">
        <v>2</v>
      </c>
      <c r="O4" s="1">
        <f>M4*$B$5</f>
        <v>569250</v>
      </c>
      <c r="P4">
        <v>3</v>
      </c>
      <c r="R4" t="s">
        <v>13</v>
      </c>
      <c r="S4">
        <v>300</v>
      </c>
      <c r="T4" t="s">
        <v>18</v>
      </c>
      <c r="U4">
        <f>Tabela3[[#This Row],[2*]]+0.401*F5</f>
        <v>1007.379</v>
      </c>
      <c r="V4" s="17">
        <f>$S4*$B$3/$U4</f>
        <v>10667.881700928845</v>
      </c>
      <c r="W4" s="17">
        <v>4000</v>
      </c>
      <c r="X4" s="17">
        <f t="shared" si="0"/>
        <v>3.3579300000000001</v>
      </c>
      <c r="Y4">
        <f>$B$3/U4</f>
        <v>35.559605669762817</v>
      </c>
    </row>
    <row r="5" spans="1:25">
      <c r="A5">
        <v>4</v>
      </c>
      <c r="B5">
        <v>189750</v>
      </c>
      <c r="D5">
        <v>4</v>
      </c>
      <c r="E5">
        <v>650</v>
      </c>
      <c r="F5">
        <v>779</v>
      </c>
      <c r="G5">
        <v>936</v>
      </c>
      <c r="H5">
        <v>1124</v>
      </c>
      <c r="I5">
        <v>1344</v>
      </c>
      <c r="J5">
        <v>1624</v>
      </c>
      <c r="L5" t="s">
        <v>88</v>
      </c>
      <c r="M5">
        <f>4*M3-Tabela6[[#This Row],[Done]]</f>
        <v>20</v>
      </c>
      <c r="N5">
        <v>0</v>
      </c>
      <c r="O5" s="1"/>
      <c r="P5">
        <v>4</v>
      </c>
      <c r="R5" t="s">
        <v>13</v>
      </c>
      <c r="S5">
        <v>500</v>
      </c>
      <c r="T5" t="s">
        <v>13</v>
      </c>
      <c r="U5">
        <f>F4+Tabela3[[#This Row],[2*]]+0.847*F6</f>
        <v>2215.125</v>
      </c>
      <c r="V5" s="17">
        <f>$S5*$B$3/$U5</f>
        <v>8085.7739405225439</v>
      </c>
      <c r="W5" s="17">
        <v>4000</v>
      </c>
      <c r="X5" s="17">
        <f t="shared" si="0"/>
        <v>4.43025</v>
      </c>
      <c r="Y5">
        <f>$B$3/U5</f>
        <v>16.171547881045086</v>
      </c>
    </row>
    <row r="6" spans="1:25">
      <c r="A6">
        <v>5</v>
      </c>
      <c r="B6">
        <v>446647</v>
      </c>
      <c r="D6">
        <v>5</v>
      </c>
      <c r="E6">
        <v>728</v>
      </c>
      <c r="F6">
        <v>875</v>
      </c>
      <c r="G6">
        <v>1049</v>
      </c>
      <c r="H6">
        <v>1261</v>
      </c>
      <c r="I6">
        <v>1509</v>
      </c>
      <c r="J6">
        <v>1823</v>
      </c>
      <c r="L6" t="s">
        <v>86</v>
      </c>
      <c r="M6">
        <f>M5-Tabela6[[#This Row],[Done]]</f>
        <v>20</v>
      </c>
      <c r="N6">
        <v>0</v>
      </c>
      <c r="O6" s="1">
        <f>M6*$B$4</f>
        <v>1643640</v>
      </c>
      <c r="P6">
        <v>8</v>
      </c>
      <c r="R6" t="s">
        <v>28</v>
      </c>
      <c r="S6">
        <v>450</v>
      </c>
      <c r="T6" t="s">
        <v>18</v>
      </c>
      <c r="U6">
        <f>G4+0.186*G5</f>
        <v>1008.096</v>
      </c>
      <c r="V6" s="17">
        <f>$S6*$B$4/$U6</f>
        <v>36684.899057232644</v>
      </c>
      <c r="W6" s="17">
        <v>9600</v>
      </c>
      <c r="X6" s="17">
        <f t="shared" si="0"/>
        <v>2.2402133333333332</v>
      </c>
      <c r="Y6">
        <f>$B$4/U6</f>
        <v>81.521997904961438</v>
      </c>
    </row>
    <row r="7" spans="1:25">
      <c r="A7">
        <v>6</v>
      </c>
      <c r="B7">
        <v>1005420</v>
      </c>
      <c r="D7">
        <v>6</v>
      </c>
      <c r="E7">
        <v>818</v>
      </c>
      <c r="F7">
        <v>981</v>
      </c>
      <c r="G7">
        <v>1178</v>
      </c>
      <c r="H7">
        <v>1415</v>
      </c>
      <c r="I7">
        <v>1693</v>
      </c>
      <c r="J7">
        <v>2044</v>
      </c>
      <c r="L7" t="s">
        <v>87</v>
      </c>
      <c r="M7">
        <f>3*(M5+M4)-Tabela6[[#This Row],[Done]]</f>
        <v>69</v>
      </c>
      <c r="N7">
        <v>0</v>
      </c>
      <c r="O7" s="1"/>
      <c r="P7">
        <v>6</v>
      </c>
      <c r="R7" t="s">
        <v>28</v>
      </c>
      <c r="S7">
        <v>750</v>
      </c>
      <c r="T7" t="s">
        <v>13</v>
      </c>
      <c r="U7">
        <f>G4+G5+0.489*G6</f>
        <v>2282.9610000000002</v>
      </c>
      <c r="V7" s="17">
        <f>$S7*$B$4/$U7</f>
        <v>26998.490118753667</v>
      </c>
      <c r="W7" s="17">
        <v>9600</v>
      </c>
      <c r="X7" s="17">
        <f t="shared" si="0"/>
        <v>3.0439480000000003</v>
      </c>
      <c r="Y7">
        <f>$B$4/U7</f>
        <v>35.997986825004894</v>
      </c>
    </row>
    <row r="8" spans="1:25">
      <c r="D8">
        <v>7</v>
      </c>
      <c r="E8">
        <v>918</v>
      </c>
      <c r="F8">
        <v>1102</v>
      </c>
      <c r="G8">
        <v>1321</v>
      </c>
      <c r="H8">
        <v>1587</v>
      </c>
      <c r="I8">
        <v>1899</v>
      </c>
      <c r="J8">
        <v>2294</v>
      </c>
      <c r="L8" t="s">
        <v>141</v>
      </c>
      <c r="M8">
        <f>M7+M6-Tabela6[[#This Row],[Done]]</f>
        <v>89</v>
      </c>
      <c r="N8">
        <v>0</v>
      </c>
      <c r="O8" s="1">
        <f>M8*$B$3</f>
        <v>3188158</v>
      </c>
      <c r="P8">
        <v>17</v>
      </c>
      <c r="R8" t="s">
        <v>29</v>
      </c>
      <c r="S8">
        <v>600</v>
      </c>
      <c r="T8" t="s">
        <v>18</v>
      </c>
      <c r="U8">
        <f>U4</f>
        <v>1007.379</v>
      </c>
      <c r="V8" s="17">
        <f>$S8*$B$5/$U8</f>
        <v>113016.05453359659</v>
      </c>
      <c r="W8" s="17">
        <v>22300</v>
      </c>
      <c r="X8" s="17">
        <f t="shared" si="0"/>
        <v>1.678965</v>
      </c>
      <c r="Y8">
        <f>$B$5/U8</f>
        <v>188.36009088932764</v>
      </c>
    </row>
    <row r="9" spans="1:25">
      <c r="D9">
        <v>8</v>
      </c>
      <c r="E9">
        <v>1029</v>
      </c>
      <c r="F9">
        <v>1235</v>
      </c>
      <c r="G9">
        <v>1483</v>
      </c>
      <c r="H9">
        <v>1781</v>
      </c>
      <c r="I9">
        <v>2131</v>
      </c>
      <c r="J9">
        <v>2574</v>
      </c>
      <c r="L9" s="6" t="s">
        <v>144</v>
      </c>
      <c r="M9" s="6">
        <f>2*(M7+M6)-Tabela6[[#This Row],[Done]]</f>
        <v>178</v>
      </c>
      <c r="N9">
        <v>0</v>
      </c>
      <c r="O9" s="45"/>
      <c r="P9">
        <v>2</v>
      </c>
    </row>
    <row r="10" spans="1:25">
      <c r="D10">
        <v>9</v>
      </c>
      <c r="E10">
        <v>1155</v>
      </c>
      <c r="F10">
        <v>1386</v>
      </c>
      <c r="G10">
        <v>1663</v>
      </c>
      <c r="H10">
        <v>1998</v>
      </c>
      <c r="I10">
        <v>2392</v>
      </c>
      <c r="J10">
        <v>2888</v>
      </c>
      <c r="L10" t="s">
        <v>193</v>
      </c>
      <c r="M10">
        <f>(M9+M8)-Tabela6[[#This Row],[Done]]</f>
        <v>267</v>
      </c>
      <c r="N10">
        <v>0</v>
      </c>
      <c r="O10" s="52">
        <f>Tabela6[[#This Row],[Missing]]*$B$2</f>
        <v>4037040</v>
      </c>
      <c r="P10">
        <v>0</v>
      </c>
    </row>
    <row r="11" spans="1:25">
      <c r="D11">
        <v>10</v>
      </c>
      <c r="E11">
        <v>1296</v>
      </c>
      <c r="F11">
        <v>1555</v>
      </c>
      <c r="G11">
        <v>1866</v>
      </c>
      <c r="H11">
        <v>2243</v>
      </c>
      <c r="I11">
        <v>2682</v>
      </c>
      <c r="J11">
        <v>3240</v>
      </c>
      <c r="L11" s="6" t="s">
        <v>194</v>
      </c>
      <c r="M11" s="6">
        <f>2*M10-Tabela6[[#This Row],[Done]]</f>
        <v>534</v>
      </c>
      <c r="N11">
        <v>0</v>
      </c>
      <c r="O11" s="45"/>
      <c r="P11">
        <v>0</v>
      </c>
    </row>
    <row r="12" spans="1:25" ht="15">
      <c r="D12">
        <v>11</v>
      </c>
      <c r="E12">
        <v>1455</v>
      </c>
      <c r="F12">
        <v>1745</v>
      </c>
      <c r="G12">
        <v>2094</v>
      </c>
      <c r="H12">
        <v>2515</v>
      </c>
      <c r="I12">
        <v>3010</v>
      </c>
      <c r="J12">
        <v>3635</v>
      </c>
      <c r="N12" t="s">
        <v>143</v>
      </c>
      <c r="O12" s="44">
        <f>SUM(Tabela6[XP to gain])</f>
        <v>9438088</v>
      </c>
    </row>
    <row r="13" spans="1:25">
      <c r="D13">
        <v>12</v>
      </c>
      <c r="E13">
        <v>1631</v>
      </c>
      <c r="F13">
        <v>1958</v>
      </c>
      <c r="G13">
        <v>2350</v>
      </c>
      <c r="H13">
        <v>2823</v>
      </c>
      <c r="I13">
        <v>3378</v>
      </c>
      <c r="J13">
        <v>4079</v>
      </c>
    </row>
    <row r="14" spans="1:25">
      <c r="D14">
        <v>13</v>
      </c>
      <c r="E14">
        <v>1831</v>
      </c>
      <c r="F14">
        <v>2197</v>
      </c>
      <c r="G14">
        <v>2636</v>
      </c>
      <c r="H14">
        <v>3167</v>
      </c>
      <c r="I14">
        <v>3789</v>
      </c>
      <c r="J14">
        <v>4576</v>
      </c>
      <c r="L14" t="s">
        <v>35</v>
      </c>
      <c r="M14" t="s">
        <v>138</v>
      </c>
      <c r="N14" t="s">
        <v>139</v>
      </c>
      <c r="O14" t="s">
        <v>142</v>
      </c>
      <c r="P14" t="s">
        <v>37</v>
      </c>
    </row>
    <row r="15" spans="1:25">
      <c r="D15">
        <v>14</v>
      </c>
      <c r="E15">
        <v>2054</v>
      </c>
      <c r="F15">
        <v>2465</v>
      </c>
      <c r="G15">
        <v>2957</v>
      </c>
      <c r="H15">
        <v>3553</v>
      </c>
      <c r="I15">
        <v>4252</v>
      </c>
      <c r="J15">
        <v>5135</v>
      </c>
      <c r="L15" t="s">
        <v>140</v>
      </c>
      <c r="M15">
        <v>0</v>
      </c>
      <c r="N15">
        <v>0</v>
      </c>
      <c r="O15" s="1">
        <v>0</v>
      </c>
      <c r="Q15" t="s">
        <v>164</v>
      </c>
      <c r="R15" t="s">
        <v>165</v>
      </c>
    </row>
    <row r="16" spans="1:25">
      <c r="D16">
        <v>15</v>
      </c>
      <c r="F16">
        <v>2765</v>
      </c>
      <c r="G16">
        <v>3319</v>
      </c>
      <c r="H16">
        <v>3987</v>
      </c>
      <c r="I16">
        <v>4770</v>
      </c>
      <c r="J16">
        <v>5762</v>
      </c>
      <c r="L16" t="s">
        <v>89</v>
      </c>
      <c r="M16">
        <f>M15-Tabela66[[#This Row],[Done]]</f>
        <v>0</v>
      </c>
      <c r="N16">
        <v>0</v>
      </c>
      <c r="O16" s="1">
        <f>M16*$B$5</f>
        <v>0</v>
      </c>
      <c r="Q16" s="15">
        <v>0.82</v>
      </c>
      <c r="R16" s="15">
        <v>0.1</v>
      </c>
    </row>
    <row r="17" spans="4:17">
      <c r="D17">
        <v>16</v>
      </c>
      <c r="F17">
        <v>3103</v>
      </c>
      <c r="G17">
        <v>3723</v>
      </c>
      <c r="H17">
        <v>4473</v>
      </c>
      <c r="I17">
        <v>5352</v>
      </c>
      <c r="J17">
        <v>6464</v>
      </c>
      <c r="L17" t="s">
        <v>88</v>
      </c>
      <c r="M17">
        <f>5-Tabela66[[#This Row],[Done]]</f>
        <v>5</v>
      </c>
      <c r="N17">
        <v>0</v>
      </c>
      <c r="O17" s="1"/>
      <c r="P17">
        <v>1</v>
      </c>
      <c r="Q17">
        <f>Q16*(1+R16)+(1-Q16)*(1+R16)/2</f>
        <v>1.0010000000000001</v>
      </c>
    </row>
    <row r="18" spans="4:17">
      <c r="D18">
        <v>17</v>
      </c>
      <c r="F18">
        <v>3481</v>
      </c>
      <c r="G18">
        <v>4178</v>
      </c>
      <c r="H18">
        <v>5019</v>
      </c>
      <c r="I18">
        <v>6006</v>
      </c>
      <c r="J18">
        <v>7252</v>
      </c>
      <c r="L18" t="s">
        <v>86</v>
      </c>
      <c r="M18">
        <f>M17-Tabela66[[#This Row],[Done]]</f>
        <v>5</v>
      </c>
      <c r="N18">
        <v>0</v>
      </c>
      <c r="O18" s="1">
        <f>M18*$B$4</f>
        <v>410910</v>
      </c>
    </row>
    <row r="19" spans="4:17">
      <c r="D19">
        <v>18</v>
      </c>
      <c r="F19">
        <v>3906</v>
      </c>
      <c r="G19">
        <v>4687</v>
      </c>
      <c r="H19">
        <v>5631</v>
      </c>
      <c r="I19">
        <v>6738</v>
      </c>
      <c r="J19">
        <v>8138</v>
      </c>
      <c r="L19" t="s">
        <v>87</v>
      </c>
      <c r="M19">
        <f>3*(M17+M16)-Tabela66[[#This Row],[Done]]</f>
        <v>15</v>
      </c>
      <c r="N19">
        <v>0</v>
      </c>
      <c r="O19" s="1"/>
      <c r="P19">
        <v>1</v>
      </c>
    </row>
    <row r="20" spans="4:17">
      <c r="D20">
        <v>19</v>
      </c>
      <c r="F20">
        <v>4423</v>
      </c>
      <c r="G20">
        <v>5307</v>
      </c>
      <c r="H20">
        <v>6376</v>
      </c>
      <c r="I20">
        <v>7628</v>
      </c>
      <c r="J20">
        <v>9214</v>
      </c>
      <c r="L20" t="s">
        <v>141</v>
      </c>
      <c r="M20">
        <f>M19+M18-Tabela66[[#This Row],[Done]]</f>
        <v>20</v>
      </c>
      <c r="N20">
        <v>0</v>
      </c>
      <c r="O20" s="1">
        <f>M20*$B$3</f>
        <v>716440</v>
      </c>
    </row>
    <row r="21" spans="4:17">
      <c r="D21">
        <v>20</v>
      </c>
      <c r="G21">
        <v>6009</v>
      </c>
      <c r="H21">
        <v>7219</v>
      </c>
      <c r="I21">
        <v>8638</v>
      </c>
      <c r="J21">
        <v>10431</v>
      </c>
      <c r="L21" s="6" t="s">
        <v>144</v>
      </c>
      <c r="M21" s="6">
        <f>2*(M19+M18)-Tabela66[[#This Row],[Done]]</f>
        <v>40</v>
      </c>
      <c r="N21">
        <v>0</v>
      </c>
      <c r="O21" s="45"/>
      <c r="P21">
        <v>2</v>
      </c>
    </row>
    <row r="22" spans="4:17">
      <c r="D22">
        <v>21</v>
      </c>
      <c r="G22">
        <v>6802</v>
      </c>
      <c r="H22">
        <v>8172</v>
      </c>
      <c r="I22">
        <v>9779</v>
      </c>
      <c r="J22">
        <v>11811</v>
      </c>
      <c r="L22" t="s">
        <v>193</v>
      </c>
      <c r="M22">
        <f>(M21+M20)-Tabela66[[#This Row],[Done]]</f>
        <v>60</v>
      </c>
      <c r="N22">
        <v>0</v>
      </c>
      <c r="O22" s="52">
        <f>Tabela66[[#This Row],[Missing]]*$B$2</f>
        <v>907200</v>
      </c>
    </row>
    <row r="23" spans="4:17">
      <c r="D23">
        <v>22</v>
      </c>
      <c r="G23">
        <v>7703</v>
      </c>
      <c r="H23">
        <v>9254</v>
      </c>
      <c r="I23">
        <v>11072</v>
      </c>
      <c r="J23">
        <v>13371</v>
      </c>
      <c r="L23" s="6" t="s">
        <v>194</v>
      </c>
      <c r="M23" s="6">
        <f>2*M22-Tabela66[[#This Row],[Done]]</f>
        <v>94</v>
      </c>
      <c r="N23">
        <v>26</v>
      </c>
      <c r="O23" s="45"/>
      <c r="P23">
        <v>45</v>
      </c>
    </row>
    <row r="24" spans="4:17" ht="15">
      <c r="D24">
        <v>23</v>
      </c>
      <c r="G24">
        <v>8720</v>
      </c>
      <c r="H24">
        <v>10476</v>
      </c>
      <c r="I24">
        <v>12535</v>
      </c>
      <c r="J24">
        <v>15140</v>
      </c>
      <c r="N24" t="s">
        <v>143</v>
      </c>
      <c r="O24" s="44">
        <f>SUM(Tabela66[XP to gain])</f>
        <v>2034550</v>
      </c>
    </row>
    <row r="25" spans="4:17">
      <c r="D25">
        <v>24</v>
      </c>
      <c r="G25">
        <v>9962</v>
      </c>
      <c r="H25">
        <v>11969</v>
      </c>
      <c r="I25">
        <v>14321</v>
      </c>
      <c r="J25">
        <v>17296</v>
      </c>
    </row>
    <row r="26" spans="4:17">
      <c r="D26">
        <v>25</v>
      </c>
      <c r="H26">
        <v>13673</v>
      </c>
      <c r="I26">
        <v>16360</v>
      </c>
      <c r="J26">
        <v>19758</v>
      </c>
    </row>
    <row r="27" spans="4:17">
      <c r="D27">
        <v>26</v>
      </c>
      <c r="H27">
        <v>15619</v>
      </c>
      <c r="I27">
        <v>18690</v>
      </c>
      <c r="J27">
        <v>22572</v>
      </c>
    </row>
    <row r="28" spans="4:17">
      <c r="D28">
        <v>27</v>
      </c>
      <c r="H28">
        <v>17844</v>
      </c>
      <c r="I28">
        <v>21350</v>
      </c>
      <c r="J28">
        <v>25786</v>
      </c>
    </row>
    <row r="29" spans="4:17">
      <c r="D29">
        <v>28</v>
      </c>
      <c r="H29">
        <v>20386</v>
      </c>
      <c r="I29">
        <v>24392</v>
      </c>
      <c r="J29">
        <v>29458</v>
      </c>
    </row>
    <row r="30" spans="4:17">
      <c r="D30">
        <v>29</v>
      </c>
      <c r="H30">
        <v>23495</v>
      </c>
      <c r="I30">
        <v>28113</v>
      </c>
      <c r="J30">
        <v>33954</v>
      </c>
    </row>
    <row r="31" spans="4:17">
      <c r="D31">
        <v>30</v>
      </c>
      <c r="I31">
        <v>32404</v>
      </c>
      <c r="J31">
        <v>39134</v>
      </c>
    </row>
    <row r="32" spans="4:17">
      <c r="D32">
        <v>31</v>
      </c>
      <c r="I32">
        <v>37348</v>
      </c>
      <c r="J32">
        <v>45107</v>
      </c>
    </row>
    <row r="33" spans="4:10">
      <c r="D33">
        <v>32</v>
      </c>
      <c r="I33">
        <v>43048</v>
      </c>
      <c r="J33">
        <v>51990</v>
      </c>
    </row>
    <row r="34" spans="4:10">
      <c r="D34">
        <v>33</v>
      </c>
      <c r="I34">
        <v>49617</v>
      </c>
      <c r="J34">
        <v>59924</v>
      </c>
    </row>
    <row r="35" spans="4:10">
      <c r="D35">
        <v>34</v>
      </c>
      <c r="I35">
        <v>57188</v>
      </c>
      <c r="J35">
        <v>69068</v>
      </c>
    </row>
    <row r="36" spans="4:10">
      <c r="D36">
        <v>35</v>
      </c>
      <c r="J36">
        <v>76085</v>
      </c>
    </row>
    <row r="37" spans="4:10">
      <c r="D37">
        <v>36</v>
      </c>
      <c r="J37">
        <v>83816</v>
      </c>
    </row>
    <row r="38" spans="4:10">
      <c r="D38">
        <v>37</v>
      </c>
      <c r="J38">
        <v>92332</v>
      </c>
    </row>
    <row r="39" spans="4:10">
      <c r="D39">
        <v>38</v>
      </c>
      <c r="J39">
        <v>101712</v>
      </c>
    </row>
    <row r="40" spans="4:10">
      <c r="D40">
        <v>39</v>
      </c>
      <c r="J40">
        <v>112046</v>
      </c>
    </row>
    <row r="41" spans="4:10">
      <c r="D41">
        <v>40</v>
      </c>
    </row>
  </sheetData>
  <pageMargins left="0.7" right="0.7" top="0.75" bottom="0.75" header="0.3" footer="0.3"/>
  <pageSetup paperSize="9" orientation="portrait" r:id="rId1"/>
  <tableParts count="4">
    <tablePart r:id="rId2"/>
    <tablePart r:id="rId3"/>
    <tablePart r:id="rId4"/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115"/>
  <sheetViews>
    <sheetView workbookViewId="0">
      <selection activeCell="P12" sqref="P12"/>
    </sheetView>
  </sheetViews>
  <sheetFormatPr defaultRowHeight="14.25"/>
  <cols>
    <col min="1" max="1" width="12.25" bestFit="1" customWidth="1"/>
    <col min="4" max="4" width="9.125" customWidth="1"/>
    <col min="5" max="5" width="21" customWidth="1"/>
    <col min="6" max="6" width="10.125" customWidth="1"/>
    <col min="8" max="8" width="15" customWidth="1"/>
    <col min="9" max="9" width="16.125" customWidth="1"/>
    <col min="10" max="11" width="13.25" customWidth="1"/>
    <col min="12" max="12" width="9.875" customWidth="1"/>
    <col min="13" max="13" width="14.25" customWidth="1"/>
    <col min="14" max="14" width="12" customWidth="1"/>
    <col min="18" max="18" width="20.125" bestFit="1" customWidth="1"/>
  </cols>
  <sheetData>
    <row r="1" spans="1:20">
      <c r="A1" t="s">
        <v>7</v>
      </c>
      <c r="B1" t="s">
        <v>5</v>
      </c>
      <c r="C1" t="s">
        <v>6</v>
      </c>
      <c r="D1" t="s">
        <v>25</v>
      </c>
      <c r="E1" t="s">
        <v>16</v>
      </c>
      <c r="F1" t="s">
        <v>20</v>
      </c>
      <c r="G1" t="s">
        <v>10</v>
      </c>
      <c r="H1" t="s">
        <v>21</v>
      </c>
      <c r="I1" t="s">
        <v>211</v>
      </c>
      <c r="J1" t="s">
        <v>24</v>
      </c>
      <c r="K1" t="s">
        <v>60</v>
      </c>
      <c r="L1" t="s">
        <v>59</v>
      </c>
      <c r="M1" t="s">
        <v>212</v>
      </c>
      <c r="N1" t="s">
        <v>26</v>
      </c>
      <c r="O1" t="s">
        <v>37</v>
      </c>
      <c r="P1" t="s">
        <v>38</v>
      </c>
      <c r="Q1" t="s">
        <v>152</v>
      </c>
      <c r="R1" t="s">
        <v>151</v>
      </c>
      <c r="S1" t="s">
        <v>155</v>
      </c>
      <c r="T1" t="s">
        <v>156</v>
      </c>
    </row>
    <row r="2" spans="1:20">
      <c r="A2" t="s">
        <v>8</v>
      </c>
      <c r="B2" t="s">
        <v>9</v>
      </c>
      <c r="C2">
        <v>1</v>
      </c>
      <c r="D2">
        <v>3</v>
      </c>
      <c r="E2">
        <v>630</v>
      </c>
      <c r="F2">
        <v>12</v>
      </c>
      <c r="G2" t="s">
        <v>11</v>
      </c>
      <c r="H2" t="s">
        <v>22</v>
      </c>
      <c r="I2">
        <f>AVERAGEIFS(DropAnalityka[Mana drop],DropAnalityka[Location],'Location features'!A2,DropAnalityka[LVL],'Location features'!B2,DropAnalityka[Stage],'Location features'!C2)+AVERAGEIFS(DropAnalityka[Drop Worth],DropAnalityka[Location],'Location features'!A2,DropAnalityka[LVL],'Location features'!B2,DropAnalityka[Stage],'Location features'!C2)</f>
        <v>2227</v>
      </c>
      <c r="J2">
        <f>AVERAGEIFS(DropAnalityka[Energy Drop],DropAnalityka[Location],'Location features'!A2,DropAnalityka[LVL],'Location features'!B2,DropAnalityka[Stage],'Location features'!C2)</f>
        <v>2</v>
      </c>
      <c r="K2">
        <f>4*LocFeatures[[#This Row],[XP Gain per member]]</f>
        <v>2520</v>
      </c>
      <c r="L2">
        <f>3*E2</f>
        <v>1890</v>
      </c>
      <c r="M2">
        <f>I2/(D2-J2)</f>
        <v>2227</v>
      </c>
      <c r="N2">
        <f>L2/(D2-J2)</f>
        <v>1890</v>
      </c>
    </row>
    <row r="3" spans="1:20">
      <c r="A3" t="s">
        <v>8</v>
      </c>
      <c r="B3" t="s">
        <v>9</v>
      </c>
      <c r="C3">
        <v>2</v>
      </c>
      <c r="D3">
        <v>3</v>
      </c>
      <c r="K3">
        <f>4*LocFeatures[[#This Row],[XP Gain per member]]</f>
        <v>0</v>
      </c>
    </row>
    <row r="4" spans="1:20">
      <c r="A4" t="s">
        <v>8</v>
      </c>
      <c r="B4" t="s">
        <v>9</v>
      </c>
      <c r="C4">
        <v>3</v>
      </c>
      <c r="D4">
        <v>3</v>
      </c>
      <c r="E4">
        <v>642</v>
      </c>
      <c r="F4">
        <v>12</v>
      </c>
      <c r="G4" t="s">
        <v>19</v>
      </c>
      <c r="H4" t="s">
        <v>23</v>
      </c>
      <c r="I4">
        <f>AVERAGEIFS(DropAnalityka[Mana drop],DropAnalityka[Location],'Location features'!A4,DropAnalityka[LVL],'Location features'!B4,DropAnalityka[Stage],'Location features'!C4)+AVERAGEIFS(DropAnalityka[Drop Worth],DropAnalityka[Location],'Location features'!A4,DropAnalityka[LVL],'Location features'!B4,DropAnalityka[Stage],'Location features'!C4)</f>
        <v>1946.7804878048782</v>
      </c>
      <c r="J4">
        <f>AVERAGEIFS(DropAnalityka[Energy Drop],DropAnalityka[Location],'Location features'!A4,DropAnalityka[LVL],'Location features'!B4,DropAnalityka[Stage],'Location features'!C4)</f>
        <v>0.82926829268292679</v>
      </c>
      <c r="K4">
        <f>4*LocFeatures[[#This Row],[XP Gain per member]]</f>
        <v>2568</v>
      </c>
      <c r="L4">
        <f>3*E4</f>
        <v>1926</v>
      </c>
      <c r="M4">
        <f>I4/(D4-J4)</f>
        <v>896.83146067415737</v>
      </c>
      <c r="N4">
        <f>L4/(D4-J4)</f>
        <v>887.25842696629206</v>
      </c>
    </row>
    <row r="5" spans="1:20">
      <c r="A5" t="s">
        <v>8</v>
      </c>
      <c r="B5" t="s">
        <v>9</v>
      </c>
      <c r="C5">
        <v>3</v>
      </c>
      <c r="D5">
        <v>3</v>
      </c>
      <c r="K5">
        <f>4*LocFeatures[[#This Row],[XP Gain per member]]</f>
        <v>0</v>
      </c>
    </row>
    <row r="6" spans="1:20">
      <c r="A6" s="10" t="s">
        <v>8</v>
      </c>
      <c r="B6" s="10" t="s">
        <v>9</v>
      </c>
      <c r="C6" s="10">
        <v>5</v>
      </c>
      <c r="D6" s="10">
        <v>3</v>
      </c>
      <c r="E6" s="10"/>
      <c r="F6" s="10"/>
      <c r="G6" s="10"/>
      <c r="H6" s="10"/>
      <c r="I6" s="10"/>
      <c r="J6" s="10"/>
      <c r="K6" s="10">
        <f>4*LocFeatures[[#This Row],[XP Gain per member]]</f>
        <v>0</v>
      </c>
      <c r="L6" s="10"/>
      <c r="M6" s="10"/>
      <c r="N6" s="10"/>
      <c r="O6" s="10"/>
      <c r="P6" s="10"/>
    </row>
    <row r="7" spans="1:20">
      <c r="A7" s="10" t="s">
        <v>8</v>
      </c>
      <c r="B7" s="10" t="s">
        <v>9</v>
      </c>
      <c r="C7" s="10">
        <v>6</v>
      </c>
      <c r="D7" s="10">
        <v>3</v>
      </c>
      <c r="E7" s="10"/>
      <c r="F7" s="10"/>
      <c r="G7" s="10"/>
      <c r="H7" s="10"/>
      <c r="I7" s="10"/>
      <c r="J7" s="10"/>
      <c r="K7" s="10">
        <f>4*LocFeatures[[#This Row],[XP Gain per member]]</f>
        <v>0</v>
      </c>
      <c r="L7" s="10"/>
      <c r="M7" s="10"/>
      <c r="N7" s="10"/>
      <c r="O7" s="10"/>
      <c r="P7" s="10"/>
    </row>
    <row r="8" spans="1:20" s="10" customFormat="1">
      <c r="A8" s="10" t="s">
        <v>8</v>
      </c>
      <c r="B8" s="10" t="s">
        <v>32</v>
      </c>
      <c r="C8" s="10">
        <v>3</v>
      </c>
      <c r="D8" s="10">
        <v>4</v>
      </c>
      <c r="E8" s="10">
        <v>1098</v>
      </c>
      <c r="F8" s="10">
        <v>12</v>
      </c>
      <c r="G8" s="10" t="s">
        <v>19</v>
      </c>
      <c r="I8" s="10">
        <f>AVERAGEIFS(DropAnalityka[Mana drop],DropAnalityka[Location],'Location features'!A8,DropAnalityka[LVL],'Location features'!B8,DropAnalityka[Stage],'Location features'!C8)+AVERAGEIFS(DropAnalityka[Drop Worth],DropAnalityka[Location],'Location features'!A8,DropAnalityka[LVL],'Location features'!B8,DropAnalityka[Stage],'Location features'!C8)</f>
        <v>3028.7952488687779</v>
      </c>
      <c r="J8" s="10">
        <f>AVERAGEIFS(DropAnalityka[Energy Drop],DropAnalityka[Location],'Location features'!$A8,DropAnalityka[LVL],'Location features'!$B8,DropAnalityka[Stage],'Location features'!$C8)</f>
        <v>0.82692307692307687</v>
      </c>
      <c r="K8" s="10">
        <f>4*LocFeatures[[#This Row],[XP Gain per member]]</f>
        <v>4392</v>
      </c>
      <c r="L8" s="10">
        <f>3*E8</f>
        <v>3294</v>
      </c>
      <c r="M8" s="10">
        <f>I8/(D8-J8)</f>
        <v>954.52941176470563</v>
      </c>
      <c r="N8" s="10">
        <f>L8/(D8-J8)</f>
        <v>1038.1090909090908</v>
      </c>
      <c r="Q8"/>
    </row>
    <row r="9" spans="1:20" s="10" customFormat="1">
      <c r="A9" s="10" t="s">
        <v>33</v>
      </c>
      <c r="B9" s="10" t="s">
        <v>9</v>
      </c>
      <c r="C9" s="10">
        <v>1</v>
      </c>
      <c r="D9" s="10">
        <v>3</v>
      </c>
      <c r="E9" s="10">
        <v>756</v>
      </c>
      <c r="F9" s="10">
        <v>13</v>
      </c>
      <c r="G9" s="10" t="s">
        <v>19</v>
      </c>
      <c r="I9" s="10">
        <f>AVERAGEIFS(DropAnalityka[Mana drop],DropAnalityka[Location],'Location features'!A9,DropAnalityka[LVL],'Location features'!B9,DropAnalityka[Stage],'Location features'!C9)+AVERAGEIFS(DropAnalityka[Drop Worth],DropAnalityka[Location],'Location features'!A9,DropAnalityka[LVL],'Location features'!B9,DropAnalityka[Stage],'Location features'!C9)</f>
        <v>2798.4320987654319</v>
      </c>
      <c r="J9" s="10">
        <f>AVERAGEIFS(DropAnalityka[Energy Drop],DropAnalityka[Location],'Location features'!$A9,DropAnalityka[LVL],'Location features'!$B9,DropAnalityka[Stage],'Location features'!$C9)</f>
        <v>0.87654320987654322</v>
      </c>
      <c r="K9" s="10">
        <f>4*LocFeatures[[#This Row],[XP Gain per member]]</f>
        <v>3024</v>
      </c>
      <c r="L9" s="10">
        <f>3*E9</f>
        <v>2268</v>
      </c>
      <c r="M9" s="10">
        <f>I9/(D9-J9)</f>
        <v>1317.8662790697672</v>
      </c>
      <c r="N9" s="10">
        <f>L9/(D9-J9)</f>
        <v>1068.0697674418604</v>
      </c>
      <c r="O9" s="10">
        <f>LocFeatures[[#This Row],[DropWorthGain/Energy]]/M8-1</f>
        <v>0.38064502028631586</v>
      </c>
      <c r="P9" s="10">
        <f>LocFeatures[[#This Row],[XP/Energy]]/N8-1</f>
        <v>2.8860817032757557E-2</v>
      </c>
      <c r="Q9">
        <v>62</v>
      </c>
      <c r="R9" s="10" t="s">
        <v>215</v>
      </c>
      <c r="S9" s="10">
        <v>125</v>
      </c>
      <c r="T9" s="10" t="s">
        <v>157</v>
      </c>
    </row>
    <row r="10" spans="1:20" s="10" customFormat="1">
      <c r="A10" s="10" t="s">
        <v>8</v>
      </c>
      <c r="B10" s="10" t="s">
        <v>32</v>
      </c>
      <c r="C10" s="10">
        <v>5</v>
      </c>
      <c r="D10" s="10">
        <v>4</v>
      </c>
      <c r="E10" s="10">
        <v>1119</v>
      </c>
      <c r="F10" s="10">
        <v>12</v>
      </c>
      <c r="K10" s="10">
        <f>4*LocFeatures[[#This Row],[XP Gain per member]]</f>
        <v>4476</v>
      </c>
      <c r="Q10"/>
    </row>
    <row r="11" spans="1:20" s="10" customFormat="1">
      <c r="A11" s="10" t="s">
        <v>8</v>
      </c>
      <c r="B11" s="10" t="s">
        <v>32</v>
      </c>
      <c r="C11" s="10">
        <v>6</v>
      </c>
      <c r="D11" s="10">
        <v>5</v>
      </c>
      <c r="E11" s="10">
        <v>1116</v>
      </c>
      <c r="F11" s="10">
        <v>12</v>
      </c>
      <c r="K11" s="10">
        <f>4*LocFeatures[[#This Row],[XP Gain per member]]</f>
        <v>4464</v>
      </c>
      <c r="Q11"/>
    </row>
    <row r="12" spans="1:20" s="10" customFormat="1">
      <c r="A12" s="10" t="s">
        <v>8</v>
      </c>
      <c r="B12" s="10" t="s">
        <v>34</v>
      </c>
      <c r="C12" s="10">
        <v>3</v>
      </c>
      <c r="D12" s="10">
        <v>5</v>
      </c>
      <c r="E12" s="10">
        <v>1800</v>
      </c>
      <c r="F12" s="10">
        <v>12</v>
      </c>
      <c r="I12" s="10">
        <f>AVERAGEIFS(DropAnalityka[Mana drop],DropAnalityka[Location],'Location features'!A12,DropAnalityka[LVL],'Location features'!B12,DropAnalityka[Stage],'Location features'!C12)+AVERAGEIFS(DropAnalityka[Drop Worth],DropAnalityka[Location],'Location features'!A12,DropAnalityka[LVL],'Location features'!B12,DropAnalityka[Stage],'Location features'!C12)</f>
        <v>3359.5906683480453</v>
      </c>
      <c r="J12" s="10">
        <f>AVERAGEIFS(DropAnalityka[Energy Drop],DropAnalityka[Location],'Location features'!$A12,DropAnalityka[LVL],'Location features'!$B12,DropAnalityka[Stage],'Location features'!$C12)</f>
        <v>0.88524590163934425</v>
      </c>
      <c r="K12" s="10">
        <f>4*LocFeatures[[#This Row],[XP Gain per member]]</f>
        <v>7200</v>
      </c>
      <c r="L12" s="10">
        <f t="shared" ref="L12:L17" si="0">3*E12</f>
        <v>5400</v>
      </c>
      <c r="M12" s="10">
        <f t="shared" ref="M12:M19" si="1">I12/(D12-J12)</f>
        <v>816.47422617223401</v>
      </c>
      <c r="N12" s="10">
        <f t="shared" ref="N12:N17" si="2">L12/(D12-J12)</f>
        <v>1312.3505976095616</v>
      </c>
      <c r="O12" s="10">
        <f>LocFeatures[[#This Row],[DropWorthGain/Energy]]/M9-1</f>
        <v>-0.38045745676977727</v>
      </c>
      <c r="P12" s="10">
        <f>LocFeatures[[#This Row],[XP/Energy]]/N9-1</f>
        <v>0.22871242835828931</v>
      </c>
      <c r="Q12">
        <v>178</v>
      </c>
      <c r="R12" s="10" t="s">
        <v>157</v>
      </c>
      <c r="T12" s="10" t="s">
        <v>216</v>
      </c>
    </row>
    <row r="13" spans="1:20" s="10" customFormat="1">
      <c r="A13" s="10" t="s">
        <v>40</v>
      </c>
      <c r="B13" s="10" t="s">
        <v>9</v>
      </c>
      <c r="C13" s="10">
        <v>4</v>
      </c>
      <c r="D13" s="10">
        <v>5</v>
      </c>
      <c r="E13" s="10">
        <v>439</v>
      </c>
      <c r="F13" s="10">
        <v>10</v>
      </c>
      <c r="I13" s="10">
        <f>AVERAGEIFS(DropAnalityka[Mana drop],DropAnalityka[Location],'Location features'!A13,DropAnalityka[LVL],'Location features'!B13,DropAnalityka[Stage],'Location features'!C13)+AVERAGEIFS(DropAnalityka[Drop Worth],DropAnalityka[Location],'Location features'!A13,DropAnalityka[LVL],'Location features'!B13,DropAnalityka[Stage],'Location features'!C13)</f>
        <v>4124.8571428571431</v>
      </c>
      <c r="J13" s="10">
        <f>AVERAGEIFS(DropAnalityka[Energy Drop],DropAnalityka[Location],'Location features'!$A13,DropAnalityka[LVL],'Location features'!$B13,DropAnalityka[Stage],'Location features'!$C13)</f>
        <v>0.7142857142857143</v>
      </c>
      <c r="K13" s="10">
        <f>4*LocFeatures[[#This Row],[XP Gain per member]]</f>
        <v>1756</v>
      </c>
      <c r="L13" s="10">
        <f t="shared" si="0"/>
        <v>1317</v>
      </c>
      <c r="M13" s="10">
        <f t="shared" si="1"/>
        <v>962.46666666666681</v>
      </c>
      <c r="N13" s="10">
        <f t="shared" si="2"/>
        <v>307.3</v>
      </c>
      <c r="Q13"/>
    </row>
    <row r="14" spans="1:20" s="10" customFormat="1">
      <c r="A14" s="10" t="s">
        <v>67</v>
      </c>
      <c r="B14" s="10" t="s">
        <v>34</v>
      </c>
      <c r="C14" s="10">
        <v>2</v>
      </c>
      <c r="D14" s="10">
        <v>5</v>
      </c>
      <c r="E14" s="10">
        <v>1500</v>
      </c>
      <c r="F14" s="10">
        <v>10</v>
      </c>
      <c r="I14" s="10">
        <f>AVERAGEIFS(DropAnalityka[Mana drop],DropAnalityka[Location],'Location features'!A14,DropAnalityka[LVL],'Location features'!B14,DropAnalityka[Stage],'Location features'!C14)+AVERAGEIFS(DropAnalityka[Drop Worth],DropAnalityka[Location],'Location features'!A14,DropAnalityka[LVL],'Location features'!B14,DropAnalityka[Stage],'Location features'!C14)</f>
        <v>1192</v>
      </c>
      <c r="J14" s="10">
        <v>0.65</v>
      </c>
      <c r="K14" s="10">
        <f>4*LocFeatures[[#This Row],[XP Gain per member]]</f>
        <v>6000</v>
      </c>
      <c r="L14" s="10">
        <f t="shared" si="0"/>
        <v>4500</v>
      </c>
      <c r="M14" s="10">
        <f t="shared" si="1"/>
        <v>274.02298850574715</v>
      </c>
      <c r="N14" s="10">
        <f t="shared" si="2"/>
        <v>1034.4827586206898</v>
      </c>
      <c r="Q14"/>
    </row>
    <row r="15" spans="1:20" s="10" customFormat="1">
      <c r="A15" s="10" t="s">
        <v>68</v>
      </c>
      <c r="B15" s="10" t="s">
        <v>9</v>
      </c>
      <c r="C15" s="10">
        <v>1</v>
      </c>
      <c r="D15" s="10">
        <v>3</v>
      </c>
      <c r="E15" s="10">
        <v>799</v>
      </c>
      <c r="F15" s="10">
        <v>13</v>
      </c>
      <c r="I15" s="10">
        <f>AVERAGEIFS(DropAnalityka[Mana drop],DropAnalityka[Location],'Location features'!A15,DropAnalityka[LVL],'Location features'!B15,DropAnalityka[Stage],'Location features'!C15)+AVERAGEIFS(DropAnalityka[Drop Worth],DropAnalityka[Location],'Location features'!A15,DropAnalityka[LVL],'Location features'!B15,DropAnalityka[Stage],'Location features'!C15)</f>
        <v>2695.1685393258426</v>
      </c>
      <c r="J15" s="10">
        <f>AVERAGEIFS(DropAnalityka[Energy Drop],DropAnalityka[Location],'Location features'!$A15,DropAnalityka[LVL],'Location features'!$B15,DropAnalityka[Stage],'Location features'!$C15)</f>
        <v>0.88764044943820219</v>
      </c>
      <c r="K15" s="10">
        <f>4*LocFeatures[[#This Row],[XP Gain per member]]</f>
        <v>3196</v>
      </c>
      <c r="L15" s="10">
        <f t="shared" si="0"/>
        <v>2397</v>
      </c>
      <c r="M15" s="10">
        <f t="shared" si="1"/>
        <v>1275.9042553191491</v>
      </c>
      <c r="N15" s="10">
        <f t="shared" si="2"/>
        <v>1134.75</v>
      </c>
      <c r="O15" s="10">
        <f>LocFeatures[[#This Row],[DropWorthGain/Energy]]/M9-1</f>
        <v>-3.1840881292021117E-2</v>
      </c>
      <c r="P15" s="10">
        <f>LocFeatures[[#This Row],[XP/Energy]]/N9-1</f>
        <v>6.2430596381213732E-2</v>
      </c>
      <c r="Q15"/>
    </row>
    <row r="16" spans="1:20" s="10" customFormat="1">
      <c r="A16" s="10" t="s">
        <v>68</v>
      </c>
      <c r="B16" s="10" t="s">
        <v>9</v>
      </c>
      <c r="C16" s="10">
        <v>2</v>
      </c>
      <c r="D16" s="10">
        <v>3</v>
      </c>
      <c r="E16" s="10">
        <v>804</v>
      </c>
      <c r="F16" s="10">
        <v>13</v>
      </c>
      <c r="I16" s="10">
        <f>AVERAGEIFS(DropAnalityka[Mana drop],DropAnalityka[Location],'Location features'!A16,DropAnalityka[LVL],'Location features'!B16,DropAnalityka[Stage],'Location features'!C16)+AVERAGEIFS(DropAnalityka[Drop Worth],DropAnalityka[Location],'Location features'!A16,DropAnalityka[LVL],'Location features'!B16,DropAnalityka[Stage],'Location features'!C16)</f>
        <v>3392</v>
      </c>
      <c r="J16" s="10">
        <f>AVERAGEIFS(DropAnalityka[Energy Drop],DropAnalityka[Location],'Location features'!$A16,DropAnalityka[LVL],'Location features'!$B16,DropAnalityka[Stage],'Location features'!$C16)</f>
        <v>0</v>
      </c>
      <c r="K16" s="10">
        <f>4*LocFeatures[[#This Row],[XP Gain per member]]</f>
        <v>3216</v>
      </c>
      <c r="L16" s="10">
        <f t="shared" si="0"/>
        <v>2412</v>
      </c>
      <c r="M16" s="10">
        <f t="shared" si="1"/>
        <v>1130.6666666666667</v>
      </c>
      <c r="N16" s="10">
        <f t="shared" si="2"/>
        <v>804</v>
      </c>
      <c r="Q16"/>
    </row>
    <row r="17" spans="1:18" s="10" customFormat="1">
      <c r="A17" s="10" t="s">
        <v>68</v>
      </c>
      <c r="B17" s="10" t="s">
        <v>9</v>
      </c>
      <c r="C17" s="10">
        <v>3</v>
      </c>
      <c r="D17" s="10">
        <v>3</v>
      </c>
      <c r="E17" s="10">
        <v>804</v>
      </c>
      <c r="I17" s="10">
        <f>AVERAGEIFS(DropAnalityka[Mana drop],DropAnalityka[Location],'Location features'!A17,DropAnalityka[LVL],'Location features'!B17,DropAnalityka[Stage],'Location features'!C17)+AVERAGEIFS(DropAnalityka[Drop Worth],DropAnalityka[Location],'Location features'!A17,DropAnalityka[LVL],'Location features'!B17,DropAnalityka[Stage],'Location features'!C17)</f>
        <v>2964</v>
      </c>
      <c r="J17" s="10">
        <f>AVERAGEIFS(DropAnalityka[Energy Drop],DropAnalityka[Location],'Location features'!$A17,DropAnalityka[LVL],'Location features'!$B17,DropAnalityka[Stage],'Location features'!$C17)</f>
        <v>0</v>
      </c>
      <c r="K17" s="10">
        <f>4*LocFeatures[[#This Row],[XP Gain per member]]</f>
        <v>3216</v>
      </c>
      <c r="L17" s="10">
        <f t="shared" si="0"/>
        <v>2412</v>
      </c>
      <c r="M17" s="10">
        <f t="shared" si="1"/>
        <v>988</v>
      </c>
      <c r="N17" s="10">
        <f t="shared" si="2"/>
        <v>804</v>
      </c>
      <c r="Q17"/>
    </row>
    <row r="18" spans="1:18" s="10" customFormat="1">
      <c r="A18" s="10" t="s">
        <v>33</v>
      </c>
      <c r="B18" s="10" t="s">
        <v>32</v>
      </c>
      <c r="C18" s="10">
        <v>1</v>
      </c>
      <c r="D18" s="10">
        <v>4</v>
      </c>
      <c r="E18" s="10">
        <v>1276</v>
      </c>
      <c r="I18" s="10">
        <f>AVERAGEIFS(DropAnalityka[Mana drop],DropAnalityka[Location],'Location features'!A18,DropAnalityka[LVL],'Location features'!B18,DropAnalityka[Stage],'Location features'!C18)+AVERAGEIFS(DropAnalityka[Drop Worth],DropAnalityka[Location],'Location features'!A18,DropAnalityka[LVL],'Location features'!B18,DropAnalityka[Stage],'Location features'!C18)</f>
        <v>3709.0930232558139</v>
      </c>
      <c r="J18" s="10">
        <f>J9</f>
        <v>0.87654320987654322</v>
      </c>
      <c r="K18" s="10">
        <f>4*LocFeatures[[#This Row],[XP Gain per member]]</f>
        <v>5104</v>
      </c>
      <c r="L18" s="10">
        <f>3*E18</f>
        <v>3828</v>
      </c>
      <c r="M18" s="10">
        <f t="shared" si="1"/>
        <v>1187.4961853111499</v>
      </c>
      <c r="N18" s="10">
        <f>L18/(D18-J18)</f>
        <v>1225.5652173913043</v>
      </c>
      <c r="Q18">
        <v>122</v>
      </c>
      <c r="R18" s="10" t="s">
        <v>154</v>
      </c>
    </row>
    <row r="19" spans="1:18">
      <c r="A19" s="10" t="s">
        <v>33</v>
      </c>
      <c r="B19" s="10" t="s">
        <v>34</v>
      </c>
      <c r="C19" s="10">
        <v>1</v>
      </c>
      <c r="D19" s="10">
        <v>5</v>
      </c>
      <c r="E19" s="10">
        <v>2025</v>
      </c>
      <c r="F19" s="10"/>
      <c r="G19" s="10"/>
      <c r="H19" s="10"/>
      <c r="I19" s="10"/>
      <c r="J19" s="10">
        <f>J9</f>
        <v>0.87654320987654322</v>
      </c>
      <c r="K19" s="10">
        <f>4*LocFeatures[[#This Row],[XP Gain per member]]</f>
        <v>8100</v>
      </c>
      <c r="L19" s="10">
        <f>3*E19</f>
        <v>6075</v>
      </c>
      <c r="M19" s="10">
        <f t="shared" si="1"/>
        <v>0</v>
      </c>
      <c r="N19" s="10">
        <f>L19/(D19-J19)</f>
        <v>1473.2784431137725</v>
      </c>
      <c r="O19" s="10"/>
      <c r="P19" s="10"/>
      <c r="R19" s="16"/>
    </row>
    <row r="20" spans="1:18">
      <c r="A20" s="10" t="s">
        <v>166</v>
      </c>
      <c r="B20" s="10" t="s">
        <v>9</v>
      </c>
      <c r="C20" s="10">
        <v>5</v>
      </c>
      <c r="D20" s="10">
        <v>6</v>
      </c>
      <c r="E20" s="10">
        <v>392</v>
      </c>
      <c r="F20" s="10"/>
      <c r="G20" s="10"/>
      <c r="H20" s="10"/>
      <c r="I20" s="10">
        <f>AVERAGEIFS(DropAnalityka[Mana drop],DropAnalityka[Location],'Location features'!A20,DropAnalityka[LVL],'Location features'!B20,DropAnalityka[Stage],'Location features'!C20)+AVERAGEIFS(DropAnalityka[Drop Worth],DropAnalityka[Location],'Location features'!A20,DropAnalityka[LVL],'Location features'!B20,DropAnalityka[Stage],'Location features'!C20)</f>
        <v>2788.25</v>
      </c>
      <c r="J20" s="10">
        <f>AVERAGEIFS(DropAnalityka[Energy Drop],DropAnalityka[Location],'Location features'!$A20,DropAnalityka[LVL],'Location features'!$B20,DropAnalityka[Stage],'Location features'!$C20)</f>
        <v>0.5</v>
      </c>
      <c r="K20" s="10">
        <f>5*LocFeatures[[#This Row],[XP Gain per member]]</f>
        <v>1960</v>
      </c>
      <c r="L20" s="10">
        <f>3*E20</f>
        <v>1176</v>
      </c>
      <c r="M20" s="10">
        <f t="shared" ref="M20" si="3">I20/(D20-J20)</f>
        <v>506.95454545454544</v>
      </c>
      <c r="N20" s="10">
        <f>L20/(D20-J20)</f>
        <v>213.81818181818181</v>
      </c>
      <c r="O20" s="10"/>
      <c r="P20" s="10"/>
    </row>
    <row r="21" spans="1:18">
      <c r="A21" s="10" t="s">
        <v>206</v>
      </c>
      <c r="B21" s="10" t="s">
        <v>9</v>
      </c>
      <c r="C21" s="10">
        <v>5</v>
      </c>
      <c r="D21" s="10">
        <v>7</v>
      </c>
      <c r="E21" s="10">
        <v>605</v>
      </c>
      <c r="F21" s="10"/>
      <c r="G21" s="10"/>
      <c r="H21" s="10"/>
      <c r="I21" s="10">
        <f>AVERAGEIFS(DropAnalityka[Mana drop],DropAnalityka[Location],'Location features'!A21,DropAnalityka[LVL],'Location features'!B21,DropAnalityka[Stage],'Location features'!C21)+AVERAGEIFS(DropAnalityka[Drop Worth],DropAnalityka[Location],'Location features'!A21,DropAnalityka[LVL],'Location features'!B21,DropAnalityka[Stage],'Location features'!C21)</f>
        <v>7394.5</v>
      </c>
      <c r="J21" s="10">
        <f>AVERAGEIFS(DropAnalityka[Energy Drop],DropAnalityka[Location],'Location features'!$A21,DropAnalityka[LVL],'Location features'!$B21,DropAnalityka[Stage],'Location features'!$C21)</f>
        <v>1.75</v>
      </c>
      <c r="K21" s="10">
        <f>5*LocFeatures[[#This Row],[XP Gain per member]]</f>
        <v>3025</v>
      </c>
      <c r="L21" s="10">
        <f>3*E21</f>
        <v>1815</v>
      </c>
      <c r="M21" s="10">
        <f>I21/(D21-J21)</f>
        <v>1408.4761904761904</v>
      </c>
      <c r="N21" s="10">
        <f>L21/(D21-J21)</f>
        <v>345.71428571428572</v>
      </c>
      <c r="O21" s="10"/>
      <c r="P21" s="10"/>
    </row>
    <row r="22" spans="1:18">
      <c r="A22" s="10"/>
      <c r="B22" s="10"/>
      <c r="C22" s="10"/>
      <c r="D22" s="10"/>
      <c r="E22" s="10"/>
      <c r="F22" s="10"/>
      <c r="G22" s="10"/>
      <c r="H22" s="10"/>
      <c r="I22" s="10"/>
      <c r="J22" s="10"/>
      <c r="K22" s="10">
        <f>4*LocFeatures[[#This Row],[XP Gain per member]]</f>
        <v>0</v>
      </c>
      <c r="L22" s="10"/>
      <c r="M22" s="10"/>
      <c r="N22" s="10"/>
      <c r="O22" s="10"/>
      <c r="P22" s="10"/>
    </row>
    <row r="23" spans="1:18">
      <c r="A23" s="10"/>
      <c r="B23" s="10"/>
      <c r="C23" s="10"/>
      <c r="D23" s="10"/>
      <c r="E23" s="10"/>
      <c r="F23" s="10"/>
      <c r="G23" s="10"/>
      <c r="H23" s="10"/>
      <c r="I23" s="10"/>
      <c r="J23" s="10"/>
      <c r="K23" s="10">
        <f>4*LocFeatures[[#This Row],[XP Gain per member]]</f>
        <v>0</v>
      </c>
      <c r="L23" s="10"/>
      <c r="M23" s="10"/>
      <c r="N23" s="10"/>
      <c r="O23" s="10"/>
      <c r="P23" s="10"/>
    </row>
    <row r="24" spans="1:18">
      <c r="J24" s="10"/>
      <c r="K24" s="10">
        <f>4*LocFeatures[[#This Row],[XP Gain per member]]</f>
        <v>0</v>
      </c>
      <c r="L24" s="10"/>
      <c r="M24" s="10"/>
      <c r="N24" s="10"/>
      <c r="O24" s="10"/>
      <c r="P24" s="10"/>
    </row>
    <row r="25" spans="1:18">
      <c r="K25">
        <f>4*LocFeatures[[#This Row],[XP Gain per member]]</f>
        <v>0</v>
      </c>
    </row>
    <row r="26" spans="1:18">
      <c r="K26">
        <f>4*LocFeatures[[#This Row],[XP Gain per member]]</f>
        <v>0</v>
      </c>
    </row>
    <row r="27" spans="1:18">
      <c r="K27">
        <f>4*LocFeatures[[#This Row],[XP Gain per member]]</f>
        <v>0</v>
      </c>
    </row>
    <row r="28" spans="1:18">
      <c r="K28">
        <f>4*LocFeatures[[#This Row],[XP Gain per member]]</f>
        <v>0</v>
      </c>
    </row>
    <row r="29" spans="1:18">
      <c r="K29">
        <f>4*LocFeatures[[#This Row],[XP Gain per member]]</f>
        <v>0</v>
      </c>
    </row>
    <row r="30" spans="1:18">
      <c r="K30">
        <f>4*LocFeatures[[#This Row],[XP Gain per member]]</f>
        <v>0</v>
      </c>
    </row>
    <row r="31" spans="1:18">
      <c r="K31">
        <f>4*LocFeatures[[#This Row],[XP Gain per member]]</f>
        <v>0</v>
      </c>
    </row>
    <row r="32" spans="1:18">
      <c r="K32">
        <f>4*LocFeatures[[#This Row],[XP Gain per member]]</f>
        <v>0</v>
      </c>
    </row>
    <row r="33" spans="11:11">
      <c r="K33">
        <f>4*LocFeatures[[#This Row],[XP Gain per member]]</f>
        <v>0</v>
      </c>
    </row>
    <row r="34" spans="11:11">
      <c r="K34">
        <f>4*LocFeatures[[#This Row],[XP Gain per member]]</f>
        <v>0</v>
      </c>
    </row>
    <row r="35" spans="11:11">
      <c r="K35">
        <f>4*LocFeatures[[#This Row],[XP Gain per member]]</f>
        <v>0</v>
      </c>
    </row>
    <row r="36" spans="11:11">
      <c r="K36">
        <f>4*LocFeatures[[#This Row],[XP Gain per member]]</f>
        <v>0</v>
      </c>
    </row>
    <row r="37" spans="11:11">
      <c r="K37">
        <f>4*LocFeatures[[#This Row],[XP Gain per member]]</f>
        <v>0</v>
      </c>
    </row>
    <row r="38" spans="11:11">
      <c r="K38">
        <f>4*LocFeatures[[#This Row],[XP Gain per member]]</f>
        <v>0</v>
      </c>
    </row>
    <row r="39" spans="11:11">
      <c r="K39">
        <f>4*LocFeatures[[#This Row],[XP Gain per member]]</f>
        <v>0</v>
      </c>
    </row>
    <row r="40" spans="11:11">
      <c r="K40">
        <f>4*LocFeatures[[#This Row],[XP Gain per member]]</f>
        <v>0</v>
      </c>
    </row>
    <row r="41" spans="11:11">
      <c r="K41">
        <f>4*LocFeatures[[#This Row],[XP Gain per member]]</f>
        <v>0</v>
      </c>
    </row>
    <row r="42" spans="11:11">
      <c r="K42">
        <f>4*LocFeatures[[#This Row],[XP Gain per member]]</f>
        <v>0</v>
      </c>
    </row>
    <row r="43" spans="11:11">
      <c r="K43">
        <f>4*LocFeatures[[#This Row],[XP Gain per member]]</f>
        <v>0</v>
      </c>
    </row>
    <row r="44" spans="11:11">
      <c r="K44">
        <f>4*LocFeatures[[#This Row],[XP Gain per member]]</f>
        <v>0</v>
      </c>
    </row>
    <row r="45" spans="11:11">
      <c r="K45">
        <f>4*LocFeatures[[#This Row],[XP Gain per member]]</f>
        <v>0</v>
      </c>
    </row>
    <row r="46" spans="11:11">
      <c r="K46">
        <f>4*LocFeatures[[#This Row],[XP Gain per member]]</f>
        <v>0</v>
      </c>
    </row>
    <row r="47" spans="11:11">
      <c r="K47">
        <f>4*LocFeatures[[#This Row],[XP Gain per member]]</f>
        <v>0</v>
      </c>
    </row>
    <row r="48" spans="11:11">
      <c r="K48">
        <f>4*LocFeatures[[#This Row],[XP Gain per member]]</f>
        <v>0</v>
      </c>
    </row>
    <row r="49" spans="11:11">
      <c r="K49">
        <f>4*LocFeatures[[#This Row],[XP Gain per member]]</f>
        <v>0</v>
      </c>
    </row>
    <row r="50" spans="11:11">
      <c r="K50">
        <f>4*LocFeatures[[#This Row],[XP Gain per member]]</f>
        <v>0</v>
      </c>
    </row>
    <row r="51" spans="11:11">
      <c r="K51">
        <f>4*LocFeatures[[#This Row],[XP Gain per member]]</f>
        <v>0</v>
      </c>
    </row>
    <row r="52" spans="11:11">
      <c r="K52">
        <f>4*LocFeatures[[#This Row],[XP Gain per member]]</f>
        <v>0</v>
      </c>
    </row>
    <row r="53" spans="11:11">
      <c r="K53">
        <f>4*LocFeatures[[#This Row],[XP Gain per member]]</f>
        <v>0</v>
      </c>
    </row>
    <row r="54" spans="11:11">
      <c r="K54">
        <f>4*LocFeatures[[#This Row],[XP Gain per member]]</f>
        <v>0</v>
      </c>
    </row>
    <row r="55" spans="11:11">
      <c r="K55">
        <f>4*LocFeatures[[#This Row],[XP Gain per member]]</f>
        <v>0</v>
      </c>
    </row>
    <row r="56" spans="11:11">
      <c r="K56">
        <f>4*LocFeatures[[#This Row],[XP Gain per member]]</f>
        <v>0</v>
      </c>
    </row>
    <row r="57" spans="11:11">
      <c r="K57">
        <f>4*LocFeatures[[#This Row],[XP Gain per member]]</f>
        <v>0</v>
      </c>
    </row>
    <row r="58" spans="11:11">
      <c r="K58">
        <f>4*LocFeatures[[#This Row],[XP Gain per member]]</f>
        <v>0</v>
      </c>
    </row>
    <row r="59" spans="11:11">
      <c r="K59">
        <f>4*LocFeatures[[#This Row],[XP Gain per member]]</f>
        <v>0</v>
      </c>
    </row>
    <row r="60" spans="11:11">
      <c r="K60">
        <f>4*LocFeatures[[#This Row],[XP Gain per member]]</f>
        <v>0</v>
      </c>
    </row>
    <row r="61" spans="11:11">
      <c r="K61">
        <f>4*LocFeatures[[#This Row],[XP Gain per member]]</f>
        <v>0</v>
      </c>
    </row>
    <row r="62" spans="11:11">
      <c r="K62">
        <f>4*LocFeatures[[#This Row],[XP Gain per member]]</f>
        <v>0</v>
      </c>
    </row>
    <row r="63" spans="11:11">
      <c r="K63">
        <f>4*LocFeatures[[#This Row],[XP Gain per member]]</f>
        <v>0</v>
      </c>
    </row>
    <row r="64" spans="11:11">
      <c r="K64">
        <f>4*LocFeatures[[#This Row],[XP Gain per member]]</f>
        <v>0</v>
      </c>
    </row>
    <row r="65" spans="11:11">
      <c r="K65">
        <f>4*LocFeatures[[#This Row],[XP Gain per member]]</f>
        <v>0</v>
      </c>
    </row>
    <row r="66" spans="11:11">
      <c r="K66">
        <f>4*LocFeatures[[#This Row],[XP Gain per member]]</f>
        <v>0</v>
      </c>
    </row>
    <row r="67" spans="11:11">
      <c r="K67">
        <f>4*LocFeatures[[#This Row],[XP Gain per member]]</f>
        <v>0</v>
      </c>
    </row>
    <row r="68" spans="11:11">
      <c r="K68">
        <f>4*LocFeatures[[#This Row],[XP Gain per member]]</f>
        <v>0</v>
      </c>
    </row>
    <row r="69" spans="11:11">
      <c r="K69">
        <f>4*LocFeatures[[#This Row],[XP Gain per member]]</f>
        <v>0</v>
      </c>
    </row>
    <row r="70" spans="11:11">
      <c r="K70">
        <f>4*LocFeatures[[#This Row],[XP Gain per member]]</f>
        <v>0</v>
      </c>
    </row>
    <row r="71" spans="11:11">
      <c r="K71">
        <f>4*LocFeatures[[#This Row],[XP Gain per member]]</f>
        <v>0</v>
      </c>
    </row>
    <row r="72" spans="11:11">
      <c r="K72">
        <f>4*LocFeatures[[#This Row],[XP Gain per member]]</f>
        <v>0</v>
      </c>
    </row>
    <row r="73" spans="11:11">
      <c r="K73">
        <f>4*LocFeatures[[#This Row],[XP Gain per member]]</f>
        <v>0</v>
      </c>
    </row>
    <row r="74" spans="11:11">
      <c r="K74">
        <f>4*LocFeatures[[#This Row],[XP Gain per member]]</f>
        <v>0</v>
      </c>
    </row>
    <row r="75" spans="11:11">
      <c r="K75">
        <f>4*LocFeatures[[#This Row],[XP Gain per member]]</f>
        <v>0</v>
      </c>
    </row>
    <row r="76" spans="11:11">
      <c r="K76">
        <f>4*LocFeatures[[#This Row],[XP Gain per member]]</f>
        <v>0</v>
      </c>
    </row>
    <row r="77" spans="11:11">
      <c r="K77">
        <f>4*LocFeatures[[#This Row],[XP Gain per member]]</f>
        <v>0</v>
      </c>
    </row>
    <row r="78" spans="11:11">
      <c r="K78">
        <f>4*LocFeatures[[#This Row],[XP Gain per member]]</f>
        <v>0</v>
      </c>
    </row>
    <row r="79" spans="11:11">
      <c r="K79">
        <f>4*LocFeatures[[#This Row],[XP Gain per member]]</f>
        <v>0</v>
      </c>
    </row>
    <row r="80" spans="11:11">
      <c r="K80">
        <f>4*LocFeatures[[#This Row],[XP Gain per member]]</f>
        <v>0</v>
      </c>
    </row>
    <row r="81" spans="11:11">
      <c r="K81">
        <f>4*LocFeatures[[#This Row],[XP Gain per member]]</f>
        <v>0</v>
      </c>
    </row>
    <row r="82" spans="11:11">
      <c r="K82">
        <f>4*LocFeatures[[#This Row],[XP Gain per member]]</f>
        <v>0</v>
      </c>
    </row>
    <row r="83" spans="11:11">
      <c r="K83">
        <f>4*LocFeatures[[#This Row],[XP Gain per member]]</f>
        <v>0</v>
      </c>
    </row>
    <row r="84" spans="11:11">
      <c r="K84">
        <f>4*LocFeatures[[#This Row],[XP Gain per member]]</f>
        <v>0</v>
      </c>
    </row>
    <row r="85" spans="11:11">
      <c r="K85">
        <f>4*LocFeatures[[#This Row],[XP Gain per member]]</f>
        <v>0</v>
      </c>
    </row>
    <row r="86" spans="11:11">
      <c r="K86">
        <f>4*LocFeatures[[#This Row],[XP Gain per member]]</f>
        <v>0</v>
      </c>
    </row>
    <row r="87" spans="11:11">
      <c r="K87">
        <f>4*LocFeatures[[#This Row],[XP Gain per member]]</f>
        <v>0</v>
      </c>
    </row>
    <row r="88" spans="11:11">
      <c r="K88">
        <f>4*LocFeatures[[#This Row],[XP Gain per member]]</f>
        <v>0</v>
      </c>
    </row>
    <row r="89" spans="11:11">
      <c r="K89">
        <f>4*LocFeatures[[#This Row],[XP Gain per member]]</f>
        <v>0</v>
      </c>
    </row>
    <row r="90" spans="11:11">
      <c r="K90">
        <f>4*LocFeatures[[#This Row],[XP Gain per member]]</f>
        <v>0</v>
      </c>
    </row>
    <row r="91" spans="11:11">
      <c r="K91">
        <f>4*LocFeatures[[#This Row],[XP Gain per member]]</f>
        <v>0</v>
      </c>
    </row>
    <row r="92" spans="11:11">
      <c r="K92">
        <f>4*LocFeatures[[#This Row],[XP Gain per member]]</f>
        <v>0</v>
      </c>
    </row>
    <row r="93" spans="11:11">
      <c r="K93">
        <f>4*LocFeatures[[#This Row],[XP Gain per member]]</f>
        <v>0</v>
      </c>
    </row>
    <row r="94" spans="11:11">
      <c r="K94">
        <f>4*LocFeatures[[#This Row],[XP Gain per member]]</f>
        <v>0</v>
      </c>
    </row>
    <row r="95" spans="11:11">
      <c r="K95">
        <f>4*LocFeatures[[#This Row],[XP Gain per member]]</f>
        <v>0</v>
      </c>
    </row>
    <row r="96" spans="11:11">
      <c r="K96">
        <f>4*LocFeatures[[#This Row],[XP Gain per member]]</f>
        <v>0</v>
      </c>
    </row>
    <row r="97" spans="11:11">
      <c r="K97">
        <f>4*LocFeatures[[#This Row],[XP Gain per member]]</f>
        <v>0</v>
      </c>
    </row>
    <row r="98" spans="11:11">
      <c r="K98">
        <f>4*LocFeatures[[#This Row],[XP Gain per member]]</f>
        <v>0</v>
      </c>
    </row>
    <row r="99" spans="11:11">
      <c r="K99">
        <f>4*LocFeatures[[#This Row],[XP Gain per member]]</f>
        <v>0</v>
      </c>
    </row>
    <row r="100" spans="11:11">
      <c r="K100">
        <f>4*LocFeatures[[#This Row],[XP Gain per member]]</f>
        <v>0</v>
      </c>
    </row>
    <row r="101" spans="11:11">
      <c r="K101">
        <f>4*LocFeatures[[#This Row],[XP Gain per member]]</f>
        <v>0</v>
      </c>
    </row>
    <row r="102" spans="11:11">
      <c r="K102">
        <f>4*LocFeatures[[#This Row],[XP Gain per member]]</f>
        <v>0</v>
      </c>
    </row>
    <row r="103" spans="11:11">
      <c r="K103">
        <f>4*LocFeatures[[#This Row],[XP Gain per member]]</f>
        <v>0</v>
      </c>
    </row>
    <row r="104" spans="11:11">
      <c r="K104">
        <f>4*LocFeatures[[#This Row],[XP Gain per member]]</f>
        <v>0</v>
      </c>
    </row>
    <row r="105" spans="11:11">
      <c r="K105">
        <f>4*LocFeatures[[#This Row],[XP Gain per member]]</f>
        <v>0</v>
      </c>
    </row>
    <row r="106" spans="11:11">
      <c r="K106">
        <f>4*LocFeatures[[#This Row],[XP Gain per member]]</f>
        <v>0</v>
      </c>
    </row>
    <row r="107" spans="11:11">
      <c r="K107">
        <f>4*LocFeatures[[#This Row],[XP Gain per member]]</f>
        <v>0</v>
      </c>
    </row>
    <row r="108" spans="11:11">
      <c r="K108">
        <f>4*LocFeatures[[#This Row],[XP Gain per member]]</f>
        <v>0</v>
      </c>
    </row>
    <row r="109" spans="11:11">
      <c r="K109">
        <f>4*LocFeatures[[#This Row],[XP Gain per member]]</f>
        <v>0</v>
      </c>
    </row>
    <row r="110" spans="11:11">
      <c r="K110">
        <f>4*LocFeatures[[#This Row],[XP Gain per member]]</f>
        <v>0</v>
      </c>
    </row>
    <row r="111" spans="11:11">
      <c r="K111">
        <f>4*LocFeatures[[#This Row],[XP Gain per member]]</f>
        <v>0</v>
      </c>
    </row>
    <row r="112" spans="11:11">
      <c r="K112">
        <f>4*LocFeatures[[#This Row],[XP Gain per member]]</f>
        <v>0</v>
      </c>
    </row>
    <row r="113" spans="11:11">
      <c r="K113">
        <f>4*LocFeatures[[#This Row],[XP Gain per member]]</f>
        <v>0</v>
      </c>
    </row>
    <row r="114" spans="11:11">
      <c r="K114">
        <f>4*LocFeatures[[#This Row],[XP Gain per member]]</f>
        <v>0</v>
      </c>
    </row>
    <row r="115" spans="11:11">
      <c r="K115">
        <f>4*LocFeatures[[#This Row],[XP Gain per member]]</f>
        <v>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743"/>
  <sheetViews>
    <sheetView workbookViewId="0">
      <pane ySplit="1" topLeftCell="A460" activePane="bottomLeft" state="frozen"/>
      <selection pane="bottomLeft" activeCell="H483" sqref="H483"/>
    </sheetView>
  </sheetViews>
  <sheetFormatPr defaultRowHeight="14.25"/>
  <cols>
    <col min="1" max="1" width="9.625" customWidth="1"/>
    <col min="4" max="4" width="11.25" customWidth="1"/>
    <col min="5" max="5" width="13" customWidth="1"/>
    <col min="6" max="6" width="11.125" bestFit="1" customWidth="1"/>
    <col min="9" max="9" width="13" bestFit="1" customWidth="1"/>
    <col min="10" max="10" width="13" customWidth="1"/>
  </cols>
  <sheetData>
    <row r="1" spans="1:11">
      <c r="A1" t="s">
        <v>7</v>
      </c>
      <c r="B1" t="s">
        <v>5</v>
      </c>
      <c r="C1" t="s">
        <v>6</v>
      </c>
      <c r="D1" t="s">
        <v>14</v>
      </c>
      <c r="E1" t="s">
        <v>17</v>
      </c>
      <c r="F1" t="s">
        <v>12</v>
      </c>
      <c r="G1" t="s">
        <v>61</v>
      </c>
      <c r="H1" t="s">
        <v>210</v>
      </c>
      <c r="I1" t="s">
        <v>209</v>
      </c>
      <c r="J1" t="s">
        <v>214</v>
      </c>
      <c r="K1" t="s">
        <v>79</v>
      </c>
    </row>
    <row r="2" spans="1:11">
      <c r="A2" t="s">
        <v>8</v>
      </c>
      <c r="B2" t="s">
        <v>9</v>
      </c>
      <c r="C2">
        <v>1</v>
      </c>
      <c r="D2">
        <v>1315</v>
      </c>
      <c r="E2">
        <v>2</v>
      </c>
      <c r="H2">
        <v>912</v>
      </c>
      <c r="I2">
        <f>DropAnalityka[[#This Row],[Sell Drop]]+IF(DropAnalityka[[#This Row],[Drop]]="Scroll", 2000*DropAnalityka[[#This Row],[Quality/Quantity]],0)</f>
        <v>912</v>
      </c>
      <c r="J2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3" spans="1:11">
      <c r="A3" t="s">
        <v>8</v>
      </c>
      <c r="B3" t="s">
        <v>9</v>
      </c>
      <c r="C3">
        <v>3</v>
      </c>
      <c r="D3">
        <v>1255</v>
      </c>
      <c r="E3">
        <v>0</v>
      </c>
      <c r="H3">
        <v>325</v>
      </c>
      <c r="I3">
        <f>DropAnalityka[[#This Row],[Sell Drop]]+IF(DropAnalityka[[#This Row],[Drop]]="Scroll", 2000*DropAnalityka[[#This Row],[Quality/Quantity]],0)</f>
        <v>325</v>
      </c>
      <c r="J3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4" spans="1:11">
      <c r="A4" t="s">
        <v>8</v>
      </c>
      <c r="B4" t="s">
        <v>9</v>
      </c>
      <c r="C4">
        <v>3</v>
      </c>
      <c r="D4">
        <v>1668</v>
      </c>
      <c r="E4">
        <v>1</v>
      </c>
      <c r="F4" t="s">
        <v>62</v>
      </c>
      <c r="G4" t="s">
        <v>13</v>
      </c>
      <c r="H4">
        <v>0</v>
      </c>
      <c r="I4">
        <f>DropAnalityka[[#This Row],[Sell Drop]]+IF(DropAnalityka[[#This Row],[Drop]]="Scroll", 2000*DropAnalityka[[#This Row],[Quality/Quantity]],0)</f>
        <v>0</v>
      </c>
      <c r="J4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15120</v>
      </c>
    </row>
    <row r="5" spans="1:11">
      <c r="A5" t="s">
        <v>8</v>
      </c>
      <c r="B5" t="s">
        <v>9</v>
      </c>
      <c r="C5">
        <v>3</v>
      </c>
      <c r="D5">
        <v>1008</v>
      </c>
      <c r="E5">
        <v>0</v>
      </c>
      <c r="H5">
        <v>325</v>
      </c>
      <c r="I5">
        <f>DropAnalityka[[#This Row],[Sell Drop]]+IF(DropAnalityka[[#This Row],[Drop]]="Scroll", 2000*DropAnalityka[[#This Row],[Quality/Quantity]],0)</f>
        <v>325</v>
      </c>
      <c r="J5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6" spans="1:11">
      <c r="A6" t="s">
        <v>8</v>
      </c>
      <c r="B6" t="s">
        <v>9</v>
      </c>
      <c r="C6">
        <v>3</v>
      </c>
      <c r="D6">
        <v>1619</v>
      </c>
      <c r="E6">
        <v>1</v>
      </c>
      <c r="H6">
        <v>325</v>
      </c>
      <c r="I6">
        <f>DropAnalityka[[#This Row],[Sell Drop]]+IF(DropAnalityka[[#This Row],[Drop]]="Scroll", 2000*DropAnalityka[[#This Row],[Quality/Quantity]],0)</f>
        <v>325</v>
      </c>
      <c r="J6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7" spans="1:11">
      <c r="A7" t="s">
        <v>8</v>
      </c>
      <c r="B7" t="s">
        <v>9</v>
      </c>
      <c r="C7">
        <v>3</v>
      </c>
      <c r="D7">
        <v>1152</v>
      </c>
      <c r="E7">
        <v>1</v>
      </c>
      <c r="H7">
        <v>720</v>
      </c>
      <c r="I7">
        <f>DropAnalityka[[#This Row],[Sell Drop]]+IF(DropAnalityka[[#This Row],[Drop]]="Scroll", 2000*DropAnalityka[[#This Row],[Quality/Quantity]],0)</f>
        <v>720</v>
      </c>
      <c r="J7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8" spans="1:11">
      <c r="A8" t="s">
        <v>8</v>
      </c>
      <c r="B8" t="s">
        <v>9</v>
      </c>
      <c r="C8">
        <v>3</v>
      </c>
      <c r="D8">
        <v>1007</v>
      </c>
      <c r="E8">
        <v>0</v>
      </c>
      <c r="F8" t="s">
        <v>36</v>
      </c>
      <c r="G8">
        <v>1</v>
      </c>
      <c r="H8">
        <v>0</v>
      </c>
      <c r="I8">
        <f>DropAnalityka[[#This Row],[Sell Drop]]+IF(DropAnalityka[[#This Row],[Drop]]="Scroll", 2000*DropAnalityka[[#This Row],[Quality/Quantity]],0)</f>
        <v>2000</v>
      </c>
      <c r="J8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9" spans="1:11">
      <c r="A9" t="s">
        <v>8</v>
      </c>
      <c r="B9" t="s">
        <v>9</v>
      </c>
      <c r="C9">
        <v>3</v>
      </c>
      <c r="D9">
        <v>1401</v>
      </c>
      <c r="E9">
        <v>0</v>
      </c>
      <c r="F9" t="s">
        <v>62</v>
      </c>
      <c r="G9" t="s">
        <v>13</v>
      </c>
      <c r="H9">
        <v>0</v>
      </c>
      <c r="I9">
        <f>DropAnalityka[[#This Row],[Sell Drop]]+IF(DropAnalityka[[#This Row],[Drop]]="Scroll", 2000*DropAnalityka[[#This Row],[Quality/Quantity]],0)</f>
        <v>0</v>
      </c>
      <c r="J9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15120</v>
      </c>
    </row>
    <row r="10" spans="1:11">
      <c r="A10" t="s">
        <v>8</v>
      </c>
      <c r="B10" t="s">
        <v>9</v>
      </c>
      <c r="C10">
        <v>3</v>
      </c>
      <c r="D10">
        <v>1705</v>
      </c>
      <c r="E10">
        <v>1</v>
      </c>
      <c r="F10" t="s">
        <v>36</v>
      </c>
      <c r="G10">
        <v>1</v>
      </c>
      <c r="H10">
        <v>0</v>
      </c>
      <c r="I10">
        <f>DropAnalityka[[#This Row],[Sell Drop]]+IF(DropAnalityka[[#This Row],[Drop]]="Scroll", 2000*DropAnalityka[[#This Row],[Quality/Quantity]],0)</f>
        <v>2000</v>
      </c>
      <c r="J10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11" spans="1:11">
      <c r="A11" t="s">
        <v>8</v>
      </c>
      <c r="B11" t="s">
        <v>9</v>
      </c>
      <c r="C11">
        <v>3</v>
      </c>
      <c r="D11">
        <v>1033</v>
      </c>
      <c r="E11">
        <v>0</v>
      </c>
      <c r="H11">
        <v>720</v>
      </c>
      <c r="I11">
        <f>DropAnalityka[[#This Row],[Sell Drop]]+IF(DropAnalityka[[#This Row],[Drop]]="Scroll", 2000*DropAnalityka[[#This Row],[Quality/Quantity]],0)</f>
        <v>720</v>
      </c>
      <c r="J11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12" spans="1:11">
      <c r="A12" t="s">
        <v>8</v>
      </c>
      <c r="B12" t="s">
        <v>9</v>
      </c>
      <c r="C12">
        <v>3</v>
      </c>
      <c r="D12">
        <v>645</v>
      </c>
      <c r="E12">
        <v>0</v>
      </c>
      <c r="F12" t="s">
        <v>62</v>
      </c>
      <c r="G12" t="s">
        <v>13</v>
      </c>
      <c r="H12">
        <v>0</v>
      </c>
      <c r="I12">
        <f>DropAnalityka[[#This Row],[Sell Drop]]+IF(DropAnalityka[[#This Row],[Drop]]="Scroll", 2000*DropAnalityka[[#This Row],[Quality/Quantity]],0)</f>
        <v>0</v>
      </c>
      <c r="J12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15120</v>
      </c>
    </row>
    <row r="13" spans="1:11">
      <c r="A13" t="s">
        <v>8</v>
      </c>
      <c r="B13" t="s">
        <v>9</v>
      </c>
      <c r="C13">
        <v>3</v>
      </c>
      <c r="D13">
        <v>1091</v>
      </c>
      <c r="E13">
        <v>4</v>
      </c>
      <c r="H13">
        <v>325</v>
      </c>
      <c r="I13">
        <f>DropAnalityka[[#This Row],[Sell Drop]]+IF(DropAnalityka[[#This Row],[Drop]]="Scroll", 2000*DropAnalityka[[#This Row],[Quality/Quantity]],0)</f>
        <v>325</v>
      </c>
      <c r="J13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14" spans="1:11">
      <c r="A14" t="s">
        <v>8</v>
      </c>
      <c r="B14" t="s">
        <v>9</v>
      </c>
      <c r="C14">
        <v>3</v>
      </c>
      <c r="D14">
        <v>519</v>
      </c>
      <c r="E14">
        <v>2</v>
      </c>
      <c r="H14">
        <v>487</v>
      </c>
      <c r="I14">
        <f>DropAnalityka[[#This Row],[Sell Drop]]+IF(DropAnalityka[[#This Row],[Drop]]="Scroll", 2000*DropAnalityka[[#This Row],[Quality/Quantity]],0)</f>
        <v>487</v>
      </c>
      <c r="J14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15" spans="1:11">
      <c r="A15" t="s">
        <v>8</v>
      </c>
      <c r="B15" t="s">
        <v>9</v>
      </c>
      <c r="C15">
        <v>3</v>
      </c>
      <c r="D15">
        <v>1378</v>
      </c>
      <c r="E15">
        <v>1</v>
      </c>
      <c r="H15">
        <v>325</v>
      </c>
      <c r="I15">
        <f>DropAnalityka[[#This Row],[Sell Drop]]+IF(DropAnalityka[[#This Row],[Drop]]="Scroll", 2000*DropAnalityka[[#This Row],[Quality/Quantity]],0)</f>
        <v>325</v>
      </c>
      <c r="J15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16" spans="1:11">
      <c r="A16" t="s">
        <v>8</v>
      </c>
      <c r="B16" t="s">
        <v>9</v>
      </c>
      <c r="C16">
        <v>3</v>
      </c>
      <c r="D16">
        <v>1455</v>
      </c>
      <c r="E16">
        <v>1</v>
      </c>
      <c r="H16">
        <v>325</v>
      </c>
      <c r="I16">
        <f>DropAnalityka[[#This Row],[Sell Drop]]+IF(DropAnalityka[[#This Row],[Drop]]="Scroll", 2000*DropAnalityka[[#This Row],[Quality/Quantity]],0)</f>
        <v>325</v>
      </c>
      <c r="J16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17" spans="1:10">
      <c r="A17" t="s">
        <v>8</v>
      </c>
      <c r="B17" t="s">
        <v>9</v>
      </c>
      <c r="C17">
        <v>3</v>
      </c>
      <c r="D17">
        <v>790</v>
      </c>
      <c r="E17">
        <v>2</v>
      </c>
      <c r="F17" t="s">
        <v>62</v>
      </c>
      <c r="G17" t="s">
        <v>18</v>
      </c>
      <c r="H17">
        <v>0</v>
      </c>
      <c r="I17">
        <f>DropAnalityka[[#This Row],[Sell Drop]]+IF(DropAnalityka[[#This Row],[Drop]]="Scroll", 2000*DropAnalityka[[#This Row],[Quality/Quantity]],0)</f>
        <v>0</v>
      </c>
      <c r="J17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18" spans="1:10">
      <c r="A18" t="s">
        <v>8</v>
      </c>
      <c r="B18" t="s">
        <v>9</v>
      </c>
      <c r="C18">
        <v>3</v>
      </c>
      <c r="D18">
        <v>1881</v>
      </c>
      <c r="E18">
        <v>2</v>
      </c>
      <c r="F18" t="s">
        <v>36</v>
      </c>
      <c r="G18">
        <v>1</v>
      </c>
      <c r="H18">
        <v>0</v>
      </c>
      <c r="I18">
        <f>DropAnalityka[[#This Row],[Sell Drop]]+IF(DropAnalityka[[#This Row],[Drop]]="Scroll", 2000*DropAnalityka[[#This Row],[Quality/Quantity]],0)</f>
        <v>2000</v>
      </c>
      <c r="J18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19" spans="1:10">
      <c r="A19" t="s">
        <v>8</v>
      </c>
      <c r="B19" t="s">
        <v>9</v>
      </c>
      <c r="C19">
        <v>3</v>
      </c>
      <c r="D19">
        <v>1508</v>
      </c>
      <c r="E19">
        <v>0</v>
      </c>
      <c r="H19">
        <v>325</v>
      </c>
      <c r="I19">
        <f>DropAnalityka[[#This Row],[Sell Drop]]+IF(DropAnalityka[[#This Row],[Drop]]="Scroll", 2000*DropAnalityka[[#This Row],[Quality/Quantity]],0)</f>
        <v>325</v>
      </c>
      <c r="J19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20" spans="1:10">
      <c r="A20" t="s">
        <v>8</v>
      </c>
      <c r="B20" t="s">
        <v>9</v>
      </c>
      <c r="C20">
        <v>3</v>
      </c>
      <c r="D20">
        <v>970</v>
      </c>
      <c r="E20">
        <v>0</v>
      </c>
      <c r="H20">
        <v>433</v>
      </c>
      <c r="I20">
        <f>DropAnalityka[[#This Row],[Sell Drop]]+IF(DropAnalityka[[#This Row],[Drop]]="Scroll", 2000*DropAnalityka[[#This Row],[Quality/Quantity]],0)</f>
        <v>433</v>
      </c>
      <c r="J20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21" spans="1:10">
      <c r="A21" t="s">
        <v>8</v>
      </c>
      <c r="B21" t="s">
        <v>9</v>
      </c>
      <c r="C21">
        <v>3</v>
      </c>
      <c r="D21">
        <v>1863</v>
      </c>
      <c r="E21">
        <v>0</v>
      </c>
      <c r="H21">
        <v>379</v>
      </c>
      <c r="I21">
        <f>DropAnalityka[[#This Row],[Sell Drop]]+IF(DropAnalityka[[#This Row],[Drop]]="Scroll", 2000*DropAnalityka[[#This Row],[Quality/Quantity]],0)</f>
        <v>379</v>
      </c>
      <c r="J21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22" spans="1:10">
      <c r="A22" t="s">
        <v>8</v>
      </c>
      <c r="B22" t="s">
        <v>9</v>
      </c>
      <c r="C22">
        <v>3</v>
      </c>
      <c r="D22">
        <v>1298</v>
      </c>
      <c r="E22">
        <v>1</v>
      </c>
      <c r="F22" t="s">
        <v>62</v>
      </c>
      <c r="G22" t="s">
        <v>18</v>
      </c>
      <c r="H22">
        <v>0</v>
      </c>
      <c r="I22">
        <f>DropAnalityka[[#This Row],[Sell Drop]]+IF(DropAnalityka[[#This Row],[Drop]]="Scroll", 2000*DropAnalityka[[#This Row],[Quality/Quantity]],0)</f>
        <v>0</v>
      </c>
      <c r="J22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23" spans="1:10">
      <c r="A23" t="s">
        <v>8</v>
      </c>
      <c r="B23" t="s">
        <v>9</v>
      </c>
      <c r="C23">
        <v>3</v>
      </c>
      <c r="D23">
        <v>867</v>
      </c>
      <c r="E23">
        <v>2</v>
      </c>
      <c r="H23">
        <v>325</v>
      </c>
      <c r="I23">
        <f>DropAnalityka[[#This Row],[Sell Drop]]+IF(DropAnalityka[[#This Row],[Drop]]="Scroll", 2000*DropAnalityka[[#This Row],[Quality/Quantity]],0)</f>
        <v>325</v>
      </c>
      <c r="J23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24" spans="1:10">
      <c r="A24" t="s">
        <v>8</v>
      </c>
      <c r="B24" t="s">
        <v>9</v>
      </c>
      <c r="C24">
        <v>3</v>
      </c>
      <c r="D24">
        <v>1453</v>
      </c>
      <c r="E24">
        <v>1</v>
      </c>
      <c r="H24">
        <v>325</v>
      </c>
      <c r="I24">
        <f>DropAnalityka[[#This Row],[Sell Drop]]+IF(DropAnalityka[[#This Row],[Drop]]="Scroll", 2000*DropAnalityka[[#This Row],[Quality/Quantity]],0)</f>
        <v>325</v>
      </c>
      <c r="J24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25" spans="1:10">
      <c r="A25" t="s">
        <v>8</v>
      </c>
      <c r="B25" t="s">
        <v>9</v>
      </c>
      <c r="C25">
        <v>3</v>
      </c>
      <c r="D25">
        <v>1293</v>
      </c>
      <c r="E25">
        <v>0</v>
      </c>
      <c r="F25" t="s">
        <v>36</v>
      </c>
      <c r="G25">
        <v>1</v>
      </c>
      <c r="H25">
        <v>0</v>
      </c>
      <c r="I25">
        <f>DropAnalityka[[#This Row],[Sell Drop]]+IF(DropAnalityka[[#This Row],[Drop]]="Scroll", 2000*DropAnalityka[[#This Row],[Quality/Quantity]],0)</f>
        <v>2000</v>
      </c>
      <c r="J25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26" spans="1:10">
      <c r="A26" t="s">
        <v>8</v>
      </c>
      <c r="B26" t="s">
        <v>9</v>
      </c>
      <c r="C26">
        <v>3</v>
      </c>
      <c r="D26">
        <v>1406</v>
      </c>
      <c r="E26">
        <v>0</v>
      </c>
      <c r="H26">
        <v>325</v>
      </c>
      <c r="I26">
        <f>DropAnalityka[[#This Row],[Sell Drop]]+IF(DropAnalityka[[#This Row],[Drop]]="Scroll", 2000*DropAnalityka[[#This Row],[Quality/Quantity]],0)</f>
        <v>325</v>
      </c>
      <c r="J26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27" spans="1:10">
      <c r="A27" t="s">
        <v>8</v>
      </c>
      <c r="B27" t="s">
        <v>9</v>
      </c>
      <c r="C27">
        <v>3</v>
      </c>
      <c r="D27">
        <v>1172</v>
      </c>
      <c r="E27">
        <v>1</v>
      </c>
      <c r="F27" t="s">
        <v>36</v>
      </c>
      <c r="G27">
        <v>1</v>
      </c>
      <c r="H27">
        <v>0</v>
      </c>
      <c r="I27">
        <f>DropAnalityka[[#This Row],[Sell Drop]]+IF(DropAnalityka[[#This Row],[Drop]]="Scroll", 2000*DropAnalityka[[#This Row],[Quality/Quantity]],0)</f>
        <v>2000</v>
      </c>
      <c r="J27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28" spans="1:10">
      <c r="A28" t="s">
        <v>8</v>
      </c>
      <c r="B28" t="s">
        <v>9</v>
      </c>
      <c r="C28">
        <v>3</v>
      </c>
      <c r="D28">
        <v>1517</v>
      </c>
      <c r="E28">
        <v>2</v>
      </c>
      <c r="H28">
        <v>325</v>
      </c>
      <c r="I28">
        <f>DropAnalityka[[#This Row],[Sell Drop]]+IF(DropAnalityka[[#This Row],[Drop]]="Scroll", 2000*DropAnalityka[[#This Row],[Quality/Quantity]],0)</f>
        <v>325</v>
      </c>
      <c r="J28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29" spans="1:10">
      <c r="A29" t="s">
        <v>8</v>
      </c>
      <c r="B29" t="s">
        <v>9</v>
      </c>
      <c r="C29">
        <v>3</v>
      </c>
      <c r="D29">
        <v>679</v>
      </c>
      <c r="E29">
        <v>0</v>
      </c>
      <c r="H29">
        <v>379</v>
      </c>
      <c r="I29">
        <f>DropAnalityka[[#This Row],[Sell Drop]]+IF(DropAnalityka[[#This Row],[Drop]]="Scroll", 2000*DropAnalityka[[#This Row],[Quality/Quantity]],0)</f>
        <v>379</v>
      </c>
      <c r="J29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30" spans="1:10">
      <c r="A30" t="s">
        <v>8</v>
      </c>
      <c r="B30" t="s">
        <v>9</v>
      </c>
      <c r="C30">
        <v>3</v>
      </c>
      <c r="D30">
        <v>1263</v>
      </c>
      <c r="E30">
        <v>0</v>
      </c>
      <c r="H30">
        <v>487</v>
      </c>
      <c r="I30">
        <f>DropAnalityka[[#This Row],[Sell Drop]]+IF(DropAnalityka[[#This Row],[Drop]]="Scroll", 2000*DropAnalityka[[#This Row],[Quality/Quantity]],0)</f>
        <v>487</v>
      </c>
      <c r="J30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31" spans="1:10">
      <c r="A31" t="s">
        <v>8</v>
      </c>
      <c r="B31" t="s">
        <v>9</v>
      </c>
      <c r="C31">
        <v>3</v>
      </c>
      <c r="D31">
        <v>497</v>
      </c>
      <c r="E31">
        <v>1</v>
      </c>
      <c r="F31" t="s">
        <v>36</v>
      </c>
      <c r="G31">
        <v>1</v>
      </c>
      <c r="H31">
        <v>0</v>
      </c>
      <c r="I31">
        <f>DropAnalityka[[#This Row],[Sell Drop]]+IF(DropAnalityka[[#This Row],[Drop]]="Scroll", 2000*DropAnalityka[[#This Row],[Quality/Quantity]],0)</f>
        <v>2000</v>
      </c>
      <c r="J31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32" spans="1:10">
      <c r="A32" t="s">
        <v>8</v>
      </c>
      <c r="B32" t="s">
        <v>9</v>
      </c>
      <c r="C32">
        <v>3</v>
      </c>
      <c r="D32">
        <v>621</v>
      </c>
      <c r="E32">
        <v>1</v>
      </c>
      <c r="H32">
        <v>720</v>
      </c>
      <c r="I32">
        <f>DropAnalityka[[#This Row],[Sell Drop]]+IF(DropAnalityka[[#This Row],[Drop]]="Scroll", 2000*DropAnalityka[[#This Row],[Quality/Quantity]],0)</f>
        <v>720</v>
      </c>
      <c r="J32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33" spans="1:10">
      <c r="A33" t="s">
        <v>8</v>
      </c>
      <c r="B33" t="s">
        <v>9</v>
      </c>
      <c r="C33">
        <v>3</v>
      </c>
      <c r="D33">
        <v>1165</v>
      </c>
      <c r="E33">
        <v>1</v>
      </c>
      <c r="H33">
        <v>325</v>
      </c>
      <c r="I33">
        <f>DropAnalityka[[#This Row],[Sell Drop]]+IF(DropAnalityka[[#This Row],[Drop]]="Scroll", 2000*DropAnalityka[[#This Row],[Quality/Quantity]],0)</f>
        <v>325</v>
      </c>
      <c r="J33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34" spans="1:10">
      <c r="A34" t="s">
        <v>8</v>
      </c>
      <c r="B34" t="s">
        <v>9</v>
      </c>
      <c r="C34">
        <v>3</v>
      </c>
      <c r="D34">
        <v>1390</v>
      </c>
      <c r="E34">
        <v>1</v>
      </c>
      <c r="F34" t="s">
        <v>36</v>
      </c>
      <c r="G34">
        <v>1</v>
      </c>
      <c r="H34">
        <v>0</v>
      </c>
      <c r="I34">
        <f>DropAnalityka[[#This Row],[Sell Drop]]+IF(DropAnalityka[[#This Row],[Drop]]="Scroll", 2000*DropAnalityka[[#This Row],[Quality/Quantity]],0)</f>
        <v>2000</v>
      </c>
      <c r="J34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35" spans="1:10">
      <c r="A35" t="s">
        <v>8</v>
      </c>
      <c r="B35" t="s">
        <v>9</v>
      </c>
      <c r="C35">
        <v>3</v>
      </c>
      <c r="D35">
        <v>999</v>
      </c>
      <c r="E35">
        <v>1</v>
      </c>
      <c r="F35" t="s">
        <v>36</v>
      </c>
      <c r="G35">
        <v>1</v>
      </c>
      <c r="H35">
        <v>0</v>
      </c>
      <c r="I35">
        <f>DropAnalityka[[#This Row],[Sell Drop]]+IF(DropAnalityka[[#This Row],[Drop]]="Scroll", 2000*DropAnalityka[[#This Row],[Quality/Quantity]],0)</f>
        <v>2000</v>
      </c>
      <c r="J35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36" spans="1:10">
      <c r="A36" t="s">
        <v>8</v>
      </c>
      <c r="B36" t="s">
        <v>9</v>
      </c>
      <c r="C36">
        <v>3</v>
      </c>
      <c r="D36">
        <v>1117</v>
      </c>
      <c r="E36">
        <v>2</v>
      </c>
      <c r="H36">
        <v>325</v>
      </c>
      <c r="I36">
        <f>DropAnalityka[[#This Row],[Sell Drop]]+IF(DropAnalityka[[#This Row],[Drop]]="Scroll", 2000*DropAnalityka[[#This Row],[Quality/Quantity]],0)</f>
        <v>325</v>
      </c>
      <c r="J36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37" spans="1:10">
      <c r="A37" t="s">
        <v>8</v>
      </c>
      <c r="B37" t="s">
        <v>9</v>
      </c>
      <c r="C37">
        <v>3</v>
      </c>
      <c r="D37">
        <v>794</v>
      </c>
      <c r="E37">
        <v>1</v>
      </c>
      <c r="H37">
        <v>325</v>
      </c>
      <c r="I37">
        <f>DropAnalityka[[#This Row],[Sell Drop]]+IF(DropAnalityka[[#This Row],[Drop]]="Scroll", 2000*DropAnalityka[[#This Row],[Quality/Quantity]],0)</f>
        <v>325</v>
      </c>
      <c r="J37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38" spans="1:10">
      <c r="A38" t="s">
        <v>8</v>
      </c>
      <c r="B38" t="s">
        <v>9</v>
      </c>
      <c r="C38">
        <v>3</v>
      </c>
      <c r="D38">
        <v>1432</v>
      </c>
      <c r="E38">
        <v>1</v>
      </c>
      <c r="H38">
        <v>325</v>
      </c>
      <c r="I38">
        <f>DropAnalityka[[#This Row],[Sell Drop]]+IF(DropAnalityka[[#This Row],[Drop]]="Scroll", 2000*DropAnalityka[[#This Row],[Quality/Quantity]],0)</f>
        <v>325</v>
      </c>
      <c r="J38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39" spans="1:10">
      <c r="A39" t="s">
        <v>8</v>
      </c>
      <c r="B39" t="s">
        <v>9</v>
      </c>
      <c r="C39">
        <v>3</v>
      </c>
      <c r="D39">
        <v>1485</v>
      </c>
      <c r="E39">
        <v>0</v>
      </c>
      <c r="H39">
        <v>433</v>
      </c>
      <c r="I39">
        <f>DropAnalityka[[#This Row],[Sell Drop]]+IF(DropAnalityka[[#This Row],[Drop]]="Scroll", 2000*DropAnalityka[[#This Row],[Quality/Quantity]],0)</f>
        <v>433</v>
      </c>
      <c r="J39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40" spans="1:10">
      <c r="A40" t="s">
        <v>8</v>
      </c>
      <c r="B40" t="s">
        <v>9</v>
      </c>
      <c r="C40">
        <v>3</v>
      </c>
      <c r="D40">
        <v>1301</v>
      </c>
      <c r="E40">
        <v>1</v>
      </c>
      <c r="H40">
        <v>379</v>
      </c>
      <c r="I40">
        <f>DropAnalityka[[#This Row],[Sell Drop]]+IF(DropAnalityka[[#This Row],[Drop]]="Scroll", 2000*DropAnalityka[[#This Row],[Quality/Quantity]],0)</f>
        <v>379</v>
      </c>
      <c r="J40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41" spans="1:10">
      <c r="A41" t="s">
        <v>8</v>
      </c>
      <c r="B41" t="s">
        <v>9</v>
      </c>
      <c r="C41">
        <v>3</v>
      </c>
      <c r="D41">
        <v>1501</v>
      </c>
      <c r="E41">
        <v>0</v>
      </c>
      <c r="H41">
        <v>720</v>
      </c>
      <c r="I41">
        <f>DropAnalityka[[#This Row],[Sell Drop]]+IF(DropAnalityka[[#This Row],[Drop]]="Scroll", 2000*DropAnalityka[[#This Row],[Quality/Quantity]],0)</f>
        <v>720</v>
      </c>
      <c r="J41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42" spans="1:10">
      <c r="A42" t="s">
        <v>8</v>
      </c>
      <c r="B42" t="s">
        <v>32</v>
      </c>
      <c r="C42">
        <v>3</v>
      </c>
      <c r="D42">
        <v>1470</v>
      </c>
      <c r="E42">
        <v>0</v>
      </c>
      <c r="H42">
        <v>1080</v>
      </c>
      <c r="I42">
        <f>DropAnalityka[[#This Row],[Sell Drop]]+IF(DropAnalityka[[#This Row],[Drop]]="Scroll", 2000*DropAnalityka[[#This Row],[Quality/Quantity]],0)</f>
        <v>1080</v>
      </c>
      <c r="J42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43" spans="1:10">
      <c r="A43" t="s">
        <v>8</v>
      </c>
      <c r="B43" t="s">
        <v>32</v>
      </c>
      <c r="C43">
        <v>3</v>
      </c>
      <c r="D43">
        <v>1058</v>
      </c>
      <c r="E43">
        <v>1</v>
      </c>
      <c r="F43" t="s">
        <v>36</v>
      </c>
      <c r="G43">
        <v>2</v>
      </c>
      <c r="H43">
        <v>0</v>
      </c>
      <c r="I43">
        <f>DropAnalityka[[#This Row],[Sell Drop]]+IF(DropAnalityka[[#This Row],[Drop]]="Scroll", 2000*DropAnalityka[[#This Row],[Quality/Quantity]],0)</f>
        <v>4000</v>
      </c>
      <c r="J43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44" spans="1:10">
      <c r="A44" t="s">
        <v>33</v>
      </c>
      <c r="B44" t="s">
        <v>9</v>
      </c>
      <c r="C44">
        <v>1</v>
      </c>
      <c r="D44">
        <v>1552</v>
      </c>
      <c r="E44">
        <v>2</v>
      </c>
      <c r="H44">
        <v>2128</v>
      </c>
      <c r="I44">
        <f>DropAnalityka[[#This Row],[Sell Drop]]+IF(DropAnalityka[[#This Row],[Drop]]="Scroll", 2000*DropAnalityka[[#This Row],[Quality/Quantity]],0)</f>
        <v>2128</v>
      </c>
      <c r="J44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45" spans="1:10">
      <c r="A45" t="s">
        <v>33</v>
      </c>
      <c r="B45" t="s">
        <v>9</v>
      </c>
      <c r="C45">
        <v>1</v>
      </c>
      <c r="D45">
        <v>1468</v>
      </c>
      <c r="E45">
        <v>1</v>
      </c>
      <c r="F45" t="s">
        <v>36</v>
      </c>
      <c r="G45">
        <v>1</v>
      </c>
      <c r="H45">
        <v>0</v>
      </c>
      <c r="I45">
        <f>DropAnalityka[[#This Row],[Sell Drop]]+IF(DropAnalityka[[#This Row],[Drop]]="Scroll", 2000*DropAnalityka[[#This Row],[Quality/Quantity]],0)</f>
        <v>2000</v>
      </c>
      <c r="J45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46" spans="1:10">
      <c r="A46" t="s">
        <v>33</v>
      </c>
      <c r="B46" t="s">
        <v>9</v>
      </c>
      <c r="C46">
        <v>1</v>
      </c>
      <c r="D46">
        <v>1481</v>
      </c>
      <c r="E46">
        <v>1</v>
      </c>
      <c r="H46">
        <v>0</v>
      </c>
      <c r="I46">
        <f>DropAnalityka[[#This Row],[Sell Drop]]+IF(DropAnalityka[[#This Row],[Drop]]="Scroll", 2000*DropAnalityka[[#This Row],[Quality/Quantity]],0)</f>
        <v>0</v>
      </c>
      <c r="J46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47" spans="1:10">
      <c r="A47" t="s">
        <v>33</v>
      </c>
      <c r="B47" t="s">
        <v>9</v>
      </c>
      <c r="C47">
        <v>1</v>
      </c>
      <c r="D47">
        <v>1928</v>
      </c>
      <c r="E47">
        <v>1</v>
      </c>
      <c r="H47">
        <v>1824</v>
      </c>
      <c r="I47">
        <f>DropAnalityka[[#This Row],[Sell Drop]]+IF(DropAnalityka[[#This Row],[Drop]]="Scroll", 2000*DropAnalityka[[#This Row],[Quality/Quantity]],0)</f>
        <v>1824</v>
      </c>
      <c r="J47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48" spans="1:10">
      <c r="A48" t="s">
        <v>33</v>
      </c>
      <c r="B48" t="s">
        <v>9</v>
      </c>
      <c r="C48">
        <v>1</v>
      </c>
      <c r="D48">
        <v>1273</v>
      </c>
      <c r="E48">
        <v>1</v>
      </c>
      <c r="H48">
        <v>0</v>
      </c>
      <c r="I48">
        <f>DropAnalityka[[#This Row],[Sell Drop]]+IF(DropAnalityka[[#This Row],[Drop]]="Scroll", 2000*DropAnalityka[[#This Row],[Quality/Quantity]],0)</f>
        <v>0</v>
      </c>
      <c r="J48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49" spans="1:10">
      <c r="A49" t="s">
        <v>33</v>
      </c>
      <c r="B49" t="s">
        <v>9</v>
      </c>
      <c r="C49">
        <v>1</v>
      </c>
      <c r="D49">
        <v>698</v>
      </c>
      <c r="E49">
        <v>2</v>
      </c>
      <c r="H49">
        <v>892</v>
      </c>
      <c r="I49">
        <f>DropAnalityka[[#This Row],[Sell Drop]]+IF(DropAnalityka[[#This Row],[Drop]]="Scroll", 2000*DropAnalityka[[#This Row],[Quality/Quantity]],0)</f>
        <v>892</v>
      </c>
      <c r="J49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50" spans="1:10">
      <c r="A50" t="s">
        <v>33</v>
      </c>
      <c r="B50" t="s">
        <v>9</v>
      </c>
      <c r="C50">
        <v>1</v>
      </c>
      <c r="D50">
        <v>1500</v>
      </c>
      <c r="E50">
        <v>1</v>
      </c>
      <c r="H50">
        <v>2128</v>
      </c>
      <c r="I50">
        <f>DropAnalityka[[#This Row],[Sell Drop]]+IF(DropAnalityka[[#This Row],[Drop]]="Scroll", 2000*DropAnalityka[[#This Row],[Quality/Quantity]],0)</f>
        <v>2128</v>
      </c>
      <c r="J50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51" spans="1:10">
      <c r="A51" t="s">
        <v>33</v>
      </c>
      <c r="B51" t="s">
        <v>9</v>
      </c>
      <c r="C51">
        <v>1</v>
      </c>
      <c r="D51">
        <v>310</v>
      </c>
      <c r="E51">
        <v>1</v>
      </c>
      <c r="F51" t="s">
        <v>36</v>
      </c>
      <c r="G51">
        <v>1</v>
      </c>
      <c r="H51">
        <v>0</v>
      </c>
      <c r="I51">
        <f>DropAnalityka[[#This Row],[Sell Drop]]+IF(DropAnalityka[[#This Row],[Drop]]="Scroll", 2000*DropAnalityka[[#This Row],[Quality/Quantity]],0)</f>
        <v>2000</v>
      </c>
      <c r="J51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52" spans="1:10">
      <c r="A52" t="s">
        <v>33</v>
      </c>
      <c r="B52" t="s">
        <v>9</v>
      </c>
      <c r="C52">
        <v>1</v>
      </c>
      <c r="D52">
        <v>1386</v>
      </c>
      <c r="E52">
        <v>0</v>
      </c>
      <c r="H52">
        <v>823</v>
      </c>
      <c r="I52">
        <f>DropAnalityka[[#This Row],[Sell Drop]]+IF(DropAnalityka[[#This Row],[Drop]]="Scroll", 2000*DropAnalityka[[#This Row],[Quality/Quantity]],0)</f>
        <v>823</v>
      </c>
      <c r="J52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53" spans="1:10">
      <c r="A53" t="s">
        <v>33</v>
      </c>
      <c r="B53" t="s">
        <v>9</v>
      </c>
      <c r="C53">
        <v>1</v>
      </c>
      <c r="D53">
        <v>1353</v>
      </c>
      <c r="E53">
        <v>1</v>
      </c>
      <c r="H53">
        <v>1824</v>
      </c>
      <c r="I53">
        <f>DropAnalityka[[#This Row],[Sell Drop]]+IF(DropAnalityka[[#This Row],[Drop]]="Scroll", 2000*DropAnalityka[[#This Row],[Quality/Quantity]],0)</f>
        <v>1824</v>
      </c>
      <c r="J53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54" spans="1:10">
      <c r="A54" t="s">
        <v>33</v>
      </c>
      <c r="B54" t="s">
        <v>9</v>
      </c>
      <c r="C54">
        <v>1</v>
      </c>
      <c r="D54">
        <v>1480</v>
      </c>
      <c r="E54">
        <v>1</v>
      </c>
      <c r="F54" t="s">
        <v>36</v>
      </c>
      <c r="G54">
        <v>1</v>
      </c>
      <c r="H54">
        <v>0</v>
      </c>
      <c r="I54">
        <f>DropAnalityka[[#This Row],[Sell Drop]]+IF(DropAnalityka[[#This Row],[Drop]]="Scroll", 2000*DropAnalityka[[#This Row],[Quality/Quantity]],0)</f>
        <v>2000</v>
      </c>
      <c r="J54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55" spans="1:10">
      <c r="A55" t="s">
        <v>33</v>
      </c>
      <c r="B55" t="s">
        <v>9</v>
      </c>
      <c r="C55">
        <v>1</v>
      </c>
      <c r="D55">
        <v>1618</v>
      </c>
      <c r="E55">
        <v>1</v>
      </c>
      <c r="F55" t="s">
        <v>36</v>
      </c>
      <c r="G55">
        <v>1</v>
      </c>
      <c r="H55">
        <v>0</v>
      </c>
      <c r="I55">
        <f>DropAnalityka[[#This Row],[Sell Drop]]+IF(DropAnalityka[[#This Row],[Drop]]="Scroll", 2000*DropAnalityka[[#This Row],[Quality/Quantity]],0)</f>
        <v>2000</v>
      </c>
      <c r="J55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56" spans="1:10">
      <c r="A56" t="s">
        <v>33</v>
      </c>
      <c r="B56" t="s">
        <v>9</v>
      </c>
      <c r="C56">
        <v>1</v>
      </c>
      <c r="D56">
        <v>1145</v>
      </c>
      <c r="E56">
        <v>3</v>
      </c>
      <c r="H56">
        <v>1824</v>
      </c>
      <c r="I56">
        <f>DropAnalityka[[#This Row],[Sell Drop]]+IF(DropAnalityka[[#This Row],[Drop]]="Scroll", 2000*DropAnalityka[[#This Row],[Quality/Quantity]],0)</f>
        <v>1824</v>
      </c>
      <c r="J56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57" spans="1:10">
      <c r="A57" t="s">
        <v>33</v>
      </c>
      <c r="B57" t="s">
        <v>9</v>
      </c>
      <c r="C57">
        <v>1</v>
      </c>
      <c r="D57">
        <v>1164</v>
      </c>
      <c r="E57">
        <v>0</v>
      </c>
      <c r="H57">
        <v>823</v>
      </c>
      <c r="I57">
        <f>DropAnalityka[[#This Row],[Sell Drop]]+IF(DropAnalityka[[#This Row],[Drop]]="Scroll", 2000*DropAnalityka[[#This Row],[Quality/Quantity]],0)</f>
        <v>823</v>
      </c>
      <c r="J57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58" spans="1:10">
      <c r="A58" t="s">
        <v>8</v>
      </c>
      <c r="B58" t="s">
        <v>32</v>
      </c>
      <c r="C58">
        <v>6</v>
      </c>
      <c r="D58">
        <v>1500</v>
      </c>
      <c r="E58">
        <v>1</v>
      </c>
      <c r="H58">
        <v>1152</v>
      </c>
      <c r="I58">
        <f>DropAnalityka[[#This Row],[Sell Drop]]+IF(DropAnalityka[[#This Row],[Drop]]="Scroll", 2000*DropAnalityka[[#This Row],[Quality/Quantity]],0)</f>
        <v>1152</v>
      </c>
      <c r="J58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59" spans="1:10">
      <c r="A59" t="s">
        <v>33</v>
      </c>
      <c r="B59" t="s">
        <v>9</v>
      </c>
      <c r="C59">
        <v>1</v>
      </c>
      <c r="D59">
        <v>1215</v>
      </c>
      <c r="E59">
        <v>1</v>
      </c>
      <c r="H59">
        <v>823</v>
      </c>
      <c r="I59">
        <f>DropAnalityka[[#This Row],[Sell Drop]]+IF(DropAnalityka[[#This Row],[Drop]]="Scroll", 2000*DropAnalityka[[#This Row],[Quality/Quantity]],0)</f>
        <v>823</v>
      </c>
      <c r="J59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60" spans="1:10">
      <c r="A60" t="s">
        <v>33</v>
      </c>
      <c r="B60" t="s">
        <v>9</v>
      </c>
      <c r="C60">
        <v>1</v>
      </c>
      <c r="D60">
        <v>1268</v>
      </c>
      <c r="E60">
        <v>2</v>
      </c>
      <c r="H60">
        <v>1824</v>
      </c>
      <c r="I60">
        <f>DropAnalityka[[#This Row],[Sell Drop]]+IF(DropAnalityka[[#This Row],[Drop]]="Scroll", 2000*DropAnalityka[[#This Row],[Quality/Quantity]],0)</f>
        <v>1824</v>
      </c>
      <c r="J60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61" spans="1:10">
      <c r="A61" t="s">
        <v>33</v>
      </c>
      <c r="B61" t="s">
        <v>9</v>
      </c>
      <c r="C61">
        <v>1</v>
      </c>
      <c r="D61">
        <v>1694</v>
      </c>
      <c r="E61">
        <v>0</v>
      </c>
      <c r="H61">
        <v>960</v>
      </c>
      <c r="I61">
        <f>DropAnalityka[[#This Row],[Sell Drop]]+IF(DropAnalityka[[#This Row],[Drop]]="Scroll", 2000*DropAnalityka[[#This Row],[Quality/Quantity]],0)</f>
        <v>960</v>
      </c>
      <c r="J61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62" spans="1:10">
      <c r="A62" t="s">
        <v>33</v>
      </c>
      <c r="B62" t="s">
        <v>9</v>
      </c>
      <c r="C62">
        <v>1</v>
      </c>
      <c r="D62">
        <v>1722</v>
      </c>
      <c r="E62">
        <v>1</v>
      </c>
      <c r="H62">
        <v>1824</v>
      </c>
      <c r="I62">
        <f>DropAnalityka[[#This Row],[Sell Drop]]+IF(DropAnalityka[[#This Row],[Drop]]="Scroll", 2000*DropAnalityka[[#This Row],[Quality/Quantity]],0)</f>
        <v>1824</v>
      </c>
      <c r="J62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63" spans="1:10">
      <c r="A63" t="s">
        <v>33</v>
      </c>
      <c r="B63" t="s">
        <v>9</v>
      </c>
      <c r="C63">
        <v>1</v>
      </c>
      <c r="D63">
        <v>852</v>
      </c>
      <c r="E63">
        <v>0</v>
      </c>
      <c r="H63">
        <v>823</v>
      </c>
      <c r="I63">
        <f>DropAnalityka[[#This Row],[Sell Drop]]+IF(DropAnalityka[[#This Row],[Drop]]="Scroll", 2000*DropAnalityka[[#This Row],[Quality/Quantity]],0)</f>
        <v>823</v>
      </c>
      <c r="J63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64" spans="1:10">
      <c r="A64" t="s">
        <v>33</v>
      </c>
      <c r="B64" t="s">
        <v>9</v>
      </c>
      <c r="C64">
        <v>1</v>
      </c>
      <c r="D64">
        <v>1720</v>
      </c>
      <c r="E64">
        <v>1</v>
      </c>
      <c r="H64">
        <v>892</v>
      </c>
      <c r="I64">
        <f>DropAnalityka[[#This Row],[Sell Drop]]+IF(DropAnalityka[[#This Row],[Drop]]="Scroll", 2000*DropAnalityka[[#This Row],[Quality/Quantity]],0)</f>
        <v>892</v>
      </c>
      <c r="J64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65" spans="1:10">
      <c r="A65" t="s">
        <v>33</v>
      </c>
      <c r="B65" t="s">
        <v>9</v>
      </c>
      <c r="C65">
        <v>1</v>
      </c>
      <c r="D65">
        <v>1162</v>
      </c>
      <c r="E65">
        <v>1</v>
      </c>
      <c r="H65">
        <v>823</v>
      </c>
      <c r="I65">
        <f>DropAnalityka[[#This Row],[Sell Drop]]+IF(DropAnalityka[[#This Row],[Drop]]="Scroll", 2000*DropAnalityka[[#This Row],[Quality/Quantity]],0)</f>
        <v>823</v>
      </c>
      <c r="J65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66" spans="1:10">
      <c r="A66" t="s">
        <v>33</v>
      </c>
      <c r="B66" t="s">
        <v>9</v>
      </c>
      <c r="C66">
        <v>1</v>
      </c>
      <c r="D66">
        <v>1888</v>
      </c>
      <c r="E66">
        <v>2</v>
      </c>
      <c r="F66" t="s">
        <v>36</v>
      </c>
      <c r="G66">
        <v>1</v>
      </c>
      <c r="H66">
        <v>0</v>
      </c>
      <c r="I66">
        <f>DropAnalityka[[#This Row],[Sell Drop]]+IF(DropAnalityka[[#This Row],[Drop]]="Scroll", 2000*DropAnalityka[[#This Row],[Quality/Quantity]],0)</f>
        <v>2000</v>
      </c>
      <c r="J66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67" spans="1:10">
      <c r="A67" t="s">
        <v>33</v>
      </c>
      <c r="B67" t="s">
        <v>9</v>
      </c>
      <c r="C67">
        <v>1</v>
      </c>
      <c r="D67">
        <v>703</v>
      </c>
      <c r="E67">
        <v>0</v>
      </c>
      <c r="H67">
        <v>960</v>
      </c>
      <c r="I67">
        <f>DropAnalityka[[#This Row],[Sell Drop]]+IF(DropAnalityka[[#This Row],[Drop]]="Scroll", 2000*DropAnalityka[[#This Row],[Quality/Quantity]],0)</f>
        <v>960</v>
      </c>
      <c r="J67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68" spans="1:10">
      <c r="A68" t="s">
        <v>33</v>
      </c>
      <c r="B68" t="s">
        <v>9</v>
      </c>
      <c r="C68">
        <v>1</v>
      </c>
      <c r="D68">
        <v>1958</v>
      </c>
      <c r="E68">
        <v>2</v>
      </c>
      <c r="F68" t="s">
        <v>36</v>
      </c>
      <c r="G68">
        <v>1</v>
      </c>
      <c r="H68">
        <v>0</v>
      </c>
      <c r="I68">
        <f>DropAnalityka[[#This Row],[Sell Drop]]+IF(DropAnalityka[[#This Row],[Drop]]="Scroll", 2000*DropAnalityka[[#This Row],[Quality/Quantity]],0)</f>
        <v>2000</v>
      </c>
      <c r="J68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69" spans="1:10">
      <c r="A69" t="s">
        <v>33</v>
      </c>
      <c r="B69" t="s">
        <v>9</v>
      </c>
      <c r="C69">
        <v>1</v>
      </c>
      <c r="D69">
        <v>1380</v>
      </c>
      <c r="E69">
        <v>1</v>
      </c>
      <c r="H69">
        <v>823</v>
      </c>
      <c r="I69">
        <f>DropAnalityka[[#This Row],[Sell Drop]]+IF(DropAnalityka[[#This Row],[Drop]]="Scroll", 2000*DropAnalityka[[#This Row],[Quality/Quantity]],0)</f>
        <v>823</v>
      </c>
      <c r="J69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70" spans="1:10">
      <c r="A70" t="s">
        <v>8</v>
      </c>
      <c r="B70" t="s">
        <v>32</v>
      </c>
      <c r="C70">
        <v>3</v>
      </c>
      <c r="D70">
        <v>1241</v>
      </c>
      <c r="E70">
        <v>0</v>
      </c>
      <c r="H70">
        <v>720</v>
      </c>
      <c r="I70">
        <f>DropAnalityka[[#This Row],[Sell Drop]]+IF(DropAnalityka[[#This Row],[Drop]]="Scroll", 2000*DropAnalityka[[#This Row],[Quality/Quantity]],0)</f>
        <v>720</v>
      </c>
      <c r="J70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71" spans="1:10">
      <c r="A71" t="s">
        <v>8</v>
      </c>
      <c r="B71" t="s">
        <v>32</v>
      </c>
      <c r="C71">
        <v>3</v>
      </c>
      <c r="D71">
        <v>2522</v>
      </c>
      <c r="E71">
        <v>2</v>
      </c>
      <c r="F71" t="s">
        <v>62</v>
      </c>
      <c r="G71" t="s">
        <v>13</v>
      </c>
      <c r="H71">
        <v>0</v>
      </c>
      <c r="I71">
        <f>DropAnalityka[[#This Row],[Sell Drop]]+IF(DropAnalityka[[#This Row],[Drop]]="Scroll", 2000*DropAnalityka[[#This Row],[Quality/Quantity]],0)</f>
        <v>0</v>
      </c>
      <c r="J71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15120</v>
      </c>
    </row>
    <row r="72" spans="1:10">
      <c r="A72" t="s">
        <v>8</v>
      </c>
      <c r="B72" t="s">
        <v>32</v>
      </c>
      <c r="C72">
        <v>3</v>
      </c>
      <c r="D72">
        <v>1714</v>
      </c>
      <c r="E72">
        <v>0</v>
      </c>
      <c r="H72">
        <v>720</v>
      </c>
      <c r="I72">
        <f>DropAnalityka[[#This Row],[Sell Drop]]+IF(DropAnalityka[[#This Row],[Drop]]="Scroll", 2000*DropAnalityka[[#This Row],[Quality/Quantity]],0)</f>
        <v>720</v>
      </c>
      <c r="J72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73" spans="1:10">
      <c r="A73" t="s">
        <v>8</v>
      </c>
      <c r="B73" t="s">
        <v>32</v>
      </c>
      <c r="C73">
        <v>3</v>
      </c>
      <c r="D73">
        <v>1068</v>
      </c>
      <c r="E73">
        <v>0</v>
      </c>
      <c r="H73">
        <v>720</v>
      </c>
      <c r="I73">
        <f>DropAnalityka[[#This Row],[Sell Drop]]+IF(DropAnalityka[[#This Row],[Drop]]="Scroll", 2000*DropAnalityka[[#This Row],[Quality/Quantity]],0)</f>
        <v>720</v>
      </c>
      <c r="J73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74" spans="1:10">
      <c r="A74" t="s">
        <v>8</v>
      </c>
      <c r="B74" t="s">
        <v>32</v>
      </c>
      <c r="C74">
        <v>3</v>
      </c>
      <c r="D74">
        <v>1616</v>
      </c>
      <c r="E74">
        <v>0</v>
      </c>
      <c r="H74">
        <v>720</v>
      </c>
      <c r="I74">
        <f>DropAnalityka[[#This Row],[Sell Drop]]+IF(DropAnalityka[[#This Row],[Drop]]="Scroll", 2000*DropAnalityka[[#This Row],[Quality/Quantity]],0)</f>
        <v>720</v>
      </c>
      <c r="J74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75" spans="1:10">
      <c r="A75" t="s">
        <v>8</v>
      </c>
      <c r="B75" t="s">
        <v>32</v>
      </c>
      <c r="C75">
        <v>3</v>
      </c>
      <c r="D75">
        <v>1019</v>
      </c>
      <c r="E75">
        <v>2</v>
      </c>
      <c r="F75" t="s">
        <v>62</v>
      </c>
      <c r="G75" t="s">
        <v>13</v>
      </c>
      <c r="H75">
        <v>0</v>
      </c>
      <c r="I75">
        <f>DropAnalityka[[#This Row],[Sell Drop]]+IF(DropAnalityka[[#This Row],[Drop]]="Scroll", 2000*DropAnalityka[[#This Row],[Quality/Quantity]],0)</f>
        <v>0</v>
      </c>
      <c r="J75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15120</v>
      </c>
    </row>
    <row r="76" spans="1:10">
      <c r="A76" t="s">
        <v>8</v>
      </c>
      <c r="B76" t="s">
        <v>32</v>
      </c>
      <c r="C76">
        <v>3</v>
      </c>
      <c r="D76">
        <v>1705</v>
      </c>
      <c r="E76">
        <v>1</v>
      </c>
      <c r="H76">
        <v>1159</v>
      </c>
      <c r="I76">
        <f>DropAnalityka[[#This Row],[Sell Drop]]+IF(DropAnalityka[[#This Row],[Drop]]="Scroll", 2000*DropAnalityka[[#This Row],[Quality/Quantity]],0)</f>
        <v>1159</v>
      </c>
      <c r="J76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77" spans="1:10">
      <c r="A77" t="s">
        <v>8</v>
      </c>
      <c r="B77" t="s">
        <v>32</v>
      </c>
      <c r="C77">
        <v>3</v>
      </c>
      <c r="D77">
        <v>1196</v>
      </c>
      <c r="E77">
        <v>1</v>
      </c>
      <c r="F77" t="s">
        <v>36</v>
      </c>
      <c r="G77">
        <v>2</v>
      </c>
      <c r="H77">
        <v>0</v>
      </c>
      <c r="I77">
        <f>DropAnalityka[[#This Row],[Sell Drop]]+IF(DropAnalityka[[#This Row],[Drop]]="Scroll", 2000*DropAnalityka[[#This Row],[Quality/Quantity]],0)</f>
        <v>4000</v>
      </c>
      <c r="J77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78" spans="1:10">
      <c r="A78" t="s">
        <v>8</v>
      </c>
      <c r="B78" t="s">
        <v>32</v>
      </c>
      <c r="C78">
        <v>3</v>
      </c>
      <c r="D78">
        <v>780</v>
      </c>
      <c r="E78">
        <v>1</v>
      </c>
      <c r="H78">
        <v>720</v>
      </c>
      <c r="I78">
        <f>DropAnalityka[[#This Row],[Sell Drop]]+IF(DropAnalityka[[#This Row],[Drop]]="Scroll", 2000*DropAnalityka[[#This Row],[Quality/Quantity]],0)</f>
        <v>720</v>
      </c>
      <c r="J78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79" spans="1:10">
      <c r="A79" t="s">
        <v>8</v>
      </c>
      <c r="B79" t="s">
        <v>32</v>
      </c>
      <c r="C79">
        <v>3</v>
      </c>
      <c r="D79">
        <v>1258</v>
      </c>
      <c r="E79">
        <v>0</v>
      </c>
      <c r="H79">
        <v>720</v>
      </c>
      <c r="I79">
        <f>DropAnalityka[[#This Row],[Sell Drop]]+IF(DropAnalityka[[#This Row],[Drop]]="Scroll", 2000*DropAnalityka[[#This Row],[Quality/Quantity]],0)</f>
        <v>720</v>
      </c>
      <c r="J79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80" spans="1:10">
      <c r="A80" t="s">
        <v>8</v>
      </c>
      <c r="B80" t="s">
        <v>9</v>
      </c>
      <c r="C80">
        <v>3</v>
      </c>
      <c r="D80">
        <v>2183</v>
      </c>
      <c r="E80">
        <v>1</v>
      </c>
      <c r="F80" t="s">
        <v>36</v>
      </c>
      <c r="G80">
        <v>1</v>
      </c>
      <c r="H80">
        <v>0</v>
      </c>
      <c r="I80">
        <f>DropAnalityka[[#This Row],[Sell Drop]]+IF(DropAnalityka[[#This Row],[Drop]]="Scroll", 2000*DropAnalityka[[#This Row],[Quality/Quantity]],0)</f>
        <v>2000</v>
      </c>
      <c r="J80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81" spans="1:10">
      <c r="A81" t="s">
        <v>8</v>
      </c>
      <c r="B81" t="s">
        <v>9</v>
      </c>
      <c r="C81">
        <v>3</v>
      </c>
      <c r="D81">
        <v>985</v>
      </c>
      <c r="E81">
        <v>0</v>
      </c>
      <c r="H81">
        <v>720</v>
      </c>
      <c r="I81">
        <f>DropAnalityka[[#This Row],[Sell Drop]]+IF(DropAnalityka[[#This Row],[Drop]]="Scroll", 2000*DropAnalityka[[#This Row],[Quality/Quantity]],0)</f>
        <v>720</v>
      </c>
      <c r="J81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82" spans="1:10">
      <c r="A82" t="s">
        <v>8</v>
      </c>
      <c r="B82" t="s">
        <v>32</v>
      </c>
      <c r="C82">
        <v>3</v>
      </c>
      <c r="D82">
        <v>1518</v>
      </c>
      <c r="E82">
        <v>0</v>
      </c>
      <c r="H82">
        <v>960</v>
      </c>
      <c r="I82">
        <f>DropAnalityka[[#This Row],[Sell Drop]]+IF(DropAnalityka[[#This Row],[Drop]]="Scroll", 2000*DropAnalityka[[#This Row],[Quality/Quantity]],0)</f>
        <v>960</v>
      </c>
      <c r="J82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83" spans="1:10">
      <c r="A83" t="s">
        <v>8</v>
      </c>
      <c r="B83" t="s">
        <v>32</v>
      </c>
      <c r="C83">
        <v>3</v>
      </c>
      <c r="D83">
        <v>1785</v>
      </c>
      <c r="E83">
        <v>3</v>
      </c>
      <c r="H83">
        <v>1159</v>
      </c>
      <c r="I83">
        <f>DropAnalityka[[#This Row],[Sell Drop]]+IF(DropAnalityka[[#This Row],[Drop]]="Scroll", 2000*DropAnalityka[[#This Row],[Quality/Quantity]],0)</f>
        <v>1159</v>
      </c>
      <c r="J83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84" spans="1:10">
      <c r="A84" t="s">
        <v>8</v>
      </c>
      <c r="B84" t="s">
        <v>32</v>
      </c>
      <c r="C84">
        <v>3</v>
      </c>
      <c r="D84">
        <v>1866</v>
      </c>
      <c r="E84">
        <v>3</v>
      </c>
      <c r="F84" t="s">
        <v>36</v>
      </c>
      <c r="G84">
        <v>2</v>
      </c>
      <c r="H84">
        <v>0</v>
      </c>
      <c r="I84">
        <f>DropAnalityka[[#This Row],[Sell Drop]]+IF(DropAnalityka[[#This Row],[Drop]]="Scroll", 2000*DropAnalityka[[#This Row],[Quality/Quantity]],0)</f>
        <v>4000</v>
      </c>
      <c r="J84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85" spans="1:10">
      <c r="A85" t="s">
        <v>8</v>
      </c>
      <c r="B85" t="s">
        <v>32</v>
      </c>
      <c r="C85">
        <v>3</v>
      </c>
      <c r="D85">
        <v>1249</v>
      </c>
      <c r="E85">
        <v>1</v>
      </c>
      <c r="H85">
        <v>1546</v>
      </c>
      <c r="I85">
        <f>DropAnalityka[[#This Row],[Sell Drop]]+IF(DropAnalityka[[#This Row],[Drop]]="Scroll", 2000*DropAnalityka[[#This Row],[Quality/Quantity]],0)</f>
        <v>1546</v>
      </c>
      <c r="J85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86" spans="1:10">
      <c r="A86" t="s">
        <v>8</v>
      </c>
      <c r="B86" t="s">
        <v>32</v>
      </c>
      <c r="C86">
        <v>3</v>
      </c>
      <c r="D86">
        <v>904</v>
      </c>
      <c r="E86">
        <v>0</v>
      </c>
      <c r="H86">
        <v>1159</v>
      </c>
      <c r="I86">
        <f>DropAnalityka[[#This Row],[Sell Drop]]+IF(DropAnalityka[[#This Row],[Drop]]="Scroll", 2000*DropAnalityka[[#This Row],[Quality/Quantity]],0)</f>
        <v>1159</v>
      </c>
      <c r="J86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87" spans="1:10">
      <c r="A87" t="s">
        <v>8</v>
      </c>
      <c r="B87" t="s">
        <v>32</v>
      </c>
      <c r="C87">
        <v>3</v>
      </c>
      <c r="D87">
        <v>1447</v>
      </c>
      <c r="E87">
        <v>0</v>
      </c>
      <c r="F87" t="s">
        <v>36</v>
      </c>
      <c r="G87">
        <v>2</v>
      </c>
      <c r="H87">
        <v>0</v>
      </c>
      <c r="I87">
        <f>DropAnalityka[[#This Row],[Sell Drop]]+IF(DropAnalityka[[#This Row],[Drop]]="Scroll", 2000*DropAnalityka[[#This Row],[Quality/Quantity]],0)</f>
        <v>4000</v>
      </c>
      <c r="J87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88" spans="1:10">
      <c r="A88" t="s">
        <v>8</v>
      </c>
      <c r="B88" t="s">
        <v>32</v>
      </c>
      <c r="C88">
        <v>3</v>
      </c>
      <c r="D88">
        <v>1756</v>
      </c>
      <c r="E88">
        <v>2</v>
      </c>
      <c r="H88">
        <v>720</v>
      </c>
      <c r="I88">
        <f>DropAnalityka[[#This Row],[Sell Drop]]+IF(DropAnalityka[[#This Row],[Drop]]="Scroll", 2000*DropAnalityka[[#This Row],[Quality/Quantity]],0)</f>
        <v>720</v>
      </c>
      <c r="J88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89" spans="1:10">
      <c r="A89" t="s">
        <v>8</v>
      </c>
      <c r="B89" t="s">
        <v>32</v>
      </c>
      <c r="C89">
        <v>3</v>
      </c>
      <c r="D89">
        <v>1070</v>
      </c>
      <c r="E89">
        <v>0</v>
      </c>
      <c r="H89">
        <v>840</v>
      </c>
      <c r="I89">
        <f>DropAnalityka[[#This Row],[Sell Drop]]+IF(DropAnalityka[[#This Row],[Drop]]="Scroll", 2000*DropAnalityka[[#This Row],[Quality/Quantity]],0)</f>
        <v>840</v>
      </c>
      <c r="J89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90" spans="1:10">
      <c r="A90" t="s">
        <v>8</v>
      </c>
      <c r="B90" t="s">
        <v>32</v>
      </c>
      <c r="C90">
        <v>3</v>
      </c>
      <c r="D90">
        <v>1710</v>
      </c>
      <c r="E90">
        <v>0</v>
      </c>
      <c r="F90" t="s">
        <v>36</v>
      </c>
      <c r="G90">
        <v>2</v>
      </c>
      <c r="H90">
        <v>0</v>
      </c>
      <c r="I90">
        <f>DropAnalityka[[#This Row],[Sell Drop]]+IF(DropAnalityka[[#This Row],[Drop]]="Scroll", 2000*DropAnalityka[[#This Row],[Quality/Quantity]],0)</f>
        <v>4000</v>
      </c>
      <c r="J90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91" spans="1:10">
      <c r="A91" t="s">
        <v>8</v>
      </c>
      <c r="B91" t="s">
        <v>32</v>
      </c>
      <c r="C91">
        <v>3</v>
      </c>
      <c r="D91">
        <v>1226</v>
      </c>
      <c r="E91">
        <v>0</v>
      </c>
      <c r="H91">
        <v>1159</v>
      </c>
      <c r="I91">
        <f>DropAnalityka[[#This Row],[Sell Drop]]+IF(DropAnalityka[[#This Row],[Drop]]="Scroll", 2000*DropAnalityka[[#This Row],[Quality/Quantity]],0)</f>
        <v>1159</v>
      </c>
      <c r="J91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92" spans="1:10">
      <c r="A92" t="s">
        <v>8</v>
      </c>
      <c r="B92" t="s">
        <v>32</v>
      </c>
      <c r="C92">
        <v>3</v>
      </c>
      <c r="D92">
        <v>1124</v>
      </c>
      <c r="E92">
        <v>0</v>
      </c>
      <c r="H92">
        <v>1159</v>
      </c>
      <c r="I92">
        <f>DropAnalityka[[#This Row],[Sell Drop]]+IF(DropAnalityka[[#This Row],[Drop]]="Scroll", 2000*DropAnalityka[[#This Row],[Quality/Quantity]],0)</f>
        <v>1159</v>
      </c>
      <c r="J92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93" spans="1:10">
      <c r="A93" t="s">
        <v>8</v>
      </c>
      <c r="B93" t="s">
        <v>32</v>
      </c>
      <c r="C93">
        <v>3</v>
      </c>
      <c r="D93">
        <v>1725</v>
      </c>
      <c r="E93">
        <v>2</v>
      </c>
      <c r="F93" t="s">
        <v>36</v>
      </c>
      <c r="G93">
        <v>2</v>
      </c>
      <c r="H93">
        <v>0</v>
      </c>
      <c r="I93">
        <f>DropAnalityka[[#This Row],[Sell Drop]]+IF(DropAnalityka[[#This Row],[Drop]]="Scroll", 2000*DropAnalityka[[#This Row],[Quality/Quantity]],0)</f>
        <v>4000</v>
      </c>
      <c r="J93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94" spans="1:10">
      <c r="A94" t="s">
        <v>8</v>
      </c>
      <c r="B94" t="s">
        <v>32</v>
      </c>
      <c r="C94">
        <v>3</v>
      </c>
      <c r="D94">
        <v>1933</v>
      </c>
      <c r="E94">
        <v>1</v>
      </c>
      <c r="H94">
        <v>720</v>
      </c>
      <c r="I94">
        <f>DropAnalityka[[#This Row],[Sell Drop]]+IF(DropAnalityka[[#This Row],[Drop]]="Scroll", 2000*DropAnalityka[[#This Row],[Quality/Quantity]],0)</f>
        <v>720</v>
      </c>
      <c r="J94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95" spans="1:10">
      <c r="A95" t="s">
        <v>8</v>
      </c>
      <c r="B95" t="s">
        <v>32</v>
      </c>
      <c r="C95">
        <v>3</v>
      </c>
      <c r="D95">
        <v>1398</v>
      </c>
      <c r="E95">
        <v>2</v>
      </c>
      <c r="F95" t="s">
        <v>36</v>
      </c>
      <c r="G95">
        <v>2</v>
      </c>
      <c r="H95">
        <v>0</v>
      </c>
      <c r="I95">
        <f>DropAnalityka[[#This Row],[Sell Drop]]+IF(DropAnalityka[[#This Row],[Drop]]="Scroll", 2000*DropAnalityka[[#This Row],[Quality/Quantity]],0)</f>
        <v>4000</v>
      </c>
      <c r="J95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96" spans="1:10">
      <c r="A96" t="s">
        <v>8</v>
      </c>
      <c r="B96" t="s">
        <v>32</v>
      </c>
      <c r="C96">
        <v>3</v>
      </c>
      <c r="D96">
        <v>1984</v>
      </c>
      <c r="E96">
        <v>1</v>
      </c>
      <c r="H96">
        <v>720</v>
      </c>
      <c r="I96">
        <f>DropAnalityka[[#This Row],[Sell Drop]]+IF(DropAnalityka[[#This Row],[Drop]]="Scroll", 2000*DropAnalityka[[#This Row],[Quality/Quantity]],0)</f>
        <v>720</v>
      </c>
      <c r="J96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97" spans="1:10">
      <c r="A97" t="s">
        <v>8</v>
      </c>
      <c r="B97" t="s">
        <v>32</v>
      </c>
      <c r="C97">
        <v>3</v>
      </c>
      <c r="D97">
        <v>1093</v>
      </c>
      <c r="E97">
        <v>0</v>
      </c>
      <c r="H97">
        <v>720</v>
      </c>
      <c r="I97">
        <f>DropAnalityka[[#This Row],[Sell Drop]]+IF(DropAnalityka[[#This Row],[Drop]]="Scroll", 2000*DropAnalityka[[#This Row],[Quality/Quantity]],0)</f>
        <v>720</v>
      </c>
      <c r="J97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98" spans="1:10">
      <c r="A98" t="s">
        <v>8</v>
      </c>
      <c r="B98" t="s">
        <v>32</v>
      </c>
      <c r="C98">
        <v>3</v>
      </c>
      <c r="D98">
        <v>1133</v>
      </c>
      <c r="E98">
        <v>2</v>
      </c>
      <c r="H98">
        <v>1159</v>
      </c>
      <c r="I98">
        <f>DropAnalityka[[#This Row],[Sell Drop]]+IF(DropAnalityka[[#This Row],[Drop]]="Scroll", 2000*DropAnalityka[[#This Row],[Quality/Quantity]],0)</f>
        <v>1159</v>
      </c>
      <c r="J98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99" spans="1:10">
      <c r="A99" t="s">
        <v>8</v>
      </c>
      <c r="B99" t="s">
        <v>32</v>
      </c>
      <c r="C99">
        <v>3</v>
      </c>
      <c r="D99">
        <v>1193</v>
      </c>
      <c r="E99">
        <v>2</v>
      </c>
      <c r="H99">
        <v>1546</v>
      </c>
      <c r="I99">
        <f>DropAnalityka[[#This Row],[Sell Drop]]+IF(DropAnalityka[[#This Row],[Drop]]="Scroll", 2000*DropAnalityka[[#This Row],[Quality/Quantity]],0)</f>
        <v>1546</v>
      </c>
      <c r="J99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100" spans="1:10">
      <c r="A100" t="s">
        <v>8</v>
      </c>
      <c r="B100" t="s">
        <v>32</v>
      </c>
      <c r="C100">
        <v>3</v>
      </c>
      <c r="D100">
        <v>1346</v>
      </c>
      <c r="E100">
        <v>1</v>
      </c>
      <c r="F100" t="s">
        <v>36</v>
      </c>
      <c r="G100">
        <v>2</v>
      </c>
      <c r="H100">
        <v>0</v>
      </c>
      <c r="I100">
        <f>DropAnalityka[[#This Row],[Sell Drop]]+IF(DropAnalityka[[#This Row],[Drop]]="Scroll", 2000*DropAnalityka[[#This Row],[Quality/Quantity]],0)</f>
        <v>4000</v>
      </c>
      <c r="J100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101" spans="1:10">
      <c r="A101" t="s">
        <v>33</v>
      </c>
      <c r="B101" t="s">
        <v>9</v>
      </c>
      <c r="C101">
        <v>1</v>
      </c>
      <c r="D101">
        <v>1167</v>
      </c>
      <c r="E101">
        <v>1</v>
      </c>
      <c r="H101">
        <v>2128</v>
      </c>
      <c r="I101">
        <f>DropAnalityka[[#This Row],[Sell Drop]]+IF(DropAnalityka[[#This Row],[Drop]]="Scroll", 2000*DropAnalityka[[#This Row],[Quality/Quantity]],0)</f>
        <v>2128</v>
      </c>
      <c r="J101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102" spans="1:10">
      <c r="A102" t="s">
        <v>33</v>
      </c>
      <c r="B102" t="s">
        <v>9</v>
      </c>
      <c r="C102">
        <v>1</v>
      </c>
      <c r="D102">
        <v>1005</v>
      </c>
      <c r="E102">
        <v>0</v>
      </c>
      <c r="H102">
        <v>1976</v>
      </c>
      <c r="I102">
        <f>DropAnalityka[[#This Row],[Sell Drop]]+IF(DropAnalityka[[#This Row],[Drop]]="Scroll", 2000*DropAnalityka[[#This Row],[Quality/Quantity]],0)</f>
        <v>1976</v>
      </c>
      <c r="J102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103" spans="1:10">
      <c r="A103" t="s">
        <v>33</v>
      </c>
      <c r="B103" t="s">
        <v>9</v>
      </c>
      <c r="C103">
        <v>1</v>
      </c>
      <c r="D103">
        <v>1738</v>
      </c>
      <c r="E103">
        <v>0</v>
      </c>
      <c r="H103">
        <v>1824</v>
      </c>
      <c r="I103">
        <f>DropAnalityka[[#This Row],[Sell Drop]]+IF(DropAnalityka[[#This Row],[Drop]]="Scroll", 2000*DropAnalityka[[#This Row],[Quality/Quantity]],0)</f>
        <v>1824</v>
      </c>
      <c r="J103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104" spans="1:10">
      <c r="A104" t="s">
        <v>33</v>
      </c>
      <c r="B104" t="s">
        <v>9</v>
      </c>
      <c r="C104">
        <v>1</v>
      </c>
      <c r="D104">
        <v>1440</v>
      </c>
      <c r="E104">
        <v>0</v>
      </c>
      <c r="H104">
        <v>823</v>
      </c>
      <c r="I104">
        <f>DropAnalityka[[#This Row],[Sell Drop]]+IF(DropAnalityka[[#This Row],[Drop]]="Scroll", 2000*DropAnalityka[[#This Row],[Quality/Quantity]],0)</f>
        <v>823</v>
      </c>
      <c r="J104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105" spans="1:10">
      <c r="A105" t="s">
        <v>33</v>
      </c>
      <c r="B105" t="s">
        <v>9</v>
      </c>
      <c r="C105">
        <v>1</v>
      </c>
      <c r="D105">
        <v>632</v>
      </c>
      <c r="E105">
        <v>0</v>
      </c>
      <c r="H105">
        <v>1824</v>
      </c>
      <c r="I105">
        <f>DropAnalityka[[#This Row],[Sell Drop]]+IF(DropAnalityka[[#This Row],[Drop]]="Scroll", 2000*DropAnalityka[[#This Row],[Quality/Quantity]],0)</f>
        <v>1824</v>
      </c>
      <c r="J105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106" spans="1:10">
      <c r="A106" t="s">
        <v>33</v>
      </c>
      <c r="B106" t="s">
        <v>9</v>
      </c>
      <c r="C106">
        <v>1</v>
      </c>
      <c r="D106">
        <v>2032</v>
      </c>
      <c r="E106">
        <v>1</v>
      </c>
      <c r="H106">
        <v>2128</v>
      </c>
      <c r="I106">
        <f>DropAnalityka[[#This Row],[Sell Drop]]+IF(DropAnalityka[[#This Row],[Drop]]="Scroll", 2000*DropAnalityka[[#This Row],[Quality/Quantity]],0)</f>
        <v>2128</v>
      </c>
      <c r="J106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107" spans="1:10">
      <c r="A107" t="s">
        <v>33</v>
      </c>
      <c r="B107" t="s">
        <v>9</v>
      </c>
      <c r="C107">
        <v>1</v>
      </c>
      <c r="D107">
        <v>559</v>
      </c>
      <c r="E107">
        <v>0</v>
      </c>
      <c r="H107">
        <v>823</v>
      </c>
      <c r="I107">
        <f>DropAnalityka[[#This Row],[Sell Drop]]+IF(DropAnalityka[[#This Row],[Drop]]="Scroll", 2000*DropAnalityka[[#This Row],[Quality/Quantity]],0)</f>
        <v>823</v>
      </c>
      <c r="J107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108" spans="1:10">
      <c r="A108" t="s">
        <v>33</v>
      </c>
      <c r="B108" t="s">
        <v>9</v>
      </c>
      <c r="C108">
        <v>1</v>
      </c>
      <c r="D108">
        <v>1582</v>
      </c>
      <c r="E108">
        <v>0</v>
      </c>
      <c r="H108">
        <v>1824</v>
      </c>
      <c r="I108">
        <f>DropAnalityka[[#This Row],[Sell Drop]]+IF(DropAnalityka[[#This Row],[Drop]]="Scroll", 2000*DropAnalityka[[#This Row],[Quality/Quantity]],0)</f>
        <v>1824</v>
      </c>
      <c r="J108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109" spans="1:10">
      <c r="A109" t="s">
        <v>33</v>
      </c>
      <c r="B109" t="s">
        <v>9</v>
      </c>
      <c r="C109">
        <v>1</v>
      </c>
      <c r="D109">
        <v>1981</v>
      </c>
      <c r="E109">
        <v>1</v>
      </c>
      <c r="F109" t="s">
        <v>36</v>
      </c>
      <c r="G109">
        <v>1</v>
      </c>
      <c r="H109">
        <v>0</v>
      </c>
      <c r="I109">
        <f>DropAnalityka[[#This Row],[Sell Drop]]+IF(DropAnalityka[[#This Row],[Drop]]="Scroll", 2000*DropAnalityka[[#This Row],[Quality/Quantity]],0)</f>
        <v>2000</v>
      </c>
      <c r="J109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110" spans="1:10">
      <c r="A110" t="s">
        <v>33</v>
      </c>
      <c r="B110" t="s">
        <v>9</v>
      </c>
      <c r="C110">
        <v>1</v>
      </c>
      <c r="D110">
        <v>859</v>
      </c>
      <c r="E110">
        <v>2</v>
      </c>
      <c r="H110">
        <v>1824</v>
      </c>
      <c r="I110">
        <f>DropAnalityka[[#This Row],[Sell Drop]]+IF(DropAnalityka[[#This Row],[Drop]]="Scroll", 2000*DropAnalityka[[#This Row],[Quality/Quantity]],0)</f>
        <v>1824</v>
      </c>
      <c r="J110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111" spans="1:10">
      <c r="A111" t="s">
        <v>33</v>
      </c>
      <c r="B111" t="s">
        <v>9</v>
      </c>
      <c r="C111">
        <v>1</v>
      </c>
      <c r="D111">
        <v>874</v>
      </c>
      <c r="E111">
        <v>0</v>
      </c>
      <c r="H111">
        <v>1824</v>
      </c>
      <c r="I111">
        <f>DropAnalityka[[#This Row],[Sell Drop]]+IF(DropAnalityka[[#This Row],[Drop]]="Scroll", 2000*DropAnalityka[[#This Row],[Quality/Quantity]],0)</f>
        <v>1824</v>
      </c>
      <c r="J111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112" spans="1:10">
      <c r="A112" t="s">
        <v>33</v>
      </c>
      <c r="B112" t="s">
        <v>9</v>
      </c>
      <c r="C112">
        <v>1</v>
      </c>
      <c r="D112">
        <v>1505</v>
      </c>
      <c r="E112">
        <v>0</v>
      </c>
      <c r="H112">
        <v>960</v>
      </c>
      <c r="I112">
        <f>DropAnalityka[[#This Row],[Sell Drop]]+IF(DropAnalityka[[#This Row],[Drop]]="Scroll", 2000*DropAnalityka[[#This Row],[Quality/Quantity]],0)</f>
        <v>960</v>
      </c>
      <c r="J112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113" spans="1:10">
      <c r="A113" t="s">
        <v>33</v>
      </c>
      <c r="B113" t="s">
        <v>9</v>
      </c>
      <c r="C113">
        <v>1</v>
      </c>
      <c r="D113">
        <v>1971</v>
      </c>
      <c r="E113">
        <v>2</v>
      </c>
      <c r="H113">
        <v>823</v>
      </c>
      <c r="I113">
        <f>DropAnalityka[[#This Row],[Sell Drop]]+IF(DropAnalityka[[#This Row],[Drop]]="Scroll", 2000*DropAnalityka[[#This Row],[Quality/Quantity]],0)</f>
        <v>823</v>
      </c>
      <c r="J113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114" spans="1:10">
      <c r="A114" t="s">
        <v>33</v>
      </c>
      <c r="B114" t="s">
        <v>9</v>
      </c>
      <c r="C114">
        <v>1</v>
      </c>
      <c r="D114">
        <v>991</v>
      </c>
      <c r="E114">
        <v>0</v>
      </c>
      <c r="F114" t="s">
        <v>36</v>
      </c>
      <c r="G114">
        <v>1</v>
      </c>
      <c r="H114">
        <v>0</v>
      </c>
      <c r="I114">
        <f>DropAnalityka[[#This Row],[Sell Drop]]+IF(DropAnalityka[[#This Row],[Drop]]="Scroll", 2000*DropAnalityka[[#This Row],[Quality/Quantity]],0)</f>
        <v>2000</v>
      </c>
      <c r="J114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115" spans="1:10">
      <c r="A115" t="s">
        <v>33</v>
      </c>
      <c r="B115" t="s">
        <v>9</v>
      </c>
      <c r="C115">
        <v>1</v>
      </c>
      <c r="D115">
        <v>1762</v>
      </c>
      <c r="E115">
        <v>1</v>
      </c>
      <c r="H115">
        <v>1824</v>
      </c>
      <c r="I115">
        <f>DropAnalityka[[#This Row],[Sell Drop]]+IF(DropAnalityka[[#This Row],[Drop]]="Scroll", 2000*DropAnalityka[[#This Row],[Quality/Quantity]],0)</f>
        <v>1824</v>
      </c>
      <c r="J115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116" spans="1:10">
      <c r="A116" t="s">
        <v>33</v>
      </c>
      <c r="B116" t="s">
        <v>9</v>
      </c>
      <c r="C116">
        <v>1</v>
      </c>
      <c r="D116">
        <v>1178</v>
      </c>
      <c r="E116">
        <v>1</v>
      </c>
      <c r="H116">
        <v>892</v>
      </c>
      <c r="I116">
        <f>DropAnalityka[[#This Row],[Sell Drop]]+IF(DropAnalityka[[#This Row],[Drop]]="Scroll", 2000*DropAnalityka[[#This Row],[Quality/Quantity]],0)</f>
        <v>892</v>
      </c>
      <c r="J116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117" spans="1:10">
      <c r="A117" t="s">
        <v>33</v>
      </c>
      <c r="B117" t="s">
        <v>9</v>
      </c>
      <c r="C117">
        <v>1</v>
      </c>
      <c r="D117">
        <v>1010</v>
      </c>
      <c r="E117">
        <v>0</v>
      </c>
      <c r="F117" t="s">
        <v>36</v>
      </c>
      <c r="G117">
        <v>1</v>
      </c>
      <c r="H117">
        <v>0</v>
      </c>
      <c r="I117">
        <f>DropAnalityka[[#This Row],[Sell Drop]]+IF(DropAnalityka[[#This Row],[Drop]]="Scroll", 2000*DropAnalityka[[#This Row],[Quality/Quantity]],0)</f>
        <v>2000</v>
      </c>
      <c r="J117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118" spans="1:10">
      <c r="A118" t="s">
        <v>8</v>
      </c>
      <c r="B118" t="s">
        <v>32</v>
      </c>
      <c r="C118">
        <v>3</v>
      </c>
      <c r="D118">
        <v>961</v>
      </c>
      <c r="E118">
        <v>0</v>
      </c>
      <c r="H118">
        <v>1159</v>
      </c>
      <c r="I118">
        <f>DropAnalityka[[#This Row],[Sell Drop]]+IF(DropAnalityka[[#This Row],[Drop]]="Scroll", 2000*DropAnalityka[[#This Row],[Quality/Quantity]],0)</f>
        <v>1159</v>
      </c>
      <c r="J118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119" spans="1:10">
      <c r="A119" t="s">
        <v>39</v>
      </c>
      <c r="C119">
        <v>3</v>
      </c>
      <c r="D119">
        <v>1603</v>
      </c>
      <c r="E119">
        <v>1</v>
      </c>
      <c r="H119">
        <v>1752</v>
      </c>
      <c r="I119">
        <f>DropAnalityka[[#This Row],[Sell Drop]]+IF(DropAnalityka[[#This Row],[Drop]]="Scroll", 2000*DropAnalityka[[#This Row],[Quality/Quantity]],0)</f>
        <v>1752</v>
      </c>
      <c r="J119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120" spans="1:10">
      <c r="A120" t="s">
        <v>40</v>
      </c>
      <c r="C120">
        <v>5</v>
      </c>
      <c r="D120">
        <v>1712</v>
      </c>
      <c r="E120">
        <v>2</v>
      </c>
      <c r="F120" t="s">
        <v>66</v>
      </c>
      <c r="G120">
        <v>2</v>
      </c>
      <c r="H120">
        <v>0</v>
      </c>
      <c r="I120">
        <f>DropAnalityka[[#This Row],[Sell Drop]]+IF(DropAnalityka[[#This Row],[Drop]]="Scroll", 2000*DropAnalityka[[#This Row],[Quality/Quantity]],0)</f>
        <v>0</v>
      </c>
      <c r="J120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121" spans="1:10">
      <c r="A121" t="s">
        <v>8</v>
      </c>
      <c r="B121" t="s">
        <v>32</v>
      </c>
      <c r="C121">
        <v>3</v>
      </c>
      <c r="D121">
        <v>532</v>
      </c>
      <c r="E121">
        <v>2</v>
      </c>
      <c r="H121">
        <v>720</v>
      </c>
      <c r="I121">
        <f>DropAnalityka[[#This Row],[Sell Drop]]+IF(DropAnalityka[[#This Row],[Drop]]="Scroll", 2000*DropAnalityka[[#This Row],[Quality/Quantity]],0)</f>
        <v>720</v>
      </c>
      <c r="J121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122" spans="1:10">
      <c r="A122" t="s">
        <v>8</v>
      </c>
      <c r="B122" t="s">
        <v>32</v>
      </c>
      <c r="C122">
        <v>3</v>
      </c>
      <c r="D122">
        <v>1301</v>
      </c>
      <c r="E122">
        <v>0</v>
      </c>
      <c r="H122">
        <v>1739</v>
      </c>
      <c r="I122">
        <f>DropAnalityka[[#This Row],[Sell Drop]]+IF(DropAnalityka[[#This Row],[Drop]]="Scroll", 2000*DropAnalityka[[#This Row],[Quality/Quantity]],0)</f>
        <v>1739</v>
      </c>
      <c r="J122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123" spans="1:10">
      <c r="A123" t="s">
        <v>8</v>
      </c>
      <c r="B123" t="s">
        <v>32</v>
      </c>
      <c r="C123">
        <v>3</v>
      </c>
      <c r="D123">
        <v>1244</v>
      </c>
      <c r="E123">
        <v>0</v>
      </c>
      <c r="H123">
        <v>840</v>
      </c>
      <c r="I123">
        <f>DropAnalityka[[#This Row],[Sell Drop]]+IF(DropAnalityka[[#This Row],[Drop]]="Scroll", 2000*DropAnalityka[[#This Row],[Quality/Quantity]],0)</f>
        <v>840</v>
      </c>
      <c r="J123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124" spans="1:10">
      <c r="A124" t="s">
        <v>8</v>
      </c>
      <c r="B124" t="s">
        <v>32</v>
      </c>
      <c r="C124">
        <v>3</v>
      </c>
      <c r="D124">
        <v>1900</v>
      </c>
      <c r="E124">
        <v>0</v>
      </c>
      <c r="F124" t="s">
        <v>36</v>
      </c>
      <c r="G124">
        <v>2</v>
      </c>
      <c r="H124">
        <v>0</v>
      </c>
      <c r="I124">
        <f>DropAnalityka[[#This Row],[Sell Drop]]+IF(DropAnalityka[[#This Row],[Drop]]="Scroll", 2000*DropAnalityka[[#This Row],[Quality/Quantity]],0)</f>
        <v>4000</v>
      </c>
      <c r="J124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125" spans="1:10">
      <c r="A125" t="s">
        <v>8</v>
      </c>
      <c r="B125" t="s">
        <v>32</v>
      </c>
      <c r="C125">
        <v>3</v>
      </c>
      <c r="D125">
        <v>621</v>
      </c>
      <c r="E125">
        <v>1</v>
      </c>
      <c r="F125" t="s">
        <v>36</v>
      </c>
      <c r="G125">
        <v>2</v>
      </c>
      <c r="H125">
        <v>0</v>
      </c>
      <c r="I125">
        <f>DropAnalityka[[#This Row],[Sell Drop]]+IF(DropAnalityka[[#This Row],[Drop]]="Scroll", 2000*DropAnalityka[[#This Row],[Quality/Quantity]],0)</f>
        <v>4000</v>
      </c>
      <c r="J125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126" spans="1:10">
      <c r="A126" t="s">
        <v>8</v>
      </c>
      <c r="B126" t="s">
        <v>32</v>
      </c>
      <c r="C126">
        <v>3</v>
      </c>
      <c r="D126">
        <v>1299</v>
      </c>
      <c r="E126">
        <v>0</v>
      </c>
      <c r="H126">
        <v>1159</v>
      </c>
      <c r="I126">
        <f>DropAnalityka[[#This Row],[Sell Drop]]+IF(DropAnalityka[[#This Row],[Drop]]="Scroll", 2000*DropAnalityka[[#This Row],[Quality/Quantity]],0)</f>
        <v>1159</v>
      </c>
      <c r="J126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127" spans="1:10">
      <c r="A127" t="s">
        <v>8</v>
      </c>
      <c r="B127" t="s">
        <v>32</v>
      </c>
      <c r="C127">
        <v>3</v>
      </c>
      <c r="D127">
        <v>1187</v>
      </c>
      <c r="E127">
        <v>1</v>
      </c>
      <c r="H127">
        <v>1159</v>
      </c>
      <c r="I127">
        <f>DropAnalityka[[#This Row],[Sell Drop]]+IF(DropAnalityka[[#This Row],[Drop]]="Scroll", 2000*DropAnalityka[[#This Row],[Quality/Quantity]],0)</f>
        <v>1159</v>
      </c>
      <c r="J127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128" spans="1:10">
      <c r="A128" t="s">
        <v>8</v>
      </c>
      <c r="B128" t="s">
        <v>32</v>
      </c>
      <c r="C128">
        <v>3</v>
      </c>
      <c r="D128">
        <v>1395</v>
      </c>
      <c r="E128">
        <v>1</v>
      </c>
      <c r="H128">
        <v>1352</v>
      </c>
      <c r="I128">
        <f>DropAnalityka[[#This Row],[Sell Drop]]+IF(DropAnalityka[[#This Row],[Drop]]="Scroll", 2000*DropAnalityka[[#This Row],[Quality/Quantity]],0)</f>
        <v>1352</v>
      </c>
      <c r="J128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129" spans="1:10">
      <c r="A129" t="s">
        <v>8</v>
      </c>
      <c r="B129" t="s">
        <v>32</v>
      </c>
      <c r="C129">
        <v>3</v>
      </c>
      <c r="D129">
        <v>1797</v>
      </c>
      <c r="E129">
        <v>2</v>
      </c>
      <c r="F129" t="s">
        <v>62</v>
      </c>
      <c r="G129" t="s">
        <v>13</v>
      </c>
      <c r="H129">
        <v>0</v>
      </c>
      <c r="I129">
        <f>DropAnalityka[[#This Row],[Sell Drop]]+IF(DropAnalityka[[#This Row],[Drop]]="Scroll", 2000*DropAnalityka[[#This Row],[Quality/Quantity]],0)</f>
        <v>0</v>
      </c>
      <c r="J129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15120</v>
      </c>
    </row>
    <row r="130" spans="1:10">
      <c r="A130" t="s">
        <v>8</v>
      </c>
      <c r="B130" t="s">
        <v>32</v>
      </c>
      <c r="C130">
        <v>3</v>
      </c>
      <c r="D130">
        <v>1295</v>
      </c>
      <c r="E130">
        <v>0</v>
      </c>
      <c r="F130" t="s">
        <v>36</v>
      </c>
      <c r="G130">
        <v>2</v>
      </c>
      <c r="H130">
        <v>0</v>
      </c>
      <c r="I130">
        <f>DropAnalityka[[#This Row],[Sell Drop]]+IF(DropAnalityka[[#This Row],[Drop]]="Scroll", 2000*DropAnalityka[[#This Row],[Quality/Quantity]],0)</f>
        <v>4000</v>
      </c>
      <c r="J130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131" spans="1:10">
      <c r="A131" t="s">
        <v>8</v>
      </c>
      <c r="B131" t="s">
        <v>32</v>
      </c>
      <c r="C131">
        <v>3</v>
      </c>
      <c r="D131">
        <v>2244</v>
      </c>
      <c r="E131">
        <v>2</v>
      </c>
      <c r="F131" t="s">
        <v>63</v>
      </c>
      <c r="G131" t="s">
        <v>13</v>
      </c>
      <c r="H131">
        <v>0</v>
      </c>
      <c r="I131">
        <f>DropAnalityka[[#This Row],[Sell Drop]]+IF(DropAnalityka[[#This Row],[Drop]]="Scroll", 2000*DropAnalityka[[#This Row],[Quality/Quantity]],0)</f>
        <v>0</v>
      </c>
      <c r="J131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81182</v>
      </c>
    </row>
    <row r="132" spans="1:10">
      <c r="A132" t="s">
        <v>8</v>
      </c>
      <c r="B132" t="s">
        <v>32</v>
      </c>
      <c r="C132">
        <v>3</v>
      </c>
      <c r="D132">
        <v>1719</v>
      </c>
      <c r="E132">
        <v>1</v>
      </c>
      <c r="F132" t="s">
        <v>62</v>
      </c>
      <c r="G132" t="s">
        <v>18</v>
      </c>
      <c r="H132">
        <v>0</v>
      </c>
      <c r="I132">
        <f>DropAnalityka[[#This Row],[Sell Drop]]+IF(DropAnalityka[[#This Row],[Drop]]="Scroll", 2000*DropAnalityka[[#This Row],[Quality/Quantity]],0)</f>
        <v>0</v>
      </c>
      <c r="J132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133" spans="1:10">
      <c r="A133" t="s">
        <v>33</v>
      </c>
      <c r="B133" t="s">
        <v>9</v>
      </c>
      <c r="C133">
        <v>1</v>
      </c>
      <c r="D133">
        <v>677</v>
      </c>
      <c r="E133">
        <v>0</v>
      </c>
      <c r="F133" t="s">
        <v>62</v>
      </c>
      <c r="G133" t="s">
        <v>13</v>
      </c>
      <c r="H133">
        <v>0</v>
      </c>
      <c r="I133">
        <f>DropAnalityka[[#This Row],[Sell Drop]]+IF(DropAnalityka[[#This Row],[Drop]]="Scroll", 2000*DropAnalityka[[#This Row],[Quality/Quantity]],0)</f>
        <v>0</v>
      </c>
      <c r="J133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15120</v>
      </c>
    </row>
    <row r="134" spans="1:10">
      <c r="A134" t="s">
        <v>33</v>
      </c>
      <c r="B134" t="s">
        <v>9</v>
      </c>
      <c r="C134">
        <v>1</v>
      </c>
      <c r="D134">
        <v>1098</v>
      </c>
      <c r="E134">
        <v>2</v>
      </c>
      <c r="H134">
        <v>823</v>
      </c>
      <c r="I134">
        <f>DropAnalityka[[#This Row],[Sell Drop]]+IF(DropAnalityka[[#This Row],[Drop]]="Scroll", 2000*DropAnalityka[[#This Row],[Quality/Quantity]],0)</f>
        <v>823</v>
      </c>
      <c r="J134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135" spans="1:10">
      <c r="A135" t="s">
        <v>33</v>
      </c>
      <c r="B135" t="s">
        <v>9</v>
      </c>
      <c r="C135">
        <v>1</v>
      </c>
      <c r="D135">
        <v>1357</v>
      </c>
      <c r="E135">
        <v>1</v>
      </c>
      <c r="F135" t="s">
        <v>36</v>
      </c>
      <c r="G135">
        <v>1</v>
      </c>
      <c r="H135">
        <v>0</v>
      </c>
      <c r="I135">
        <f>DropAnalityka[[#This Row],[Sell Drop]]+IF(DropAnalityka[[#This Row],[Drop]]="Scroll", 2000*DropAnalityka[[#This Row],[Quality/Quantity]],0)</f>
        <v>2000</v>
      </c>
      <c r="J135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136" spans="1:10">
      <c r="A136" t="s">
        <v>33</v>
      </c>
      <c r="B136" t="s">
        <v>9</v>
      </c>
      <c r="C136">
        <v>1</v>
      </c>
      <c r="D136">
        <v>871</v>
      </c>
      <c r="E136">
        <v>0</v>
      </c>
      <c r="H136">
        <v>823</v>
      </c>
      <c r="I136">
        <f>DropAnalityka[[#This Row],[Sell Drop]]+IF(DropAnalityka[[#This Row],[Drop]]="Scroll", 2000*DropAnalityka[[#This Row],[Quality/Quantity]],0)</f>
        <v>823</v>
      </c>
      <c r="J136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137" spans="1:10">
      <c r="A137" t="s">
        <v>33</v>
      </c>
      <c r="B137" t="s">
        <v>9</v>
      </c>
      <c r="C137">
        <v>1</v>
      </c>
      <c r="D137">
        <v>1258</v>
      </c>
      <c r="E137">
        <v>0</v>
      </c>
      <c r="F137" t="s">
        <v>62</v>
      </c>
      <c r="G137" t="s">
        <v>13</v>
      </c>
      <c r="H137">
        <v>0</v>
      </c>
      <c r="I137">
        <f>DropAnalityka[[#This Row],[Sell Drop]]+IF(DropAnalityka[[#This Row],[Drop]]="Scroll", 2000*DropAnalityka[[#This Row],[Quality/Quantity]],0)</f>
        <v>0</v>
      </c>
      <c r="J137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15120</v>
      </c>
    </row>
    <row r="138" spans="1:10">
      <c r="A138" t="s">
        <v>33</v>
      </c>
      <c r="B138" t="s">
        <v>9</v>
      </c>
      <c r="C138">
        <v>1</v>
      </c>
      <c r="D138">
        <v>1950</v>
      </c>
      <c r="E138">
        <v>1</v>
      </c>
      <c r="H138">
        <v>823</v>
      </c>
      <c r="I138">
        <f>DropAnalityka[[#This Row],[Sell Drop]]+IF(DropAnalityka[[#This Row],[Drop]]="Scroll", 2000*DropAnalityka[[#This Row],[Quality/Quantity]],0)</f>
        <v>823</v>
      </c>
      <c r="J138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139" spans="1:10">
      <c r="A139" t="s">
        <v>33</v>
      </c>
      <c r="B139" t="s">
        <v>9</v>
      </c>
      <c r="C139">
        <v>1</v>
      </c>
      <c r="D139">
        <v>1467</v>
      </c>
      <c r="E139">
        <v>2</v>
      </c>
      <c r="H139">
        <v>823</v>
      </c>
      <c r="I139">
        <f>DropAnalityka[[#This Row],[Sell Drop]]+IF(DropAnalityka[[#This Row],[Drop]]="Scroll", 2000*DropAnalityka[[#This Row],[Quality/Quantity]],0)</f>
        <v>823</v>
      </c>
      <c r="J139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140" spans="1:10">
      <c r="A140" t="s">
        <v>33</v>
      </c>
      <c r="B140" t="s">
        <v>9</v>
      </c>
      <c r="C140">
        <v>1</v>
      </c>
      <c r="D140">
        <v>2122</v>
      </c>
      <c r="E140">
        <v>3</v>
      </c>
      <c r="F140" t="s">
        <v>36</v>
      </c>
      <c r="G140">
        <v>1</v>
      </c>
      <c r="H140">
        <v>0</v>
      </c>
      <c r="I140">
        <f>DropAnalityka[[#This Row],[Sell Drop]]+IF(DropAnalityka[[#This Row],[Drop]]="Scroll", 2000*DropAnalityka[[#This Row],[Quality/Quantity]],0)</f>
        <v>2000</v>
      </c>
      <c r="J140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141" spans="1:10">
      <c r="A141" t="s">
        <v>33</v>
      </c>
      <c r="B141" t="s">
        <v>9</v>
      </c>
      <c r="C141">
        <v>1</v>
      </c>
      <c r="D141">
        <v>1756</v>
      </c>
      <c r="E141">
        <v>0</v>
      </c>
      <c r="H141">
        <v>1824</v>
      </c>
      <c r="I141">
        <f>DropAnalityka[[#This Row],[Sell Drop]]+IF(DropAnalityka[[#This Row],[Drop]]="Scroll", 2000*DropAnalityka[[#This Row],[Quality/Quantity]],0)</f>
        <v>1824</v>
      </c>
      <c r="J141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142" spans="1:10">
      <c r="A142" t="s">
        <v>33</v>
      </c>
      <c r="B142" t="s">
        <v>9</v>
      </c>
      <c r="C142">
        <v>1</v>
      </c>
      <c r="D142">
        <v>1403</v>
      </c>
      <c r="E142">
        <v>2</v>
      </c>
      <c r="H142">
        <v>960</v>
      </c>
      <c r="I142">
        <f>DropAnalityka[[#This Row],[Sell Drop]]+IF(DropAnalityka[[#This Row],[Drop]]="Scroll", 2000*DropAnalityka[[#This Row],[Quality/Quantity]],0)</f>
        <v>960</v>
      </c>
      <c r="J142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143" spans="1:10">
      <c r="A143" t="s">
        <v>33</v>
      </c>
      <c r="B143" t="s">
        <v>9</v>
      </c>
      <c r="C143">
        <v>1</v>
      </c>
      <c r="D143">
        <v>1242</v>
      </c>
      <c r="E143">
        <v>0</v>
      </c>
      <c r="H143">
        <v>823</v>
      </c>
      <c r="I143">
        <f>DropAnalityka[[#This Row],[Sell Drop]]+IF(DropAnalityka[[#This Row],[Drop]]="Scroll", 2000*DropAnalityka[[#This Row],[Quality/Quantity]],0)</f>
        <v>823</v>
      </c>
      <c r="J143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144" spans="1:10">
      <c r="A144" t="s">
        <v>33</v>
      </c>
      <c r="B144" t="s">
        <v>9</v>
      </c>
      <c r="C144">
        <v>1</v>
      </c>
      <c r="D144">
        <v>1482</v>
      </c>
      <c r="E144">
        <v>1</v>
      </c>
      <c r="H144">
        <v>892</v>
      </c>
      <c r="I144">
        <f>DropAnalityka[[#This Row],[Sell Drop]]+IF(DropAnalityka[[#This Row],[Drop]]="Scroll", 2000*DropAnalityka[[#This Row],[Quality/Quantity]],0)</f>
        <v>892</v>
      </c>
      <c r="J144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145" spans="1:10">
      <c r="A145" t="s">
        <v>33</v>
      </c>
      <c r="B145" t="s">
        <v>9</v>
      </c>
      <c r="C145">
        <v>1</v>
      </c>
      <c r="D145">
        <v>908</v>
      </c>
      <c r="E145">
        <v>3</v>
      </c>
      <c r="F145" t="s">
        <v>36</v>
      </c>
      <c r="G145">
        <v>1</v>
      </c>
      <c r="H145">
        <v>0</v>
      </c>
      <c r="I145">
        <f>DropAnalityka[[#This Row],[Sell Drop]]+IF(DropAnalityka[[#This Row],[Drop]]="Scroll", 2000*DropAnalityka[[#This Row],[Quality/Quantity]],0)</f>
        <v>2000</v>
      </c>
      <c r="J145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146" spans="1:10">
      <c r="A146" t="s">
        <v>33</v>
      </c>
      <c r="B146" t="s">
        <v>9</v>
      </c>
      <c r="C146">
        <v>1</v>
      </c>
      <c r="D146">
        <v>1969</v>
      </c>
      <c r="E146">
        <v>0</v>
      </c>
      <c r="H146">
        <v>823</v>
      </c>
      <c r="I146">
        <f>DropAnalityka[[#This Row],[Sell Drop]]+IF(DropAnalityka[[#This Row],[Drop]]="Scroll", 2000*DropAnalityka[[#This Row],[Quality/Quantity]],0)</f>
        <v>823</v>
      </c>
      <c r="J146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147" spans="1:10">
      <c r="A147" t="s">
        <v>33</v>
      </c>
      <c r="B147" t="s">
        <v>9</v>
      </c>
      <c r="C147">
        <v>1</v>
      </c>
      <c r="D147">
        <v>1354</v>
      </c>
      <c r="E147">
        <v>0</v>
      </c>
      <c r="H147">
        <v>1824</v>
      </c>
      <c r="I147">
        <f>DropAnalityka[[#This Row],[Sell Drop]]+IF(DropAnalityka[[#This Row],[Drop]]="Scroll", 2000*DropAnalityka[[#This Row],[Quality/Quantity]],0)</f>
        <v>1824</v>
      </c>
      <c r="J147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148" spans="1:10">
      <c r="A148" t="s">
        <v>33</v>
      </c>
      <c r="B148" t="s">
        <v>9</v>
      </c>
      <c r="C148">
        <v>1</v>
      </c>
      <c r="D148">
        <v>1568</v>
      </c>
      <c r="E148">
        <v>0</v>
      </c>
      <c r="H148">
        <v>823</v>
      </c>
      <c r="I148">
        <f>DropAnalityka[[#This Row],[Sell Drop]]+IF(DropAnalityka[[#This Row],[Drop]]="Scroll", 2000*DropAnalityka[[#This Row],[Quality/Quantity]],0)</f>
        <v>823</v>
      </c>
      <c r="J148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149" spans="1:10">
      <c r="A149" t="s">
        <v>33</v>
      </c>
      <c r="B149" t="s">
        <v>9</v>
      </c>
      <c r="C149">
        <v>1</v>
      </c>
      <c r="D149">
        <v>1520</v>
      </c>
      <c r="E149">
        <v>0</v>
      </c>
      <c r="H149">
        <v>823</v>
      </c>
      <c r="I149">
        <f>DropAnalityka[[#This Row],[Sell Drop]]+IF(DropAnalityka[[#This Row],[Drop]]="Scroll", 2000*DropAnalityka[[#This Row],[Quality/Quantity]],0)</f>
        <v>823</v>
      </c>
      <c r="J149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150" spans="1:10">
      <c r="A150" t="s">
        <v>33</v>
      </c>
      <c r="B150" t="s">
        <v>9</v>
      </c>
      <c r="C150">
        <v>1</v>
      </c>
      <c r="D150">
        <v>1605</v>
      </c>
      <c r="E150">
        <v>0</v>
      </c>
      <c r="F150" t="s">
        <v>36</v>
      </c>
      <c r="G150">
        <v>1</v>
      </c>
      <c r="H150">
        <v>0</v>
      </c>
      <c r="I150">
        <f>DropAnalityka[[#This Row],[Sell Drop]]+IF(DropAnalityka[[#This Row],[Drop]]="Scroll", 2000*DropAnalityka[[#This Row],[Quality/Quantity]],0)</f>
        <v>2000</v>
      </c>
      <c r="J150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151" spans="1:10">
      <c r="A151" t="s">
        <v>33</v>
      </c>
      <c r="B151" t="s">
        <v>9</v>
      </c>
      <c r="C151">
        <v>1</v>
      </c>
      <c r="D151">
        <v>1979</v>
      </c>
      <c r="E151">
        <v>1</v>
      </c>
      <c r="H151">
        <v>1824</v>
      </c>
      <c r="I151">
        <v>1824</v>
      </c>
      <c r="J151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152" spans="1:10">
      <c r="A152" t="s">
        <v>33</v>
      </c>
      <c r="B152" t="s">
        <v>9</v>
      </c>
      <c r="C152">
        <v>1</v>
      </c>
      <c r="D152">
        <v>1846</v>
      </c>
      <c r="E152">
        <v>1</v>
      </c>
      <c r="F152" t="s">
        <v>36</v>
      </c>
      <c r="G152">
        <v>1</v>
      </c>
      <c r="H152">
        <v>0</v>
      </c>
      <c r="I152">
        <f>DropAnalityka[[#This Row],[Sell Drop]]+IF(DropAnalityka[[#This Row],[Drop]]="Scroll", 2000*DropAnalityka[[#This Row],[Quality/Quantity]],0)</f>
        <v>2000</v>
      </c>
      <c r="J152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153" spans="1:10">
      <c r="A153" t="s">
        <v>33</v>
      </c>
      <c r="B153" t="s">
        <v>9</v>
      </c>
      <c r="C153">
        <v>1</v>
      </c>
      <c r="D153">
        <v>1861</v>
      </c>
      <c r="E153">
        <v>1</v>
      </c>
      <c r="H153">
        <v>823</v>
      </c>
      <c r="I153">
        <v>823</v>
      </c>
      <c r="J153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154" spans="1:10">
      <c r="A154" t="s">
        <v>33</v>
      </c>
      <c r="B154" t="s">
        <v>9</v>
      </c>
      <c r="C154">
        <v>1</v>
      </c>
      <c r="D154">
        <v>1519</v>
      </c>
      <c r="E154">
        <v>3</v>
      </c>
      <c r="F154" t="s">
        <v>36</v>
      </c>
      <c r="G154">
        <v>1</v>
      </c>
      <c r="H154">
        <v>0</v>
      </c>
      <c r="I154">
        <f>DropAnalityka[[#This Row],[Sell Drop]]+IF(DropAnalityka[[#This Row],[Drop]]="Scroll", 2000*DropAnalityka[[#This Row],[Quality/Quantity]],0)</f>
        <v>2000</v>
      </c>
      <c r="J154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155" spans="1:10">
      <c r="A155" t="s">
        <v>33</v>
      </c>
      <c r="B155" t="s">
        <v>9</v>
      </c>
      <c r="C155">
        <v>1</v>
      </c>
      <c r="D155">
        <v>1049</v>
      </c>
      <c r="E155">
        <v>1</v>
      </c>
      <c r="H155">
        <v>960</v>
      </c>
      <c r="I155">
        <v>960</v>
      </c>
      <c r="J155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156" spans="1:10">
      <c r="A156" t="s">
        <v>33</v>
      </c>
      <c r="B156" t="s">
        <v>9</v>
      </c>
      <c r="C156">
        <v>1</v>
      </c>
      <c r="D156">
        <v>992</v>
      </c>
      <c r="E156">
        <v>1</v>
      </c>
      <c r="H156">
        <v>2128</v>
      </c>
      <c r="I156">
        <v>2128</v>
      </c>
      <c r="J156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157" spans="1:10">
      <c r="A157" t="s">
        <v>33</v>
      </c>
      <c r="B157" t="s">
        <v>9</v>
      </c>
      <c r="C157">
        <v>1</v>
      </c>
      <c r="D157">
        <v>1441</v>
      </c>
      <c r="E157">
        <v>1</v>
      </c>
      <c r="F157" t="s">
        <v>36</v>
      </c>
      <c r="G157">
        <v>1</v>
      </c>
      <c r="H157">
        <v>0</v>
      </c>
      <c r="I157">
        <f>DropAnalityka[[#This Row],[Sell Drop]]+IF(DropAnalityka[[#This Row],[Drop]]="Scroll", 2000*DropAnalityka[[#This Row],[Quality/Quantity]],0)</f>
        <v>2000</v>
      </c>
      <c r="J157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158" spans="1:10">
      <c r="A158" t="s">
        <v>33</v>
      </c>
      <c r="B158" t="s">
        <v>9</v>
      </c>
      <c r="C158">
        <v>1</v>
      </c>
      <c r="D158">
        <v>1549</v>
      </c>
      <c r="E158">
        <v>1</v>
      </c>
      <c r="H158">
        <v>823</v>
      </c>
      <c r="I158">
        <v>823</v>
      </c>
      <c r="J158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159" spans="1:10">
      <c r="A159" t="s">
        <v>33</v>
      </c>
      <c r="B159" t="s">
        <v>9</v>
      </c>
      <c r="C159">
        <v>1</v>
      </c>
      <c r="D159">
        <v>1078</v>
      </c>
      <c r="E159">
        <v>0</v>
      </c>
      <c r="H159">
        <v>1824</v>
      </c>
      <c r="I159">
        <v>1824</v>
      </c>
      <c r="J159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160" spans="1:10">
      <c r="A160" t="s">
        <v>33</v>
      </c>
      <c r="B160" t="s">
        <v>9</v>
      </c>
      <c r="C160">
        <v>1</v>
      </c>
      <c r="D160">
        <v>1900</v>
      </c>
      <c r="E160">
        <v>1</v>
      </c>
      <c r="F160" t="s">
        <v>36</v>
      </c>
      <c r="G160">
        <v>1</v>
      </c>
      <c r="H160">
        <v>0</v>
      </c>
      <c r="I160">
        <f>DropAnalityka[[#This Row],[Sell Drop]]+IF(DropAnalityka[[#This Row],[Drop]]="Scroll", 2000*DropAnalityka[[#This Row],[Quality/Quantity]],0)</f>
        <v>2000</v>
      </c>
      <c r="J160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161" spans="1:10">
      <c r="A161" t="s">
        <v>33</v>
      </c>
      <c r="B161" t="s">
        <v>9</v>
      </c>
      <c r="C161">
        <v>1</v>
      </c>
      <c r="D161">
        <v>1954</v>
      </c>
      <c r="E161">
        <v>1</v>
      </c>
      <c r="F161" t="s">
        <v>36</v>
      </c>
      <c r="G161">
        <v>1</v>
      </c>
      <c r="H161">
        <v>0</v>
      </c>
      <c r="I161">
        <f>DropAnalityka[[#This Row],[Sell Drop]]+IF(DropAnalityka[[#This Row],[Drop]]="Scroll", 2000*DropAnalityka[[#This Row],[Quality/Quantity]],0)</f>
        <v>2000</v>
      </c>
      <c r="J161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162" spans="1:10">
      <c r="A162" t="s">
        <v>33</v>
      </c>
      <c r="B162" t="s">
        <v>9</v>
      </c>
      <c r="C162">
        <v>1</v>
      </c>
      <c r="D162">
        <v>1261</v>
      </c>
      <c r="E162">
        <v>1</v>
      </c>
      <c r="F162" t="s">
        <v>36</v>
      </c>
      <c r="G162">
        <v>1</v>
      </c>
      <c r="H162">
        <v>0</v>
      </c>
      <c r="I162">
        <f>DropAnalityka[[#This Row],[Sell Drop]]+IF(DropAnalityka[[#This Row],[Drop]]="Scroll", 2000*DropAnalityka[[#This Row],[Quality/Quantity]],0)</f>
        <v>2000</v>
      </c>
      <c r="J162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163" spans="1:10">
      <c r="A163" t="s">
        <v>33</v>
      </c>
      <c r="B163" t="s">
        <v>9</v>
      </c>
      <c r="C163">
        <v>1</v>
      </c>
      <c r="D163">
        <v>1559</v>
      </c>
      <c r="E163">
        <v>1</v>
      </c>
      <c r="F163" t="s">
        <v>62</v>
      </c>
      <c r="G163" t="s">
        <v>13</v>
      </c>
      <c r="H163">
        <v>0</v>
      </c>
      <c r="I163">
        <v>0</v>
      </c>
      <c r="J163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15120</v>
      </c>
    </row>
    <row r="164" spans="1:10">
      <c r="A164" t="s">
        <v>33</v>
      </c>
      <c r="B164" t="s">
        <v>9</v>
      </c>
      <c r="C164">
        <v>1</v>
      </c>
      <c r="D164">
        <v>1232</v>
      </c>
      <c r="E164">
        <v>0</v>
      </c>
      <c r="H164">
        <v>892</v>
      </c>
      <c r="I164">
        <v>892</v>
      </c>
      <c r="J164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165" spans="1:10">
      <c r="A165" t="s">
        <v>33</v>
      </c>
      <c r="B165" t="s">
        <v>9</v>
      </c>
      <c r="C165">
        <v>1</v>
      </c>
      <c r="D165">
        <v>1417</v>
      </c>
      <c r="E165">
        <v>0</v>
      </c>
      <c r="H165">
        <v>823</v>
      </c>
      <c r="I165">
        <v>823</v>
      </c>
      <c r="J165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166" spans="1:10">
      <c r="A166" t="s">
        <v>33</v>
      </c>
      <c r="B166" t="s">
        <v>9</v>
      </c>
      <c r="C166">
        <v>1</v>
      </c>
      <c r="D166">
        <v>1648</v>
      </c>
      <c r="E166">
        <v>2</v>
      </c>
      <c r="F166" t="s">
        <v>36</v>
      </c>
      <c r="G166">
        <v>1</v>
      </c>
      <c r="H166">
        <v>0</v>
      </c>
      <c r="I166">
        <f>DropAnalityka[[#This Row],[Sell Drop]]+IF(DropAnalityka[[#This Row],[Drop]]="Scroll", 2000*DropAnalityka[[#This Row],[Quality/Quantity]],0)</f>
        <v>2000</v>
      </c>
      <c r="J166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167" spans="1:10">
      <c r="A167" t="s">
        <v>33</v>
      </c>
      <c r="B167" t="s">
        <v>9</v>
      </c>
      <c r="C167">
        <v>1</v>
      </c>
      <c r="D167">
        <v>1770</v>
      </c>
      <c r="E167">
        <v>2</v>
      </c>
      <c r="F167" t="s">
        <v>36</v>
      </c>
      <c r="G167">
        <v>1</v>
      </c>
      <c r="H167">
        <v>0</v>
      </c>
      <c r="I167">
        <f>DropAnalityka[[#This Row],[Sell Drop]]+IF(DropAnalityka[[#This Row],[Drop]]="Scroll", 2000*DropAnalityka[[#This Row],[Quality/Quantity]],0)</f>
        <v>2000</v>
      </c>
      <c r="J167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168" spans="1:10">
      <c r="A168" t="s">
        <v>33</v>
      </c>
      <c r="B168" t="s">
        <v>9</v>
      </c>
      <c r="C168">
        <v>1</v>
      </c>
      <c r="D168">
        <v>1391</v>
      </c>
      <c r="E168">
        <v>1</v>
      </c>
      <c r="H168">
        <v>823</v>
      </c>
      <c r="I168">
        <v>823</v>
      </c>
      <c r="J168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169" spans="1:10">
      <c r="A169" t="s">
        <v>33</v>
      </c>
      <c r="B169" t="s">
        <v>9</v>
      </c>
      <c r="C169">
        <v>1</v>
      </c>
      <c r="D169">
        <v>1192</v>
      </c>
      <c r="E169">
        <v>0</v>
      </c>
      <c r="F169" t="s">
        <v>36</v>
      </c>
      <c r="G169">
        <v>1</v>
      </c>
      <c r="H169">
        <v>0</v>
      </c>
      <c r="I169">
        <f>DropAnalityka[[#This Row],[Sell Drop]]+IF(DropAnalityka[[#This Row],[Drop]]="Scroll", 2000*DropAnalityka[[#This Row],[Quality/Quantity]],0)</f>
        <v>2000</v>
      </c>
      <c r="J169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170" spans="1:10">
      <c r="A170" t="s">
        <v>40</v>
      </c>
      <c r="B170" t="s">
        <v>9</v>
      </c>
      <c r="C170">
        <v>4</v>
      </c>
      <c r="D170">
        <v>1346</v>
      </c>
      <c r="E170">
        <v>1</v>
      </c>
      <c r="F170" t="s">
        <v>66</v>
      </c>
      <c r="G170">
        <v>2</v>
      </c>
      <c r="H170">
        <v>0</v>
      </c>
      <c r="I170">
        <v>0</v>
      </c>
      <c r="J170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171" spans="1:10">
      <c r="A171" t="s">
        <v>40</v>
      </c>
      <c r="B171" t="s">
        <v>9</v>
      </c>
      <c r="C171">
        <v>4</v>
      </c>
      <c r="D171">
        <v>1240</v>
      </c>
      <c r="E171">
        <v>0</v>
      </c>
      <c r="F171" t="s">
        <v>36</v>
      </c>
      <c r="G171">
        <v>2</v>
      </c>
      <c r="H171">
        <v>0</v>
      </c>
      <c r="I171">
        <f>DropAnalityka[[#This Row],[Sell Drop]]+IF(DropAnalityka[[#This Row],[Drop]]="Scroll", 2000*DropAnalityka[[#This Row],[Quality/Quantity]],0)</f>
        <v>4000</v>
      </c>
      <c r="J171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172" spans="1:10">
      <c r="A172" t="s">
        <v>40</v>
      </c>
      <c r="B172" t="s">
        <v>9</v>
      </c>
      <c r="C172">
        <v>4</v>
      </c>
      <c r="D172">
        <v>1238</v>
      </c>
      <c r="E172">
        <v>0</v>
      </c>
      <c r="F172" t="s">
        <v>36</v>
      </c>
      <c r="G172">
        <v>3</v>
      </c>
      <c r="H172">
        <v>0</v>
      </c>
      <c r="I172">
        <f>DropAnalityka[[#This Row],[Sell Drop]]+IF(DropAnalityka[[#This Row],[Drop]]="Scroll", 2000*DropAnalityka[[#This Row],[Quality/Quantity]],0)</f>
        <v>6000</v>
      </c>
      <c r="J172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173" spans="1:10">
      <c r="A173" t="s">
        <v>40</v>
      </c>
      <c r="B173" t="s">
        <v>9</v>
      </c>
      <c r="C173">
        <v>4</v>
      </c>
      <c r="D173">
        <v>1236</v>
      </c>
      <c r="E173">
        <v>1</v>
      </c>
      <c r="F173" t="s">
        <v>36</v>
      </c>
      <c r="G173">
        <v>2</v>
      </c>
      <c r="H173">
        <v>0</v>
      </c>
      <c r="I173">
        <f>DropAnalityka[[#This Row],[Sell Drop]]+IF(DropAnalityka[[#This Row],[Drop]]="Scroll", 2000*DropAnalityka[[#This Row],[Quality/Quantity]],0)</f>
        <v>4000</v>
      </c>
      <c r="J173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174" spans="1:10">
      <c r="A174" t="s">
        <v>40</v>
      </c>
      <c r="B174" t="s">
        <v>9</v>
      </c>
      <c r="C174">
        <v>4</v>
      </c>
      <c r="D174">
        <v>1365</v>
      </c>
      <c r="E174">
        <v>1</v>
      </c>
      <c r="F174" t="s">
        <v>65</v>
      </c>
      <c r="G174">
        <v>1</v>
      </c>
      <c r="H174">
        <v>0</v>
      </c>
      <c r="I174">
        <v>0</v>
      </c>
      <c r="J174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175" spans="1:10">
      <c r="A175" t="s">
        <v>40</v>
      </c>
      <c r="B175" t="s">
        <v>9</v>
      </c>
      <c r="C175">
        <v>4</v>
      </c>
      <c r="D175">
        <v>1240</v>
      </c>
      <c r="E175">
        <v>1</v>
      </c>
      <c r="F175" t="s">
        <v>36</v>
      </c>
      <c r="G175">
        <v>3</v>
      </c>
      <c r="H175">
        <v>0</v>
      </c>
      <c r="I175">
        <f>DropAnalityka[[#This Row],[Sell Drop]]+IF(DropAnalityka[[#This Row],[Drop]]="Scroll", 2000*DropAnalityka[[#This Row],[Quality/Quantity]],0)</f>
        <v>6000</v>
      </c>
      <c r="J175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176" spans="1:10">
      <c r="A176" t="s">
        <v>40</v>
      </c>
      <c r="B176" t="s">
        <v>9</v>
      </c>
      <c r="C176">
        <v>4</v>
      </c>
      <c r="D176">
        <v>1209</v>
      </c>
      <c r="E176">
        <v>1</v>
      </c>
      <c r="F176" t="s">
        <v>64</v>
      </c>
      <c r="G176">
        <v>2</v>
      </c>
      <c r="H176">
        <v>0</v>
      </c>
      <c r="I176">
        <v>0</v>
      </c>
      <c r="J176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177" spans="1:10">
      <c r="A177" t="s">
        <v>8</v>
      </c>
      <c r="B177" t="s">
        <v>32</v>
      </c>
      <c r="C177">
        <v>3</v>
      </c>
      <c r="D177">
        <v>1206</v>
      </c>
      <c r="E177">
        <v>0</v>
      </c>
      <c r="J177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178" spans="1:10">
      <c r="A178" t="s">
        <v>67</v>
      </c>
      <c r="B178" t="s">
        <v>34</v>
      </c>
      <c r="C178">
        <v>2</v>
      </c>
      <c r="D178">
        <v>1192</v>
      </c>
      <c r="E178">
        <v>1</v>
      </c>
      <c r="F178" t="s">
        <v>63</v>
      </c>
      <c r="G178" t="s">
        <v>13</v>
      </c>
      <c r="H178">
        <v>0</v>
      </c>
      <c r="I178">
        <v>0</v>
      </c>
      <c r="J178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81182</v>
      </c>
    </row>
    <row r="179" spans="1:10">
      <c r="A179" t="s">
        <v>8</v>
      </c>
      <c r="B179" t="s">
        <v>32</v>
      </c>
      <c r="C179">
        <v>3</v>
      </c>
      <c r="D179">
        <v>1212</v>
      </c>
      <c r="E179">
        <v>2</v>
      </c>
      <c r="H179">
        <v>1352</v>
      </c>
      <c r="I179">
        <v>1352</v>
      </c>
      <c r="J179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180" spans="1:10">
      <c r="A180" t="s">
        <v>8</v>
      </c>
      <c r="B180" t="s">
        <v>32</v>
      </c>
      <c r="C180">
        <v>3</v>
      </c>
      <c r="D180">
        <v>564</v>
      </c>
      <c r="E180">
        <v>0</v>
      </c>
      <c r="F180" t="s">
        <v>62</v>
      </c>
      <c r="G180" t="s">
        <v>13</v>
      </c>
      <c r="H180">
        <v>0</v>
      </c>
      <c r="I180">
        <v>0</v>
      </c>
      <c r="J180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15120</v>
      </c>
    </row>
    <row r="181" spans="1:10">
      <c r="A181" t="s">
        <v>8</v>
      </c>
      <c r="B181" t="s">
        <v>32</v>
      </c>
      <c r="C181">
        <v>3</v>
      </c>
      <c r="D181">
        <v>2224</v>
      </c>
      <c r="E181">
        <v>2</v>
      </c>
      <c r="F181" t="s">
        <v>36</v>
      </c>
      <c r="G181">
        <v>2</v>
      </c>
      <c r="H181">
        <v>0</v>
      </c>
      <c r="I181">
        <f>DropAnalityka[[#This Row],[Sell Drop]]+IF(DropAnalityka[[#This Row],[Drop]]="Scroll", 2000*DropAnalityka[[#This Row],[Quality/Quantity]],0)</f>
        <v>4000</v>
      </c>
      <c r="J181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182" spans="1:10">
      <c r="A182" t="s">
        <v>8</v>
      </c>
      <c r="B182" t="s">
        <v>32</v>
      </c>
      <c r="C182">
        <v>3</v>
      </c>
      <c r="D182">
        <v>1341</v>
      </c>
      <c r="E182">
        <v>1</v>
      </c>
      <c r="F182" t="s">
        <v>62</v>
      </c>
      <c r="G182" t="s">
        <v>18</v>
      </c>
      <c r="H182">
        <v>0</v>
      </c>
      <c r="I182">
        <v>0</v>
      </c>
      <c r="J182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183" spans="1:10">
      <c r="A183" t="s">
        <v>8</v>
      </c>
      <c r="B183" t="s">
        <v>32</v>
      </c>
      <c r="C183">
        <v>3</v>
      </c>
      <c r="D183">
        <v>1482</v>
      </c>
      <c r="E183">
        <v>0</v>
      </c>
      <c r="H183">
        <v>720</v>
      </c>
      <c r="I183">
        <v>720</v>
      </c>
      <c r="J183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184" spans="1:10">
      <c r="A184" t="s">
        <v>8</v>
      </c>
      <c r="B184" t="s">
        <v>32</v>
      </c>
      <c r="C184">
        <v>3</v>
      </c>
      <c r="D184">
        <v>1565</v>
      </c>
      <c r="E184">
        <v>0</v>
      </c>
      <c r="H184">
        <v>720</v>
      </c>
      <c r="I184">
        <v>720</v>
      </c>
      <c r="J184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185" spans="1:10">
      <c r="A185" t="s">
        <v>8</v>
      </c>
      <c r="B185" t="s">
        <v>32</v>
      </c>
      <c r="C185">
        <v>3</v>
      </c>
      <c r="D185">
        <v>1627</v>
      </c>
      <c r="E185">
        <v>0</v>
      </c>
      <c r="F185" t="s">
        <v>36</v>
      </c>
      <c r="G185">
        <v>2</v>
      </c>
      <c r="H185">
        <v>0</v>
      </c>
      <c r="I185">
        <f>DropAnalityka[[#This Row],[Sell Drop]]+IF(DropAnalityka[[#This Row],[Drop]]="Scroll", 2000*DropAnalityka[[#This Row],[Quality/Quantity]],0)</f>
        <v>4000</v>
      </c>
      <c r="J185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186" spans="1:10">
      <c r="A186" t="s">
        <v>8</v>
      </c>
      <c r="B186" t="s">
        <v>34</v>
      </c>
      <c r="C186">
        <v>3</v>
      </c>
      <c r="D186">
        <v>1597</v>
      </c>
      <c r="E186">
        <v>1</v>
      </c>
      <c r="H186">
        <v>2067</v>
      </c>
      <c r="I186">
        <v>2067</v>
      </c>
      <c r="J186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187" spans="1:10">
      <c r="A187" t="s">
        <v>8</v>
      </c>
      <c r="B187" t="s">
        <v>34</v>
      </c>
      <c r="C187">
        <v>3</v>
      </c>
      <c r="D187">
        <v>1772</v>
      </c>
      <c r="E187">
        <v>1</v>
      </c>
      <c r="H187">
        <v>1159</v>
      </c>
      <c r="I187">
        <v>1159</v>
      </c>
      <c r="J187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188" spans="1:10">
      <c r="A188" t="s">
        <v>68</v>
      </c>
      <c r="B188" t="s">
        <v>9</v>
      </c>
      <c r="C188">
        <v>1</v>
      </c>
      <c r="D188">
        <v>1111</v>
      </c>
      <c r="E188">
        <v>1</v>
      </c>
      <c r="H188">
        <v>1824</v>
      </c>
      <c r="I188">
        <v>1824</v>
      </c>
      <c r="J188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189" spans="1:10">
      <c r="A189" t="s">
        <v>68</v>
      </c>
      <c r="B189" t="s">
        <v>9</v>
      </c>
      <c r="C189">
        <v>2</v>
      </c>
      <c r="D189">
        <v>2526</v>
      </c>
      <c r="E189">
        <v>0</v>
      </c>
      <c r="H189">
        <v>866</v>
      </c>
      <c r="I189">
        <v>866</v>
      </c>
      <c r="J189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190" spans="1:10">
      <c r="A190" t="s">
        <v>68</v>
      </c>
      <c r="B190" t="s">
        <v>9</v>
      </c>
      <c r="C190">
        <v>3</v>
      </c>
      <c r="D190">
        <v>1458</v>
      </c>
      <c r="E190">
        <v>0</v>
      </c>
      <c r="H190">
        <v>1440</v>
      </c>
      <c r="I190">
        <v>1440</v>
      </c>
      <c r="J190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191" spans="1:10">
      <c r="A191" t="s">
        <v>68</v>
      </c>
      <c r="B191" t="s">
        <v>9</v>
      </c>
      <c r="C191">
        <v>3</v>
      </c>
      <c r="D191">
        <v>1590</v>
      </c>
      <c r="E191">
        <v>0</v>
      </c>
      <c r="H191">
        <v>1440</v>
      </c>
      <c r="I191">
        <v>1440</v>
      </c>
      <c r="J191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192" spans="1:10">
      <c r="A192" t="s">
        <v>68</v>
      </c>
      <c r="B192" t="s">
        <v>9</v>
      </c>
      <c r="C192">
        <v>1</v>
      </c>
      <c r="D192">
        <v>1062</v>
      </c>
      <c r="E192">
        <v>0</v>
      </c>
      <c r="H192">
        <v>823</v>
      </c>
      <c r="I192">
        <v>823</v>
      </c>
      <c r="J192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193" spans="1:10">
      <c r="A193" t="s">
        <v>68</v>
      </c>
      <c r="B193" t="s">
        <v>9</v>
      </c>
      <c r="C193">
        <v>1</v>
      </c>
      <c r="D193">
        <v>1492</v>
      </c>
      <c r="E193">
        <v>1</v>
      </c>
      <c r="H193">
        <v>1976</v>
      </c>
      <c r="I193">
        <v>1976</v>
      </c>
      <c r="J193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194" spans="1:10">
      <c r="A194" t="s">
        <v>68</v>
      </c>
      <c r="B194" t="s">
        <v>9</v>
      </c>
      <c r="C194">
        <v>1</v>
      </c>
      <c r="D194">
        <v>1482</v>
      </c>
      <c r="E194">
        <v>1</v>
      </c>
      <c r="H194">
        <v>823</v>
      </c>
      <c r="I194">
        <v>823</v>
      </c>
      <c r="J194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195" spans="1:10">
      <c r="A195" t="s">
        <v>68</v>
      </c>
      <c r="B195" t="s">
        <v>9</v>
      </c>
      <c r="C195">
        <v>1</v>
      </c>
      <c r="D195">
        <v>1762</v>
      </c>
      <c r="E195">
        <v>0</v>
      </c>
      <c r="H195">
        <v>823</v>
      </c>
      <c r="I195">
        <v>823</v>
      </c>
      <c r="J195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196" spans="1:10">
      <c r="A196" t="s">
        <v>68</v>
      </c>
      <c r="B196" t="s">
        <v>9</v>
      </c>
      <c r="C196">
        <v>1</v>
      </c>
      <c r="D196">
        <v>1391</v>
      </c>
      <c r="E196">
        <v>1</v>
      </c>
      <c r="H196">
        <v>2128</v>
      </c>
      <c r="I196">
        <v>2128</v>
      </c>
      <c r="J196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197" spans="1:10">
      <c r="A197" t="s">
        <v>68</v>
      </c>
      <c r="B197" t="s">
        <v>9</v>
      </c>
      <c r="C197">
        <v>1</v>
      </c>
      <c r="D197">
        <v>1281</v>
      </c>
      <c r="E197">
        <v>1</v>
      </c>
      <c r="F197" t="s">
        <v>36</v>
      </c>
      <c r="G197">
        <v>1</v>
      </c>
      <c r="H197">
        <v>0</v>
      </c>
      <c r="I197">
        <f>DropAnalityka[[#This Row],[Sell Drop]]+IF(DropAnalityka[[#This Row],[Drop]]="Scroll", 2000*DropAnalityka[[#This Row],[Quality/Quantity]],0)</f>
        <v>2000</v>
      </c>
      <c r="J197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198" spans="1:10">
      <c r="A198" t="s">
        <v>68</v>
      </c>
      <c r="B198" t="s">
        <v>9</v>
      </c>
      <c r="C198">
        <v>1</v>
      </c>
      <c r="D198">
        <v>1169</v>
      </c>
      <c r="E198">
        <v>0</v>
      </c>
      <c r="H198">
        <v>823</v>
      </c>
      <c r="I198">
        <v>823</v>
      </c>
      <c r="J198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199" spans="1:10">
      <c r="A199" t="s">
        <v>68</v>
      </c>
      <c r="B199" t="s">
        <v>9</v>
      </c>
      <c r="C199">
        <v>1</v>
      </c>
      <c r="D199">
        <v>1657</v>
      </c>
      <c r="E199">
        <v>2</v>
      </c>
      <c r="H199">
        <v>892</v>
      </c>
      <c r="I199">
        <v>892</v>
      </c>
      <c r="J199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200" spans="1:10">
      <c r="A200" t="s">
        <v>68</v>
      </c>
      <c r="B200" t="s">
        <v>9</v>
      </c>
      <c r="C200">
        <v>1</v>
      </c>
      <c r="D200">
        <v>1214</v>
      </c>
      <c r="E200">
        <v>0</v>
      </c>
      <c r="F200" t="s">
        <v>36</v>
      </c>
      <c r="G200">
        <v>1</v>
      </c>
      <c r="H200">
        <v>0</v>
      </c>
      <c r="I200">
        <f>DropAnalityka[[#This Row],[Sell Drop]]+IF(DropAnalityka[[#This Row],[Drop]]="Scroll", 2000*DropAnalityka[[#This Row],[Quality/Quantity]],0)</f>
        <v>2000</v>
      </c>
      <c r="J200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201" spans="1:10">
      <c r="A201" t="s">
        <v>68</v>
      </c>
      <c r="B201" t="s">
        <v>9</v>
      </c>
      <c r="C201">
        <v>1</v>
      </c>
      <c r="D201">
        <v>1156</v>
      </c>
      <c r="E201">
        <v>0</v>
      </c>
      <c r="F201" t="s">
        <v>36</v>
      </c>
      <c r="G201">
        <v>1</v>
      </c>
      <c r="H201">
        <v>0</v>
      </c>
      <c r="I201">
        <f>DropAnalityka[[#This Row],[Sell Drop]]+IF(DropAnalityka[[#This Row],[Drop]]="Scroll", 2000*DropAnalityka[[#This Row],[Quality/Quantity]],0)</f>
        <v>2000</v>
      </c>
      <c r="J201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202" spans="1:10">
      <c r="A202" t="s">
        <v>68</v>
      </c>
      <c r="B202" t="s">
        <v>9</v>
      </c>
      <c r="C202">
        <v>1</v>
      </c>
      <c r="D202">
        <v>1190</v>
      </c>
      <c r="E202">
        <v>2</v>
      </c>
      <c r="H202">
        <v>823</v>
      </c>
      <c r="I202">
        <v>823</v>
      </c>
      <c r="J202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203" spans="1:10">
      <c r="A203" t="s">
        <v>68</v>
      </c>
      <c r="B203" t="s">
        <v>9</v>
      </c>
      <c r="C203">
        <v>1</v>
      </c>
      <c r="D203">
        <v>2017</v>
      </c>
      <c r="E203">
        <v>0</v>
      </c>
      <c r="H203">
        <v>960</v>
      </c>
      <c r="I203">
        <v>960</v>
      </c>
      <c r="J203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204" spans="1:10">
      <c r="A204" t="s">
        <v>68</v>
      </c>
      <c r="B204" t="s">
        <v>9</v>
      </c>
      <c r="C204">
        <v>1</v>
      </c>
      <c r="D204">
        <v>1407</v>
      </c>
      <c r="E204">
        <v>0</v>
      </c>
      <c r="H204">
        <v>2128</v>
      </c>
      <c r="I204">
        <v>2128</v>
      </c>
      <c r="J204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205" spans="1:10">
      <c r="A205" t="s">
        <v>68</v>
      </c>
      <c r="B205" t="s">
        <v>9</v>
      </c>
      <c r="C205">
        <v>1</v>
      </c>
      <c r="D205">
        <v>710</v>
      </c>
      <c r="E205">
        <v>1</v>
      </c>
      <c r="H205">
        <v>892</v>
      </c>
      <c r="I205">
        <v>892</v>
      </c>
      <c r="J205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206" spans="1:10">
      <c r="A206" t="s">
        <v>68</v>
      </c>
      <c r="B206" t="s">
        <v>9</v>
      </c>
      <c r="C206">
        <v>1</v>
      </c>
      <c r="D206">
        <v>1242</v>
      </c>
      <c r="E206">
        <v>4</v>
      </c>
      <c r="H206">
        <v>960</v>
      </c>
      <c r="I206">
        <v>960</v>
      </c>
      <c r="J206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207" spans="1:10">
      <c r="A207" t="s">
        <v>68</v>
      </c>
      <c r="B207" t="s">
        <v>9</v>
      </c>
      <c r="C207">
        <v>1</v>
      </c>
      <c r="D207">
        <v>1757</v>
      </c>
      <c r="E207">
        <v>3</v>
      </c>
      <c r="H207">
        <v>2280</v>
      </c>
      <c r="I207">
        <v>2280</v>
      </c>
      <c r="J207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208" spans="1:10">
      <c r="A208" t="s">
        <v>68</v>
      </c>
      <c r="B208" t="s">
        <v>9</v>
      </c>
      <c r="C208">
        <v>1</v>
      </c>
      <c r="D208">
        <v>1460</v>
      </c>
      <c r="E208">
        <v>1</v>
      </c>
      <c r="H208">
        <v>823</v>
      </c>
      <c r="I208">
        <v>823</v>
      </c>
      <c r="J208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209" spans="1:10">
      <c r="A209" t="s">
        <v>68</v>
      </c>
      <c r="B209" t="s">
        <v>9</v>
      </c>
      <c r="C209">
        <v>1</v>
      </c>
      <c r="D209">
        <v>1307</v>
      </c>
      <c r="E209">
        <v>1</v>
      </c>
      <c r="H209">
        <v>823</v>
      </c>
      <c r="I209">
        <v>823</v>
      </c>
      <c r="J209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210" spans="1:10">
      <c r="A210" t="s">
        <v>68</v>
      </c>
      <c r="B210" t="s">
        <v>9</v>
      </c>
      <c r="C210">
        <v>1</v>
      </c>
      <c r="D210">
        <v>1260</v>
      </c>
      <c r="E210">
        <v>1</v>
      </c>
      <c r="H210">
        <v>892</v>
      </c>
      <c r="I210">
        <v>892</v>
      </c>
      <c r="J210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211" spans="1:10">
      <c r="A211" t="s">
        <v>68</v>
      </c>
      <c r="B211" t="s">
        <v>9</v>
      </c>
      <c r="C211">
        <v>1</v>
      </c>
      <c r="D211">
        <v>1859</v>
      </c>
      <c r="E211">
        <v>1</v>
      </c>
      <c r="H211">
        <v>823</v>
      </c>
      <c r="I211">
        <v>823</v>
      </c>
      <c r="J211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212" spans="1:10">
      <c r="A212" t="s">
        <v>68</v>
      </c>
      <c r="B212" t="s">
        <v>9</v>
      </c>
      <c r="C212">
        <v>1</v>
      </c>
      <c r="D212">
        <v>1744</v>
      </c>
      <c r="E212">
        <v>0</v>
      </c>
      <c r="H212">
        <v>823</v>
      </c>
      <c r="I212">
        <v>823</v>
      </c>
      <c r="J212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213" spans="1:10">
      <c r="A213" t="s">
        <v>68</v>
      </c>
      <c r="B213" t="s">
        <v>9</v>
      </c>
      <c r="C213">
        <v>1</v>
      </c>
      <c r="D213">
        <v>1711</v>
      </c>
      <c r="E213">
        <v>1</v>
      </c>
      <c r="H213">
        <v>2280</v>
      </c>
      <c r="I213">
        <v>2280</v>
      </c>
      <c r="J213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214" spans="1:10">
      <c r="A214" t="s">
        <v>68</v>
      </c>
      <c r="B214" t="s">
        <v>9</v>
      </c>
      <c r="C214">
        <v>1</v>
      </c>
      <c r="D214">
        <v>693</v>
      </c>
      <c r="E214">
        <v>1</v>
      </c>
      <c r="H214">
        <v>2128</v>
      </c>
      <c r="I214">
        <v>2128</v>
      </c>
      <c r="J214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215" spans="1:10">
      <c r="A215" t="s">
        <v>68</v>
      </c>
      <c r="B215" t="s">
        <v>9</v>
      </c>
      <c r="C215">
        <v>1</v>
      </c>
      <c r="D215">
        <v>1404</v>
      </c>
      <c r="E215">
        <v>0</v>
      </c>
      <c r="F215" t="s">
        <v>62</v>
      </c>
      <c r="G215" t="s">
        <v>13</v>
      </c>
      <c r="H215">
        <v>0</v>
      </c>
      <c r="I215">
        <v>0</v>
      </c>
      <c r="J215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15120</v>
      </c>
    </row>
    <row r="216" spans="1:10">
      <c r="A216" t="s">
        <v>68</v>
      </c>
      <c r="B216" t="s">
        <v>9</v>
      </c>
      <c r="C216">
        <v>1</v>
      </c>
      <c r="D216">
        <v>1291</v>
      </c>
      <c r="E216">
        <v>1</v>
      </c>
      <c r="F216" t="s">
        <v>36</v>
      </c>
      <c r="G216">
        <v>1</v>
      </c>
      <c r="H216">
        <v>0</v>
      </c>
      <c r="I216">
        <f>DropAnalityka[[#This Row],[Sell Drop]]+IF(DropAnalityka[[#This Row],[Drop]]="Scroll", 2000*DropAnalityka[[#This Row],[Quality/Quantity]],0)</f>
        <v>2000</v>
      </c>
      <c r="J216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217" spans="1:10">
      <c r="A217" t="s">
        <v>68</v>
      </c>
      <c r="B217" t="s">
        <v>9</v>
      </c>
      <c r="C217">
        <v>1</v>
      </c>
      <c r="D217">
        <v>1391</v>
      </c>
      <c r="E217">
        <v>2</v>
      </c>
      <c r="F217" t="s">
        <v>62</v>
      </c>
      <c r="G217" t="s">
        <v>13</v>
      </c>
      <c r="H217">
        <v>0</v>
      </c>
      <c r="I217">
        <v>0</v>
      </c>
      <c r="J217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15120</v>
      </c>
    </row>
    <row r="218" spans="1:10">
      <c r="A218" t="s">
        <v>68</v>
      </c>
      <c r="B218" t="s">
        <v>9</v>
      </c>
      <c r="C218">
        <v>1</v>
      </c>
      <c r="D218">
        <v>2322</v>
      </c>
      <c r="E218">
        <v>1</v>
      </c>
      <c r="H218">
        <v>892</v>
      </c>
      <c r="I218">
        <v>892</v>
      </c>
      <c r="J218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219" spans="1:10">
      <c r="A219" t="s">
        <v>68</v>
      </c>
      <c r="B219" t="s">
        <v>9</v>
      </c>
      <c r="C219">
        <v>1</v>
      </c>
      <c r="D219">
        <v>1538</v>
      </c>
      <c r="E219">
        <v>2</v>
      </c>
      <c r="H219">
        <v>823</v>
      </c>
      <c r="I219">
        <v>823</v>
      </c>
      <c r="J219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220" spans="1:10">
      <c r="A220" t="s">
        <v>68</v>
      </c>
      <c r="B220" t="s">
        <v>9</v>
      </c>
      <c r="C220">
        <v>1</v>
      </c>
      <c r="D220">
        <v>686</v>
      </c>
      <c r="E220">
        <v>0</v>
      </c>
      <c r="H220">
        <v>823</v>
      </c>
      <c r="I220">
        <v>823</v>
      </c>
      <c r="J220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221" spans="1:10">
      <c r="A221" t="s">
        <v>68</v>
      </c>
      <c r="B221" t="s">
        <v>9</v>
      </c>
      <c r="C221">
        <v>1</v>
      </c>
      <c r="D221">
        <v>1437</v>
      </c>
      <c r="E221">
        <v>1</v>
      </c>
      <c r="F221" t="s">
        <v>36</v>
      </c>
      <c r="G221">
        <v>1</v>
      </c>
      <c r="H221">
        <v>0</v>
      </c>
      <c r="I221">
        <f>DropAnalityka[[#This Row],[Sell Drop]]+IF(DropAnalityka[[#This Row],[Drop]]="Scroll", 2000*DropAnalityka[[#This Row],[Quality/Quantity]],0)</f>
        <v>2000</v>
      </c>
      <c r="J221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222" spans="1:10">
      <c r="A222" t="s">
        <v>68</v>
      </c>
      <c r="B222" t="s">
        <v>9</v>
      </c>
      <c r="C222">
        <v>1</v>
      </c>
      <c r="D222">
        <v>1376</v>
      </c>
      <c r="E222">
        <v>1</v>
      </c>
      <c r="F222" t="s">
        <v>62</v>
      </c>
      <c r="G222" t="s">
        <v>13</v>
      </c>
      <c r="H222">
        <v>0</v>
      </c>
      <c r="I222">
        <v>0</v>
      </c>
      <c r="J222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15120</v>
      </c>
    </row>
    <row r="223" spans="1:10">
      <c r="A223" t="s">
        <v>68</v>
      </c>
      <c r="B223" t="s">
        <v>9</v>
      </c>
      <c r="C223">
        <v>1</v>
      </c>
      <c r="D223">
        <v>1953</v>
      </c>
      <c r="E223">
        <v>1</v>
      </c>
      <c r="H223">
        <v>823</v>
      </c>
      <c r="I223">
        <v>823</v>
      </c>
      <c r="J223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224" spans="1:10">
      <c r="A224" t="s">
        <v>68</v>
      </c>
      <c r="B224" t="s">
        <v>9</v>
      </c>
      <c r="C224">
        <v>1</v>
      </c>
      <c r="D224">
        <v>1294</v>
      </c>
      <c r="E224">
        <v>0</v>
      </c>
      <c r="H224">
        <v>823</v>
      </c>
      <c r="I224">
        <v>823</v>
      </c>
      <c r="J224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225" spans="1:10">
      <c r="A225" t="s">
        <v>68</v>
      </c>
      <c r="B225" t="s">
        <v>9</v>
      </c>
      <c r="C225">
        <v>1</v>
      </c>
      <c r="D225">
        <v>1130</v>
      </c>
      <c r="E225">
        <v>2</v>
      </c>
      <c r="F225" t="s">
        <v>62</v>
      </c>
      <c r="G225" t="s">
        <v>13</v>
      </c>
      <c r="H225">
        <v>0</v>
      </c>
      <c r="I225">
        <v>0</v>
      </c>
      <c r="J225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15120</v>
      </c>
    </row>
    <row r="226" spans="1:10">
      <c r="A226" t="s">
        <v>68</v>
      </c>
      <c r="B226" t="s">
        <v>9</v>
      </c>
      <c r="C226">
        <v>1</v>
      </c>
      <c r="D226">
        <v>2414</v>
      </c>
      <c r="E226">
        <v>0</v>
      </c>
      <c r="F226" t="s">
        <v>62</v>
      </c>
      <c r="G226" t="s">
        <v>13</v>
      </c>
      <c r="H226">
        <v>0</v>
      </c>
      <c r="I226">
        <v>0</v>
      </c>
      <c r="J226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15120</v>
      </c>
    </row>
    <row r="227" spans="1:10">
      <c r="A227" t="s">
        <v>68</v>
      </c>
      <c r="B227" t="s">
        <v>9</v>
      </c>
      <c r="C227">
        <v>1</v>
      </c>
      <c r="D227">
        <v>1779</v>
      </c>
      <c r="E227">
        <v>1</v>
      </c>
      <c r="F227" t="s">
        <v>62</v>
      </c>
      <c r="G227" t="s">
        <v>13</v>
      </c>
      <c r="H227">
        <v>0</v>
      </c>
      <c r="I227">
        <v>0</v>
      </c>
      <c r="J227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15120</v>
      </c>
    </row>
    <row r="228" spans="1:10">
      <c r="A228" t="s">
        <v>68</v>
      </c>
      <c r="B228" t="s">
        <v>9</v>
      </c>
      <c r="C228">
        <v>1</v>
      </c>
      <c r="D228">
        <v>979</v>
      </c>
      <c r="E228">
        <v>1</v>
      </c>
      <c r="H228">
        <v>823</v>
      </c>
      <c r="I228">
        <v>823</v>
      </c>
      <c r="J228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229" spans="1:10">
      <c r="A229" t="s">
        <v>68</v>
      </c>
      <c r="B229" t="s">
        <v>9</v>
      </c>
      <c r="C229">
        <v>1</v>
      </c>
      <c r="D229">
        <v>1775</v>
      </c>
      <c r="E229">
        <v>1</v>
      </c>
      <c r="H229">
        <v>1824</v>
      </c>
      <c r="I229">
        <v>1824</v>
      </c>
      <c r="J229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230" spans="1:10">
      <c r="A230" t="s">
        <v>68</v>
      </c>
      <c r="B230" t="s">
        <v>9</v>
      </c>
      <c r="C230">
        <v>1</v>
      </c>
      <c r="D230">
        <v>2068</v>
      </c>
      <c r="E230">
        <v>2</v>
      </c>
      <c r="F230" t="s">
        <v>62</v>
      </c>
      <c r="G230" t="s">
        <v>13</v>
      </c>
      <c r="H230">
        <v>0</v>
      </c>
      <c r="I230">
        <v>0</v>
      </c>
      <c r="J230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15120</v>
      </c>
    </row>
    <row r="231" spans="1:10">
      <c r="A231" t="s">
        <v>68</v>
      </c>
      <c r="B231" t="s">
        <v>9</v>
      </c>
      <c r="C231">
        <v>1</v>
      </c>
      <c r="D231">
        <v>1735</v>
      </c>
      <c r="E231">
        <v>1</v>
      </c>
      <c r="H231">
        <v>823</v>
      </c>
      <c r="I231">
        <v>823</v>
      </c>
      <c r="J231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232" spans="1:10">
      <c r="A232" t="s">
        <v>68</v>
      </c>
      <c r="B232" t="s">
        <v>9</v>
      </c>
      <c r="C232">
        <v>1</v>
      </c>
      <c r="D232">
        <v>2104</v>
      </c>
      <c r="E232">
        <v>4</v>
      </c>
      <c r="F232" t="s">
        <v>36</v>
      </c>
      <c r="G232">
        <v>1</v>
      </c>
      <c r="H232">
        <v>0</v>
      </c>
      <c r="I232">
        <f>DropAnalityka[[#This Row],[Sell Drop]]+IF(DropAnalityka[[#This Row],[Drop]]="Scroll", 2000*DropAnalityka[[#This Row],[Quality/Quantity]],0)</f>
        <v>2000</v>
      </c>
      <c r="J232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233" spans="1:10">
      <c r="A233" t="s">
        <v>68</v>
      </c>
      <c r="B233" t="s">
        <v>9</v>
      </c>
      <c r="C233">
        <v>1</v>
      </c>
      <c r="D233">
        <v>1385</v>
      </c>
      <c r="E233">
        <v>0</v>
      </c>
      <c r="F233" t="s">
        <v>36</v>
      </c>
      <c r="G233">
        <v>1</v>
      </c>
      <c r="H233">
        <v>0</v>
      </c>
      <c r="I233">
        <f>DropAnalityka[[#This Row],[Sell Drop]]+IF(DropAnalityka[[#This Row],[Drop]]="Scroll", 2000*DropAnalityka[[#This Row],[Quality/Quantity]],0)</f>
        <v>2000</v>
      </c>
      <c r="J233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234" spans="1:10">
      <c r="A234" t="s">
        <v>68</v>
      </c>
      <c r="B234" t="s">
        <v>9</v>
      </c>
      <c r="C234">
        <v>1</v>
      </c>
      <c r="D234">
        <v>1562</v>
      </c>
      <c r="E234">
        <v>1</v>
      </c>
      <c r="F234" t="s">
        <v>36</v>
      </c>
      <c r="G234">
        <v>1</v>
      </c>
      <c r="H234">
        <v>0</v>
      </c>
      <c r="I234">
        <f>DropAnalityka[[#This Row],[Sell Drop]]+IF(DropAnalityka[[#This Row],[Drop]]="Scroll", 2000*DropAnalityka[[#This Row],[Quality/Quantity]],0)</f>
        <v>2000</v>
      </c>
      <c r="J234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235" spans="1:10">
      <c r="A235" t="s">
        <v>68</v>
      </c>
      <c r="B235" t="s">
        <v>9</v>
      </c>
      <c r="C235">
        <v>1</v>
      </c>
      <c r="D235">
        <v>1650</v>
      </c>
      <c r="E235">
        <v>0</v>
      </c>
      <c r="H235">
        <v>823</v>
      </c>
      <c r="I235">
        <v>823</v>
      </c>
      <c r="J235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236" spans="1:10">
      <c r="A236" t="s">
        <v>68</v>
      </c>
      <c r="B236" t="s">
        <v>9</v>
      </c>
      <c r="C236">
        <v>1</v>
      </c>
      <c r="D236">
        <v>1498</v>
      </c>
      <c r="E236">
        <v>1</v>
      </c>
      <c r="H236">
        <v>0</v>
      </c>
      <c r="I236">
        <v>0</v>
      </c>
      <c r="J236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237" spans="1:10">
      <c r="A237" t="s">
        <v>68</v>
      </c>
      <c r="B237" t="s">
        <v>9</v>
      </c>
      <c r="C237">
        <v>1</v>
      </c>
      <c r="D237">
        <v>1387</v>
      </c>
      <c r="E237">
        <v>1</v>
      </c>
      <c r="H237">
        <v>823</v>
      </c>
      <c r="I237">
        <v>823</v>
      </c>
      <c r="J237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238" spans="1:10">
      <c r="A238" t="s">
        <v>68</v>
      </c>
      <c r="B238" t="s">
        <v>9</v>
      </c>
      <c r="C238">
        <v>1</v>
      </c>
      <c r="D238">
        <v>2065</v>
      </c>
      <c r="E238">
        <v>3</v>
      </c>
      <c r="H238">
        <v>823</v>
      </c>
      <c r="I238">
        <v>823</v>
      </c>
      <c r="J238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239" spans="1:10">
      <c r="A239" t="s">
        <v>68</v>
      </c>
      <c r="B239" t="s">
        <v>9</v>
      </c>
      <c r="C239">
        <v>1</v>
      </c>
      <c r="D239">
        <v>1270</v>
      </c>
      <c r="E239">
        <v>1</v>
      </c>
      <c r="H239">
        <v>1824</v>
      </c>
      <c r="I239">
        <v>1824</v>
      </c>
      <c r="J239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240" spans="1:10">
      <c r="A240" t="s">
        <v>68</v>
      </c>
      <c r="B240" t="s">
        <v>9</v>
      </c>
      <c r="C240">
        <v>1</v>
      </c>
      <c r="D240">
        <v>805</v>
      </c>
      <c r="E240">
        <v>2</v>
      </c>
      <c r="F240" t="s">
        <v>36</v>
      </c>
      <c r="G240">
        <v>1</v>
      </c>
      <c r="H240">
        <v>0</v>
      </c>
      <c r="I240">
        <f>DropAnalityka[[#This Row],[Sell Drop]]+IF(DropAnalityka[[#This Row],[Drop]]="Scroll", 2000*DropAnalityka[[#This Row],[Quality/Quantity]],0)</f>
        <v>2000</v>
      </c>
      <c r="J240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241" spans="1:10">
      <c r="A241" t="s">
        <v>68</v>
      </c>
      <c r="B241" t="s">
        <v>9</v>
      </c>
      <c r="C241">
        <v>1</v>
      </c>
      <c r="D241">
        <v>1426</v>
      </c>
      <c r="E241">
        <v>1</v>
      </c>
      <c r="H241">
        <v>0</v>
      </c>
      <c r="I241">
        <v>0</v>
      </c>
      <c r="J241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242" spans="1:10">
      <c r="A242" t="s">
        <v>68</v>
      </c>
      <c r="B242" t="s">
        <v>9</v>
      </c>
      <c r="C242">
        <v>1</v>
      </c>
      <c r="D242">
        <v>1985</v>
      </c>
      <c r="E242">
        <v>0</v>
      </c>
      <c r="H242">
        <v>1824</v>
      </c>
      <c r="I242">
        <v>1824</v>
      </c>
      <c r="J242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243" spans="1:10">
      <c r="A243" t="s">
        <v>68</v>
      </c>
      <c r="B243" t="s">
        <v>9</v>
      </c>
      <c r="C243">
        <v>1</v>
      </c>
      <c r="D243">
        <v>534</v>
      </c>
      <c r="E243">
        <v>0</v>
      </c>
      <c r="H243">
        <v>960</v>
      </c>
      <c r="I243">
        <v>960</v>
      </c>
      <c r="J243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244" spans="1:10">
      <c r="A244" t="s">
        <v>68</v>
      </c>
      <c r="B244" t="s">
        <v>9</v>
      </c>
      <c r="C244">
        <v>1</v>
      </c>
      <c r="D244">
        <v>1771</v>
      </c>
      <c r="E244">
        <v>0</v>
      </c>
      <c r="H244">
        <v>823</v>
      </c>
      <c r="I244">
        <v>823</v>
      </c>
      <c r="J244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245" spans="1:10">
      <c r="A245" t="s">
        <v>68</v>
      </c>
      <c r="B245" t="s">
        <v>9</v>
      </c>
      <c r="C245">
        <v>1</v>
      </c>
      <c r="D245">
        <v>1455</v>
      </c>
      <c r="E245">
        <v>0</v>
      </c>
      <c r="F245" t="s">
        <v>62</v>
      </c>
      <c r="G245" t="s">
        <v>13</v>
      </c>
      <c r="H245">
        <v>0</v>
      </c>
      <c r="I245">
        <v>0</v>
      </c>
      <c r="J245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15120</v>
      </c>
    </row>
    <row r="246" spans="1:10">
      <c r="A246" t="s">
        <v>68</v>
      </c>
      <c r="B246" t="s">
        <v>9</v>
      </c>
      <c r="C246">
        <v>1</v>
      </c>
      <c r="D246">
        <v>1687</v>
      </c>
      <c r="E246">
        <v>0</v>
      </c>
      <c r="H246">
        <v>823</v>
      </c>
      <c r="I246">
        <v>823</v>
      </c>
      <c r="J246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247" spans="1:10">
      <c r="A247" t="s">
        <v>68</v>
      </c>
      <c r="B247" t="s">
        <v>9</v>
      </c>
      <c r="C247">
        <v>1</v>
      </c>
      <c r="D247">
        <v>1486</v>
      </c>
      <c r="E247">
        <v>1</v>
      </c>
      <c r="H247">
        <v>823</v>
      </c>
      <c r="I247">
        <v>823</v>
      </c>
      <c r="J247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248" spans="1:10">
      <c r="A248" t="s">
        <v>68</v>
      </c>
      <c r="B248" t="s">
        <v>9</v>
      </c>
      <c r="C248">
        <v>1</v>
      </c>
      <c r="D248">
        <v>1799</v>
      </c>
      <c r="E248">
        <v>1</v>
      </c>
      <c r="F248" t="s">
        <v>36</v>
      </c>
      <c r="G248">
        <v>1</v>
      </c>
      <c r="H248">
        <v>0</v>
      </c>
      <c r="I248">
        <f>DropAnalityka[[#This Row],[Sell Drop]]+IF(DropAnalityka[[#This Row],[Drop]]="Scroll", 2000*DropAnalityka[[#This Row],[Quality/Quantity]],0)</f>
        <v>2000</v>
      </c>
      <c r="J248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249" spans="1:10">
      <c r="A249" t="s">
        <v>68</v>
      </c>
      <c r="B249" t="s">
        <v>9</v>
      </c>
      <c r="C249">
        <v>1</v>
      </c>
      <c r="D249">
        <v>1437</v>
      </c>
      <c r="E249">
        <v>0</v>
      </c>
      <c r="F249" t="s">
        <v>36</v>
      </c>
      <c r="G249">
        <v>1</v>
      </c>
      <c r="H249">
        <v>0</v>
      </c>
      <c r="I249">
        <f>DropAnalityka[[#This Row],[Sell Drop]]+IF(DropAnalityka[[#This Row],[Drop]]="Scroll", 2000*DropAnalityka[[#This Row],[Quality/Quantity]],0)</f>
        <v>2000</v>
      </c>
      <c r="J249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250" spans="1:10">
      <c r="A250" t="s">
        <v>68</v>
      </c>
      <c r="B250" t="s">
        <v>9</v>
      </c>
      <c r="C250">
        <v>1</v>
      </c>
      <c r="D250">
        <v>1653</v>
      </c>
      <c r="E250">
        <v>1</v>
      </c>
      <c r="H250">
        <v>1824</v>
      </c>
      <c r="I250">
        <v>1824</v>
      </c>
      <c r="J250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251" spans="1:10">
      <c r="A251" t="s">
        <v>68</v>
      </c>
      <c r="B251" t="s">
        <v>9</v>
      </c>
      <c r="C251">
        <v>1</v>
      </c>
      <c r="D251">
        <v>1162</v>
      </c>
      <c r="E251">
        <v>1</v>
      </c>
      <c r="H251">
        <v>823</v>
      </c>
      <c r="I251">
        <v>823</v>
      </c>
      <c r="J251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252" spans="1:10">
      <c r="A252" t="s">
        <v>68</v>
      </c>
      <c r="B252" t="s">
        <v>9</v>
      </c>
      <c r="C252">
        <v>1</v>
      </c>
      <c r="D252">
        <v>1535</v>
      </c>
      <c r="E252">
        <v>0</v>
      </c>
      <c r="F252" t="s">
        <v>36</v>
      </c>
      <c r="G252">
        <v>1</v>
      </c>
      <c r="H252">
        <v>0</v>
      </c>
      <c r="I252">
        <f>DropAnalityka[[#This Row],[Sell Drop]]+IF(DropAnalityka[[#This Row],[Drop]]="Scroll", 2000*DropAnalityka[[#This Row],[Quality/Quantity]],0)</f>
        <v>2000</v>
      </c>
      <c r="J252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253" spans="1:10">
      <c r="A253" t="s">
        <v>68</v>
      </c>
      <c r="B253" t="s">
        <v>9</v>
      </c>
      <c r="C253">
        <v>1</v>
      </c>
      <c r="D253">
        <v>1913</v>
      </c>
      <c r="E253">
        <v>1</v>
      </c>
      <c r="F253" t="s">
        <v>36</v>
      </c>
      <c r="G253">
        <v>1</v>
      </c>
      <c r="H253">
        <v>0</v>
      </c>
      <c r="I253">
        <f>DropAnalityka[[#This Row],[Sell Drop]]+IF(DropAnalityka[[#This Row],[Drop]]="Scroll", 2000*DropAnalityka[[#This Row],[Quality/Quantity]],0)</f>
        <v>2000</v>
      </c>
      <c r="J253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254" spans="1:10">
      <c r="A254" t="s">
        <v>68</v>
      </c>
      <c r="B254" t="s">
        <v>9</v>
      </c>
      <c r="C254">
        <v>1</v>
      </c>
      <c r="D254">
        <v>2320</v>
      </c>
      <c r="E254">
        <v>1</v>
      </c>
      <c r="H254">
        <v>823</v>
      </c>
      <c r="I254">
        <v>823</v>
      </c>
      <c r="J254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255" spans="1:10">
      <c r="A255" t="s">
        <v>68</v>
      </c>
      <c r="B255" t="s">
        <v>9</v>
      </c>
      <c r="C255">
        <v>1</v>
      </c>
      <c r="D255">
        <v>1826</v>
      </c>
      <c r="E255">
        <v>1</v>
      </c>
      <c r="H255">
        <v>823</v>
      </c>
      <c r="I255">
        <v>823</v>
      </c>
      <c r="J255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256" spans="1:10">
      <c r="A256" t="s">
        <v>68</v>
      </c>
      <c r="B256" t="s">
        <v>9</v>
      </c>
      <c r="C256">
        <v>1</v>
      </c>
      <c r="D256">
        <v>1600</v>
      </c>
      <c r="E256">
        <v>0</v>
      </c>
      <c r="H256">
        <v>2128</v>
      </c>
      <c r="I256">
        <v>2128</v>
      </c>
      <c r="J256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257" spans="1:11">
      <c r="A257" t="s">
        <v>68</v>
      </c>
      <c r="B257" t="s">
        <v>9</v>
      </c>
      <c r="C257">
        <v>1</v>
      </c>
      <c r="D257">
        <v>1293</v>
      </c>
      <c r="E257">
        <v>1</v>
      </c>
      <c r="H257">
        <v>892</v>
      </c>
      <c r="I257">
        <v>892</v>
      </c>
      <c r="J257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258" spans="1:11">
      <c r="A258" t="s">
        <v>68</v>
      </c>
      <c r="B258" t="s">
        <v>9</v>
      </c>
      <c r="C258">
        <v>1</v>
      </c>
      <c r="D258">
        <v>1136</v>
      </c>
      <c r="E258">
        <v>0</v>
      </c>
      <c r="H258">
        <v>823</v>
      </c>
      <c r="I258">
        <v>823</v>
      </c>
      <c r="J258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259" spans="1:11">
      <c r="A259" t="s">
        <v>68</v>
      </c>
      <c r="B259" t="s">
        <v>9</v>
      </c>
      <c r="C259">
        <v>1</v>
      </c>
      <c r="D259">
        <v>2791</v>
      </c>
      <c r="E259">
        <v>0</v>
      </c>
      <c r="H259">
        <v>823</v>
      </c>
      <c r="I259">
        <v>823</v>
      </c>
      <c r="J259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260" spans="1:11">
      <c r="A260" t="s">
        <v>68</v>
      </c>
      <c r="B260" t="s">
        <v>9</v>
      </c>
      <c r="C260">
        <v>1</v>
      </c>
      <c r="D260">
        <v>3389</v>
      </c>
      <c r="E260">
        <v>1</v>
      </c>
      <c r="H260">
        <v>1976</v>
      </c>
      <c r="I260">
        <v>1976</v>
      </c>
      <c r="J260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261" spans="1:11">
      <c r="A261" t="s">
        <v>68</v>
      </c>
      <c r="B261" t="s">
        <v>9</v>
      </c>
      <c r="C261">
        <v>1</v>
      </c>
      <c r="D261">
        <v>1297</v>
      </c>
      <c r="E261">
        <v>3</v>
      </c>
      <c r="H261">
        <v>823</v>
      </c>
      <c r="I261">
        <v>823</v>
      </c>
      <c r="J261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262" spans="1:11">
      <c r="A262" t="s">
        <v>68</v>
      </c>
      <c r="B262" t="s">
        <v>9</v>
      </c>
      <c r="C262">
        <v>1</v>
      </c>
      <c r="D262">
        <v>1726</v>
      </c>
      <c r="E262">
        <v>1</v>
      </c>
      <c r="H262">
        <v>1824</v>
      </c>
      <c r="I262">
        <v>1824</v>
      </c>
      <c r="J262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263" spans="1:11">
      <c r="A263" t="s">
        <v>8</v>
      </c>
      <c r="B263" t="s">
        <v>34</v>
      </c>
      <c r="C263">
        <v>3</v>
      </c>
      <c r="D263">
        <v>1484</v>
      </c>
      <c r="E263">
        <v>2</v>
      </c>
      <c r="H263">
        <v>1159</v>
      </c>
      <c r="I263">
        <v>1159</v>
      </c>
      <c r="J263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264" spans="1:11">
      <c r="A264" t="s">
        <v>8</v>
      </c>
      <c r="B264" t="s">
        <v>34</v>
      </c>
      <c r="C264">
        <v>3</v>
      </c>
      <c r="D264">
        <v>1202</v>
      </c>
      <c r="E264">
        <v>2</v>
      </c>
      <c r="H264">
        <v>1159</v>
      </c>
      <c r="I264">
        <v>1159</v>
      </c>
      <c r="J264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265" spans="1:11">
      <c r="A265" t="s">
        <v>68</v>
      </c>
      <c r="B265" t="s">
        <v>9</v>
      </c>
      <c r="C265">
        <v>1</v>
      </c>
      <c r="D265">
        <v>562</v>
      </c>
      <c r="E265">
        <v>0</v>
      </c>
      <c r="H265">
        <v>1824</v>
      </c>
      <c r="I265">
        <v>1824</v>
      </c>
      <c r="J265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266" spans="1:11">
      <c r="A266" t="s">
        <v>68</v>
      </c>
      <c r="B266" t="s">
        <v>9</v>
      </c>
      <c r="C266">
        <v>1</v>
      </c>
      <c r="D266">
        <v>649</v>
      </c>
      <c r="E266">
        <v>1</v>
      </c>
      <c r="H266">
        <v>823</v>
      </c>
      <c r="I266">
        <v>823</v>
      </c>
      <c r="J266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267" spans="1:11">
      <c r="A267" t="s">
        <v>68</v>
      </c>
      <c r="B267" t="s">
        <v>9</v>
      </c>
      <c r="C267">
        <v>1</v>
      </c>
      <c r="D267">
        <v>1241</v>
      </c>
      <c r="E267">
        <v>1</v>
      </c>
      <c r="F267" t="s">
        <v>36</v>
      </c>
      <c r="G267">
        <v>1</v>
      </c>
      <c r="H267">
        <v>0</v>
      </c>
      <c r="I267">
        <f>DropAnalityka[[#This Row],[Sell Drop]]+IF(DropAnalityka[[#This Row],[Drop]]="Scroll", 2000*DropAnalityka[[#This Row],[Quality/Quantity]],0)</f>
        <v>2000</v>
      </c>
      <c r="J267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268" spans="1:11">
      <c r="A268" t="s">
        <v>68</v>
      </c>
      <c r="B268" t="s">
        <v>9</v>
      </c>
      <c r="C268">
        <v>1</v>
      </c>
      <c r="D268">
        <v>1560</v>
      </c>
      <c r="E268">
        <v>0</v>
      </c>
      <c r="H268">
        <v>823</v>
      </c>
      <c r="I268">
        <v>823</v>
      </c>
      <c r="J268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  <c r="K268" s="16">
        <v>0.33078703703703705</v>
      </c>
    </row>
    <row r="269" spans="1:11">
      <c r="A269" t="s">
        <v>68</v>
      </c>
      <c r="B269" t="s">
        <v>9</v>
      </c>
      <c r="C269">
        <v>1</v>
      </c>
      <c r="D269">
        <v>1231</v>
      </c>
      <c r="E269">
        <v>1</v>
      </c>
      <c r="F269" t="s">
        <v>36</v>
      </c>
      <c r="G269">
        <v>1</v>
      </c>
      <c r="H269">
        <v>0</v>
      </c>
      <c r="I269">
        <f>DropAnalityka[[#This Row],[Sell Drop]]+IF(DropAnalityka[[#This Row],[Drop]]="Scroll", 2000*DropAnalityka[[#This Row],[Quality/Quantity]],0)</f>
        <v>2000</v>
      </c>
      <c r="J269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  <c r="K269" s="16">
        <v>0.33269675925925929</v>
      </c>
    </row>
    <row r="270" spans="1:11">
      <c r="A270" t="s">
        <v>68</v>
      </c>
      <c r="B270" t="s">
        <v>9</v>
      </c>
      <c r="C270">
        <v>1</v>
      </c>
      <c r="D270">
        <v>566</v>
      </c>
      <c r="E270">
        <v>1</v>
      </c>
      <c r="H270">
        <v>823</v>
      </c>
      <c r="I270">
        <v>823</v>
      </c>
      <c r="J270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271" spans="1:11">
      <c r="A271" t="s">
        <v>68</v>
      </c>
      <c r="B271" t="s">
        <v>9</v>
      </c>
      <c r="C271">
        <v>1</v>
      </c>
      <c r="D271">
        <v>723</v>
      </c>
      <c r="E271">
        <v>1</v>
      </c>
      <c r="F271" t="s">
        <v>36</v>
      </c>
      <c r="G271">
        <v>1</v>
      </c>
      <c r="H271">
        <v>0</v>
      </c>
      <c r="I271">
        <f>DropAnalityka[[#This Row],[Sell Drop]]+IF(DropAnalityka[[#This Row],[Drop]]="Scroll", 2000*DropAnalityka[[#This Row],[Quality/Quantity]],0)</f>
        <v>2000</v>
      </c>
      <c r="J271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272" spans="1:11">
      <c r="A272" t="s">
        <v>68</v>
      </c>
      <c r="B272" t="s">
        <v>9</v>
      </c>
      <c r="C272">
        <v>1</v>
      </c>
      <c r="D272">
        <v>1626</v>
      </c>
      <c r="E272">
        <v>1</v>
      </c>
      <c r="H272">
        <v>1824</v>
      </c>
      <c r="I272">
        <v>1824</v>
      </c>
      <c r="J272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273" spans="1:11">
      <c r="A273" t="s">
        <v>68</v>
      </c>
      <c r="B273" t="s">
        <v>9</v>
      </c>
      <c r="C273">
        <v>1</v>
      </c>
      <c r="D273">
        <v>2033</v>
      </c>
      <c r="E273">
        <v>2</v>
      </c>
      <c r="F273" t="s">
        <v>36</v>
      </c>
      <c r="G273">
        <v>1</v>
      </c>
      <c r="H273">
        <v>0</v>
      </c>
      <c r="I273">
        <f>DropAnalityka[[#This Row],[Sell Drop]]+IF(DropAnalityka[[#This Row],[Drop]]="Scroll", 2000*DropAnalityka[[#This Row],[Quality/Quantity]],0)</f>
        <v>2000</v>
      </c>
      <c r="J273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274" spans="1:11">
      <c r="A274" t="s">
        <v>68</v>
      </c>
      <c r="B274" t="s">
        <v>9</v>
      </c>
      <c r="C274">
        <v>1</v>
      </c>
      <c r="D274">
        <v>1600</v>
      </c>
      <c r="E274">
        <v>1</v>
      </c>
      <c r="H274">
        <v>1824</v>
      </c>
      <c r="I274">
        <v>1824</v>
      </c>
      <c r="J274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  <c r="K274" s="16">
        <v>0.34259259259259256</v>
      </c>
    </row>
    <row r="275" spans="1:11">
      <c r="A275" t="s">
        <v>68</v>
      </c>
      <c r="B275" t="s">
        <v>9</v>
      </c>
      <c r="C275">
        <v>1</v>
      </c>
      <c r="D275">
        <v>702</v>
      </c>
      <c r="E275">
        <v>0</v>
      </c>
      <c r="H275">
        <v>1824</v>
      </c>
      <c r="I275">
        <v>1824</v>
      </c>
      <c r="J275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276" spans="1:11">
      <c r="A276" t="s">
        <v>68</v>
      </c>
      <c r="B276" t="s">
        <v>9</v>
      </c>
      <c r="C276">
        <v>1</v>
      </c>
      <c r="D276">
        <v>1330</v>
      </c>
      <c r="E276">
        <v>0</v>
      </c>
      <c r="F276" t="s">
        <v>36</v>
      </c>
      <c r="G276">
        <v>1</v>
      </c>
      <c r="H276">
        <v>0</v>
      </c>
      <c r="I276">
        <f>DropAnalityka[[#This Row],[Sell Drop]]+IF(DropAnalityka[[#This Row],[Drop]]="Scroll", 2000*DropAnalityka[[#This Row],[Quality/Quantity]],0)</f>
        <v>2000</v>
      </c>
      <c r="J276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277" spans="1:11">
      <c r="A277" t="s">
        <v>68</v>
      </c>
      <c r="B277" t="s">
        <v>9</v>
      </c>
      <c r="C277">
        <v>1</v>
      </c>
      <c r="D277">
        <v>1054</v>
      </c>
      <c r="E277">
        <v>0</v>
      </c>
      <c r="F277" t="s">
        <v>62</v>
      </c>
      <c r="G277" t="s">
        <v>13</v>
      </c>
      <c r="H277">
        <v>0</v>
      </c>
      <c r="I277">
        <v>0</v>
      </c>
      <c r="J277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15120</v>
      </c>
    </row>
    <row r="278" spans="1:11">
      <c r="A278" t="s">
        <v>68</v>
      </c>
      <c r="B278" t="s">
        <v>9</v>
      </c>
      <c r="C278">
        <v>1</v>
      </c>
      <c r="D278">
        <v>1391</v>
      </c>
      <c r="E278">
        <v>0</v>
      </c>
      <c r="H278">
        <v>1824</v>
      </c>
      <c r="I278">
        <v>1824</v>
      </c>
      <c r="J278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279" spans="1:11">
      <c r="A279" t="s">
        <v>68</v>
      </c>
      <c r="B279" t="s">
        <v>9</v>
      </c>
      <c r="C279">
        <v>1</v>
      </c>
      <c r="D279">
        <v>1603</v>
      </c>
      <c r="E279">
        <v>2</v>
      </c>
      <c r="H279">
        <v>1824</v>
      </c>
      <c r="I279">
        <v>1824</v>
      </c>
      <c r="J279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280" spans="1:11">
      <c r="A280" t="s">
        <v>68</v>
      </c>
      <c r="B280" t="s">
        <v>9</v>
      </c>
      <c r="C280">
        <v>1</v>
      </c>
      <c r="D280">
        <v>1415</v>
      </c>
      <c r="E280">
        <v>0</v>
      </c>
      <c r="H280">
        <v>960</v>
      </c>
      <c r="I280">
        <v>960</v>
      </c>
      <c r="J280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281" spans="1:11">
      <c r="A281" t="s">
        <v>68</v>
      </c>
      <c r="B281" t="s">
        <v>9</v>
      </c>
      <c r="C281">
        <v>1</v>
      </c>
      <c r="D281">
        <v>1206</v>
      </c>
      <c r="E281">
        <v>1</v>
      </c>
      <c r="H281">
        <v>823</v>
      </c>
      <c r="I281">
        <v>823</v>
      </c>
      <c r="J281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  <c r="K281" s="16">
        <v>0.35532407407407413</v>
      </c>
    </row>
    <row r="282" spans="1:11">
      <c r="A282" t="s">
        <v>33</v>
      </c>
      <c r="B282" t="s">
        <v>9</v>
      </c>
      <c r="C282">
        <v>1</v>
      </c>
      <c r="D282">
        <v>1840</v>
      </c>
      <c r="E282">
        <v>1</v>
      </c>
      <c r="H282">
        <v>823</v>
      </c>
      <c r="I282">
        <v>823</v>
      </c>
      <c r="J282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  <c r="K282" s="16">
        <v>0.35555555555555557</v>
      </c>
    </row>
    <row r="283" spans="1:11">
      <c r="A283" t="s">
        <v>33</v>
      </c>
      <c r="B283" t="s">
        <v>9</v>
      </c>
      <c r="C283">
        <v>1</v>
      </c>
      <c r="D283">
        <v>1042</v>
      </c>
      <c r="E283">
        <v>0</v>
      </c>
      <c r="F283" t="s">
        <v>36</v>
      </c>
      <c r="G283">
        <v>1</v>
      </c>
      <c r="H283">
        <v>0</v>
      </c>
      <c r="I283">
        <f>DropAnalityka[[#This Row],[Sell Drop]]+IF(DropAnalityka[[#This Row],[Drop]]="Scroll", 2000*DropAnalityka[[#This Row],[Quality/Quantity]],0)</f>
        <v>2000</v>
      </c>
      <c r="J283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284" spans="1:11">
      <c r="A284" t="s">
        <v>40</v>
      </c>
      <c r="B284" t="s">
        <v>9</v>
      </c>
      <c r="C284">
        <v>5</v>
      </c>
      <c r="D284">
        <v>1500</v>
      </c>
      <c r="E284">
        <v>0</v>
      </c>
      <c r="F284" t="s">
        <v>163</v>
      </c>
      <c r="G284">
        <v>4</v>
      </c>
      <c r="H284">
        <v>0</v>
      </c>
      <c r="I284">
        <v>0</v>
      </c>
      <c r="J284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285" spans="1:11">
      <c r="A285" t="s">
        <v>166</v>
      </c>
      <c r="B285" t="s">
        <v>9</v>
      </c>
      <c r="C285">
        <v>5</v>
      </c>
      <c r="D285">
        <v>1500</v>
      </c>
      <c r="E285">
        <v>0</v>
      </c>
      <c r="F285" t="s">
        <v>167</v>
      </c>
      <c r="G285">
        <v>3</v>
      </c>
      <c r="H285">
        <v>0</v>
      </c>
      <c r="I285">
        <v>0</v>
      </c>
      <c r="J285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286" spans="1:11">
      <c r="A286" t="s">
        <v>166</v>
      </c>
      <c r="B286" t="s">
        <v>9</v>
      </c>
      <c r="C286">
        <v>5</v>
      </c>
      <c r="D286">
        <v>1782</v>
      </c>
      <c r="E286">
        <v>0</v>
      </c>
      <c r="F286" t="s">
        <v>167</v>
      </c>
      <c r="G286">
        <v>2</v>
      </c>
      <c r="H286">
        <v>0</v>
      </c>
      <c r="I286">
        <v>0</v>
      </c>
      <c r="J286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287" spans="1:11">
      <c r="A287" t="s">
        <v>166</v>
      </c>
      <c r="B287" t="s">
        <v>9</v>
      </c>
      <c r="C287">
        <v>5</v>
      </c>
      <c r="D287">
        <v>1666</v>
      </c>
      <c r="E287">
        <v>1</v>
      </c>
      <c r="F287" t="s">
        <v>168</v>
      </c>
      <c r="G287">
        <v>1</v>
      </c>
      <c r="H287">
        <v>0</v>
      </c>
      <c r="I287">
        <v>0</v>
      </c>
      <c r="J287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288" spans="1:11">
      <c r="A288" t="s">
        <v>166</v>
      </c>
      <c r="B288" t="s">
        <v>9</v>
      </c>
      <c r="C288">
        <v>5</v>
      </c>
      <c r="D288">
        <v>1556</v>
      </c>
      <c r="E288">
        <v>0</v>
      </c>
      <c r="F288" t="s">
        <v>167</v>
      </c>
      <c r="G288">
        <v>2</v>
      </c>
      <c r="H288">
        <v>0</v>
      </c>
      <c r="I288">
        <v>0</v>
      </c>
      <c r="J288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289" spans="1:10">
      <c r="A289" t="s">
        <v>166</v>
      </c>
      <c r="B289" t="s">
        <v>9</v>
      </c>
      <c r="C289">
        <v>5</v>
      </c>
      <c r="D289">
        <v>2860</v>
      </c>
      <c r="E289">
        <v>0</v>
      </c>
      <c r="F289" t="s">
        <v>168</v>
      </c>
      <c r="G289">
        <v>1</v>
      </c>
      <c r="H289">
        <v>0</v>
      </c>
      <c r="I289">
        <v>0</v>
      </c>
      <c r="J289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290" spans="1:10">
      <c r="A290" t="s">
        <v>166</v>
      </c>
      <c r="B290" t="s">
        <v>9</v>
      </c>
      <c r="C290">
        <v>5</v>
      </c>
      <c r="D290">
        <v>2986</v>
      </c>
      <c r="E290">
        <v>0</v>
      </c>
      <c r="F290" t="s">
        <v>167</v>
      </c>
      <c r="G290">
        <v>2</v>
      </c>
      <c r="H290">
        <v>0</v>
      </c>
      <c r="I290">
        <v>0</v>
      </c>
      <c r="J290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291" spans="1:10">
      <c r="A291" t="s">
        <v>166</v>
      </c>
      <c r="B291" t="s">
        <v>9</v>
      </c>
      <c r="C291">
        <v>5</v>
      </c>
      <c r="D291">
        <v>3172</v>
      </c>
      <c r="E291">
        <v>1</v>
      </c>
      <c r="F291" t="s">
        <v>169</v>
      </c>
      <c r="G291" t="s">
        <v>13</v>
      </c>
      <c r="H291">
        <v>0</v>
      </c>
      <c r="I291">
        <v>0</v>
      </c>
      <c r="J291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292" spans="1:10">
      <c r="A292" t="s">
        <v>166</v>
      </c>
      <c r="B292" t="s">
        <v>9</v>
      </c>
      <c r="C292">
        <v>5</v>
      </c>
      <c r="D292">
        <v>1420</v>
      </c>
      <c r="E292">
        <v>0</v>
      </c>
      <c r="F292" t="s">
        <v>168</v>
      </c>
      <c r="G292">
        <v>2</v>
      </c>
      <c r="H292">
        <v>0</v>
      </c>
      <c r="I292">
        <v>0</v>
      </c>
      <c r="J292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293" spans="1:10">
      <c r="A293" t="s">
        <v>166</v>
      </c>
      <c r="B293" t="s">
        <v>9</v>
      </c>
      <c r="C293">
        <v>5</v>
      </c>
      <c r="D293">
        <v>1352</v>
      </c>
      <c r="E293">
        <v>0</v>
      </c>
      <c r="F293" t="s">
        <v>168</v>
      </c>
      <c r="G293">
        <v>1</v>
      </c>
      <c r="H293">
        <v>0</v>
      </c>
      <c r="I293">
        <v>0</v>
      </c>
      <c r="J293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294" spans="1:10">
      <c r="A294" t="s">
        <v>166</v>
      </c>
      <c r="B294" t="s">
        <v>9</v>
      </c>
      <c r="C294">
        <v>5</v>
      </c>
      <c r="D294">
        <v>1362</v>
      </c>
      <c r="E294">
        <v>0</v>
      </c>
      <c r="F294" t="s">
        <v>36</v>
      </c>
      <c r="G294">
        <v>4</v>
      </c>
      <c r="H294">
        <v>0</v>
      </c>
      <c r="I294">
        <f>DropAnalityka[[#This Row],[Sell Drop]]+IF(DropAnalityka[[#This Row],[Drop]]="Scroll", 2000*DropAnalityka[[#This Row],[Quality/Quantity]],0)</f>
        <v>8000</v>
      </c>
      <c r="J294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295" spans="1:10">
      <c r="A295" t="s">
        <v>166</v>
      </c>
      <c r="B295" t="s">
        <v>9</v>
      </c>
      <c r="C295">
        <v>5</v>
      </c>
      <c r="D295">
        <v>1428</v>
      </c>
      <c r="E295">
        <v>1</v>
      </c>
      <c r="F295" t="s">
        <v>171</v>
      </c>
      <c r="G295">
        <v>3</v>
      </c>
      <c r="H295">
        <v>0</v>
      </c>
      <c r="I295">
        <v>0</v>
      </c>
      <c r="J295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296" spans="1:10">
      <c r="A296" t="s">
        <v>166</v>
      </c>
      <c r="B296" t="s">
        <v>9</v>
      </c>
      <c r="C296">
        <v>5</v>
      </c>
      <c r="D296">
        <v>1500</v>
      </c>
      <c r="E296">
        <v>4</v>
      </c>
      <c r="F296" t="s">
        <v>36</v>
      </c>
      <c r="G296">
        <v>2</v>
      </c>
      <c r="H296">
        <v>0</v>
      </c>
      <c r="I296">
        <f>DropAnalityka[[#This Row],[Sell Drop]]+IF(DropAnalityka[[#This Row],[Drop]]="Scroll", 2000*DropAnalityka[[#This Row],[Quality/Quantity]],0)</f>
        <v>4000</v>
      </c>
      <c r="J296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297" spans="1:10">
      <c r="A297" t="s">
        <v>166</v>
      </c>
      <c r="B297" t="s">
        <v>9</v>
      </c>
      <c r="C297">
        <v>5</v>
      </c>
      <c r="D297">
        <v>1559</v>
      </c>
      <c r="E297">
        <v>0</v>
      </c>
      <c r="F297" t="s">
        <v>168</v>
      </c>
      <c r="G297">
        <v>1</v>
      </c>
      <c r="H297">
        <v>0</v>
      </c>
      <c r="I297">
        <v>0</v>
      </c>
      <c r="J297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298" spans="1:10">
      <c r="A298" t="s">
        <v>166</v>
      </c>
      <c r="B298" t="s">
        <v>9</v>
      </c>
      <c r="C298">
        <v>5</v>
      </c>
      <c r="D298">
        <v>1600</v>
      </c>
      <c r="E298">
        <v>0</v>
      </c>
      <c r="F298" t="s">
        <v>168</v>
      </c>
      <c r="G298">
        <v>3</v>
      </c>
      <c r="H298">
        <v>0</v>
      </c>
      <c r="I298">
        <v>0</v>
      </c>
      <c r="J298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299" spans="1:10">
      <c r="A299" t="s">
        <v>166</v>
      </c>
      <c r="B299" t="s">
        <v>9</v>
      </c>
      <c r="C299">
        <v>5</v>
      </c>
      <c r="D299">
        <v>1480</v>
      </c>
      <c r="E299">
        <v>1</v>
      </c>
      <c r="F299" t="s">
        <v>36</v>
      </c>
      <c r="G299">
        <v>2</v>
      </c>
      <c r="H299">
        <v>0</v>
      </c>
      <c r="I299">
        <f>DropAnalityka[[#This Row],[Sell Drop]]+IF(DropAnalityka[[#This Row],[Drop]]="Scroll", 2000*DropAnalityka[[#This Row],[Quality/Quantity]],0)</f>
        <v>4000</v>
      </c>
      <c r="J299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300" spans="1:10">
      <c r="A300" t="s">
        <v>166</v>
      </c>
      <c r="B300" t="s">
        <v>9</v>
      </c>
      <c r="C300">
        <v>5</v>
      </c>
      <c r="D300">
        <v>1389</v>
      </c>
      <c r="E300">
        <v>0</v>
      </c>
      <c r="F300" t="s">
        <v>167</v>
      </c>
      <c r="G300">
        <v>4</v>
      </c>
      <c r="H300">
        <v>0</v>
      </c>
      <c r="I300">
        <v>0</v>
      </c>
      <c r="J300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301" spans="1:10">
      <c r="A301" t="s">
        <v>33</v>
      </c>
      <c r="B301" t="s">
        <v>32</v>
      </c>
      <c r="C301">
        <v>1</v>
      </c>
      <c r="D301">
        <v>1617</v>
      </c>
      <c r="E301">
        <v>1</v>
      </c>
      <c r="H301">
        <v>1824</v>
      </c>
      <c r="I301">
        <v>1824</v>
      </c>
      <c r="J301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302" spans="1:10">
      <c r="A302" t="s">
        <v>33</v>
      </c>
      <c r="B302" t="s">
        <v>32</v>
      </c>
      <c r="C302">
        <v>1</v>
      </c>
      <c r="D302">
        <v>1347</v>
      </c>
      <c r="E302">
        <v>1</v>
      </c>
      <c r="F302" t="s">
        <v>62</v>
      </c>
      <c r="G302" t="s">
        <v>13</v>
      </c>
      <c r="H302">
        <v>0</v>
      </c>
      <c r="I302">
        <v>0</v>
      </c>
      <c r="J302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15120</v>
      </c>
    </row>
    <row r="303" spans="1:10">
      <c r="A303" t="s">
        <v>33</v>
      </c>
      <c r="B303" t="s">
        <v>32</v>
      </c>
      <c r="C303">
        <v>1</v>
      </c>
      <c r="D303">
        <v>2050</v>
      </c>
      <c r="E303">
        <v>0</v>
      </c>
      <c r="H303">
        <v>3182</v>
      </c>
      <c r="I303">
        <v>3182</v>
      </c>
      <c r="J303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304" spans="1:10">
      <c r="A304" t="s">
        <v>33</v>
      </c>
      <c r="B304" t="s">
        <v>32</v>
      </c>
      <c r="C304">
        <v>1</v>
      </c>
      <c r="D304">
        <v>999</v>
      </c>
      <c r="E304">
        <v>2</v>
      </c>
      <c r="H304">
        <v>2937</v>
      </c>
      <c r="I304">
        <v>2937</v>
      </c>
      <c r="J304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305" spans="1:10">
      <c r="A305" t="s">
        <v>33</v>
      </c>
      <c r="B305" t="s">
        <v>32</v>
      </c>
      <c r="C305">
        <v>1</v>
      </c>
      <c r="D305">
        <v>1097</v>
      </c>
      <c r="E305">
        <v>1</v>
      </c>
      <c r="H305">
        <v>2937</v>
      </c>
      <c r="I305">
        <v>2937</v>
      </c>
      <c r="J305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306" spans="1:10">
      <c r="A306" t="s">
        <v>33</v>
      </c>
      <c r="B306" t="s">
        <v>32</v>
      </c>
      <c r="C306">
        <v>1</v>
      </c>
      <c r="D306">
        <v>1283</v>
      </c>
      <c r="E306">
        <v>1</v>
      </c>
      <c r="H306">
        <v>1824</v>
      </c>
      <c r="I306">
        <v>1824</v>
      </c>
      <c r="J306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307" spans="1:10">
      <c r="A307" t="s">
        <v>33</v>
      </c>
      <c r="B307" t="s">
        <v>32</v>
      </c>
      <c r="C307">
        <v>1</v>
      </c>
      <c r="D307">
        <v>1407</v>
      </c>
      <c r="E307">
        <v>0</v>
      </c>
      <c r="F307" t="s">
        <v>36</v>
      </c>
      <c r="G307">
        <v>2</v>
      </c>
      <c r="H307">
        <v>0</v>
      </c>
      <c r="I307">
        <f>DropAnalityka[[#This Row],[Sell Drop]]+IF(DropAnalityka[[#This Row],[Drop]]="Scroll", 2000*DropAnalityka[[#This Row],[Quality/Quantity]],0)</f>
        <v>4000</v>
      </c>
      <c r="J307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308" spans="1:10">
      <c r="A308" t="s">
        <v>33</v>
      </c>
      <c r="B308" t="s">
        <v>32</v>
      </c>
      <c r="C308">
        <v>1</v>
      </c>
      <c r="D308">
        <v>1280</v>
      </c>
      <c r="E308">
        <v>0</v>
      </c>
      <c r="H308">
        <v>3182</v>
      </c>
      <c r="I308">
        <v>3182</v>
      </c>
      <c r="J308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309" spans="1:10">
      <c r="A309" t="s">
        <v>33</v>
      </c>
      <c r="B309" t="s">
        <v>32</v>
      </c>
      <c r="C309">
        <v>1</v>
      </c>
      <c r="D309">
        <v>1506</v>
      </c>
      <c r="E309">
        <v>1</v>
      </c>
      <c r="F309" t="s">
        <v>175</v>
      </c>
      <c r="G309">
        <v>1</v>
      </c>
      <c r="H309">
        <v>0</v>
      </c>
      <c r="I309">
        <v>0</v>
      </c>
      <c r="J309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310" spans="1:10">
      <c r="A310" t="s">
        <v>33</v>
      </c>
      <c r="B310" t="s">
        <v>32</v>
      </c>
      <c r="C310">
        <v>1</v>
      </c>
      <c r="D310">
        <v>1513</v>
      </c>
      <c r="E310">
        <v>0</v>
      </c>
      <c r="F310" t="s">
        <v>62</v>
      </c>
      <c r="G310" t="s">
        <v>28</v>
      </c>
      <c r="H310">
        <v>0</v>
      </c>
      <c r="I310">
        <v>0</v>
      </c>
      <c r="J310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81182</v>
      </c>
    </row>
    <row r="311" spans="1:10">
      <c r="A311" t="s">
        <v>33</v>
      </c>
      <c r="B311" t="s">
        <v>32</v>
      </c>
      <c r="C311">
        <v>1</v>
      </c>
      <c r="D311">
        <v>1334</v>
      </c>
      <c r="E311">
        <v>0</v>
      </c>
      <c r="H311">
        <v>1824</v>
      </c>
      <c r="I311">
        <v>1824</v>
      </c>
      <c r="J311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312" spans="1:10">
      <c r="A312" t="s">
        <v>33</v>
      </c>
      <c r="B312" t="s">
        <v>32</v>
      </c>
      <c r="C312">
        <v>1</v>
      </c>
      <c r="D312">
        <v>1572</v>
      </c>
      <c r="E312">
        <v>0</v>
      </c>
      <c r="F312" t="s">
        <v>63</v>
      </c>
      <c r="G312" t="s">
        <v>13</v>
      </c>
      <c r="H312">
        <v>0</v>
      </c>
      <c r="I312">
        <v>0</v>
      </c>
      <c r="J312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81182</v>
      </c>
    </row>
    <row r="313" spans="1:10">
      <c r="A313" t="s">
        <v>33</v>
      </c>
      <c r="B313" t="s">
        <v>32</v>
      </c>
      <c r="C313">
        <v>1</v>
      </c>
      <c r="D313">
        <v>1645</v>
      </c>
      <c r="E313">
        <v>1</v>
      </c>
      <c r="H313">
        <v>1824</v>
      </c>
      <c r="I313">
        <v>1824</v>
      </c>
      <c r="J313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314" spans="1:10">
      <c r="A314" t="s">
        <v>33</v>
      </c>
      <c r="B314" t="s">
        <v>32</v>
      </c>
      <c r="C314">
        <v>1</v>
      </c>
      <c r="D314">
        <v>2042</v>
      </c>
      <c r="E314">
        <v>0</v>
      </c>
      <c r="F314" t="s">
        <v>36</v>
      </c>
      <c r="G314">
        <v>2</v>
      </c>
      <c r="H314">
        <v>0</v>
      </c>
      <c r="I314">
        <f>DropAnalityka[[#This Row],[Sell Drop]]+IF(DropAnalityka[[#This Row],[Drop]]="Scroll", 2000*DropAnalityka[[#This Row],[Quality/Quantity]],0)</f>
        <v>4000</v>
      </c>
      <c r="J314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315" spans="1:10">
      <c r="A315" t="s">
        <v>33</v>
      </c>
      <c r="B315" t="s">
        <v>32</v>
      </c>
      <c r="C315">
        <v>1</v>
      </c>
      <c r="D315">
        <v>1221</v>
      </c>
      <c r="E315">
        <v>1</v>
      </c>
      <c r="H315">
        <v>2937</v>
      </c>
      <c r="I315">
        <v>2937</v>
      </c>
      <c r="J315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316" spans="1:10">
      <c r="A316" t="s">
        <v>33</v>
      </c>
      <c r="B316" t="s">
        <v>32</v>
      </c>
      <c r="C316">
        <v>1</v>
      </c>
      <c r="D316">
        <v>1320</v>
      </c>
      <c r="E316">
        <v>1</v>
      </c>
      <c r="H316">
        <v>1824</v>
      </c>
      <c r="I316">
        <v>1824</v>
      </c>
      <c r="J316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317" spans="1:10">
      <c r="A317" t="s">
        <v>33</v>
      </c>
      <c r="B317" t="s">
        <v>32</v>
      </c>
      <c r="C317">
        <v>1</v>
      </c>
      <c r="D317">
        <v>1157</v>
      </c>
      <c r="E317">
        <v>1</v>
      </c>
      <c r="H317">
        <v>1824</v>
      </c>
      <c r="I317">
        <v>1824</v>
      </c>
      <c r="J317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318" spans="1:10">
      <c r="A318" t="s">
        <v>33</v>
      </c>
      <c r="B318" t="s">
        <v>32</v>
      </c>
      <c r="C318">
        <v>1</v>
      </c>
      <c r="D318">
        <v>1815</v>
      </c>
      <c r="E318">
        <v>0</v>
      </c>
      <c r="H318">
        <v>2937</v>
      </c>
      <c r="I318">
        <v>2937</v>
      </c>
      <c r="J318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319" spans="1:10">
      <c r="A319" t="s">
        <v>33</v>
      </c>
      <c r="B319" t="s">
        <v>32</v>
      </c>
      <c r="C319">
        <v>1</v>
      </c>
      <c r="D319">
        <v>1800</v>
      </c>
      <c r="E319">
        <v>0</v>
      </c>
      <c r="F319" t="s">
        <v>36</v>
      </c>
      <c r="G319">
        <v>2</v>
      </c>
      <c r="H319">
        <v>0</v>
      </c>
      <c r="I319">
        <f>DropAnalityka[[#This Row],[Sell Drop]]+IF(DropAnalityka[[#This Row],[Drop]]="Scroll", 2000*DropAnalityka[[#This Row],[Quality/Quantity]],0)</f>
        <v>4000</v>
      </c>
      <c r="J319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320" spans="1:10">
      <c r="A320" t="s">
        <v>33</v>
      </c>
      <c r="B320" t="s">
        <v>32</v>
      </c>
      <c r="C320">
        <v>1</v>
      </c>
      <c r="D320">
        <v>2178</v>
      </c>
      <c r="E320">
        <v>4</v>
      </c>
      <c r="H320">
        <v>2128</v>
      </c>
      <c r="I320">
        <v>2128</v>
      </c>
      <c r="J320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321" spans="1:10">
      <c r="A321" t="s">
        <v>33</v>
      </c>
      <c r="B321" t="s">
        <v>32</v>
      </c>
      <c r="C321">
        <v>1</v>
      </c>
      <c r="D321">
        <v>1708</v>
      </c>
      <c r="E321">
        <v>1</v>
      </c>
      <c r="H321">
        <v>1824</v>
      </c>
      <c r="I321">
        <v>1824</v>
      </c>
      <c r="J321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322" spans="1:10">
      <c r="A322" t="s">
        <v>33</v>
      </c>
      <c r="B322" t="s">
        <v>32</v>
      </c>
      <c r="C322">
        <v>1</v>
      </c>
      <c r="D322">
        <v>1277</v>
      </c>
      <c r="E322">
        <v>2</v>
      </c>
      <c r="H322">
        <v>1824</v>
      </c>
      <c r="I322">
        <v>1824</v>
      </c>
      <c r="J322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323" spans="1:10">
      <c r="A323" t="s">
        <v>33</v>
      </c>
      <c r="B323" t="s">
        <v>32</v>
      </c>
      <c r="C323">
        <v>1</v>
      </c>
      <c r="D323">
        <v>2156</v>
      </c>
      <c r="E323">
        <v>1</v>
      </c>
      <c r="H323">
        <v>2937</v>
      </c>
      <c r="I323">
        <v>2937</v>
      </c>
      <c r="J323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324" spans="1:10">
      <c r="A324" t="s">
        <v>33</v>
      </c>
      <c r="B324" t="s">
        <v>32</v>
      </c>
      <c r="C324">
        <v>1</v>
      </c>
      <c r="D324">
        <v>1698</v>
      </c>
      <c r="E324">
        <v>0</v>
      </c>
      <c r="F324" t="s">
        <v>36</v>
      </c>
      <c r="G324">
        <v>2</v>
      </c>
      <c r="H324">
        <v>0</v>
      </c>
      <c r="I324">
        <f>DropAnalityka[[#This Row],[Sell Drop]]+IF(DropAnalityka[[#This Row],[Drop]]="Scroll", 2000*DropAnalityka[[#This Row],[Quality/Quantity]],0)</f>
        <v>4000</v>
      </c>
      <c r="J324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325" spans="1:10">
      <c r="A325" t="s">
        <v>33</v>
      </c>
      <c r="B325" t="s">
        <v>32</v>
      </c>
      <c r="C325">
        <v>1</v>
      </c>
      <c r="D325">
        <v>783</v>
      </c>
      <c r="E325">
        <v>0</v>
      </c>
      <c r="H325">
        <v>1834</v>
      </c>
      <c r="I325">
        <v>1834</v>
      </c>
      <c r="J325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326" spans="1:10">
      <c r="A326" t="s">
        <v>33</v>
      </c>
      <c r="B326" t="s">
        <v>32</v>
      </c>
      <c r="C326">
        <v>1</v>
      </c>
      <c r="D326">
        <v>1255</v>
      </c>
      <c r="E326">
        <v>0</v>
      </c>
      <c r="H326">
        <v>1834</v>
      </c>
      <c r="I326">
        <v>1834</v>
      </c>
      <c r="J326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327" spans="1:10">
      <c r="A327" t="s">
        <v>33</v>
      </c>
      <c r="B327" t="s">
        <v>32</v>
      </c>
      <c r="C327">
        <v>1</v>
      </c>
      <c r="D327">
        <v>1504</v>
      </c>
      <c r="E327">
        <v>1</v>
      </c>
      <c r="H327">
        <v>2937</v>
      </c>
      <c r="I327">
        <v>2937</v>
      </c>
      <c r="J327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328" spans="1:10">
      <c r="A328" t="s">
        <v>33</v>
      </c>
      <c r="B328" t="s">
        <v>32</v>
      </c>
      <c r="C328">
        <v>1</v>
      </c>
      <c r="D328">
        <v>1439</v>
      </c>
      <c r="E328">
        <v>0</v>
      </c>
      <c r="H328">
        <v>1834</v>
      </c>
      <c r="I328">
        <v>1834</v>
      </c>
      <c r="J328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329" spans="1:10">
      <c r="A329" t="s">
        <v>33</v>
      </c>
      <c r="B329" t="s">
        <v>32</v>
      </c>
      <c r="C329">
        <v>1</v>
      </c>
      <c r="D329">
        <v>1508</v>
      </c>
      <c r="E329">
        <v>1</v>
      </c>
      <c r="F329" t="s">
        <v>62</v>
      </c>
      <c r="G329" t="s">
        <v>13</v>
      </c>
      <c r="H329">
        <v>0</v>
      </c>
      <c r="I329">
        <v>0</v>
      </c>
      <c r="J329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15120</v>
      </c>
    </row>
    <row r="330" spans="1:10">
      <c r="A330" t="s">
        <v>33</v>
      </c>
      <c r="B330" t="s">
        <v>32</v>
      </c>
      <c r="C330">
        <v>1</v>
      </c>
      <c r="D330">
        <v>2502</v>
      </c>
      <c r="E330">
        <v>2</v>
      </c>
      <c r="F330" t="s">
        <v>62</v>
      </c>
      <c r="G330" t="s">
        <v>13</v>
      </c>
      <c r="H330">
        <v>0</v>
      </c>
      <c r="I330">
        <v>0</v>
      </c>
      <c r="J330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15120</v>
      </c>
    </row>
    <row r="331" spans="1:10">
      <c r="A331" t="s">
        <v>33</v>
      </c>
      <c r="B331" t="s">
        <v>32</v>
      </c>
      <c r="C331">
        <v>1</v>
      </c>
      <c r="D331">
        <v>1786</v>
      </c>
      <c r="E331">
        <v>1</v>
      </c>
      <c r="H331">
        <v>1834</v>
      </c>
      <c r="I331">
        <v>1834</v>
      </c>
      <c r="J331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332" spans="1:10">
      <c r="A332" t="s">
        <v>33</v>
      </c>
      <c r="B332" t="s">
        <v>32</v>
      </c>
      <c r="C332">
        <v>1</v>
      </c>
      <c r="D332">
        <v>1673</v>
      </c>
      <c r="E332">
        <v>3</v>
      </c>
      <c r="H332">
        <v>2280</v>
      </c>
      <c r="I332">
        <v>2280</v>
      </c>
      <c r="J332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333" spans="1:10">
      <c r="A333" t="s">
        <v>33</v>
      </c>
      <c r="B333" t="s">
        <v>32</v>
      </c>
      <c r="C333">
        <v>2</v>
      </c>
      <c r="D333">
        <v>1387</v>
      </c>
      <c r="E333">
        <v>1</v>
      </c>
      <c r="H333">
        <v>2080</v>
      </c>
      <c r="I333">
        <v>2080</v>
      </c>
      <c r="J333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334" spans="1:10">
      <c r="A334" t="s">
        <v>206</v>
      </c>
      <c r="B334" t="s">
        <v>9</v>
      </c>
      <c r="C334">
        <v>4</v>
      </c>
      <c r="D334">
        <v>1657</v>
      </c>
      <c r="E334">
        <v>2</v>
      </c>
      <c r="H334">
        <v>3168</v>
      </c>
      <c r="I334">
        <v>3168</v>
      </c>
      <c r="J334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335" spans="1:10">
      <c r="A335" t="s">
        <v>40</v>
      </c>
      <c r="B335" t="s">
        <v>9</v>
      </c>
      <c r="C335">
        <v>5</v>
      </c>
      <c r="D335">
        <v>1000</v>
      </c>
      <c r="E335">
        <v>0</v>
      </c>
      <c r="F335" t="s">
        <v>65</v>
      </c>
      <c r="G335">
        <v>1</v>
      </c>
      <c r="J335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336" spans="1:10">
      <c r="A336" t="s">
        <v>208</v>
      </c>
      <c r="B336" t="s">
        <v>9</v>
      </c>
      <c r="C336">
        <v>5</v>
      </c>
      <c r="D336">
        <v>1000</v>
      </c>
      <c r="E336">
        <v>0</v>
      </c>
      <c r="F336" t="s">
        <v>207</v>
      </c>
      <c r="G336">
        <v>5</v>
      </c>
      <c r="J336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337" spans="1:10">
      <c r="A337" t="s">
        <v>8</v>
      </c>
      <c r="B337" t="s">
        <v>34</v>
      </c>
      <c r="C337">
        <v>3</v>
      </c>
      <c r="D337">
        <v>1659</v>
      </c>
      <c r="E337">
        <v>4</v>
      </c>
      <c r="H337">
        <v>2067</v>
      </c>
      <c r="I337">
        <v>2067</v>
      </c>
      <c r="J337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338" spans="1:10">
      <c r="A338" t="s">
        <v>8</v>
      </c>
      <c r="B338" t="s">
        <v>34</v>
      </c>
      <c r="C338">
        <v>3</v>
      </c>
      <c r="D338">
        <v>1881</v>
      </c>
      <c r="E338">
        <v>1</v>
      </c>
      <c r="H338">
        <v>1159</v>
      </c>
      <c r="I338">
        <v>1159</v>
      </c>
      <c r="J338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339" spans="1:10">
      <c r="A339" t="s">
        <v>8</v>
      </c>
      <c r="B339" t="s">
        <v>34</v>
      </c>
      <c r="C339">
        <v>3</v>
      </c>
      <c r="D339">
        <v>2446</v>
      </c>
      <c r="E339">
        <v>1</v>
      </c>
      <c r="H339">
        <v>1159</v>
      </c>
      <c r="I339">
        <v>1159</v>
      </c>
      <c r="J339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340" spans="1:10">
      <c r="A340" t="s">
        <v>8</v>
      </c>
      <c r="B340" t="s">
        <v>34</v>
      </c>
      <c r="C340">
        <v>3</v>
      </c>
      <c r="D340">
        <v>1899</v>
      </c>
      <c r="E340">
        <v>0</v>
      </c>
      <c r="H340">
        <v>1352</v>
      </c>
      <c r="I340">
        <v>1352</v>
      </c>
      <c r="J340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341" spans="1:10">
      <c r="A341" t="s">
        <v>8</v>
      </c>
      <c r="B341" t="s">
        <v>34</v>
      </c>
      <c r="C341">
        <v>3</v>
      </c>
      <c r="D341">
        <v>1480</v>
      </c>
      <c r="E341">
        <v>1</v>
      </c>
      <c r="H341">
        <v>1159</v>
      </c>
      <c r="I341">
        <v>1159</v>
      </c>
      <c r="J341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342" spans="1:10">
      <c r="A342" t="s">
        <v>8</v>
      </c>
      <c r="B342" t="s">
        <v>34</v>
      </c>
      <c r="C342">
        <v>3</v>
      </c>
      <c r="D342">
        <v>1725</v>
      </c>
      <c r="E342">
        <v>2</v>
      </c>
      <c r="H342">
        <v>1159</v>
      </c>
      <c r="I342">
        <v>1159</v>
      </c>
      <c r="J342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343" spans="1:10">
      <c r="A343" t="s">
        <v>8</v>
      </c>
      <c r="B343" t="s">
        <v>34</v>
      </c>
      <c r="C343">
        <v>3</v>
      </c>
      <c r="D343">
        <v>1343</v>
      </c>
      <c r="E343">
        <v>0</v>
      </c>
      <c r="F343" t="s">
        <v>36</v>
      </c>
      <c r="G343">
        <v>3</v>
      </c>
      <c r="H343">
        <v>0</v>
      </c>
      <c r="I343">
        <f>DropAnalityka[[#This Row],[Sell Drop]]+IF(DropAnalityka[[#This Row],[Drop]]="Scroll", 2000*DropAnalityka[[#This Row],[Quality/Quantity]],0)</f>
        <v>6000</v>
      </c>
      <c r="J343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344" spans="1:10">
      <c r="A344" t="s">
        <v>8</v>
      </c>
      <c r="B344" t="s">
        <v>34</v>
      </c>
      <c r="C344">
        <v>3</v>
      </c>
      <c r="D344">
        <v>2733</v>
      </c>
      <c r="E344">
        <v>0</v>
      </c>
      <c r="H344">
        <v>1159</v>
      </c>
      <c r="I344">
        <v>1159</v>
      </c>
      <c r="J344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345" spans="1:10">
      <c r="A345" t="s">
        <v>8</v>
      </c>
      <c r="B345" t="s">
        <v>34</v>
      </c>
      <c r="C345">
        <v>3</v>
      </c>
      <c r="D345">
        <v>2196</v>
      </c>
      <c r="E345">
        <v>0</v>
      </c>
      <c r="H345">
        <v>1159</v>
      </c>
      <c r="I345">
        <v>1159</v>
      </c>
      <c r="J345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346" spans="1:10">
      <c r="A346" t="s">
        <v>8</v>
      </c>
      <c r="B346" t="s">
        <v>34</v>
      </c>
      <c r="C346">
        <v>3</v>
      </c>
      <c r="D346">
        <v>1326</v>
      </c>
      <c r="E346">
        <v>0</v>
      </c>
      <c r="H346">
        <v>1159</v>
      </c>
      <c r="I346">
        <v>1159</v>
      </c>
      <c r="J346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347" spans="1:10">
      <c r="A347" t="s">
        <v>8</v>
      </c>
      <c r="B347" t="s">
        <v>34</v>
      </c>
      <c r="C347">
        <v>3</v>
      </c>
      <c r="D347">
        <v>2012</v>
      </c>
      <c r="E347">
        <v>0</v>
      </c>
      <c r="F347" t="s">
        <v>175</v>
      </c>
      <c r="H347">
        <v>0</v>
      </c>
      <c r="I347">
        <v>0</v>
      </c>
      <c r="J347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348" spans="1:10">
      <c r="A348" t="s">
        <v>8</v>
      </c>
      <c r="B348" t="s">
        <v>34</v>
      </c>
      <c r="C348">
        <v>3</v>
      </c>
      <c r="D348">
        <v>1970</v>
      </c>
      <c r="E348">
        <v>1</v>
      </c>
      <c r="H348">
        <v>1546</v>
      </c>
      <c r="I348">
        <v>1546</v>
      </c>
      <c r="J348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349" spans="1:10">
      <c r="A349" t="s">
        <v>8</v>
      </c>
      <c r="B349" t="s">
        <v>34</v>
      </c>
      <c r="C349">
        <v>3</v>
      </c>
      <c r="D349">
        <v>779</v>
      </c>
      <c r="E349">
        <v>1</v>
      </c>
      <c r="F349" t="s">
        <v>36</v>
      </c>
      <c r="G349">
        <v>3</v>
      </c>
      <c r="H349">
        <v>0</v>
      </c>
      <c r="I349">
        <f>DropAnalityka[[#This Row],[Sell Drop]]+IF(DropAnalityka[[#This Row],[Drop]]="Scroll", 2000*DropAnalityka[[#This Row],[Quality/Quantity]],0)</f>
        <v>6000</v>
      </c>
      <c r="J349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350" spans="1:10">
      <c r="A350" t="s">
        <v>8</v>
      </c>
      <c r="B350" t="s">
        <v>34</v>
      </c>
      <c r="C350">
        <v>3</v>
      </c>
      <c r="D350">
        <v>2074</v>
      </c>
      <c r="E350">
        <v>1</v>
      </c>
      <c r="H350">
        <v>1159</v>
      </c>
      <c r="I350">
        <v>1159</v>
      </c>
      <c r="J350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351" spans="1:10">
      <c r="A351" t="s">
        <v>8</v>
      </c>
      <c r="B351" t="s">
        <v>34</v>
      </c>
      <c r="C351">
        <v>3</v>
      </c>
      <c r="D351">
        <v>1672</v>
      </c>
      <c r="E351">
        <v>0</v>
      </c>
      <c r="H351">
        <v>1159</v>
      </c>
      <c r="I351">
        <v>1159</v>
      </c>
      <c r="J351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352" spans="1:10">
      <c r="A352" t="s">
        <v>8</v>
      </c>
      <c r="B352" t="s">
        <v>34</v>
      </c>
      <c r="C352">
        <v>3</v>
      </c>
      <c r="D352">
        <v>823</v>
      </c>
      <c r="E352">
        <v>0</v>
      </c>
      <c r="H352">
        <v>1159</v>
      </c>
      <c r="I352">
        <v>1159</v>
      </c>
      <c r="J352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353" spans="1:10">
      <c r="A353" t="s">
        <v>8</v>
      </c>
      <c r="B353" t="s">
        <v>34</v>
      </c>
      <c r="C353">
        <v>3</v>
      </c>
      <c r="D353">
        <v>1454</v>
      </c>
      <c r="E353">
        <v>3</v>
      </c>
      <c r="H353">
        <v>1159</v>
      </c>
      <c r="I353">
        <v>1159</v>
      </c>
      <c r="J353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354" spans="1:10">
      <c r="A354" t="s">
        <v>8</v>
      </c>
      <c r="B354" t="s">
        <v>34</v>
      </c>
      <c r="C354">
        <v>3</v>
      </c>
      <c r="D354">
        <v>1264</v>
      </c>
      <c r="E354">
        <v>2</v>
      </c>
      <c r="F354" t="s">
        <v>36</v>
      </c>
      <c r="G354">
        <v>3</v>
      </c>
      <c r="H354">
        <v>0</v>
      </c>
      <c r="I354">
        <f>DropAnalityka[[#This Row],[Sell Drop]]+IF(DropAnalityka[[#This Row],[Drop]]="Scroll", 2000*DropAnalityka[[#This Row],[Quality/Quantity]],0)</f>
        <v>6000</v>
      </c>
      <c r="J354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355" spans="1:10">
      <c r="A355" t="s">
        <v>8</v>
      </c>
      <c r="B355" t="s">
        <v>34</v>
      </c>
      <c r="C355">
        <v>3</v>
      </c>
      <c r="D355">
        <v>1755</v>
      </c>
      <c r="E355">
        <v>0</v>
      </c>
      <c r="H355">
        <v>2757</v>
      </c>
      <c r="I355">
        <v>2757</v>
      </c>
      <c r="J355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356" spans="1:10">
      <c r="A356" t="s">
        <v>33</v>
      </c>
      <c r="B356" t="s">
        <v>32</v>
      </c>
      <c r="C356">
        <v>1</v>
      </c>
      <c r="D356">
        <v>1277</v>
      </c>
      <c r="E356">
        <v>1</v>
      </c>
      <c r="H356">
        <v>1824</v>
      </c>
      <c r="I356">
        <v>1824</v>
      </c>
      <c r="J356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357" spans="1:10">
      <c r="A357" t="s">
        <v>33</v>
      </c>
      <c r="B357" t="s">
        <v>32</v>
      </c>
      <c r="C357">
        <v>1</v>
      </c>
      <c r="D357">
        <v>2049</v>
      </c>
      <c r="E357">
        <v>0</v>
      </c>
      <c r="H357">
        <v>2937</v>
      </c>
      <c r="I357">
        <v>2937</v>
      </c>
      <c r="J357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358" spans="1:10">
      <c r="A358" t="s">
        <v>33</v>
      </c>
      <c r="B358" t="s">
        <v>32</v>
      </c>
      <c r="C358">
        <v>1</v>
      </c>
      <c r="D358">
        <v>1892</v>
      </c>
      <c r="E358">
        <v>1</v>
      </c>
      <c r="H358">
        <v>3400</v>
      </c>
      <c r="I358">
        <v>3400</v>
      </c>
      <c r="J358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359" spans="1:10">
      <c r="A359" t="s">
        <v>33</v>
      </c>
      <c r="B359" t="s">
        <v>32</v>
      </c>
      <c r="C359">
        <v>1</v>
      </c>
      <c r="D359">
        <v>2348</v>
      </c>
      <c r="E359">
        <v>0</v>
      </c>
      <c r="H359">
        <v>1824</v>
      </c>
      <c r="I359">
        <v>1824</v>
      </c>
      <c r="J359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360" spans="1:10">
      <c r="A360" t="s">
        <v>33</v>
      </c>
      <c r="B360" t="s">
        <v>32</v>
      </c>
      <c r="C360">
        <v>1</v>
      </c>
      <c r="D360">
        <v>1998</v>
      </c>
      <c r="E360">
        <v>1</v>
      </c>
      <c r="F360" t="s">
        <v>36</v>
      </c>
      <c r="G360">
        <v>2</v>
      </c>
      <c r="H360">
        <v>0</v>
      </c>
      <c r="I360">
        <f>DropAnalityka[[#This Row],[Sell Drop]]+IF(DropAnalityka[[#This Row],[Drop]]="Scroll", 2000*DropAnalityka[[#This Row],[Quality/Quantity]],0)</f>
        <v>4000</v>
      </c>
      <c r="J360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361" spans="1:10">
      <c r="A361" t="s">
        <v>33</v>
      </c>
      <c r="B361" t="s">
        <v>32</v>
      </c>
      <c r="C361">
        <v>1</v>
      </c>
      <c r="D361">
        <v>1962</v>
      </c>
      <c r="E361">
        <v>1</v>
      </c>
      <c r="H361">
        <v>1824</v>
      </c>
      <c r="I361">
        <v>1824</v>
      </c>
      <c r="J361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362" spans="1:10">
      <c r="A362" t="s">
        <v>33</v>
      </c>
      <c r="B362" t="s">
        <v>32</v>
      </c>
      <c r="C362">
        <v>1</v>
      </c>
      <c r="D362">
        <v>2010</v>
      </c>
      <c r="E362">
        <v>1</v>
      </c>
      <c r="H362">
        <v>1824</v>
      </c>
      <c r="I362">
        <v>1824</v>
      </c>
      <c r="J362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363" spans="1:10">
      <c r="A363" t="s">
        <v>33</v>
      </c>
      <c r="B363" t="s">
        <v>32</v>
      </c>
      <c r="C363">
        <v>1</v>
      </c>
      <c r="D363">
        <v>1676</v>
      </c>
      <c r="E363">
        <v>1</v>
      </c>
      <c r="H363">
        <v>1976</v>
      </c>
      <c r="I363">
        <v>1976</v>
      </c>
      <c r="J363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364" spans="1:10">
      <c r="A364" t="s">
        <v>33</v>
      </c>
      <c r="B364" t="s">
        <v>32</v>
      </c>
      <c r="C364">
        <v>1</v>
      </c>
      <c r="D364">
        <v>709</v>
      </c>
      <c r="E364">
        <v>0</v>
      </c>
      <c r="F364" t="s">
        <v>36</v>
      </c>
      <c r="H364">
        <v>0</v>
      </c>
      <c r="I364">
        <f>DropAnalityka[[#This Row],[Sell Drop]]+IF(DropAnalityka[[#This Row],[Drop]]="Scroll", 2000*DropAnalityka[[#This Row],[Quality/Quantity]],0)</f>
        <v>0</v>
      </c>
      <c r="J364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365" spans="1:10">
      <c r="A365" t="s">
        <v>33</v>
      </c>
      <c r="B365" t="s">
        <v>32</v>
      </c>
      <c r="C365">
        <v>1</v>
      </c>
      <c r="D365">
        <v>2619</v>
      </c>
      <c r="E365">
        <v>1</v>
      </c>
      <c r="H365">
        <v>1834</v>
      </c>
      <c r="I365">
        <v>1834</v>
      </c>
      <c r="J365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366" spans="1:10">
      <c r="A366" t="s">
        <v>33</v>
      </c>
      <c r="B366" t="s">
        <v>32</v>
      </c>
      <c r="C366">
        <v>1</v>
      </c>
      <c r="D366">
        <v>1880</v>
      </c>
      <c r="E366">
        <v>0</v>
      </c>
      <c r="H366">
        <v>1834</v>
      </c>
      <c r="I366">
        <v>1834</v>
      </c>
      <c r="J366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367" spans="1:10">
      <c r="A367" t="s">
        <v>206</v>
      </c>
      <c r="B367" t="s">
        <v>9</v>
      </c>
      <c r="C367">
        <v>5</v>
      </c>
      <c r="D367">
        <v>2351</v>
      </c>
      <c r="E367">
        <v>2</v>
      </c>
      <c r="H367">
        <v>3100</v>
      </c>
      <c r="I367">
        <v>3100</v>
      </c>
      <c r="J367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368" spans="1:10">
      <c r="A368" t="s">
        <v>206</v>
      </c>
      <c r="B368" t="s">
        <v>9</v>
      </c>
      <c r="C368">
        <v>5</v>
      </c>
      <c r="D368">
        <v>2200</v>
      </c>
      <c r="E368">
        <v>4</v>
      </c>
      <c r="H368">
        <v>1300</v>
      </c>
      <c r="I368">
        <v>1300</v>
      </c>
      <c r="J368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369" spans="1:10">
      <c r="A369" t="s">
        <v>206</v>
      </c>
      <c r="B369" t="s">
        <v>9</v>
      </c>
      <c r="C369">
        <v>5</v>
      </c>
      <c r="D369">
        <v>1737</v>
      </c>
      <c r="E369">
        <v>2</v>
      </c>
      <c r="H369">
        <v>1649</v>
      </c>
      <c r="I369">
        <v>1649</v>
      </c>
      <c r="J369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370" spans="1:10">
      <c r="A370" t="s">
        <v>206</v>
      </c>
      <c r="B370" t="s">
        <v>9</v>
      </c>
      <c r="C370">
        <v>5</v>
      </c>
      <c r="D370">
        <v>2547</v>
      </c>
      <c r="E370">
        <v>2</v>
      </c>
      <c r="F370" t="s">
        <v>175</v>
      </c>
      <c r="H370">
        <v>0</v>
      </c>
      <c r="I370">
        <v>0</v>
      </c>
      <c r="J370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371" spans="1:10">
      <c r="A371" t="s">
        <v>206</v>
      </c>
      <c r="B371" t="s">
        <v>9</v>
      </c>
      <c r="C371">
        <v>5</v>
      </c>
      <c r="D371">
        <v>2230</v>
      </c>
      <c r="E371">
        <v>2</v>
      </c>
      <c r="F371" t="s">
        <v>36</v>
      </c>
      <c r="G371">
        <v>2</v>
      </c>
      <c r="H371">
        <v>0</v>
      </c>
      <c r="I371">
        <f>DropAnalityka[[#This Row],[Sell Drop]]+IF(DropAnalityka[[#This Row],[Drop]]="Scroll", 2000*DropAnalityka[[#This Row],[Quality/Quantity]],0)</f>
        <v>4000</v>
      </c>
      <c r="J371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372" spans="1:10">
      <c r="A372" t="s">
        <v>206</v>
      </c>
      <c r="B372" t="s">
        <v>9</v>
      </c>
      <c r="C372">
        <v>5</v>
      </c>
      <c r="D372">
        <v>2500</v>
      </c>
      <c r="E372">
        <v>2</v>
      </c>
      <c r="F372" t="s">
        <v>36</v>
      </c>
      <c r="G372">
        <v>3</v>
      </c>
      <c r="H372">
        <v>0</v>
      </c>
      <c r="I372">
        <f>DropAnalityka[[#This Row],[Sell Drop]]+IF(DropAnalityka[[#This Row],[Drop]]="Scroll", 2000*DropAnalityka[[#This Row],[Quality/Quantity]],0)</f>
        <v>6000</v>
      </c>
      <c r="J372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373" spans="1:10">
      <c r="A373" t="s">
        <v>206</v>
      </c>
      <c r="B373" t="s">
        <v>9</v>
      </c>
      <c r="C373">
        <v>5</v>
      </c>
      <c r="D373">
        <v>2677</v>
      </c>
      <c r="E373">
        <v>1</v>
      </c>
      <c r="H373">
        <v>8882</v>
      </c>
      <c r="I373">
        <v>8882</v>
      </c>
      <c r="J373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374" spans="1:10">
      <c r="A374" t="s">
        <v>206</v>
      </c>
      <c r="B374" t="s">
        <v>9</v>
      </c>
      <c r="C374">
        <v>5</v>
      </c>
      <c r="D374">
        <v>2500</v>
      </c>
      <c r="E374">
        <v>1</v>
      </c>
      <c r="H374">
        <v>4134</v>
      </c>
      <c r="I374">
        <v>4134</v>
      </c>
      <c r="J374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375" spans="1:10">
      <c r="A375" t="s">
        <v>206</v>
      </c>
      <c r="B375" t="s">
        <v>9</v>
      </c>
      <c r="C375">
        <v>5</v>
      </c>
      <c r="D375">
        <v>2751</v>
      </c>
      <c r="E375">
        <v>0</v>
      </c>
      <c r="H375">
        <v>6615</v>
      </c>
      <c r="I375">
        <v>6615</v>
      </c>
      <c r="J375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376" spans="1:10">
      <c r="A376" t="s">
        <v>206</v>
      </c>
      <c r="B376" t="s">
        <v>9</v>
      </c>
      <c r="C376">
        <v>5</v>
      </c>
      <c r="D376">
        <v>2004</v>
      </c>
      <c r="E376">
        <v>2</v>
      </c>
      <c r="H376">
        <v>13770</v>
      </c>
      <c r="I376">
        <v>13770</v>
      </c>
      <c r="J376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377" spans="1:10">
      <c r="A377" t="s">
        <v>206</v>
      </c>
      <c r="B377" t="s">
        <v>9</v>
      </c>
      <c r="C377">
        <v>5</v>
      </c>
      <c r="D377">
        <v>1787</v>
      </c>
      <c r="E377">
        <v>3</v>
      </c>
      <c r="H377">
        <v>4134</v>
      </c>
      <c r="I377">
        <v>4134</v>
      </c>
      <c r="J377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378" spans="1:10">
      <c r="A378" t="s">
        <v>206</v>
      </c>
      <c r="B378" t="s">
        <v>9</v>
      </c>
      <c r="C378">
        <v>5</v>
      </c>
      <c r="D378">
        <v>2747</v>
      </c>
      <c r="E378">
        <v>1</v>
      </c>
      <c r="H378">
        <v>3720</v>
      </c>
      <c r="I378">
        <v>3720</v>
      </c>
      <c r="J378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379" spans="1:10">
      <c r="A379" t="s">
        <v>206</v>
      </c>
      <c r="B379" t="s">
        <v>9</v>
      </c>
      <c r="C379">
        <v>5</v>
      </c>
      <c r="D379">
        <v>2105</v>
      </c>
      <c r="E379">
        <v>0</v>
      </c>
      <c r="F379" t="s">
        <v>36</v>
      </c>
      <c r="G379">
        <v>3</v>
      </c>
      <c r="H379">
        <v>0</v>
      </c>
      <c r="I379">
        <f>DropAnalityka[[#This Row],[Sell Drop]]+IF(DropAnalityka[[#This Row],[Drop]]="Scroll", 2000*DropAnalityka[[#This Row],[Quality/Quantity]],0)</f>
        <v>6000</v>
      </c>
      <c r="J379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380" spans="1:10">
      <c r="A380" t="s">
        <v>206</v>
      </c>
      <c r="B380" t="s">
        <v>9</v>
      </c>
      <c r="C380">
        <v>5</v>
      </c>
      <c r="D380">
        <v>2230</v>
      </c>
      <c r="E380">
        <v>2</v>
      </c>
      <c r="H380">
        <v>2067</v>
      </c>
      <c r="I380">
        <v>2067</v>
      </c>
      <c r="J380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381" spans="1:10">
      <c r="A381" t="s">
        <v>206</v>
      </c>
      <c r="B381" t="s">
        <v>9</v>
      </c>
      <c r="C381">
        <v>5</v>
      </c>
      <c r="D381">
        <v>2236</v>
      </c>
      <c r="E381">
        <v>1</v>
      </c>
      <c r="F381" t="s">
        <v>36</v>
      </c>
      <c r="G381">
        <v>4</v>
      </c>
      <c r="H381">
        <v>0</v>
      </c>
      <c r="I381">
        <f>DropAnalityka[[#This Row],[Sell Drop]]+IF(DropAnalityka[[#This Row],[Drop]]="Scroll", 2000*DropAnalityka[[#This Row],[Quality/Quantity]],0)</f>
        <v>8000</v>
      </c>
      <c r="J381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382" spans="1:10">
      <c r="A382" t="s">
        <v>206</v>
      </c>
      <c r="B382" t="s">
        <v>9</v>
      </c>
      <c r="C382">
        <v>5</v>
      </c>
      <c r="D382">
        <v>2339</v>
      </c>
      <c r="E382">
        <v>3</v>
      </c>
      <c r="F382" t="s">
        <v>36</v>
      </c>
      <c r="G382">
        <v>4</v>
      </c>
      <c r="H382">
        <v>0</v>
      </c>
      <c r="I382">
        <f>DropAnalityka[[#This Row],[Sell Drop]]+IF(DropAnalityka[[#This Row],[Drop]]="Scroll", 2000*DropAnalityka[[#This Row],[Quality/Quantity]],0)</f>
        <v>8000</v>
      </c>
      <c r="J382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383" spans="1:10">
      <c r="A383" t="s">
        <v>8</v>
      </c>
      <c r="B383" t="s">
        <v>34</v>
      </c>
      <c r="C383">
        <v>3</v>
      </c>
      <c r="D383">
        <v>1396</v>
      </c>
      <c r="E383">
        <v>2</v>
      </c>
      <c r="H383">
        <v>1159</v>
      </c>
      <c r="I383">
        <f>DropAnalityka[[#This Row],[Sell Drop]]+IF(DropAnalityka[[#This Row],[Drop]]="Scroll", 2000*DropAnalityka[[#This Row],[Quality/Quantity]],0)</f>
        <v>1159</v>
      </c>
      <c r="J383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384" spans="1:10">
      <c r="A384" t="s">
        <v>8</v>
      </c>
      <c r="B384" t="s">
        <v>34</v>
      </c>
      <c r="C384">
        <v>3</v>
      </c>
      <c r="D384">
        <v>1382</v>
      </c>
      <c r="E384">
        <v>1</v>
      </c>
      <c r="F384" t="s">
        <v>36</v>
      </c>
      <c r="G384">
        <v>3</v>
      </c>
      <c r="H384">
        <v>0</v>
      </c>
      <c r="I384">
        <f>DropAnalityka[[#This Row],[Sell Drop]]+IF(DropAnalityka[[#This Row],[Drop]]="Scroll", 2000*DropAnalityka[[#This Row],[Quality/Quantity]],0)</f>
        <v>6000</v>
      </c>
      <c r="J384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385" spans="1:10">
      <c r="A385" t="s">
        <v>8</v>
      </c>
      <c r="B385" t="s">
        <v>34</v>
      </c>
      <c r="C385">
        <v>3</v>
      </c>
      <c r="D385">
        <v>823</v>
      </c>
      <c r="E385">
        <v>1</v>
      </c>
      <c r="H385">
        <v>1159</v>
      </c>
      <c r="I385">
        <f>DropAnalityka[[#This Row],[Sell Drop]]+IF(DropAnalityka[[#This Row],[Drop]]="Scroll", 2000*DropAnalityka[[#This Row],[Quality/Quantity]],0)</f>
        <v>1159</v>
      </c>
      <c r="J385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386" spans="1:10">
      <c r="A386" t="s">
        <v>8</v>
      </c>
      <c r="B386" t="s">
        <v>34</v>
      </c>
      <c r="C386">
        <v>3</v>
      </c>
      <c r="D386">
        <v>1300</v>
      </c>
      <c r="E386">
        <v>2</v>
      </c>
      <c r="H386">
        <v>1159</v>
      </c>
      <c r="I386">
        <f>DropAnalityka[[#This Row],[Sell Drop]]+IF(DropAnalityka[[#This Row],[Drop]]="Scroll", 2000*DropAnalityka[[#This Row],[Quality/Quantity]],0)</f>
        <v>1159</v>
      </c>
      <c r="J386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387" spans="1:10">
      <c r="A387" t="s">
        <v>8</v>
      </c>
      <c r="B387" t="s">
        <v>34</v>
      </c>
      <c r="C387">
        <v>3</v>
      </c>
      <c r="D387">
        <v>1617</v>
      </c>
      <c r="E387">
        <v>0</v>
      </c>
      <c r="H387">
        <v>1159</v>
      </c>
      <c r="I387">
        <f>DropAnalityka[[#This Row],[Sell Drop]]+IF(DropAnalityka[[#This Row],[Drop]]="Scroll", 2000*DropAnalityka[[#This Row],[Quality/Quantity]],0)</f>
        <v>1159</v>
      </c>
      <c r="J387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388" spans="1:10">
      <c r="A388" t="s">
        <v>8</v>
      </c>
      <c r="B388" t="s">
        <v>34</v>
      </c>
      <c r="C388">
        <v>3</v>
      </c>
      <c r="D388">
        <v>1669</v>
      </c>
      <c r="E388">
        <v>2</v>
      </c>
      <c r="H388">
        <v>2067</v>
      </c>
      <c r="I388">
        <f>DropAnalityka[[#This Row],[Sell Drop]]+IF(DropAnalityka[[#This Row],[Drop]]="Scroll", 2000*DropAnalityka[[#This Row],[Quality/Quantity]],0)</f>
        <v>2067</v>
      </c>
      <c r="J388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389" spans="1:10">
      <c r="A389" t="s">
        <v>8</v>
      </c>
      <c r="B389" t="s">
        <v>34</v>
      </c>
      <c r="C389">
        <v>3</v>
      </c>
      <c r="D389">
        <v>1400</v>
      </c>
      <c r="E389">
        <v>0</v>
      </c>
      <c r="H389">
        <v>2067</v>
      </c>
      <c r="I389">
        <f>DropAnalityka[[#This Row],[Sell Drop]]+IF(DropAnalityka[[#This Row],[Drop]]="Scroll", 2000*DropAnalityka[[#This Row],[Quality/Quantity]],0)</f>
        <v>2067</v>
      </c>
      <c r="J389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390" spans="1:10">
      <c r="A390" t="s">
        <v>8</v>
      </c>
      <c r="B390" t="s">
        <v>34</v>
      </c>
      <c r="C390">
        <v>3</v>
      </c>
      <c r="D390">
        <v>1299</v>
      </c>
      <c r="E390">
        <v>1</v>
      </c>
      <c r="H390">
        <v>1159</v>
      </c>
      <c r="I390">
        <f>DropAnalityka[[#This Row],[Sell Drop]]+IF(DropAnalityka[[#This Row],[Drop]]="Scroll", 2000*DropAnalityka[[#This Row],[Quality/Quantity]],0)</f>
        <v>1159</v>
      </c>
      <c r="J390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391" spans="1:10">
      <c r="A391" t="s">
        <v>8</v>
      </c>
      <c r="B391" t="s">
        <v>34</v>
      </c>
      <c r="C391">
        <v>3</v>
      </c>
      <c r="D391">
        <v>1135</v>
      </c>
      <c r="E391">
        <v>1</v>
      </c>
      <c r="H391">
        <v>1159</v>
      </c>
      <c r="I391">
        <f>DropAnalityka[[#This Row],[Sell Drop]]+IF(DropAnalityka[[#This Row],[Drop]]="Scroll", 2000*DropAnalityka[[#This Row],[Quality/Quantity]],0)</f>
        <v>1159</v>
      </c>
      <c r="J391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392" spans="1:10">
      <c r="A392" t="s">
        <v>8</v>
      </c>
      <c r="B392" t="s">
        <v>34</v>
      </c>
      <c r="C392">
        <v>3</v>
      </c>
      <c r="D392">
        <v>1659</v>
      </c>
      <c r="E392">
        <v>1</v>
      </c>
      <c r="H392">
        <v>1546</v>
      </c>
      <c r="I392">
        <f>DropAnalityka[[#This Row],[Sell Drop]]+IF(DropAnalityka[[#This Row],[Drop]]="Scroll", 2000*DropAnalityka[[#This Row],[Quality/Quantity]],0)</f>
        <v>1546</v>
      </c>
      <c r="J392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393" spans="1:10">
      <c r="A393" t="s">
        <v>8</v>
      </c>
      <c r="B393" t="s">
        <v>34</v>
      </c>
      <c r="C393">
        <v>3</v>
      </c>
      <c r="D393">
        <v>1820</v>
      </c>
      <c r="E393">
        <v>2</v>
      </c>
      <c r="H393">
        <v>1159</v>
      </c>
      <c r="I393">
        <f>DropAnalityka[[#This Row],[Sell Drop]]+IF(DropAnalityka[[#This Row],[Drop]]="Scroll", 2000*DropAnalityka[[#This Row],[Quality/Quantity]],0)</f>
        <v>1159</v>
      </c>
      <c r="J393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394" spans="1:10">
      <c r="A394" t="s">
        <v>8</v>
      </c>
      <c r="B394" t="s">
        <v>34</v>
      </c>
      <c r="C394">
        <v>3</v>
      </c>
      <c r="D394">
        <v>1567</v>
      </c>
      <c r="E394">
        <v>1</v>
      </c>
      <c r="H394">
        <v>1352</v>
      </c>
      <c r="I394">
        <f>DropAnalityka[[#This Row],[Sell Drop]]+IF(DropAnalityka[[#This Row],[Drop]]="Scroll", 2000*DropAnalityka[[#This Row],[Quality/Quantity]],0)</f>
        <v>1352</v>
      </c>
      <c r="J394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395" spans="1:10">
      <c r="A395" t="s">
        <v>8</v>
      </c>
      <c r="B395" t="s">
        <v>34</v>
      </c>
      <c r="C395">
        <v>3</v>
      </c>
      <c r="D395">
        <v>1417</v>
      </c>
      <c r="E395">
        <v>1</v>
      </c>
      <c r="H395">
        <v>2067</v>
      </c>
      <c r="I395">
        <f>DropAnalityka[[#This Row],[Sell Drop]]+IF(DropAnalityka[[#This Row],[Drop]]="Scroll", 2000*DropAnalityka[[#This Row],[Quality/Quantity]],0)</f>
        <v>2067</v>
      </c>
      <c r="J395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396" spans="1:10">
      <c r="A396" t="s">
        <v>8</v>
      </c>
      <c r="B396" t="s">
        <v>34</v>
      </c>
      <c r="C396">
        <v>3</v>
      </c>
      <c r="D396">
        <v>1149</v>
      </c>
      <c r="E396">
        <v>0</v>
      </c>
      <c r="H396">
        <v>1546</v>
      </c>
      <c r="I396">
        <f>DropAnalityka[[#This Row],[Sell Drop]]+IF(DropAnalityka[[#This Row],[Drop]]="Scroll", 2000*DropAnalityka[[#This Row],[Quality/Quantity]],0)</f>
        <v>1546</v>
      </c>
      <c r="J396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397" spans="1:10">
      <c r="A397" t="s">
        <v>8</v>
      </c>
      <c r="B397" t="s">
        <v>34</v>
      </c>
      <c r="C397">
        <v>3</v>
      </c>
      <c r="D397">
        <v>999</v>
      </c>
      <c r="E397">
        <v>2</v>
      </c>
      <c r="H397">
        <v>2067</v>
      </c>
      <c r="I397">
        <f>DropAnalityka[[#This Row],[Sell Drop]]+IF(DropAnalityka[[#This Row],[Drop]]="Scroll", 2000*DropAnalityka[[#This Row],[Quality/Quantity]],0)</f>
        <v>2067</v>
      </c>
      <c r="J397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398" spans="1:10">
      <c r="A398" t="s">
        <v>8</v>
      </c>
      <c r="B398" t="s">
        <v>34</v>
      </c>
      <c r="C398">
        <v>3</v>
      </c>
      <c r="D398">
        <v>1041</v>
      </c>
      <c r="E398">
        <v>1</v>
      </c>
      <c r="H398">
        <v>1159</v>
      </c>
      <c r="I398">
        <f>DropAnalityka[[#This Row],[Sell Drop]]+IF(DropAnalityka[[#This Row],[Drop]]="Scroll", 2000*DropAnalityka[[#This Row],[Quality/Quantity]],0)</f>
        <v>1159</v>
      </c>
      <c r="J398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399" spans="1:10">
      <c r="A399" t="s">
        <v>8</v>
      </c>
      <c r="B399" t="s">
        <v>34</v>
      </c>
      <c r="C399">
        <v>3</v>
      </c>
      <c r="D399">
        <v>1428</v>
      </c>
      <c r="E399">
        <v>1</v>
      </c>
      <c r="H399">
        <v>1352</v>
      </c>
      <c r="I399">
        <f>DropAnalityka[[#This Row],[Sell Drop]]+IF(DropAnalityka[[#This Row],[Drop]]="Scroll", 2000*DropAnalityka[[#This Row],[Quality/Quantity]],0)</f>
        <v>1352</v>
      </c>
      <c r="J399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400" spans="1:10">
      <c r="A400" t="s">
        <v>8</v>
      </c>
      <c r="B400" t="s">
        <v>34</v>
      </c>
      <c r="C400">
        <v>3</v>
      </c>
      <c r="D400">
        <v>1853</v>
      </c>
      <c r="E400">
        <v>0</v>
      </c>
      <c r="F400" t="s">
        <v>36</v>
      </c>
      <c r="G400">
        <v>3</v>
      </c>
      <c r="H400">
        <v>0</v>
      </c>
      <c r="I400">
        <f>DropAnalityka[[#This Row],[Sell Drop]]+IF(DropAnalityka[[#This Row],[Drop]]="Scroll", 2000*DropAnalityka[[#This Row],[Quality/Quantity]],0)</f>
        <v>6000</v>
      </c>
      <c r="J400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401" spans="1:10">
      <c r="A401" t="s">
        <v>8</v>
      </c>
      <c r="B401" t="s">
        <v>34</v>
      </c>
      <c r="C401">
        <v>3</v>
      </c>
      <c r="D401">
        <v>2455</v>
      </c>
      <c r="E401">
        <v>2</v>
      </c>
      <c r="H401">
        <v>1159</v>
      </c>
      <c r="I401">
        <f>DropAnalityka[[#This Row],[Sell Drop]]+IF(DropAnalityka[[#This Row],[Drop]]="Scroll", 2000*DropAnalityka[[#This Row],[Quality/Quantity]],0)</f>
        <v>1159</v>
      </c>
      <c r="J401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402" spans="1:10">
      <c r="A402" t="s">
        <v>8</v>
      </c>
      <c r="B402" t="s">
        <v>34</v>
      </c>
      <c r="C402">
        <v>3</v>
      </c>
      <c r="D402">
        <v>1681</v>
      </c>
      <c r="E402">
        <v>1</v>
      </c>
      <c r="H402">
        <v>1546</v>
      </c>
      <c r="I402">
        <f>DropAnalityka[[#This Row],[Sell Drop]]+IF(DropAnalityka[[#This Row],[Drop]]="Scroll", 2000*DropAnalityka[[#This Row],[Quality/Quantity]],0)</f>
        <v>1546</v>
      </c>
      <c r="J402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403" spans="1:10">
      <c r="A403" t="s">
        <v>8</v>
      </c>
      <c r="B403" t="s">
        <v>34</v>
      </c>
      <c r="C403">
        <v>3</v>
      </c>
      <c r="D403">
        <v>824</v>
      </c>
      <c r="E403">
        <v>0</v>
      </c>
      <c r="F403" t="s">
        <v>36</v>
      </c>
      <c r="G403">
        <v>3</v>
      </c>
      <c r="H403">
        <v>0</v>
      </c>
      <c r="I403">
        <f>DropAnalityka[[#This Row],[Sell Drop]]+IF(DropAnalityka[[#This Row],[Drop]]="Scroll", 2000*DropAnalityka[[#This Row],[Quality/Quantity]],0)</f>
        <v>6000</v>
      </c>
      <c r="J403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404" spans="1:10">
      <c r="A404" t="s">
        <v>8</v>
      </c>
      <c r="B404" t="s">
        <v>34</v>
      </c>
      <c r="C404">
        <v>3</v>
      </c>
      <c r="D404">
        <v>1214</v>
      </c>
      <c r="E404">
        <v>1</v>
      </c>
      <c r="H404">
        <v>1159</v>
      </c>
      <c r="I404">
        <f>DropAnalityka[[#This Row],[Sell Drop]]+IF(DropAnalityka[[#This Row],[Drop]]="Scroll", 2000*DropAnalityka[[#This Row],[Quality/Quantity]],0)</f>
        <v>1159</v>
      </c>
      <c r="J404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405" spans="1:10">
      <c r="A405" t="s">
        <v>8</v>
      </c>
      <c r="B405" t="s">
        <v>34</v>
      </c>
      <c r="C405">
        <v>3</v>
      </c>
      <c r="D405">
        <v>1917</v>
      </c>
      <c r="E405">
        <v>2</v>
      </c>
      <c r="H405">
        <v>1159</v>
      </c>
      <c r="I405">
        <f>DropAnalityka[[#This Row],[Sell Drop]]+IF(DropAnalityka[[#This Row],[Drop]]="Scroll", 2000*DropAnalityka[[#This Row],[Quality/Quantity]],0)</f>
        <v>1159</v>
      </c>
      <c r="J405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406" spans="1:10">
      <c r="A406" t="s">
        <v>8</v>
      </c>
      <c r="B406" t="s">
        <v>34</v>
      </c>
      <c r="C406">
        <v>3</v>
      </c>
      <c r="D406">
        <v>404</v>
      </c>
      <c r="E406">
        <v>0</v>
      </c>
      <c r="H406">
        <v>2067</v>
      </c>
      <c r="I406">
        <f>DropAnalityka[[#This Row],[Sell Drop]]+IF(DropAnalityka[[#This Row],[Drop]]="Scroll", 2000*DropAnalityka[[#This Row],[Quality/Quantity]],0)</f>
        <v>2067</v>
      </c>
      <c r="J406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407" spans="1:10">
      <c r="A407" t="s">
        <v>8</v>
      </c>
      <c r="B407" t="s">
        <v>34</v>
      </c>
      <c r="C407">
        <v>3</v>
      </c>
      <c r="D407">
        <v>991</v>
      </c>
      <c r="E407">
        <v>0</v>
      </c>
      <c r="H407">
        <v>1159</v>
      </c>
      <c r="I407">
        <f>DropAnalityka[[#This Row],[Sell Drop]]+IF(DropAnalityka[[#This Row],[Drop]]="Scroll", 2000*DropAnalityka[[#This Row],[Quality/Quantity]],0)</f>
        <v>1159</v>
      </c>
      <c r="J407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408" spans="1:10">
      <c r="A408" t="s">
        <v>8</v>
      </c>
      <c r="B408" t="s">
        <v>34</v>
      </c>
      <c r="C408">
        <v>3</v>
      </c>
      <c r="D408">
        <v>1585</v>
      </c>
      <c r="E408">
        <v>0</v>
      </c>
      <c r="H408">
        <v>1159</v>
      </c>
      <c r="I408">
        <f>DropAnalityka[[#This Row],[Sell Drop]]+IF(DropAnalityka[[#This Row],[Drop]]="Scroll", 2000*DropAnalityka[[#This Row],[Quality/Quantity]],0)</f>
        <v>1159</v>
      </c>
      <c r="J408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409" spans="1:10">
      <c r="A409" t="s">
        <v>8</v>
      </c>
      <c r="B409" t="s">
        <v>34</v>
      </c>
      <c r="C409">
        <v>3</v>
      </c>
      <c r="D409">
        <v>1099</v>
      </c>
      <c r="E409">
        <v>1</v>
      </c>
      <c r="H409">
        <v>1352</v>
      </c>
      <c r="I409">
        <f>DropAnalityka[[#This Row],[Sell Drop]]+IF(DropAnalityka[[#This Row],[Drop]]="Scroll", 2000*DropAnalityka[[#This Row],[Quality/Quantity]],0)</f>
        <v>1352</v>
      </c>
      <c r="J409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410" spans="1:10">
      <c r="A410" t="s">
        <v>8</v>
      </c>
      <c r="B410" t="s">
        <v>34</v>
      </c>
      <c r="C410">
        <v>3</v>
      </c>
      <c r="D410">
        <v>1444</v>
      </c>
      <c r="E410">
        <v>0</v>
      </c>
      <c r="H410">
        <v>1739</v>
      </c>
      <c r="I410">
        <f>DropAnalityka[[#This Row],[Sell Drop]]+IF(DropAnalityka[[#This Row],[Drop]]="Scroll", 2000*DropAnalityka[[#This Row],[Quality/Quantity]],0)</f>
        <v>1739</v>
      </c>
      <c r="J410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411" spans="1:10">
      <c r="A411" t="s">
        <v>8</v>
      </c>
      <c r="B411" t="s">
        <v>34</v>
      </c>
      <c r="C411">
        <v>3</v>
      </c>
      <c r="D411">
        <v>1206</v>
      </c>
      <c r="E411">
        <v>1</v>
      </c>
      <c r="H411">
        <v>1159</v>
      </c>
      <c r="I411">
        <f>DropAnalityka[[#This Row],[Sell Drop]]+IF(DropAnalityka[[#This Row],[Drop]]="Scroll", 2000*DropAnalityka[[#This Row],[Quality/Quantity]],0)</f>
        <v>1159</v>
      </c>
      <c r="J411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412" spans="1:10">
      <c r="A412" t="s">
        <v>8</v>
      </c>
      <c r="B412" t="s">
        <v>34</v>
      </c>
      <c r="C412">
        <v>3</v>
      </c>
      <c r="D412">
        <v>2034</v>
      </c>
      <c r="E412">
        <v>3</v>
      </c>
      <c r="H412">
        <v>1159</v>
      </c>
      <c r="I412">
        <f>DropAnalityka[[#This Row],[Sell Drop]]+IF(DropAnalityka[[#This Row],[Drop]]="Scroll", 2000*DropAnalityka[[#This Row],[Quality/Quantity]],0)</f>
        <v>1159</v>
      </c>
      <c r="J412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413" spans="1:10">
      <c r="A413" t="s">
        <v>8</v>
      </c>
      <c r="B413" t="s">
        <v>34</v>
      </c>
      <c r="C413">
        <v>3</v>
      </c>
      <c r="D413">
        <v>2474</v>
      </c>
      <c r="E413">
        <v>0</v>
      </c>
      <c r="F413" t="s">
        <v>36</v>
      </c>
      <c r="G413">
        <v>3</v>
      </c>
      <c r="H413">
        <v>0</v>
      </c>
      <c r="I413">
        <f>DropAnalityka[[#This Row],[Sell Drop]]+IF(DropAnalityka[[#This Row],[Drop]]="Scroll", 2000*DropAnalityka[[#This Row],[Quality/Quantity]],0)</f>
        <v>6000</v>
      </c>
      <c r="J413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414" spans="1:10">
      <c r="A414" t="s">
        <v>8</v>
      </c>
      <c r="B414" t="s">
        <v>34</v>
      </c>
      <c r="C414">
        <v>3</v>
      </c>
      <c r="D414">
        <v>1210</v>
      </c>
      <c r="E414">
        <v>2</v>
      </c>
      <c r="H414">
        <v>1352</v>
      </c>
      <c r="I414">
        <f>DropAnalityka[[#This Row],[Sell Drop]]+IF(DropAnalityka[[#This Row],[Drop]]="Scroll", 2000*DropAnalityka[[#This Row],[Quality/Quantity]],0)</f>
        <v>1352</v>
      </c>
      <c r="J414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415" spans="1:10">
      <c r="A415" t="s">
        <v>8</v>
      </c>
      <c r="B415" t="s">
        <v>34</v>
      </c>
      <c r="C415">
        <v>3</v>
      </c>
      <c r="D415">
        <v>1838</v>
      </c>
      <c r="E415">
        <v>0</v>
      </c>
      <c r="H415">
        <v>1159</v>
      </c>
      <c r="I415">
        <f>DropAnalityka[[#This Row],[Sell Drop]]+IF(DropAnalityka[[#This Row],[Drop]]="Scroll", 2000*DropAnalityka[[#This Row],[Quality/Quantity]],0)</f>
        <v>1159</v>
      </c>
      <c r="J415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416" spans="1:10">
      <c r="A416" t="s">
        <v>8</v>
      </c>
      <c r="B416" t="s">
        <v>34</v>
      </c>
      <c r="C416">
        <v>3</v>
      </c>
      <c r="D416">
        <v>1620</v>
      </c>
      <c r="E416">
        <v>1</v>
      </c>
      <c r="H416">
        <v>1159</v>
      </c>
      <c r="I416">
        <f>DropAnalityka[[#This Row],[Sell Drop]]+IF(DropAnalityka[[#This Row],[Drop]]="Scroll", 2000*DropAnalityka[[#This Row],[Quality/Quantity]],0)</f>
        <v>1159</v>
      </c>
      <c r="J416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417" spans="1:10">
      <c r="A417" t="s">
        <v>8</v>
      </c>
      <c r="B417" t="s">
        <v>34</v>
      </c>
      <c r="C417">
        <v>3</v>
      </c>
      <c r="D417">
        <v>1629</v>
      </c>
      <c r="E417">
        <v>1</v>
      </c>
      <c r="H417">
        <v>2750</v>
      </c>
      <c r="I417">
        <f>DropAnalityka[[#This Row],[Sell Drop]]+IF(DropAnalityka[[#This Row],[Drop]]="Scroll", 2000*DropAnalityka[[#This Row],[Quality/Quantity]],0)</f>
        <v>2750</v>
      </c>
      <c r="J417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418" spans="1:10">
      <c r="A418" t="s">
        <v>8</v>
      </c>
      <c r="B418" t="s">
        <v>34</v>
      </c>
      <c r="C418">
        <v>3</v>
      </c>
      <c r="D418">
        <v>1374</v>
      </c>
      <c r="E418">
        <v>1</v>
      </c>
      <c r="F418" t="s">
        <v>36</v>
      </c>
      <c r="G418">
        <v>3</v>
      </c>
      <c r="H418">
        <v>0</v>
      </c>
      <c r="I418">
        <f>DropAnalityka[[#This Row],[Sell Drop]]+IF(DropAnalityka[[#This Row],[Drop]]="Scroll", 2000*DropAnalityka[[#This Row],[Quality/Quantity]],0)</f>
        <v>6000</v>
      </c>
      <c r="J418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419" spans="1:10">
      <c r="A419" t="s">
        <v>8</v>
      </c>
      <c r="B419" t="s">
        <v>34</v>
      </c>
      <c r="C419">
        <v>3</v>
      </c>
      <c r="D419">
        <v>1637</v>
      </c>
      <c r="E419">
        <v>0</v>
      </c>
      <c r="H419">
        <v>1352</v>
      </c>
      <c r="I419">
        <f>DropAnalityka[[#This Row],[Sell Drop]]+IF(DropAnalityka[[#This Row],[Drop]]="Scroll", 2000*DropAnalityka[[#This Row],[Quality/Quantity]],0)</f>
        <v>1352</v>
      </c>
      <c r="J419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420" spans="1:10">
      <c r="A420" t="s">
        <v>8</v>
      </c>
      <c r="B420" t="s">
        <v>34</v>
      </c>
      <c r="C420">
        <v>3</v>
      </c>
      <c r="D420">
        <v>1846</v>
      </c>
      <c r="E420">
        <v>1</v>
      </c>
      <c r="H420">
        <v>1159</v>
      </c>
      <c r="I420">
        <f>DropAnalityka[[#This Row],[Sell Drop]]+IF(DropAnalityka[[#This Row],[Drop]]="Scroll", 2000*DropAnalityka[[#This Row],[Quality/Quantity]],0)</f>
        <v>1159</v>
      </c>
      <c r="J420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421" spans="1:10">
      <c r="A421" t="s">
        <v>8</v>
      </c>
      <c r="B421" t="s">
        <v>34</v>
      </c>
      <c r="C421">
        <v>3</v>
      </c>
      <c r="D421">
        <v>1617</v>
      </c>
      <c r="E421">
        <v>1</v>
      </c>
      <c r="H421">
        <v>2756</v>
      </c>
      <c r="I421">
        <f>DropAnalityka[[#This Row],[Sell Drop]]+IF(DropAnalityka[[#This Row],[Drop]]="Scroll", 2000*DropAnalityka[[#This Row],[Quality/Quantity]],0)</f>
        <v>2756</v>
      </c>
      <c r="J421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422" spans="1:10">
      <c r="A422" t="s">
        <v>8</v>
      </c>
      <c r="B422" t="s">
        <v>34</v>
      </c>
      <c r="C422">
        <v>3</v>
      </c>
      <c r="D422">
        <v>1585</v>
      </c>
      <c r="E422">
        <v>0</v>
      </c>
      <c r="F422" t="s">
        <v>36</v>
      </c>
      <c r="G422">
        <v>3</v>
      </c>
      <c r="H422">
        <v>0</v>
      </c>
      <c r="I422">
        <f>DropAnalityka[[#This Row],[Sell Drop]]+IF(DropAnalityka[[#This Row],[Drop]]="Scroll", 2000*DropAnalityka[[#This Row],[Quality/Quantity]],0)</f>
        <v>6000</v>
      </c>
      <c r="J422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423" spans="1:10">
      <c r="A423" t="s">
        <v>8</v>
      </c>
      <c r="B423" t="s">
        <v>34</v>
      </c>
      <c r="C423">
        <v>3</v>
      </c>
      <c r="D423">
        <v>1585</v>
      </c>
      <c r="E423">
        <v>0</v>
      </c>
      <c r="F423" t="s">
        <v>36</v>
      </c>
      <c r="G423">
        <v>3</v>
      </c>
      <c r="H423">
        <v>0</v>
      </c>
      <c r="I423">
        <f>DropAnalityka[[#This Row],[Sell Drop]]+IF(DropAnalityka[[#This Row],[Drop]]="Scroll", 2000*DropAnalityka[[#This Row],[Quality/Quantity]],0)</f>
        <v>6000</v>
      </c>
      <c r="J423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424" spans="1:10">
      <c r="A424" t="s">
        <v>8</v>
      </c>
      <c r="B424" t="s">
        <v>34</v>
      </c>
      <c r="C424">
        <v>3</v>
      </c>
      <c r="D424">
        <v>1990</v>
      </c>
      <c r="E424">
        <v>0</v>
      </c>
      <c r="H424">
        <v>1159</v>
      </c>
      <c r="I424">
        <f>DropAnalityka[[#This Row],[Sell Drop]]+IF(DropAnalityka[[#This Row],[Drop]]="Scroll", 2000*DropAnalityka[[#This Row],[Quality/Quantity]],0)</f>
        <v>1159</v>
      </c>
      <c r="J424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425" spans="1:10">
      <c r="A425" t="s">
        <v>8</v>
      </c>
      <c r="B425" t="s">
        <v>34</v>
      </c>
      <c r="C425">
        <v>3</v>
      </c>
      <c r="D425">
        <v>1186</v>
      </c>
      <c r="E425">
        <v>1</v>
      </c>
      <c r="H425">
        <v>2756</v>
      </c>
      <c r="I425">
        <f>DropAnalityka[[#This Row],[Sell Drop]]+IF(DropAnalityka[[#This Row],[Drop]]="Scroll", 2000*DropAnalityka[[#This Row],[Quality/Quantity]],0)</f>
        <v>2756</v>
      </c>
      <c r="J425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426" spans="1:10">
      <c r="A426" t="s">
        <v>8</v>
      </c>
      <c r="B426" t="s">
        <v>34</v>
      </c>
      <c r="C426">
        <v>3</v>
      </c>
      <c r="D426">
        <v>1193</v>
      </c>
      <c r="E426">
        <v>2</v>
      </c>
      <c r="H426">
        <v>1159</v>
      </c>
      <c r="I426">
        <f>DropAnalityka[[#This Row],[Sell Drop]]+IF(DropAnalityka[[#This Row],[Drop]]="Scroll", 2000*DropAnalityka[[#This Row],[Quality/Quantity]],0)</f>
        <v>1159</v>
      </c>
      <c r="J426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427" spans="1:10">
      <c r="A427" t="s">
        <v>8</v>
      </c>
      <c r="B427" t="s">
        <v>34</v>
      </c>
      <c r="C427">
        <v>3</v>
      </c>
      <c r="D427">
        <v>1223</v>
      </c>
      <c r="E427">
        <v>0</v>
      </c>
      <c r="H427">
        <v>2067</v>
      </c>
      <c r="I427">
        <f>DropAnalityka[[#This Row],[Sell Drop]]+IF(DropAnalityka[[#This Row],[Drop]]="Scroll", 2000*DropAnalityka[[#This Row],[Quality/Quantity]],0)</f>
        <v>2067</v>
      </c>
      <c r="J427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428" spans="1:10">
      <c r="A428" t="s">
        <v>8</v>
      </c>
      <c r="B428" t="s">
        <v>34</v>
      </c>
      <c r="C428">
        <v>3</v>
      </c>
      <c r="D428">
        <v>1833</v>
      </c>
      <c r="E428">
        <v>0</v>
      </c>
      <c r="H428">
        <v>2067</v>
      </c>
      <c r="I428">
        <f>DropAnalityka[[#This Row],[Sell Drop]]+IF(DropAnalityka[[#This Row],[Drop]]="Scroll", 2000*DropAnalityka[[#This Row],[Quality/Quantity]],0)</f>
        <v>2067</v>
      </c>
      <c r="J428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429" spans="1:10">
      <c r="A429" t="s">
        <v>8</v>
      </c>
      <c r="B429" t="s">
        <v>34</v>
      </c>
      <c r="C429">
        <v>3</v>
      </c>
      <c r="D429">
        <v>1601</v>
      </c>
      <c r="E429">
        <v>1</v>
      </c>
      <c r="H429">
        <v>2067</v>
      </c>
      <c r="I429">
        <f>DropAnalityka[[#This Row],[Sell Drop]]+IF(DropAnalityka[[#This Row],[Drop]]="Scroll", 2000*DropAnalityka[[#This Row],[Quality/Quantity]],0)</f>
        <v>2067</v>
      </c>
      <c r="J429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430" spans="1:10">
      <c r="A430" t="s">
        <v>8</v>
      </c>
      <c r="B430" t="s">
        <v>34</v>
      </c>
      <c r="C430">
        <v>3</v>
      </c>
      <c r="D430">
        <v>1381</v>
      </c>
      <c r="E430">
        <v>0</v>
      </c>
      <c r="H430">
        <v>2067</v>
      </c>
      <c r="I430">
        <f>DropAnalityka[[#This Row],[Sell Drop]]+IF(DropAnalityka[[#This Row],[Drop]]="Scroll", 2000*DropAnalityka[[#This Row],[Quality/Quantity]],0)</f>
        <v>2067</v>
      </c>
      <c r="J430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431" spans="1:10">
      <c r="A431" t="s">
        <v>8</v>
      </c>
      <c r="B431" t="s">
        <v>34</v>
      </c>
      <c r="C431">
        <v>3</v>
      </c>
      <c r="D431">
        <v>1472</v>
      </c>
      <c r="E431">
        <v>3</v>
      </c>
      <c r="H431">
        <v>1159</v>
      </c>
      <c r="I431">
        <f>DropAnalityka[[#This Row],[Sell Drop]]+IF(DropAnalityka[[#This Row],[Drop]]="Scroll", 2000*DropAnalityka[[#This Row],[Quality/Quantity]],0)</f>
        <v>1159</v>
      </c>
      <c r="J431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432" spans="1:10">
      <c r="A432" t="s">
        <v>8</v>
      </c>
      <c r="B432" t="s">
        <v>34</v>
      </c>
      <c r="C432">
        <v>3</v>
      </c>
      <c r="D432">
        <v>1210</v>
      </c>
      <c r="E432">
        <v>1</v>
      </c>
      <c r="H432">
        <v>1159</v>
      </c>
      <c r="I432">
        <f>DropAnalityka[[#This Row],[Sell Drop]]+IF(DropAnalityka[[#This Row],[Drop]]="Scroll", 2000*DropAnalityka[[#This Row],[Quality/Quantity]],0)</f>
        <v>1159</v>
      </c>
      <c r="J432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433" spans="1:10">
      <c r="A433" t="s">
        <v>8</v>
      </c>
      <c r="B433" t="s">
        <v>34</v>
      </c>
      <c r="C433">
        <v>3</v>
      </c>
      <c r="D433">
        <v>1469</v>
      </c>
      <c r="E433">
        <v>1</v>
      </c>
      <c r="F433" t="s">
        <v>62</v>
      </c>
      <c r="G433" t="s">
        <v>13</v>
      </c>
      <c r="H433">
        <v>0</v>
      </c>
      <c r="I433">
        <f>DropAnalityka[[#This Row],[Sell Drop]]+IF(DropAnalityka[[#This Row],[Drop]]="Scroll", 2000*DropAnalityka[[#This Row],[Quality/Quantity]],0)</f>
        <v>0</v>
      </c>
      <c r="J433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15120</v>
      </c>
    </row>
    <row r="434" spans="1:10">
      <c r="A434" t="s">
        <v>8</v>
      </c>
      <c r="B434" t="s">
        <v>34</v>
      </c>
      <c r="C434">
        <v>3</v>
      </c>
      <c r="D434">
        <v>1035</v>
      </c>
      <c r="E434">
        <v>1</v>
      </c>
      <c r="H434">
        <v>2067</v>
      </c>
      <c r="I434">
        <f>DropAnalityka[[#This Row],[Sell Drop]]+IF(DropAnalityka[[#This Row],[Drop]]="Scroll", 2000*DropAnalityka[[#This Row],[Quality/Quantity]],0)</f>
        <v>2067</v>
      </c>
      <c r="J434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435" spans="1:10">
      <c r="A435" t="s">
        <v>8</v>
      </c>
      <c r="B435" t="s">
        <v>34</v>
      </c>
      <c r="C435">
        <v>3</v>
      </c>
      <c r="D435">
        <v>1877</v>
      </c>
      <c r="E435">
        <v>1</v>
      </c>
      <c r="F435" t="s">
        <v>36</v>
      </c>
      <c r="G435">
        <v>3</v>
      </c>
      <c r="H435">
        <v>0</v>
      </c>
      <c r="I435">
        <f>DropAnalityka[[#This Row],[Sell Drop]]+IF(DropAnalityka[[#This Row],[Drop]]="Scroll", 2000*DropAnalityka[[#This Row],[Quality/Quantity]],0)</f>
        <v>6000</v>
      </c>
      <c r="J435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436" spans="1:10">
      <c r="A436" t="s">
        <v>8</v>
      </c>
      <c r="B436" t="s">
        <v>34</v>
      </c>
      <c r="C436">
        <v>3</v>
      </c>
      <c r="D436">
        <v>849</v>
      </c>
      <c r="E436">
        <v>1</v>
      </c>
      <c r="F436" t="s">
        <v>36</v>
      </c>
      <c r="G436">
        <v>3</v>
      </c>
      <c r="H436">
        <v>0</v>
      </c>
      <c r="I436">
        <f>DropAnalityka[[#This Row],[Sell Drop]]+IF(DropAnalityka[[#This Row],[Drop]]="Scroll", 2000*DropAnalityka[[#This Row],[Quality/Quantity]],0)</f>
        <v>6000</v>
      </c>
      <c r="J436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437" spans="1:10">
      <c r="A437" t="s">
        <v>8</v>
      </c>
      <c r="B437" t="s">
        <v>34</v>
      </c>
      <c r="C437">
        <v>3</v>
      </c>
      <c r="D437">
        <v>1261</v>
      </c>
      <c r="E437">
        <v>1</v>
      </c>
      <c r="F437" t="s">
        <v>36</v>
      </c>
      <c r="G437">
        <v>3</v>
      </c>
      <c r="I437">
        <f>DropAnalityka[[#This Row],[Sell Drop]]+IF(DropAnalityka[[#This Row],[Drop]]="Scroll", 2000*DropAnalityka[[#This Row],[Quality/Quantity]],0)</f>
        <v>6000</v>
      </c>
      <c r="J437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438" spans="1:10">
      <c r="A438" t="s">
        <v>213</v>
      </c>
      <c r="B438" t="s">
        <v>9</v>
      </c>
      <c r="C438">
        <v>3</v>
      </c>
      <c r="D438">
        <v>1940</v>
      </c>
      <c r="E438">
        <v>0</v>
      </c>
      <c r="F438" t="s">
        <v>36</v>
      </c>
      <c r="G438">
        <v>3</v>
      </c>
      <c r="H438">
        <v>0</v>
      </c>
      <c r="I438">
        <f>DropAnalityka[[#This Row],[Sell Drop]]+IF(DropAnalityka[[#This Row],[Drop]]="Scroll", 2000*DropAnalityka[[#This Row],[Quality/Quantity]],0)</f>
        <v>6000</v>
      </c>
      <c r="J438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439" spans="1:10">
      <c r="A439" t="s">
        <v>8</v>
      </c>
      <c r="B439" t="s">
        <v>34</v>
      </c>
      <c r="C439">
        <v>3</v>
      </c>
      <c r="D439">
        <v>2271</v>
      </c>
      <c r="E439">
        <v>1</v>
      </c>
      <c r="F439" t="s">
        <v>36</v>
      </c>
      <c r="G439">
        <v>3</v>
      </c>
      <c r="H439">
        <v>0</v>
      </c>
      <c r="I439">
        <f>DropAnalityka[[#This Row],[Sell Drop]]+IF(DropAnalityka[[#This Row],[Drop]]="Scroll", 2000*DropAnalityka[[#This Row],[Quality/Quantity]],0)</f>
        <v>6000</v>
      </c>
      <c r="J439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440" spans="1:10">
      <c r="A440" t="s">
        <v>8</v>
      </c>
      <c r="B440" t="s">
        <v>34</v>
      </c>
      <c r="C440">
        <v>3</v>
      </c>
      <c r="D440">
        <v>1066</v>
      </c>
      <c r="E440">
        <v>0</v>
      </c>
      <c r="F440" t="s">
        <v>63</v>
      </c>
      <c r="G440" t="s">
        <v>13</v>
      </c>
      <c r="H440">
        <v>0</v>
      </c>
      <c r="I440">
        <f>DropAnalityka[[#This Row],[Sell Drop]]+IF(DropAnalityka[[#This Row],[Drop]]="Scroll", 2000*DropAnalityka[[#This Row],[Quality/Quantity]],0)</f>
        <v>0</v>
      </c>
      <c r="J440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81182</v>
      </c>
    </row>
    <row r="441" spans="1:10">
      <c r="A441" t="s">
        <v>8</v>
      </c>
      <c r="B441" t="s">
        <v>34</v>
      </c>
      <c r="C441">
        <v>3</v>
      </c>
      <c r="D441">
        <v>1217</v>
      </c>
      <c r="E441">
        <v>0</v>
      </c>
      <c r="H441">
        <v>1159</v>
      </c>
      <c r="I441">
        <f>DropAnalityka[[#This Row],[Sell Drop]]+IF(DropAnalityka[[#This Row],[Drop]]="Scroll", 2000*DropAnalityka[[#This Row],[Quality/Quantity]],0)</f>
        <v>1159</v>
      </c>
      <c r="J441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442" spans="1:10">
      <c r="A442" t="s">
        <v>8</v>
      </c>
      <c r="B442" t="s">
        <v>34</v>
      </c>
      <c r="C442">
        <v>3</v>
      </c>
      <c r="D442">
        <v>1369</v>
      </c>
      <c r="E442">
        <v>0</v>
      </c>
      <c r="F442" t="s">
        <v>62</v>
      </c>
      <c r="G442" t="s">
        <v>28</v>
      </c>
      <c r="I442">
        <f>DropAnalityka[[#This Row],[Sell Drop]]+IF(DropAnalityka[[#This Row],[Drop]]="Scroll", 2000*DropAnalityka[[#This Row],[Quality/Quantity]],0)</f>
        <v>0</v>
      </c>
      <c r="J442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81182</v>
      </c>
    </row>
    <row r="443" spans="1:10">
      <c r="A443" t="s">
        <v>8</v>
      </c>
      <c r="B443" t="s">
        <v>34</v>
      </c>
      <c r="C443">
        <v>3</v>
      </c>
      <c r="D443">
        <v>1200</v>
      </c>
      <c r="E443">
        <v>1</v>
      </c>
      <c r="H443">
        <v>1546</v>
      </c>
      <c r="I443">
        <f>DropAnalityka[[#This Row],[Sell Drop]]+IF(DropAnalityka[[#This Row],[Drop]]="Scroll", 2000*DropAnalityka[[#This Row],[Quality/Quantity]],0)</f>
        <v>1546</v>
      </c>
      <c r="J443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444" spans="1:10">
      <c r="A444" t="s">
        <v>8</v>
      </c>
      <c r="B444" t="s">
        <v>34</v>
      </c>
      <c r="C444">
        <v>3</v>
      </c>
      <c r="D444">
        <v>2084</v>
      </c>
      <c r="E444">
        <v>1</v>
      </c>
      <c r="H444">
        <v>1159</v>
      </c>
      <c r="I444">
        <f>DropAnalityka[[#This Row],[Sell Drop]]+IF(DropAnalityka[[#This Row],[Drop]]="Scroll", 2000*DropAnalityka[[#This Row],[Quality/Quantity]],0)</f>
        <v>1159</v>
      </c>
      <c r="J444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445" spans="1:10">
      <c r="A445" t="s">
        <v>8</v>
      </c>
      <c r="B445" t="s">
        <v>34</v>
      </c>
      <c r="C445">
        <v>3</v>
      </c>
      <c r="D445">
        <v>1041</v>
      </c>
      <c r="E445">
        <v>2</v>
      </c>
      <c r="H445">
        <v>1159</v>
      </c>
      <c r="I445">
        <f>DropAnalityka[[#This Row],[Sell Drop]]+IF(DropAnalityka[[#This Row],[Drop]]="Scroll", 2000*DropAnalityka[[#This Row],[Quality/Quantity]],0)</f>
        <v>1159</v>
      </c>
      <c r="J445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446" spans="1:10">
      <c r="A446" t="s">
        <v>8</v>
      </c>
      <c r="B446" t="s">
        <v>34</v>
      </c>
      <c r="C446">
        <v>3</v>
      </c>
      <c r="D446">
        <v>1173</v>
      </c>
      <c r="E446">
        <v>0</v>
      </c>
      <c r="F446" t="s">
        <v>36</v>
      </c>
      <c r="G446">
        <v>3</v>
      </c>
      <c r="H446">
        <v>0</v>
      </c>
      <c r="I446">
        <f>DropAnalityka[[#This Row],[Sell Drop]]+IF(DropAnalityka[[#This Row],[Drop]]="Scroll", 2000*DropAnalityka[[#This Row],[Quality/Quantity]],0)</f>
        <v>6000</v>
      </c>
      <c r="J446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447" spans="1:10">
      <c r="A447" t="s">
        <v>8</v>
      </c>
      <c r="B447" t="s">
        <v>34</v>
      </c>
      <c r="C447">
        <v>3</v>
      </c>
      <c r="D447">
        <v>1203</v>
      </c>
      <c r="E447">
        <v>0</v>
      </c>
      <c r="H447">
        <v>1159</v>
      </c>
      <c r="I447">
        <f>DropAnalityka[[#This Row],[Sell Drop]]+IF(DropAnalityka[[#This Row],[Drop]]="Scroll", 2000*DropAnalityka[[#This Row],[Quality/Quantity]],0)</f>
        <v>1159</v>
      </c>
      <c r="J447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448" spans="1:10">
      <c r="A448" t="s">
        <v>8</v>
      </c>
      <c r="B448" t="s">
        <v>34</v>
      </c>
      <c r="C448">
        <v>3</v>
      </c>
      <c r="D448">
        <v>1265</v>
      </c>
      <c r="E448">
        <v>0</v>
      </c>
      <c r="H448">
        <v>1159</v>
      </c>
      <c r="I448">
        <f>DropAnalityka[[#This Row],[Sell Drop]]+IF(DropAnalityka[[#This Row],[Drop]]="Scroll", 2000*DropAnalityka[[#This Row],[Quality/Quantity]],0)</f>
        <v>1159</v>
      </c>
      <c r="J448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449" spans="1:10">
      <c r="A449" t="s">
        <v>8</v>
      </c>
      <c r="B449" t="s">
        <v>34</v>
      </c>
      <c r="C449">
        <v>3</v>
      </c>
      <c r="D449">
        <v>1133</v>
      </c>
      <c r="E449">
        <v>0</v>
      </c>
      <c r="H449">
        <v>1159</v>
      </c>
      <c r="I449">
        <f>DropAnalityka[[#This Row],[Sell Drop]]+IF(DropAnalityka[[#This Row],[Drop]]="Scroll", 2000*DropAnalityka[[#This Row],[Quality/Quantity]],0)</f>
        <v>1159</v>
      </c>
      <c r="J449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450" spans="1:10">
      <c r="A450" t="s">
        <v>8</v>
      </c>
      <c r="B450" t="s">
        <v>34</v>
      </c>
      <c r="C450">
        <v>3</v>
      </c>
      <c r="D450">
        <v>967</v>
      </c>
      <c r="E450">
        <v>1</v>
      </c>
      <c r="F450" t="s">
        <v>62</v>
      </c>
      <c r="G450" t="s">
        <v>18</v>
      </c>
      <c r="H450">
        <v>0</v>
      </c>
      <c r="I450">
        <f>DropAnalityka[[#This Row],[Sell Drop]]+IF(DropAnalityka[[#This Row],[Drop]]="Scroll", 2000*DropAnalityka[[#This Row],[Quality/Quantity]],0)</f>
        <v>0</v>
      </c>
      <c r="J450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451" spans="1:10">
      <c r="A451" t="s">
        <v>8</v>
      </c>
      <c r="B451" t="s">
        <v>34</v>
      </c>
      <c r="C451">
        <v>3</v>
      </c>
      <c r="D451">
        <v>2246</v>
      </c>
      <c r="E451">
        <v>1</v>
      </c>
      <c r="H451">
        <v>2067</v>
      </c>
      <c r="I451">
        <f>DropAnalityka[[#This Row],[Sell Drop]]+IF(DropAnalityka[[#This Row],[Drop]]="Scroll", 2000*DropAnalityka[[#This Row],[Quality/Quantity]],0)</f>
        <v>2067</v>
      </c>
      <c r="J451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452" spans="1:10">
      <c r="A452" t="s">
        <v>8</v>
      </c>
      <c r="B452" t="s">
        <v>34</v>
      </c>
      <c r="C452">
        <v>3</v>
      </c>
      <c r="D452">
        <v>1423</v>
      </c>
      <c r="E452">
        <v>2</v>
      </c>
      <c r="H452">
        <v>1159</v>
      </c>
      <c r="I452">
        <f>DropAnalityka[[#This Row],[Sell Drop]]+IF(DropAnalityka[[#This Row],[Drop]]="Scroll", 2000*DropAnalityka[[#This Row],[Quality/Quantity]],0)</f>
        <v>1159</v>
      </c>
      <c r="J452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453" spans="1:10">
      <c r="A453" t="s">
        <v>8</v>
      </c>
      <c r="B453" t="s">
        <v>34</v>
      </c>
      <c r="C453">
        <v>3</v>
      </c>
      <c r="D453">
        <v>1858</v>
      </c>
      <c r="E453">
        <v>0</v>
      </c>
      <c r="H453">
        <v>2067</v>
      </c>
      <c r="I453">
        <f>DropAnalityka[[#This Row],[Sell Drop]]+IF(DropAnalityka[[#This Row],[Drop]]="Scroll", 2000*DropAnalityka[[#This Row],[Quality/Quantity]],0)</f>
        <v>2067</v>
      </c>
      <c r="J453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454" spans="1:10">
      <c r="A454" t="s">
        <v>8</v>
      </c>
      <c r="B454" t="s">
        <v>34</v>
      </c>
      <c r="C454">
        <v>3</v>
      </c>
      <c r="D454">
        <v>1423</v>
      </c>
      <c r="E454">
        <v>1</v>
      </c>
      <c r="H454">
        <v>1546</v>
      </c>
      <c r="I454">
        <f>DropAnalityka[[#This Row],[Sell Drop]]+IF(DropAnalityka[[#This Row],[Drop]]="Scroll", 2000*DropAnalityka[[#This Row],[Quality/Quantity]],0)</f>
        <v>1546</v>
      </c>
      <c r="J454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455" spans="1:10">
      <c r="A455" t="s">
        <v>8</v>
      </c>
      <c r="B455" t="s">
        <v>34</v>
      </c>
      <c r="C455">
        <v>3</v>
      </c>
      <c r="D455">
        <v>2042</v>
      </c>
      <c r="E455">
        <v>1</v>
      </c>
      <c r="H455">
        <v>1159</v>
      </c>
      <c r="I455">
        <f>DropAnalityka[[#This Row],[Sell Drop]]+IF(DropAnalityka[[#This Row],[Drop]]="Scroll", 2000*DropAnalityka[[#This Row],[Quality/Quantity]],0)</f>
        <v>1159</v>
      </c>
      <c r="J455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456" spans="1:10">
      <c r="A456" t="s">
        <v>8</v>
      </c>
      <c r="B456" t="s">
        <v>34</v>
      </c>
      <c r="C456">
        <v>3</v>
      </c>
      <c r="D456">
        <v>2001</v>
      </c>
      <c r="E456">
        <v>1</v>
      </c>
      <c r="F456" t="s">
        <v>62</v>
      </c>
      <c r="G456" t="s">
        <v>18</v>
      </c>
      <c r="H456">
        <v>0</v>
      </c>
      <c r="I456">
        <f>DropAnalityka[[#This Row],[Sell Drop]]+IF(DropAnalityka[[#This Row],[Drop]]="Scroll", 2000*DropAnalityka[[#This Row],[Quality/Quantity]],0)</f>
        <v>0</v>
      </c>
      <c r="J456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457" spans="1:10">
      <c r="A457" t="s">
        <v>8</v>
      </c>
      <c r="B457" t="s">
        <v>34</v>
      </c>
      <c r="C457">
        <v>3</v>
      </c>
      <c r="D457">
        <v>1540</v>
      </c>
      <c r="E457">
        <v>0</v>
      </c>
      <c r="F457" t="s">
        <v>62</v>
      </c>
      <c r="G457" t="s">
        <v>18</v>
      </c>
      <c r="H457">
        <v>0</v>
      </c>
      <c r="I457">
        <f>DropAnalityka[[#This Row],[Sell Drop]]+IF(DropAnalityka[[#This Row],[Drop]]="Scroll", 2000*DropAnalityka[[#This Row],[Quality/Quantity]],0)</f>
        <v>0</v>
      </c>
      <c r="J457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458" spans="1:10">
      <c r="A458" t="s">
        <v>8</v>
      </c>
      <c r="B458" t="s">
        <v>34</v>
      </c>
      <c r="C458">
        <v>3</v>
      </c>
      <c r="D458">
        <v>1699</v>
      </c>
      <c r="E458">
        <v>1</v>
      </c>
      <c r="H458">
        <v>2067</v>
      </c>
      <c r="I458">
        <f>DropAnalityka[[#This Row],[Sell Drop]]+IF(DropAnalityka[[#This Row],[Drop]]="Scroll", 2000*DropAnalityka[[#This Row],[Quality/Quantity]],0)</f>
        <v>2067</v>
      </c>
      <c r="J458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459" spans="1:10">
      <c r="A459" t="s">
        <v>8</v>
      </c>
      <c r="B459" t="s">
        <v>34</v>
      </c>
      <c r="C459">
        <v>3</v>
      </c>
      <c r="D459">
        <v>1916</v>
      </c>
      <c r="E459">
        <v>1</v>
      </c>
      <c r="H459">
        <v>1159</v>
      </c>
      <c r="I459">
        <f>DropAnalityka[[#This Row],[Sell Drop]]+IF(DropAnalityka[[#This Row],[Drop]]="Scroll", 2000*DropAnalityka[[#This Row],[Quality/Quantity]],0)</f>
        <v>1159</v>
      </c>
      <c r="J459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460" spans="1:10">
      <c r="A460" t="s">
        <v>8</v>
      </c>
      <c r="B460" t="s">
        <v>34</v>
      </c>
      <c r="C460">
        <v>3</v>
      </c>
      <c r="D460">
        <v>2501</v>
      </c>
      <c r="E460">
        <v>0</v>
      </c>
      <c r="H460">
        <v>2067</v>
      </c>
      <c r="I460">
        <f>DropAnalityka[[#This Row],[Sell Drop]]+IF(DropAnalityka[[#This Row],[Drop]]="Scroll", 2000*DropAnalityka[[#This Row],[Quality/Quantity]],0)</f>
        <v>2067</v>
      </c>
      <c r="J460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461" spans="1:10">
      <c r="A461" t="s">
        <v>8</v>
      </c>
      <c r="B461" t="s">
        <v>34</v>
      </c>
      <c r="C461">
        <v>3</v>
      </c>
      <c r="D461">
        <v>1812</v>
      </c>
      <c r="E461">
        <v>1</v>
      </c>
      <c r="F461" t="s">
        <v>36</v>
      </c>
      <c r="G461">
        <v>3</v>
      </c>
      <c r="I461">
        <f>DropAnalityka[[#This Row],[Sell Drop]]+IF(DropAnalityka[[#This Row],[Drop]]="Scroll", 2000*DropAnalityka[[#This Row],[Quality/Quantity]],0)</f>
        <v>6000</v>
      </c>
      <c r="J461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462" spans="1:10">
      <c r="A462" t="s">
        <v>8</v>
      </c>
      <c r="B462" t="s">
        <v>34</v>
      </c>
      <c r="C462">
        <v>3</v>
      </c>
      <c r="D462">
        <v>1215</v>
      </c>
      <c r="E462">
        <v>0</v>
      </c>
      <c r="H462">
        <v>1159</v>
      </c>
      <c r="I462">
        <f>DropAnalityka[[#This Row],[Sell Drop]]+IF(DropAnalityka[[#This Row],[Drop]]="Scroll", 2000*DropAnalityka[[#This Row],[Quality/Quantity]],0)</f>
        <v>1159</v>
      </c>
      <c r="J462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463" spans="1:10">
      <c r="A463" t="s">
        <v>8</v>
      </c>
      <c r="B463" t="s">
        <v>34</v>
      </c>
      <c r="C463">
        <v>3</v>
      </c>
      <c r="D463">
        <v>422</v>
      </c>
      <c r="E463">
        <v>1</v>
      </c>
      <c r="H463">
        <v>2756</v>
      </c>
      <c r="I463">
        <f>DropAnalityka[[#This Row],[Sell Drop]]+IF(DropAnalityka[[#This Row],[Drop]]="Scroll", 2000*DropAnalityka[[#This Row],[Quality/Quantity]],0)</f>
        <v>2756</v>
      </c>
      <c r="J463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464" spans="1:10">
      <c r="A464" t="s">
        <v>8</v>
      </c>
      <c r="B464" t="s">
        <v>34</v>
      </c>
      <c r="C464">
        <v>3</v>
      </c>
      <c r="D464">
        <v>1105</v>
      </c>
      <c r="E464">
        <v>0</v>
      </c>
      <c r="F464" t="s">
        <v>62</v>
      </c>
      <c r="G464" t="s">
        <v>13</v>
      </c>
      <c r="H464">
        <v>0</v>
      </c>
      <c r="I464">
        <f>DropAnalityka[[#This Row],[Sell Drop]]+IF(DropAnalityka[[#This Row],[Drop]]="Scroll", 2000*DropAnalityka[[#This Row],[Quality/Quantity]],0)</f>
        <v>0</v>
      </c>
      <c r="J464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15120</v>
      </c>
    </row>
    <row r="465" spans="1:10">
      <c r="A465" t="s">
        <v>8</v>
      </c>
      <c r="B465" t="s">
        <v>34</v>
      </c>
      <c r="C465">
        <v>3</v>
      </c>
      <c r="D465">
        <v>821</v>
      </c>
      <c r="E465">
        <v>1</v>
      </c>
      <c r="H465">
        <v>1159</v>
      </c>
      <c r="I465">
        <f>DropAnalityka[[#This Row],[Sell Drop]]+IF(DropAnalityka[[#This Row],[Drop]]="Scroll", 2000*DropAnalityka[[#This Row],[Quality/Quantity]],0)</f>
        <v>1159</v>
      </c>
      <c r="J465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466" spans="1:10">
      <c r="A466" t="s">
        <v>8</v>
      </c>
      <c r="B466" t="s">
        <v>34</v>
      </c>
      <c r="C466">
        <v>3</v>
      </c>
      <c r="D466">
        <v>1748</v>
      </c>
      <c r="E466">
        <v>1</v>
      </c>
      <c r="F466" t="s">
        <v>175</v>
      </c>
      <c r="H466">
        <v>0</v>
      </c>
      <c r="I466">
        <f>DropAnalityka[[#This Row],[Sell Drop]]+IF(DropAnalityka[[#This Row],[Drop]]="Scroll", 2000*DropAnalityka[[#This Row],[Quality/Quantity]],0)</f>
        <v>0</v>
      </c>
      <c r="J466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467" spans="1:10">
      <c r="A467" t="s">
        <v>8</v>
      </c>
      <c r="B467" t="s">
        <v>34</v>
      </c>
      <c r="C467">
        <v>3</v>
      </c>
      <c r="D467">
        <v>1840</v>
      </c>
      <c r="E467">
        <v>0</v>
      </c>
      <c r="F467" t="s">
        <v>175</v>
      </c>
      <c r="H467">
        <v>0</v>
      </c>
      <c r="I467">
        <f>DropAnalityka[[#This Row],[Sell Drop]]+IF(DropAnalityka[[#This Row],[Drop]]="Scroll", 2000*DropAnalityka[[#This Row],[Quality/Quantity]],0)</f>
        <v>0</v>
      </c>
      <c r="J467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468" spans="1:10">
      <c r="A468" t="s">
        <v>8</v>
      </c>
      <c r="B468" t="s">
        <v>34</v>
      </c>
      <c r="C468">
        <v>3</v>
      </c>
      <c r="D468">
        <v>1395</v>
      </c>
      <c r="E468">
        <v>2</v>
      </c>
      <c r="H468">
        <v>1159</v>
      </c>
      <c r="I468">
        <f>DropAnalityka[[#This Row],[Sell Drop]]+IF(DropAnalityka[[#This Row],[Drop]]="Scroll", 2000*DropAnalityka[[#This Row],[Quality/Quantity]],0)</f>
        <v>1159</v>
      </c>
      <c r="J468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469" spans="1:10">
      <c r="A469" t="s">
        <v>8</v>
      </c>
      <c r="B469" t="s">
        <v>34</v>
      </c>
      <c r="C469">
        <v>3</v>
      </c>
      <c r="D469">
        <v>1292</v>
      </c>
      <c r="E469">
        <v>2</v>
      </c>
      <c r="H469">
        <v>1159</v>
      </c>
      <c r="I469">
        <f>DropAnalityka[[#This Row],[Sell Drop]]+IF(DropAnalityka[[#This Row],[Drop]]="Scroll", 2000*DropAnalityka[[#This Row],[Quality/Quantity]],0)</f>
        <v>1159</v>
      </c>
      <c r="J469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470" spans="1:10">
      <c r="A470" t="s">
        <v>8</v>
      </c>
      <c r="B470" t="s">
        <v>34</v>
      </c>
      <c r="C470">
        <v>3</v>
      </c>
      <c r="D470">
        <v>1574</v>
      </c>
      <c r="E470">
        <v>0</v>
      </c>
      <c r="H470">
        <v>1159</v>
      </c>
      <c r="I470">
        <f>DropAnalityka[[#This Row],[Sell Drop]]+IF(DropAnalityka[[#This Row],[Drop]]="Scroll", 2000*DropAnalityka[[#This Row],[Quality/Quantity]],0)</f>
        <v>1159</v>
      </c>
      <c r="J470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471" spans="1:10">
      <c r="A471" t="s">
        <v>8</v>
      </c>
      <c r="B471" t="s">
        <v>34</v>
      </c>
      <c r="C471">
        <v>3</v>
      </c>
      <c r="D471">
        <v>1388</v>
      </c>
      <c r="E471">
        <v>0</v>
      </c>
      <c r="H471">
        <v>1159</v>
      </c>
      <c r="I471">
        <f>DropAnalityka[[#This Row],[Sell Drop]]+IF(DropAnalityka[[#This Row],[Drop]]="Scroll", 2000*DropAnalityka[[#This Row],[Quality/Quantity]],0)</f>
        <v>1159</v>
      </c>
      <c r="J471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472" spans="1:10">
      <c r="A472" t="s">
        <v>8</v>
      </c>
      <c r="B472" t="s">
        <v>34</v>
      </c>
      <c r="C472">
        <v>3</v>
      </c>
      <c r="D472">
        <v>3326</v>
      </c>
      <c r="E472">
        <v>0</v>
      </c>
      <c r="F472" t="s">
        <v>36</v>
      </c>
      <c r="G472">
        <v>3</v>
      </c>
      <c r="H472">
        <v>0</v>
      </c>
      <c r="I472">
        <f>DropAnalityka[[#This Row],[Sell Drop]]+IF(DropAnalityka[[#This Row],[Drop]]="Scroll", 2000*DropAnalityka[[#This Row],[Quality/Quantity]],0)</f>
        <v>6000</v>
      </c>
      <c r="J472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473" spans="1:10">
      <c r="A473" t="s">
        <v>8</v>
      </c>
      <c r="B473" t="s">
        <v>34</v>
      </c>
      <c r="C473">
        <v>3</v>
      </c>
      <c r="D473">
        <v>999</v>
      </c>
      <c r="E473">
        <v>1</v>
      </c>
      <c r="F473" t="s">
        <v>175</v>
      </c>
      <c r="H473">
        <v>0</v>
      </c>
      <c r="I473">
        <f>DropAnalityka[[#This Row],[Sell Drop]]+IF(DropAnalityka[[#This Row],[Drop]]="Scroll", 2000*DropAnalityka[[#This Row],[Quality/Quantity]],0)</f>
        <v>0</v>
      </c>
      <c r="J473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474" spans="1:10">
      <c r="A474" t="s">
        <v>8</v>
      </c>
      <c r="B474" t="s">
        <v>34</v>
      </c>
      <c r="C474">
        <v>3</v>
      </c>
      <c r="D474">
        <v>1225</v>
      </c>
      <c r="E474">
        <v>0</v>
      </c>
      <c r="H474">
        <v>2411</v>
      </c>
      <c r="I474">
        <f>DropAnalityka[[#This Row],[Sell Drop]]+IF(DropAnalityka[[#This Row],[Drop]]="Scroll", 2000*DropAnalityka[[#This Row],[Quality/Quantity]],0)</f>
        <v>2411</v>
      </c>
      <c r="J474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475" spans="1:10">
      <c r="A475" t="s">
        <v>8</v>
      </c>
      <c r="B475" t="s">
        <v>34</v>
      </c>
      <c r="C475">
        <v>3</v>
      </c>
      <c r="D475">
        <v>1362</v>
      </c>
      <c r="E475">
        <v>2</v>
      </c>
      <c r="F475" t="s">
        <v>62</v>
      </c>
      <c r="G475" t="s">
        <v>18</v>
      </c>
      <c r="I475">
        <f>DropAnalityka[[#This Row],[Sell Drop]]+IF(DropAnalityka[[#This Row],[Drop]]="Scroll", 2000*DropAnalityka[[#This Row],[Quality/Quantity]],0)</f>
        <v>0</v>
      </c>
      <c r="J475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476" spans="1:10">
      <c r="A476" t="s">
        <v>8</v>
      </c>
      <c r="B476" t="s">
        <v>34</v>
      </c>
      <c r="C476">
        <v>3</v>
      </c>
      <c r="D476">
        <v>1149</v>
      </c>
      <c r="E476">
        <v>2</v>
      </c>
      <c r="H476">
        <v>1159</v>
      </c>
      <c r="I476">
        <f>DropAnalityka[[#This Row],[Sell Drop]]+IF(DropAnalityka[[#This Row],[Drop]]="Scroll", 2000*DropAnalityka[[#This Row],[Quality/Quantity]],0)</f>
        <v>1159</v>
      </c>
      <c r="J476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477" spans="1:10">
      <c r="A477" t="s">
        <v>8</v>
      </c>
      <c r="B477" t="s">
        <v>34</v>
      </c>
      <c r="C477">
        <v>3</v>
      </c>
      <c r="D477">
        <v>1186</v>
      </c>
      <c r="E477">
        <v>1</v>
      </c>
      <c r="H477">
        <v>2067</v>
      </c>
      <c r="I477">
        <f>DropAnalityka[[#This Row],[Sell Drop]]+IF(DropAnalityka[[#This Row],[Drop]]="Scroll", 2000*DropAnalityka[[#This Row],[Quality/Quantity]],0)</f>
        <v>2067</v>
      </c>
      <c r="J477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478" spans="1:10">
      <c r="A478" t="s">
        <v>8</v>
      </c>
      <c r="B478" t="s">
        <v>34</v>
      </c>
      <c r="C478">
        <v>3</v>
      </c>
      <c r="D478">
        <v>1366</v>
      </c>
      <c r="E478">
        <v>1</v>
      </c>
      <c r="H478">
        <v>2411</v>
      </c>
      <c r="I478">
        <f>DropAnalityka[[#This Row],[Sell Drop]]+IF(DropAnalityka[[#This Row],[Drop]]="Scroll", 2000*DropAnalityka[[#This Row],[Quality/Quantity]],0)</f>
        <v>2411</v>
      </c>
      <c r="J478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479" spans="1:10">
      <c r="A479" t="s">
        <v>8</v>
      </c>
      <c r="B479" t="s">
        <v>34</v>
      </c>
      <c r="C479">
        <v>3</v>
      </c>
      <c r="D479">
        <v>2407</v>
      </c>
      <c r="E479">
        <v>4</v>
      </c>
      <c r="F479" t="s">
        <v>62</v>
      </c>
      <c r="G479" t="s">
        <v>13</v>
      </c>
      <c r="H479">
        <v>0</v>
      </c>
      <c r="I479">
        <f>DropAnalityka[[#This Row],[Sell Drop]]+IF(DropAnalityka[[#This Row],[Drop]]="Scroll", 2000*DropAnalityka[[#This Row],[Quality/Quantity]],0)</f>
        <v>0</v>
      </c>
      <c r="J479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15120</v>
      </c>
    </row>
    <row r="480" spans="1:10">
      <c r="A480" t="s">
        <v>8</v>
      </c>
      <c r="B480" t="s">
        <v>34</v>
      </c>
      <c r="C480">
        <v>3</v>
      </c>
      <c r="D480">
        <v>2050</v>
      </c>
      <c r="E480">
        <v>1</v>
      </c>
      <c r="H480">
        <v>2067</v>
      </c>
      <c r="I480">
        <f>DropAnalityka[[#This Row],[Sell Drop]]+IF(DropAnalityka[[#This Row],[Drop]]="Scroll", 2000*DropAnalityka[[#This Row],[Quality/Quantity]],0)</f>
        <v>2067</v>
      </c>
      <c r="J480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481" spans="1:10">
      <c r="A481" t="s">
        <v>8</v>
      </c>
      <c r="B481" t="s">
        <v>34</v>
      </c>
      <c r="C481">
        <v>3</v>
      </c>
      <c r="D481">
        <v>2063</v>
      </c>
      <c r="E481">
        <v>1</v>
      </c>
      <c r="F481" t="s">
        <v>62</v>
      </c>
      <c r="I481">
        <f>DropAnalityka[[#This Row],[Sell Drop]]+IF(DropAnalityka[[#This Row],[Drop]]="Scroll", 2000*DropAnalityka[[#This Row],[Quality/Quantity]],0)</f>
        <v>0</v>
      </c>
      <c r="J481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482" spans="1:10">
      <c r="A482" t="s">
        <v>8</v>
      </c>
      <c r="B482" t="s">
        <v>34</v>
      </c>
      <c r="C482">
        <v>3</v>
      </c>
      <c r="D482">
        <v>1086</v>
      </c>
      <c r="E482">
        <v>0</v>
      </c>
      <c r="H482">
        <v>1546</v>
      </c>
      <c r="I482">
        <f>DropAnalityka[[#This Row],[Sell Drop]]+IF(DropAnalityka[[#This Row],[Drop]]="Scroll", 2000*DropAnalityka[[#This Row],[Quality/Quantity]],0)</f>
        <v>1546</v>
      </c>
      <c r="J482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483" spans="1:10">
      <c r="A483" t="s">
        <v>8</v>
      </c>
      <c r="B483" t="s">
        <v>34</v>
      </c>
      <c r="C483">
        <v>3</v>
      </c>
      <c r="I483">
        <f>DropAnalityka[[#This Row],[Sell Drop]]+IF(DropAnalityka[[#This Row],[Drop]]="Scroll", 2000*DropAnalityka[[#This Row],[Quality/Quantity]],0)</f>
        <v>0</v>
      </c>
      <c r="J483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484" spans="1:10">
      <c r="A484" t="s">
        <v>8</v>
      </c>
      <c r="B484" t="s">
        <v>34</v>
      </c>
      <c r="C484">
        <v>3</v>
      </c>
      <c r="I484">
        <f>DropAnalityka[[#This Row],[Sell Drop]]+IF(DropAnalityka[[#This Row],[Drop]]="Scroll", 2000*DropAnalityka[[#This Row],[Quality/Quantity]],0)</f>
        <v>0</v>
      </c>
      <c r="J484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485" spans="1:10">
      <c r="A485" t="s">
        <v>8</v>
      </c>
      <c r="B485" t="s">
        <v>34</v>
      </c>
      <c r="C485">
        <v>3</v>
      </c>
      <c r="I485">
        <f>DropAnalityka[[#This Row],[Sell Drop]]+IF(DropAnalityka[[#This Row],[Drop]]="Scroll", 2000*DropAnalityka[[#This Row],[Quality/Quantity]],0)</f>
        <v>0</v>
      </c>
      <c r="J485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486" spans="1:10">
      <c r="A486" t="s">
        <v>8</v>
      </c>
      <c r="B486" t="s">
        <v>34</v>
      </c>
      <c r="C486">
        <v>3</v>
      </c>
      <c r="I486">
        <f>DropAnalityka[[#This Row],[Sell Drop]]+IF(DropAnalityka[[#This Row],[Drop]]="Scroll", 2000*DropAnalityka[[#This Row],[Quality/Quantity]],0)</f>
        <v>0</v>
      </c>
      <c r="J486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487" spans="1:10">
      <c r="A487" t="s">
        <v>8</v>
      </c>
      <c r="B487" t="s">
        <v>34</v>
      </c>
      <c r="C487">
        <v>3</v>
      </c>
      <c r="I487">
        <f>DropAnalityka[[#This Row],[Sell Drop]]+IF(DropAnalityka[[#This Row],[Drop]]="Scroll", 2000*DropAnalityka[[#This Row],[Quality/Quantity]],0)</f>
        <v>0</v>
      </c>
      <c r="J487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488" spans="1:10">
      <c r="A488" t="s">
        <v>8</v>
      </c>
      <c r="B488" t="s">
        <v>34</v>
      </c>
      <c r="C488">
        <v>3</v>
      </c>
      <c r="I488">
        <f>DropAnalityka[[#This Row],[Sell Drop]]+IF(DropAnalityka[[#This Row],[Drop]]="Scroll", 2000*DropAnalityka[[#This Row],[Quality/Quantity]],0)</f>
        <v>0</v>
      </c>
      <c r="J488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489" spans="1:10">
      <c r="A489" t="s">
        <v>8</v>
      </c>
      <c r="B489" t="s">
        <v>34</v>
      </c>
      <c r="C489">
        <v>3</v>
      </c>
      <c r="I489">
        <f>DropAnalityka[[#This Row],[Sell Drop]]+IF(DropAnalityka[[#This Row],[Drop]]="Scroll", 2000*DropAnalityka[[#This Row],[Quality/Quantity]],0)</f>
        <v>0</v>
      </c>
      <c r="J489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490" spans="1:10">
      <c r="A490" t="s">
        <v>8</v>
      </c>
      <c r="B490" t="s">
        <v>34</v>
      </c>
      <c r="C490">
        <v>3</v>
      </c>
      <c r="I490">
        <f>DropAnalityka[[#This Row],[Sell Drop]]+IF(DropAnalityka[[#This Row],[Drop]]="Scroll", 2000*DropAnalityka[[#This Row],[Quality/Quantity]],0)</f>
        <v>0</v>
      </c>
      <c r="J490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491" spans="1:10">
      <c r="I491">
        <f>DropAnalityka[[#This Row],[Sell Drop]]+IF(DropAnalityka[[#This Row],[Drop]]="Scroll", 2000*DropAnalityka[[#This Row],[Quality/Quantity]],0)</f>
        <v>0</v>
      </c>
      <c r="J491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492" spans="1:10">
      <c r="I492">
        <f>DropAnalityka[[#This Row],[Sell Drop]]+IF(DropAnalityka[[#This Row],[Drop]]="Scroll", 2000*DropAnalityka[[#This Row],[Quality/Quantity]],0)</f>
        <v>0</v>
      </c>
      <c r="J492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493" spans="1:10">
      <c r="I493">
        <f>DropAnalityka[[#This Row],[Sell Drop]]+IF(DropAnalityka[[#This Row],[Drop]]="Scroll", 2000*DropAnalityka[[#This Row],[Quality/Quantity]],0)</f>
        <v>0</v>
      </c>
      <c r="J493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494" spans="1:10">
      <c r="I494">
        <f>DropAnalityka[[#This Row],[Sell Drop]]+IF(DropAnalityka[[#This Row],[Drop]]="Scroll", 2000*DropAnalityka[[#This Row],[Quality/Quantity]],0)</f>
        <v>0</v>
      </c>
      <c r="J494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495" spans="1:10">
      <c r="I495">
        <f>DropAnalityka[[#This Row],[Sell Drop]]+IF(DropAnalityka[[#This Row],[Drop]]="Scroll", 2000*DropAnalityka[[#This Row],[Quality/Quantity]],0)</f>
        <v>0</v>
      </c>
      <c r="J495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496" spans="1:10">
      <c r="I496">
        <f>DropAnalityka[[#This Row],[Sell Drop]]+IF(DropAnalityka[[#This Row],[Drop]]="Scroll", 2000*DropAnalityka[[#This Row],[Quality/Quantity]],0)</f>
        <v>0</v>
      </c>
      <c r="J496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497" spans="9:10">
      <c r="I497">
        <f>DropAnalityka[[#This Row],[Sell Drop]]+IF(DropAnalityka[[#This Row],[Drop]]="Scroll", 2000*DropAnalityka[[#This Row],[Quality/Quantity]],0)</f>
        <v>0</v>
      </c>
      <c r="J497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498" spans="9:10">
      <c r="I498">
        <f>DropAnalityka[[#This Row],[Sell Drop]]+IF(DropAnalityka[[#This Row],[Drop]]="Scroll", 2000*DropAnalityka[[#This Row],[Quality/Quantity]],0)</f>
        <v>0</v>
      </c>
      <c r="J498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499" spans="9:10">
      <c r="I499">
        <f>DropAnalityka[[#This Row],[Sell Drop]]+IF(DropAnalityka[[#This Row],[Drop]]="Scroll", 2000*DropAnalityka[[#This Row],[Quality/Quantity]],0)</f>
        <v>0</v>
      </c>
      <c r="J499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500" spans="9:10">
      <c r="I500">
        <f>DropAnalityka[[#This Row],[Sell Drop]]+IF(DropAnalityka[[#This Row],[Drop]]="Scroll", 2000*DropAnalityka[[#This Row],[Quality/Quantity]],0)</f>
        <v>0</v>
      </c>
      <c r="J500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501" spans="9:10">
      <c r="I501">
        <f>DropAnalityka[[#This Row],[Sell Drop]]+IF(DropAnalityka[[#This Row],[Drop]]="Scroll", 2000*DropAnalityka[[#This Row],[Quality/Quantity]],0)</f>
        <v>0</v>
      </c>
      <c r="J501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502" spans="9:10">
      <c r="I502">
        <f>DropAnalityka[[#This Row],[Sell Drop]]+IF(DropAnalityka[[#This Row],[Drop]]="Scroll", 2000*DropAnalityka[[#This Row],[Quality/Quantity]],0)</f>
        <v>0</v>
      </c>
      <c r="J502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503" spans="9:10">
      <c r="I503">
        <f>DropAnalityka[[#This Row],[Sell Drop]]+IF(DropAnalityka[[#This Row],[Drop]]="Scroll", 2000*DropAnalityka[[#This Row],[Quality/Quantity]],0)</f>
        <v>0</v>
      </c>
      <c r="J503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504" spans="9:10">
      <c r="I504">
        <f>DropAnalityka[[#This Row],[Sell Drop]]+IF(DropAnalityka[[#This Row],[Drop]]="Scroll", 2000*DropAnalityka[[#This Row],[Quality/Quantity]],0)</f>
        <v>0</v>
      </c>
      <c r="J504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505" spans="9:10">
      <c r="I505">
        <f>DropAnalityka[[#This Row],[Sell Drop]]+IF(DropAnalityka[[#This Row],[Drop]]="Scroll", 2000*DropAnalityka[[#This Row],[Quality/Quantity]],0)</f>
        <v>0</v>
      </c>
      <c r="J505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506" spans="9:10">
      <c r="I506">
        <f>DropAnalityka[[#This Row],[Sell Drop]]+IF(DropAnalityka[[#This Row],[Drop]]="Scroll", 2000*DropAnalityka[[#This Row],[Quality/Quantity]],0)</f>
        <v>0</v>
      </c>
      <c r="J506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507" spans="9:10">
      <c r="I507">
        <f>DropAnalityka[[#This Row],[Sell Drop]]+IF(DropAnalityka[[#This Row],[Drop]]="Scroll", 2000*DropAnalityka[[#This Row],[Quality/Quantity]],0)</f>
        <v>0</v>
      </c>
      <c r="J507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508" spans="9:10">
      <c r="I508">
        <f>DropAnalityka[[#This Row],[Sell Drop]]+IF(DropAnalityka[[#This Row],[Drop]]="Scroll", 2000*DropAnalityka[[#This Row],[Quality/Quantity]],0)</f>
        <v>0</v>
      </c>
      <c r="J508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509" spans="9:10">
      <c r="I509">
        <f>DropAnalityka[[#This Row],[Sell Drop]]+IF(DropAnalityka[[#This Row],[Drop]]="Scroll", 2000*DropAnalityka[[#This Row],[Quality/Quantity]],0)</f>
        <v>0</v>
      </c>
      <c r="J509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510" spans="9:10">
      <c r="I510">
        <f>DropAnalityka[[#This Row],[Sell Drop]]+IF(DropAnalityka[[#This Row],[Drop]]="Scroll", 2000*DropAnalityka[[#This Row],[Quality/Quantity]],0)</f>
        <v>0</v>
      </c>
      <c r="J510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511" spans="9:10">
      <c r="I511">
        <f>DropAnalityka[[#This Row],[Sell Drop]]+IF(DropAnalityka[[#This Row],[Drop]]="Scroll", 2000*DropAnalityka[[#This Row],[Quality/Quantity]],0)</f>
        <v>0</v>
      </c>
      <c r="J511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512" spans="9:10">
      <c r="I512">
        <f>DropAnalityka[[#This Row],[Sell Drop]]+IF(DropAnalityka[[#This Row],[Drop]]="Scroll", 2000*DropAnalityka[[#This Row],[Quality/Quantity]],0)</f>
        <v>0</v>
      </c>
      <c r="J512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513" spans="9:10">
      <c r="I513">
        <f>DropAnalityka[[#This Row],[Sell Drop]]+IF(DropAnalityka[[#This Row],[Drop]]="Scroll", 2000*DropAnalityka[[#This Row],[Quality/Quantity]],0)</f>
        <v>0</v>
      </c>
      <c r="J513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514" spans="9:10">
      <c r="I514">
        <f>DropAnalityka[[#This Row],[Sell Drop]]+IF(DropAnalityka[[#This Row],[Drop]]="Scroll", 2000*DropAnalityka[[#This Row],[Quality/Quantity]],0)</f>
        <v>0</v>
      </c>
      <c r="J514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515" spans="9:10">
      <c r="I515">
        <f>DropAnalityka[[#This Row],[Sell Drop]]+IF(DropAnalityka[[#This Row],[Drop]]="Scroll", 2000*DropAnalityka[[#This Row],[Quality/Quantity]],0)</f>
        <v>0</v>
      </c>
      <c r="J515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516" spans="9:10">
      <c r="I516">
        <f>DropAnalityka[[#This Row],[Sell Drop]]+IF(DropAnalityka[[#This Row],[Drop]]="Scroll", 2000*DropAnalityka[[#This Row],[Quality/Quantity]],0)</f>
        <v>0</v>
      </c>
      <c r="J516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517" spans="9:10">
      <c r="I517">
        <f>DropAnalityka[[#This Row],[Sell Drop]]+IF(DropAnalityka[[#This Row],[Drop]]="Scroll", 2000*DropAnalityka[[#This Row],[Quality/Quantity]],0)</f>
        <v>0</v>
      </c>
      <c r="J517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518" spans="9:10">
      <c r="I518">
        <f>DropAnalityka[[#This Row],[Sell Drop]]+IF(DropAnalityka[[#This Row],[Drop]]="Scroll", 2000*DropAnalityka[[#This Row],[Quality/Quantity]],0)</f>
        <v>0</v>
      </c>
      <c r="J518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519" spans="9:10">
      <c r="I519">
        <f>DropAnalityka[[#This Row],[Sell Drop]]+IF(DropAnalityka[[#This Row],[Drop]]="Scroll", 2000*DropAnalityka[[#This Row],[Quality/Quantity]],0)</f>
        <v>0</v>
      </c>
      <c r="J519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520" spans="9:10">
      <c r="I520">
        <f>DropAnalityka[[#This Row],[Sell Drop]]+IF(DropAnalityka[[#This Row],[Drop]]="Scroll", 2000*DropAnalityka[[#This Row],[Quality/Quantity]],0)</f>
        <v>0</v>
      </c>
      <c r="J520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521" spans="9:10">
      <c r="I521">
        <f>DropAnalityka[[#This Row],[Sell Drop]]+IF(DropAnalityka[[#This Row],[Drop]]="Scroll", 2000*DropAnalityka[[#This Row],[Quality/Quantity]],0)</f>
        <v>0</v>
      </c>
      <c r="J521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522" spans="9:10">
      <c r="I522">
        <f>DropAnalityka[[#This Row],[Sell Drop]]+IF(DropAnalityka[[#This Row],[Drop]]="Scroll", 2000*DropAnalityka[[#This Row],[Quality/Quantity]],0)</f>
        <v>0</v>
      </c>
      <c r="J522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523" spans="9:10">
      <c r="I523">
        <f>DropAnalityka[[#This Row],[Sell Drop]]+IF(DropAnalityka[[#This Row],[Drop]]="Scroll", 2000*DropAnalityka[[#This Row],[Quality/Quantity]],0)</f>
        <v>0</v>
      </c>
      <c r="J523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524" spans="9:10">
      <c r="I524">
        <f>DropAnalityka[[#This Row],[Sell Drop]]+IF(DropAnalityka[[#This Row],[Drop]]="Scroll", 2000*DropAnalityka[[#This Row],[Quality/Quantity]],0)</f>
        <v>0</v>
      </c>
      <c r="J524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525" spans="9:10">
      <c r="I525">
        <f>DropAnalityka[[#This Row],[Sell Drop]]+IF(DropAnalityka[[#This Row],[Drop]]="Scroll", 2000*DropAnalityka[[#This Row],[Quality/Quantity]],0)</f>
        <v>0</v>
      </c>
      <c r="J525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526" spans="9:10">
      <c r="I526">
        <f>DropAnalityka[[#This Row],[Sell Drop]]+IF(DropAnalityka[[#This Row],[Drop]]="Scroll", 2000*DropAnalityka[[#This Row],[Quality/Quantity]],0)</f>
        <v>0</v>
      </c>
      <c r="J526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527" spans="9:10">
      <c r="I527">
        <f>DropAnalityka[[#This Row],[Sell Drop]]+IF(DropAnalityka[[#This Row],[Drop]]="Scroll", 2000*DropAnalityka[[#This Row],[Quality/Quantity]],0)</f>
        <v>0</v>
      </c>
      <c r="J527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528" spans="9:10">
      <c r="I528">
        <f>DropAnalityka[[#This Row],[Sell Drop]]+IF(DropAnalityka[[#This Row],[Drop]]="Scroll", 2000*DropAnalityka[[#This Row],[Quality/Quantity]],0)</f>
        <v>0</v>
      </c>
      <c r="J528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529" spans="9:10">
      <c r="I529">
        <f>DropAnalityka[[#This Row],[Sell Drop]]+IF(DropAnalityka[[#This Row],[Drop]]="Scroll", 2000*DropAnalityka[[#This Row],[Quality/Quantity]],0)</f>
        <v>0</v>
      </c>
      <c r="J529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530" spans="9:10">
      <c r="I530">
        <f>DropAnalityka[[#This Row],[Sell Drop]]+IF(DropAnalityka[[#This Row],[Drop]]="Scroll", 2000*DropAnalityka[[#This Row],[Quality/Quantity]],0)</f>
        <v>0</v>
      </c>
      <c r="J530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531" spans="9:10">
      <c r="I531">
        <f>DropAnalityka[[#This Row],[Sell Drop]]+IF(DropAnalityka[[#This Row],[Drop]]="Scroll", 2000*DropAnalityka[[#This Row],[Quality/Quantity]],0)</f>
        <v>0</v>
      </c>
      <c r="J531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532" spans="9:10">
      <c r="I532">
        <f>DropAnalityka[[#This Row],[Sell Drop]]+IF(DropAnalityka[[#This Row],[Drop]]="Scroll", 2000*DropAnalityka[[#This Row],[Quality/Quantity]],0)</f>
        <v>0</v>
      </c>
      <c r="J532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533" spans="9:10">
      <c r="I533">
        <f>DropAnalityka[[#This Row],[Sell Drop]]+IF(DropAnalityka[[#This Row],[Drop]]="Scroll", 2000*DropAnalityka[[#This Row],[Quality/Quantity]],0)</f>
        <v>0</v>
      </c>
      <c r="J533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534" spans="9:10">
      <c r="I534">
        <f>DropAnalityka[[#This Row],[Sell Drop]]+IF(DropAnalityka[[#This Row],[Drop]]="Scroll", 2000*DropAnalityka[[#This Row],[Quality/Quantity]],0)</f>
        <v>0</v>
      </c>
      <c r="J534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535" spans="9:10">
      <c r="I535">
        <f>DropAnalityka[[#This Row],[Sell Drop]]+IF(DropAnalityka[[#This Row],[Drop]]="Scroll", 2000*DropAnalityka[[#This Row],[Quality/Quantity]],0)</f>
        <v>0</v>
      </c>
      <c r="J535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536" spans="9:10">
      <c r="I536">
        <f>DropAnalityka[[#This Row],[Sell Drop]]+IF(DropAnalityka[[#This Row],[Drop]]="Scroll", 2000*DropAnalityka[[#This Row],[Quality/Quantity]],0)</f>
        <v>0</v>
      </c>
      <c r="J536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537" spans="9:10">
      <c r="I537">
        <f>DropAnalityka[[#This Row],[Sell Drop]]+IF(DropAnalityka[[#This Row],[Drop]]="Scroll", 2000*DropAnalityka[[#This Row],[Quality/Quantity]],0)</f>
        <v>0</v>
      </c>
      <c r="J537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538" spans="9:10">
      <c r="I538">
        <f>DropAnalityka[[#This Row],[Sell Drop]]+IF(DropAnalityka[[#This Row],[Drop]]="Scroll", 2000*DropAnalityka[[#This Row],[Quality/Quantity]],0)</f>
        <v>0</v>
      </c>
      <c r="J538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539" spans="9:10">
      <c r="I539">
        <f>DropAnalityka[[#This Row],[Sell Drop]]+IF(DropAnalityka[[#This Row],[Drop]]="Scroll", 2000*DropAnalityka[[#This Row],[Quality/Quantity]],0)</f>
        <v>0</v>
      </c>
      <c r="J539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540" spans="9:10">
      <c r="I540">
        <f>DropAnalityka[[#This Row],[Sell Drop]]+IF(DropAnalityka[[#This Row],[Drop]]="Scroll", 2000*DropAnalityka[[#This Row],[Quality/Quantity]],0)</f>
        <v>0</v>
      </c>
      <c r="J540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541" spans="9:10">
      <c r="I541">
        <f>DropAnalityka[[#This Row],[Sell Drop]]+IF(DropAnalityka[[#This Row],[Drop]]="Scroll", 2000*DropAnalityka[[#This Row],[Quality/Quantity]],0)</f>
        <v>0</v>
      </c>
      <c r="J541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542" spans="9:10">
      <c r="I542">
        <f>DropAnalityka[[#This Row],[Sell Drop]]+IF(DropAnalityka[[#This Row],[Drop]]="Scroll", 2000*DropAnalityka[[#This Row],[Quality/Quantity]],0)</f>
        <v>0</v>
      </c>
      <c r="J542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543" spans="9:10">
      <c r="I543">
        <f>DropAnalityka[[#This Row],[Sell Drop]]+IF(DropAnalityka[[#This Row],[Drop]]="Scroll", 2000*DropAnalityka[[#This Row],[Quality/Quantity]],0)</f>
        <v>0</v>
      </c>
      <c r="J543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544" spans="9:10">
      <c r="I544">
        <f>DropAnalityka[[#This Row],[Sell Drop]]+IF(DropAnalityka[[#This Row],[Drop]]="Scroll", 2000*DropAnalityka[[#This Row],[Quality/Quantity]],0)</f>
        <v>0</v>
      </c>
      <c r="J544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545" spans="9:10">
      <c r="I545">
        <f>DropAnalityka[[#This Row],[Sell Drop]]+IF(DropAnalityka[[#This Row],[Drop]]="Scroll", 2000*DropAnalityka[[#This Row],[Quality/Quantity]],0)</f>
        <v>0</v>
      </c>
      <c r="J545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546" spans="9:10">
      <c r="I546">
        <f>DropAnalityka[[#This Row],[Sell Drop]]+IF(DropAnalityka[[#This Row],[Drop]]="Scroll", 2000*DropAnalityka[[#This Row],[Quality/Quantity]],0)</f>
        <v>0</v>
      </c>
      <c r="J546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547" spans="9:10">
      <c r="I547">
        <f>DropAnalityka[[#This Row],[Sell Drop]]+IF(DropAnalityka[[#This Row],[Drop]]="Scroll", 2000*DropAnalityka[[#This Row],[Quality/Quantity]],0)</f>
        <v>0</v>
      </c>
      <c r="J547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548" spans="9:10">
      <c r="I548">
        <f>DropAnalityka[[#This Row],[Sell Drop]]+IF(DropAnalityka[[#This Row],[Drop]]="Scroll", 2000*DropAnalityka[[#This Row],[Quality/Quantity]],0)</f>
        <v>0</v>
      </c>
      <c r="J548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549" spans="9:10">
      <c r="I549">
        <f>DropAnalityka[[#This Row],[Sell Drop]]+IF(DropAnalityka[[#This Row],[Drop]]="Scroll", 2000*DropAnalityka[[#This Row],[Quality/Quantity]],0)</f>
        <v>0</v>
      </c>
      <c r="J549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550" spans="9:10">
      <c r="I550">
        <f>DropAnalityka[[#This Row],[Sell Drop]]+IF(DropAnalityka[[#This Row],[Drop]]="Scroll", 2000*DropAnalityka[[#This Row],[Quality/Quantity]],0)</f>
        <v>0</v>
      </c>
      <c r="J550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551" spans="9:10">
      <c r="I551">
        <f>DropAnalityka[[#This Row],[Sell Drop]]+IF(DropAnalityka[[#This Row],[Drop]]="Scroll", 2000*DropAnalityka[[#This Row],[Quality/Quantity]],0)</f>
        <v>0</v>
      </c>
      <c r="J551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552" spans="9:10">
      <c r="I552">
        <f>DropAnalityka[[#This Row],[Sell Drop]]+IF(DropAnalityka[[#This Row],[Drop]]="Scroll", 2000*DropAnalityka[[#This Row],[Quality/Quantity]],0)</f>
        <v>0</v>
      </c>
      <c r="J552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553" spans="9:10">
      <c r="I553">
        <f>DropAnalityka[[#This Row],[Sell Drop]]+IF(DropAnalityka[[#This Row],[Drop]]="Scroll", 2000*DropAnalityka[[#This Row],[Quality/Quantity]],0)</f>
        <v>0</v>
      </c>
      <c r="J553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554" spans="9:10">
      <c r="I554">
        <f>DropAnalityka[[#This Row],[Sell Drop]]+IF(DropAnalityka[[#This Row],[Drop]]="Scroll", 2000*DropAnalityka[[#This Row],[Quality/Quantity]],0)</f>
        <v>0</v>
      </c>
      <c r="J554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555" spans="9:10">
      <c r="I555">
        <f>DropAnalityka[[#This Row],[Sell Drop]]+IF(DropAnalityka[[#This Row],[Drop]]="Scroll", 2000*DropAnalityka[[#This Row],[Quality/Quantity]],0)</f>
        <v>0</v>
      </c>
      <c r="J555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556" spans="9:10">
      <c r="I556">
        <f>DropAnalityka[[#This Row],[Sell Drop]]+IF(DropAnalityka[[#This Row],[Drop]]="Scroll", 2000*DropAnalityka[[#This Row],[Quality/Quantity]],0)</f>
        <v>0</v>
      </c>
      <c r="J556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557" spans="9:10">
      <c r="I557">
        <f>DropAnalityka[[#This Row],[Sell Drop]]+IF(DropAnalityka[[#This Row],[Drop]]="Scroll", 2000*DropAnalityka[[#This Row],[Quality/Quantity]],0)</f>
        <v>0</v>
      </c>
      <c r="J557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558" spans="9:10">
      <c r="I558">
        <f>DropAnalityka[[#This Row],[Sell Drop]]+IF(DropAnalityka[[#This Row],[Drop]]="Scroll", 2000*DropAnalityka[[#This Row],[Quality/Quantity]],0)</f>
        <v>0</v>
      </c>
      <c r="J558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559" spans="9:10">
      <c r="I559">
        <f>DropAnalityka[[#This Row],[Sell Drop]]+IF(DropAnalityka[[#This Row],[Drop]]="Scroll", 2000*DropAnalityka[[#This Row],[Quality/Quantity]],0)</f>
        <v>0</v>
      </c>
      <c r="J559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560" spans="9:10">
      <c r="I560">
        <f>DropAnalityka[[#This Row],[Sell Drop]]+IF(DropAnalityka[[#This Row],[Drop]]="Scroll", 2000*DropAnalityka[[#This Row],[Quality/Quantity]],0)</f>
        <v>0</v>
      </c>
      <c r="J560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561" spans="9:10">
      <c r="I561">
        <f>DropAnalityka[[#This Row],[Sell Drop]]+IF(DropAnalityka[[#This Row],[Drop]]="Scroll", 2000*DropAnalityka[[#This Row],[Quality/Quantity]],0)</f>
        <v>0</v>
      </c>
      <c r="J561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562" spans="9:10">
      <c r="I562">
        <f>DropAnalityka[[#This Row],[Sell Drop]]+IF(DropAnalityka[[#This Row],[Drop]]="Scroll", 2000*DropAnalityka[[#This Row],[Quality/Quantity]],0)</f>
        <v>0</v>
      </c>
      <c r="J562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563" spans="9:10">
      <c r="I563">
        <f>DropAnalityka[[#This Row],[Sell Drop]]+IF(DropAnalityka[[#This Row],[Drop]]="Scroll", 2000*DropAnalityka[[#This Row],[Quality/Quantity]],0)</f>
        <v>0</v>
      </c>
      <c r="J563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564" spans="9:10">
      <c r="I564">
        <f>DropAnalityka[[#This Row],[Sell Drop]]+IF(DropAnalityka[[#This Row],[Drop]]="Scroll", 2000*DropAnalityka[[#This Row],[Quality/Quantity]],0)</f>
        <v>0</v>
      </c>
      <c r="J564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565" spans="9:10">
      <c r="I565">
        <f>DropAnalityka[[#This Row],[Sell Drop]]+IF(DropAnalityka[[#This Row],[Drop]]="Scroll", 2000*DropAnalityka[[#This Row],[Quality/Quantity]],0)</f>
        <v>0</v>
      </c>
      <c r="J565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566" spans="9:10">
      <c r="I566">
        <f>DropAnalityka[[#This Row],[Sell Drop]]+IF(DropAnalityka[[#This Row],[Drop]]="Scroll", 2000*DropAnalityka[[#This Row],[Quality/Quantity]],0)</f>
        <v>0</v>
      </c>
      <c r="J566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567" spans="9:10">
      <c r="I567">
        <f>DropAnalityka[[#This Row],[Sell Drop]]+IF(DropAnalityka[[#This Row],[Drop]]="Scroll", 2000*DropAnalityka[[#This Row],[Quality/Quantity]],0)</f>
        <v>0</v>
      </c>
      <c r="J567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568" spans="9:10">
      <c r="I568">
        <f>DropAnalityka[[#This Row],[Sell Drop]]+IF(DropAnalityka[[#This Row],[Drop]]="Scroll", 2000*DropAnalityka[[#This Row],[Quality/Quantity]],0)</f>
        <v>0</v>
      </c>
      <c r="J568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569" spans="9:10">
      <c r="I569">
        <f>DropAnalityka[[#This Row],[Sell Drop]]+IF(DropAnalityka[[#This Row],[Drop]]="Scroll", 2000*DropAnalityka[[#This Row],[Quality/Quantity]],0)</f>
        <v>0</v>
      </c>
      <c r="J569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570" spans="9:10">
      <c r="I570">
        <f>DropAnalityka[[#This Row],[Sell Drop]]+IF(DropAnalityka[[#This Row],[Drop]]="Scroll", 2000*DropAnalityka[[#This Row],[Quality/Quantity]],0)</f>
        <v>0</v>
      </c>
      <c r="J570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571" spans="9:10">
      <c r="I571">
        <f>DropAnalityka[[#This Row],[Sell Drop]]+IF(DropAnalityka[[#This Row],[Drop]]="Scroll", 2000*DropAnalityka[[#This Row],[Quality/Quantity]],0)</f>
        <v>0</v>
      </c>
      <c r="J571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572" spans="9:10">
      <c r="I572">
        <f>DropAnalityka[[#This Row],[Sell Drop]]+IF(DropAnalityka[[#This Row],[Drop]]="Scroll", 2000*DropAnalityka[[#This Row],[Quality/Quantity]],0)</f>
        <v>0</v>
      </c>
      <c r="J572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573" spans="9:10">
      <c r="I573">
        <f>DropAnalityka[[#This Row],[Sell Drop]]+IF(DropAnalityka[[#This Row],[Drop]]="Scroll", 2000*DropAnalityka[[#This Row],[Quality/Quantity]],0)</f>
        <v>0</v>
      </c>
      <c r="J573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574" spans="9:10">
      <c r="I574">
        <f>DropAnalityka[[#This Row],[Sell Drop]]+IF(DropAnalityka[[#This Row],[Drop]]="Scroll", 2000*DropAnalityka[[#This Row],[Quality/Quantity]],0)</f>
        <v>0</v>
      </c>
      <c r="J574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575" spans="9:10">
      <c r="I575">
        <f>DropAnalityka[[#This Row],[Sell Drop]]+IF(DropAnalityka[[#This Row],[Drop]]="Scroll", 2000*DropAnalityka[[#This Row],[Quality/Quantity]],0)</f>
        <v>0</v>
      </c>
      <c r="J575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576" spans="9:10">
      <c r="I576">
        <f>DropAnalityka[[#This Row],[Sell Drop]]+IF(DropAnalityka[[#This Row],[Drop]]="Scroll", 2000*DropAnalityka[[#This Row],[Quality/Quantity]],0)</f>
        <v>0</v>
      </c>
      <c r="J576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577" spans="9:10">
      <c r="I577">
        <f>DropAnalityka[[#This Row],[Sell Drop]]+IF(DropAnalityka[[#This Row],[Drop]]="Scroll", 2000*DropAnalityka[[#This Row],[Quality/Quantity]],0)</f>
        <v>0</v>
      </c>
      <c r="J577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578" spans="9:10">
      <c r="I578">
        <f>DropAnalityka[[#This Row],[Sell Drop]]+IF(DropAnalityka[[#This Row],[Drop]]="Scroll", 2000*DropAnalityka[[#This Row],[Quality/Quantity]],0)</f>
        <v>0</v>
      </c>
      <c r="J578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579" spans="9:10">
      <c r="I579">
        <f>DropAnalityka[[#This Row],[Sell Drop]]+IF(DropAnalityka[[#This Row],[Drop]]="Scroll", 2000*DropAnalityka[[#This Row],[Quality/Quantity]],0)</f>
        <v>0</v>
      </c>
      <c r="J579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580" spans="9:10">
      <c r="I580">
        <f>DropAnalityka[[#This Row],[Sell Drop]]+IF(DropAnalityka[[#This Row],[Drop]]="Scroll", 2000*DropAnalityka[[#This Row],[Quality/Quantity]],0)</f>
        <v>0</v>
      </c>
      <c r="J580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581" spans="9:10">
      <c r="I581">
        <f>DropAnalityka[[#This Row],[Sell Drop]]+IF(DropAnalityka[[#This Row],[Drop]]="Scroll", 2000*DropAnalityka[[#This Row],[Quality/Quantity]],0)</f>
        <v>0</v>
      </c>
      <c r="J581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582" spans="9:10">
      <c r="I582">
        <f>DropAnalityka[[#This Row],[Sell Drop]]+IF(DropAnalityka[[#This Row],[Drop]]="Scroll", 2000*DropAnalityka[[#This Row],[Quality/Quantity]],0)</f>
        <v>0</v>
      </c>
      <c r="J582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583" spans="9:10">
      <c r="I583">
        <f>DropAnalityka[[#This Row],[Sell Drop]]+IF(DropAnalityka[[#This Row],[Drop]]="Scroll", 2000*DropAnalityka[[#This Row],[Quality/Quantity]],0)</f>
        <v>0</v>
      </c>
      <c r="J583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584" spans="9:10">
      <c r="I584">
        <f>DropAnalityka[[#This Row],[Sell Drop]]+IF(DropAnalityka[[#This Row],[Drop]]="Scroll", 2000*DropAnalityka[[#This Row],[Quality/Quantity]],0)</f>
        <v>0</v>
      </c>
      <c r="J584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585" spans="9:10">
      <c r="I585">
        <f>DropAnalityka[[#This Row],[Sell Drop]]+IF(DropAnalityka[[#This Row],[Drop]]="Scroll", 2000*DropAnalityka[[#This Row],[Quality/Quantity]],0)</f>
        <v>0</v>
      </c>
      <c r="J585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586" spans="9:10">
      <c r="I586">
        <f>DropAnalityka[[#This Row],[Sell Drop]]+IF(DropAnalityka[[#This Row],[Drop]]="Scroll", 2000*DropAnalityka[[#This Row],[Quality/Quantity]],0)</f>
        <v>0</v>
      </c>
      <c r="J586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587" spans="9:10">
      <c r="I587">
        <f>DropAnalityka[[#This Row],[Sell Drop]]+IF(DropAnalityka[[#This Row],[Drop]]="Scroll", 2000*DropAnalityka[[#This Row],[Quality/Quantity]],0)</f>
        <v>0</v>
      </c>
      <c r="J587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588" spans="9:10">
      <c r="I588">
        <f>DropAnalityka[[#This Row],[Sell Drop]]+IF(DropAnalityka[[#This Row],[Drop]]="Scroll", 2000*DropAnalityka[[#This Row],[Quality/Quantity]],0)</f>
        <v>0</v>
      </c>
      <c r="J588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589" spans="9:10">
      <c r="I589">
        <f>DropAnalityka[[#This Row],[Sell Drop]]+IF(DropAnalityka[[#This Row],[Drop]]="Scroll", 2000*DropAnalityka[[#This Row],[Quality/Quantity]],0)</f>
        <v>0</v>
      </c>
      <c r="J589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590" spans="9:10">
      <c r="I590">
        <f>DropAnalityka[[#This Row],[Sell Drop]]+IF(DropAnalityka[[#This Row],[Drop]]="Scroll", 2000*DropAnalityka[[#This Row],[Quality/Quantity]],0)</f>
        <v>0</v>
      </c>
      <c r="J590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591" spans="9:10">
      <c r="I591">
        <f>DropAnalityka[[#This Row],[Sell Drop]]+IF(DropAnalityka[[#This Row],[Drop]]="Scroll", 2000*DropAnalityka[[#This Row],[Quality/Quantity]],0)</f>
        <v>0</v>
      </c>
      <c r="J591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592" spans="9:10">
      <c r="I592">
        <f>DropAnalityka[[#This Row],[Sell Drop]]+IF(DropAnalityka[[#This Row],[Drop]]="Scroll", 2000*DropAnalityka[[#This Row],[Quality/Quantity]],0)</f>
        <v>0</v>
      </c>
      <c r="J592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593" spans="9:10">
      <c r="I593">
        <f>DropAnalityka[[#This Row],[Sell Drop]]+IF(DropAnalityka[[#This Row],[Drop]]="Scroll", 2000*DropAnalityka[[#This Row],[Quality/Quantity]],0)</f>
        <v>0</v>
      </c>
      <c r="J593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594" spans="9:10">
      <c r="I594">
        <f>DropAnalityka[[#This Row],[Sell Drop]]+IF(DropAnalityka[[#This Row],[Drop]]="Scroll", 2000*DropAnalityka[[#This Row],[Quality/Quantity]],0)</f>
        <v>0</v>
      </c>
      <c r="J594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595" spans="9:10">
      <c r="I595">
        <f>DropAnalityka[[#This Row],[Sell Drop]]+IF(DropAnalityka[[#This Row],[Drop]]="Scroll", 2000*DropAnalityka[[#This Row],[Quality/Quantity]],0)</f>
        <v>0</v>
      </c>
      <c r="J595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596" spans="9:10">
      <c r="I596">
        <f>DropAnalityka[[#This Row],[Sell Drop]]+IF(DropAnalityka[[#This Row],[Drop]]="Scroll", 2000*DropAnalityka[[#This Row],[Quality/Quantity]],0)</f>
        <v>0</v>
      </c>
      <c r="J596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597" spans="9:10">
      <c r="I597">
        <f>DropAnalityka[[#This Row],[Sell Drop]]+IF(DropAnalityka[[#This Row],[Drop]]="Scroll", 2000*DropAnalityka[[#This Row],[Quality/Quantity]],0)</f>
        <v>0</v>
      </c>
      <c r="J597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598" spans="9:10">
      <c r="I598">
        <f>DropAnalityka[[#This Row],[Sell Drop]]+IF(DropAnalityka[[#This Row],[Drop]]="Scroll", 2000*DropAnalityka[[#This Row],[Quality/Quantity]],0)</f>
        <v>0</v>
      </c>
      <c r="J598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599" spans="9:10">
      <c r="I599">
        <f>DropAnalityka[[#This Row],[Sell Drop]]+IF(DropAnalityka[[#This Row],[Drop]]="Scroll", 2000*DropAnalityka[[#This Row],[Quality/Quantity]],0)</f>
        <v>0</v>
      </c>
      <c r="J599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600" spans="9:10">
      <c r="I600">
        <f>DropAnalityka[[#This Row],[Sell Drop]]+IF(DropAnalityka[[#This Row],[Drop]]="Scroll", 2000*DropAnalityka[[#This Row],[Quality/Quantity]],0)</f>
        <v>0</v>
      </c>
      <c r="J600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601" spans="9:10">
      <c r="I601">
        <f>DropAnalityka[[#This Row],[Sell Drop]]+IF(DropAnalityka[[#This Row],[Drop]]="Scroll", 2000*DropAnalityka[[#This Row],[Quality/Quantity]],0)</f>
        <v>0</v>
      </c>
      <c r="J601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602" spans="9:10">
      <c r="I602">
        <f>DropAnalityka[[#This Row],[Sell Drop]]+IF(DropAnalityka[[#This Row],[Drop]]="Scroll", 2000*DropAnalityka[[#This Row],[Quality/Quantity]],0)</f>
        <v>0</v>
      </c>
      <c r="J602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603" spans="9:10">
      <c r="I603">
        <f>DropAnalityka[[#This Row],[Sell Drop]]+IF(DropAnalityka[[#This Row],[Drop]]="Scroll", 2000*DropAnalityka[[#This Row],[Quality/Quantity]],0)</f>
        <v>0</v>
      </c>
      <c r="J603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604" spans="9:10">
      <c r="I604">
        <f>DropAnalityka[[#This Row],[Sell Drop]]+IF(DropAnalityka[[#This Row],[Drop]]="Scroll", 2000*DropAnalityka[[#This Row],[Quality/Quantity]],0)</f>
        <v>0</v>
      </c>
      <c r="J604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605" spans="9:10">
      <c r="I605">
        <f>DropAnalityka[[#This Row],[Sell Drop]]+IF(DropAnalityka[[#This Row],[Drop]]="Scroll", 2000*DropAnalityka[[#This Row],[Quality/Quantity]],0)</f>
        <v>0</v>
      </c>
      <c r="J605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606" spans="9:10">
      <c r="I606">
        <f>DropAnalityka[[#This Row],[Sell Drop]]+IF(DropAnalityka[[#This Row],[Drop]]="Scroll", 2000*DropAnalityka[[#This Row],[Quality/Quantity]],0)</f>
        <v>0</v>
      </c>
      <c r="J606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607" spans="9:10">
      <c r="I607">
        <f>DropAnalityka[[#This Row],[Sell Drop]]+IF(DropAnalityka[[#This Row],[Drop]]="Scroll", 2000*DropAnalityka[[#This Row],[Quality/Quantity]],0)</f>
        <v>0</v>
      </c>
      <c r="J607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608" spans="9:10">
      <c r="I608">
        <f>DropAnalityka[[#This Row],[Sell Drop]]+IF(DropAnalityka[[#This Row],[Drop]]="Scroll", 2000*DropAnalityka[[#This Row],[Quality/Quantity]],0)</f>
        <v>0</v>
      </c>
      <c r="J608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609" spans="9:10">
      <c r="I609">
        <f>DropAnalityka[[#This Row],[Sell Drop]]+IF(DropAnalityka[[#This Row],[Drop]]="Scroll", 2000*DropAnalityka[[#This Row],[Quality/Quantity]],0)</f>
        <v>0</v>
      </c>
      <c r="J609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610" spans="9:10">
      <c r="I610">
        <f>DropAnalityka[[#This Row],[Sell Drop]]+IF(DropAnalityka[[#This Row],[Drop]]="Scroll", 2000*DropAnalityka[[#This Row],[Quality/Quantity]],0)</f>
        <v>0</v>
      </c>
      <c r="J610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611" spans="9:10">
      <c r="I611">
        <f>DropAnalityka[[#This Row],[Sell Drop]]+IF(DropAnalityka[[#This Row],[Drop]]="Scroll", 2000*DropAnalityka[[#This Row],[Quality/Quantity]],0)</f>
        <v>0</v>
      </c>
      <c r="J611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612" spans="9:10">
      <c r="I612">
        <f>DropAnalityka[[#This Row],[Sell Drop]]+IF(DropAnalityka[[#This Row],[Drop]]="Scroll", 2000*DropAnalityka[[#This Row],[Quality/Quantity]],0)</f>
        <v>0</v>
      </c>
      <c r="J612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613" spans="9:10">
      <c r="I613">
        <f>DropAnalityka[[#This Row],[Sell Drop]]+IF(DropAnalityka[[#This Row],[Drop]]="Scroll", 2000*DropAnalityka[[#This Row],[Quality/Quantity]],0)</f>
        <v>0</v>
      </c>
      <c r="J613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614" spans="9:10">
      <c r="I614">
        <f>DropAnalityka[[#This Row],[Sell Drop]]+IF(DropAnalityka[[#This Row],[Drop]]="Scroll", 2000*DropAnalityka[[#This Row],[Quality/Quantity]],0)</f>
        <v>0</v>
      </c>
      <c r="J614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615" spans="9:10">
      <c r="I615">
        <f>DropAnalityka[[#This Row],[Sell Drop]]+IF(DropAnalityka[[#This Row],[Drop]]="Scroll", 2000*DropAnalityka[[#This Row],[Quality/Quantity]],0)</f>
        <v>0</v>
      </c>
      <c r="J615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616" spans="9:10">
      <c r="I616">
        <f>DropAnalityka[[#This Row],[Sell Drop]]+IF(DropAnalityka[[#This Row],[Drop]]="Scroll", 2000*DropAnalityka[[#This Row],[Quality/Quantity]],0)</f>
        <v>0</v>
      </c>
      <c r="J616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617" spans="9:10">
      <c r="I617">
        <f>DropAnalityka[[#This Row],[Sell Drop]]+IF(DropAnalityka[[#This Row],[Drop]]="Scroll", 2000*DropAnalityka[[#This Row],[Quality/Quantity]],0)</f>
        <v>0</v>
      </c>
      <c r="J617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618" spans="9:10">
      <c r="I618">
        <f>DropAnalityka[[#This Row],[Sell Drop]]+IF(DropAnalityka[[#This Row],[Drop]]="Scroll", 2000*DropAnalityka[[#This Row],[Quality/Quantity]],0)</f>
        <v>0</v>
      </c>
      <c r="J618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619" spans="9:10">
      <c r="I619">
        <f>DropAnalityka[[#This Row],[Sell Drop]]+IF(DropAnalityka[[#This Row],[Drop]]="Scroll", 2000*DropAnalityka[[#This Row],[Quality/Quantity]],0)</f>
        <v>0</v>
      </c>
      <c r="J619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620" spans="9:10">
      <c r="I620">
        <f>DropAnalityka[[#This Row],[Sell Drop]]+IF(DropAnalityka[[#This Row],[Drop]]="Scroll", 2000*DropAnalityka[[#This Row],[Quality/Quantity]],0)</f>
        <v>0</v>
      </c>
      <c r="J620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621" spans="9:10">
      <c r="I621">
        <f>DropAnalityka[[#This Row],[Sell Drop]]+IF(DropAnalityka[[#This Row],[Drop]]="Scroll", 2000*DropAnalityka[[#This Row],[Quality/Quantity]],0)</f>
        <v>0</v>
      </c>
      <c r="J621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622" spans="9:10">
      <c r="I622">
        <f>DropAnalityka[[#This Row],[Sell Drop]]+IF(DropAnalityka[[#This Row],[Drop]]="Scroll", 2000*DropAnalityka[[#This Row],[Quality/Quantity]],0)</f>
        <v>0</v>
      </c>
      <c r="J622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623" spans="9:10">
      <c r="I623">
        <f>DropAnalityka[[#This Row],[Sell Drop]]+IF(DropAnalityka[[#This Row],[Drop]]="Scroll", 2000*DropAnalityka[[#This Row],[Quality/Quantity]],0)</f>
        <v>0</v>
      </c>
      <c r="J623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624" spans="9:10">
      <c r="I624">
        <f>DropAnalityka[[#This Row],[Sell Drop]]+IF(DropAnalityka[[#This Row],[Drop]]="Scroll", 2000*DropAnalityka[[#This Row],[Quality/Quantity]],0)</f>
        <v>0</v>
      </c>
      <c r="J624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625" spans="9:10">
      <c r="I625">
        <f>DropAnalityka[[#This Row],[Sell Drop]]+IF(DropAnalityka[[#This Row],[Drop]]="Scroll", 2000*DropAnalityka[[#This Row],[Quality/Quantity]],0)</f>
        <v>0</v>
      </c>
      <c r="J625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626" spans="9:10">
      <c r="I626">
        <f>DropAnalityka[[#This Row],[Sell Drop]]+IF(DropAnalityka[[#This Row],[Drop]]="Scroll", 2000*DropAnalityka[[#This Row],[Quality/Quantity]],0)</f>
        <v>0</v>
      </c>
      <c r="J626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627" spans="9:10">
      <c r="I627">
        <f>DropAnalityka[[#This Row],[Sell Drop]]+IF(DropAnalityka[[#This Row],[Drop]]="Scroll", 2000*DropAnalityka[[#This Row],[Quality/Quantity]],0)</f>
        <v>0</v>
      </c>
      <c r="J627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628" spans="9:10">
      <c r="I628">
        <f>DropAnalityka[[#This Row],[Sell Drop]]+IF(DropAnalityka[[#This Row],[Drop]]="Scroll", 2000*DropAnalityka[[#This Row],[Quality/Quantity]],0)</f>
        <v>0</v>
      </c>
      <c r="J628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629" spans="9:10">
      <c r="I629">
        <f>DropAnalityka[[#This Row],[Sell Drop]]+IF(DropAnalityka[[#This Row],[Drop]]="Scroll", 2000*DropAnalityka[[#This Row],[Quality/Quantity]],0)</f>
        <v>0</v>
      </c>
      <c r="J629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630" spans="9:10">
      <c r="I630">
        <f>DropAnalityka[[#This Row],[Sell Drop]]+IF(DropAnalityka[[#This Row],[Drop]]="Scroll", 2000*DropAnalityka[[#This Row],[Quality/Quantity]],0)</f>
        <v>0</v>
      </c>
      <c r="J630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631" spans="9:10">
      <c r="I631">
        <f>DropAnalityka[[#This Row],[Sell Drop]]+IF(DropAnalityka[[#This Row],[Drop]]="Scroll", 2000*DropAnalityka[[#This Row],[Quality/Quantity]],0)</f>
        <v>0</v>
      </c>
      <c r="J631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632" spans="9:10">
      <c r="I632">
        <f>DropAnalityka[[#This Row],[Sell Drop]]+IF(DropAnalityka[[#This Row],[Drop]]="Scroll", 2000*DropAnalityka[[#This Row],[Quality/Quantity]],0)</f>
        <v>0</v>
      </c>
      <c r="J632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633" spans="9:10">
      <c r="I633">
        <f>DropAnalityka[[#This Row],[Sell Drop]]+IF(DropAnalityka[[#This Row],[Drop]]="Scroll", 2000*DropAnalityka[[#This Row],[Quality/Quantity]],0)</f>
        <v>0</v>
      </c>
      <c r="J633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634" spans="9:10">
      <c r="I634">
        <f>DropAnalityka[[#This Row],[Sell Drop]]+IF(DropAnalityka[[#This Row],[Drop]]="Scroll", 2000*DropAnalityka[[#This Row],[Quality/Quantity]],0)</f>
        <v>0</v>
      </c>
      <c r="J634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635" spans="9:10">
      <c r="I635">
        <f>DropAnalityka[[#This Row],[Sell Drop]]+IF(DropAnalityka[[#This Row],[Drop]]="Scroll", 2000*DropAnalityka[[#This Row],[Quality/Quantity]],0)</f>
        <v>0</v>
      </c>
      <c r="J635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636" spans="9:10">
      <c r="I636">
        <f>DropAnalityka[[#This Row],[Sell Drop]]+IF(DropAnalityka[[#This Row],[Drop]]="Scroll", 2000*DropAnalityka[[#This Row],[Quality/Quantity]],0)</f>
        <v>0</v>
      </c>
      <c r="J636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637" spans="9:10">
      <c r="I637">
        <f>DropAnalityka[[#This Row],[Sell Drop]]+IF(DropAnalityka[[#This Row],[Drop]]="Scroll", 2000*DropAnalityka[[#This Row],[Quality/Quantity]],0)</f>
        <v>0</v>
      </c>
      <c r="J637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638" spans="9:10">
      <c r="I638">
        <f>DropAnalityka[[#This Row],[Sell Drop]]+IF(DropAnalityka[[#This Row],[Drop]]="Scroll", 2000*DropAnalityka[[#This Row],[Quality/Quantity]],0)</f>
        <v>0</v>
      </c>
      <c r="J638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639" spans="9:10">
      <c r="I639">
        <f>DropAnalityka[[#This Row],[Sell Drop]]+IF(DropAnalityka[[#This Row],[Drop]]="Scroll", 2000*DropAnalityka[[#This Row],[Quality/Quantity]],0)</f>
        <v>0</v>
      </c>
      <c r="J639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640" spans="9:10">
      <c r="I640">
        <f>DropAnalityka[[#This Row],[Sell Drop]]+IF(DropAnalityka[[#This Row],[Drop]]="Scroll", 2000*DropAnalityka[[#This Row],[Quality/Quantity]],0)</f>
        <v>0</v>
      </c>
      <c r="J640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641" spans="9:10">
      <c r="I641">
        <f>DropAnalityka[[#This Row],[Sell Drop]]+IF(DropAnalityka[[#This Row],[Drop]]="Scroll", 2000*DropAnalityka[[#This Row],[Quality/Quantity]],0)</f>
        <v>0</v>
      </c>
      <c r="J641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642" spans="9:10">
      <c r="I642">
        <f>DropAnalityka[[#This Row],[Sell Drop]]+IF(DropAnalityka[[#This Row],[Drop]]="Scroll", 2000*DropAnalityka[[#This Row],[Quality/Quantity]],0)</f>
        <v>0</v>
      </c>
      <c r="J642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643" spans="9:10">
      <c r="I643">
        <f>DropAnalityka[[#This Row],[Sell Drop]]+IF(DropAnalityka[[#This Row],[Drop]]="Scroll", 2000*DropAnalityka[[#This Row],[Quality/Quantity]],0)</f>
        <v>0</v>
      </c>
      <c r="J643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644" spans="9:10">
      <c r="I644">
        <f>DropAnalityka[[#This Row],[Sell Drop]]+IF(DropAnalityka[[#This Row],[Drop]]="Scroll", 2000*DropAnalityka[[#This Row],[Quality/Quantity]],0)</f>
        <v>0</v>
      </c>
      <c r="J644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645" spans="9:10">
      <c r="I645">
        <f>DropAnalityka[[#This Row],[Sell Drop]]+IF(DropAnalityka[[#This Row],[Drop]]="Scroll", 2000*DropAnalityka[[#This Row],[Quality/Quantity]],0)</f>
        <v>0</v>
      </c>
      <c r="J645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646" spans="9:10">
      <c r="I646">
        <f>DropAnalityka[[#This Row],[Sell Drop]]+IF(DropAnalityka[[#This Row],[Drop]]="Scroll", 2000*DropAnalityka[[#This Row],[Quality/Quantity]],0)</f>
        <v>0</v>
      </c>
      <c r="J646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647" spans="9:10">
      <c r="I647">
        <f>DropAnalityka[[#This Row],[Sell Drop]]+IF(DropAnalityka[[#This Row],[Drop]]="Scroll", 2000*DropAnalityka[[#This Row],[Quality/Quantity]],0)</f>
        <v>0</v>
      </c>
      <c r="J647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648" spans="9:10">
      <c r="I648">
        <f>DropAnalityka[[#This Row],[Sell Drop]]+IF(DropAnalityka[[#This Row],[Drop]]="Scroll", 2000*DropAnalityka[[#This Row],[Quality/Quantity]],0)</f>
        <v>0</v>
      </c>
      <c r="J648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649" spans="9:10">
      <c r="I649">
        <f>DropAnalityka[[#This Row],[Sell Drop]]+IF(DropAnalityka[[#This Row],[Drop]]="Scroll", 2000*DropAnalityka[[#This Row],[Quality/Quantity]],0)</f>
        <v>0</v>
      </c>
      <c r="J649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650" spans="9:10">
      <c r="I650">
        <f>DropAnalityka[[#This Row],[Sell Drop]]+IF(DropAnalityka[[#This Row],[Drop]]="Scroll", 2000*DropAnalityka[[#This Row],[Quality/Quantity]],0)</f>
        <v>0</v>
      </c>
      <c r="J650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651" spans="9:10">
      <c r="I651">
        <f>DropAnalityka[[#This Row],[Sell Drop]]+IF(DropAnalityka[[#This Row],[Drop]]="Scroll", 2000*DropAnalityka[[#This Row],[Quality/Quantity]],0)</f>
        <v>0</v>
      </c>
      <c r="J651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652" spans="9:10">
      <c r="I652">
        <f>DropAnalityka[[#This Row],[Sell Drop]]+IF(DropAnalityka[[#This Row],[Drop]]="Scroll", 2000*DropAnalityka[[#This Row],[Quality/Quantity]],0)</f>
        <v>0</v>
      </c>
      <c r="J652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653" spans="9:10">
      <c r="I653">
        <f>DropAnalityka[[#This Row],[Sell Drop]]+IF(DropAnalityka[[#This Row],[Drop]]="Scroll", 2000*DropAnalityka[[#This Row],[Quality/Quantity]],0)</f>
        <v>0</v>
      </c>
      <c r="J653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654" spans="9:10">
      <c r="I654">
        <f>DropAnalityka[[#This Row],[Sell Drop]]+IF(DropAnalityka[[#This Row],[Drop]]="Scroll", 2000*DropAnalityka[[#This Row],[Quality/Quantity]],0)</f>
        <v>0</v>
      </c>
      <c r="J654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655" spans="9:10">
      <c r="I655">
        <f>DropAnalityka[[#This Row],[Sell Drop]]+IF(DropAnalityka[[#This Row],[Drop]]="Scroll", 2000*DropAnalityka[[#This Row],[Quality/Quantity]],0)</f>
        <v>0</v>
      </c>
      <c r="J655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656" spans="9:10">
      <c r="I656">
        <f>DropAnalityka[[#This Row],[Sell Drop]]+IF(DropAnalityka[[#This Row],[Drop]]="Scroll", 2000*DropAnalityka[[#This Row],[Quality/Quantity]],0)</f>
        <v>0</v>
      </c>
      <c r="J656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657" spans="9:10">
      <c r="I657">
        <f>DropAnalityka[[#This Row],[Sell Drop]]+IF(DropAnalityka[[#This Row],[Drop]]="Scroll", 2000*DropAnalityka[[#This Row],[Quality/Quantity]],0)</f>
        <v>0</v>
      </c>
      <c r="J657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658" spans="9:10">
      <c r="I658">
        <f>DropAnalityka[[#This Row],[Sell Drop]]+IF(DropAnalityka[[#This Row],[Drop]]="Scroll", 2000*DropAnalityka[[#This Row],[Quality/Quantity]],0)</f>
        <v>0</v>
      </c>
      <c r="J658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659" spans="9:10">
      <c r="I659">
        <f>DropAnalityka[[#This Row],[Sell Drop]]+IF(DropAnalityka[[#This Row],[Drop]]="Scroll", 2000*DropAnalityka[[#This Row],[Quality/Quantity]],0)</f>
        <v>0</v>
      </c>
      <c r="J659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660" spans="9:10">
      <c r="I660">
        <f>DropAnalityka[[#This Row],[Sell Drop]]+IF(DropAnalityka[[#This Row],[Drop]]="Scroll", 2000*DropAnalityka[[#This Row],[Quality/Quantity]],0)</f>
        <v>0</v>
      </c>
      <c r="J660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661" spans="9:10">
      <c r="I661">
        <f>DropAnalityka[[#This Row],[Sell Drop]]+IF(DropAnalityka[[#This Row],[Drop]]="Scroll", 2000*DropAnalityka[[#This Row],[Quality/Quantity]],0)</f>
        <v>0</v>
      </c>
      <c r="J661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662" spans="9:10">
      <c r="I662">
        <f>DropAnalityka[[#This Row],[Sell Drop]]+IF(DropAnalityka[[#This Row],[Drop]]="Scroll", 2000*DropAnalityka[[#This Row],[Quality/Quantity]],0)</f>
        <v>0</v>
      </c>
      <c r="J662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663" spans="9:10">
      <c r="I663">
        <f>DropAnalityka[[#This Row],[Sell Drop]]+IF(DropAnalityka[[#This Row],[Drop]]="Scroll", 2000*DropAnalityka[[#This Row],[Quality/Quantity]],0)</f>
        <v>0</v>
      </c>
      <c r="J663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664" spans="9:10">
      <c r="I664">
        <f>DropAnalityka[[#This Row],[Sell Drop]]+IF(DropAnalityka[[#This Row],[Drop]]="Scroll", 2000*DropAnalityka[[#This Row],[Quality/Quantity]],0)</f>
        <v>0</v>
      </c>
      <c r="J664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665" spans="9:10">
      <c r="I665">
        <f>DropAnalityka[[#This Row],[Sell Drop]]+IF(DropAnalityka[[#This Row],[Drop]]="Scroll", 2000*DropAnalityka[[#This Row],[Quality/Quantity]],0)</f>
        <v>0</v>
      </c>
      <c r="J665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666" spans="9:10">
      <c r="I666">
        <f>DropAnalityka[[#This Row],[Sell Drop]]+IF(DropAnalityka[[#This Row],[Drop]]="Scroll", 2000*DropAnalityka[[#This Row],[Quality/Quantity]],0)</f>
        <v>0</v>
      </c>
      <c r="J666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667" spans="9:10">
      <c r="I667">
        <f>DropAnalityka[[#This Row],[Sell Drop]]+IF(DropAnalityka[[#This Row],[Drop]]="Scroll", 2000*DropAnalityka[[#This Row],[Quality/Quantity]],0)</f>
        <v>0</v>
      </c>
      <c r="J667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668" spans="9:10">
      <c r="I668">
        <f>DropAnalityka[[#This Row],[Sell Drop]]+IF(DropAnalityka[[#This Row],[Drop]]="Scroll", 2000*DropAnalityka[[#This Row],[Quality/Quantity]],0)</f>
        <v>0</v>
      </c>
      <c r="J668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669" spans="9:10">
      <c r="I669">
        <f>DropAnalityka[[#This Row],[Sell Drop]]+IF(DropAnalityka[[#This Row],[Drop]]="Scroll", 2000*DropAnalityka[[#This Row],[Quality/Quantity]],0)</f>
        <v>0</v>
      </c>
      <c r="J669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670" spans="9:10">
      <c r="I670">
        <f>DropAnalityka[[#This Row],[Sell Drop]]+IF(DropAnalityka[[#This Row],[Drop]]="Scroll", 2000*DropAnalityka[[#This Row],[Quality/Quantity]],0)</f>
        <v>0</v>
      </c>
      <c r="J670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671" spans="9:10">
      <c r="I671">
        <f>DropAnalityka[[#This Row],[Sell Drop]]+IF(DropAnalityka[[#This Row],[Drop]]="Scroll", 2000*DropAnalityka[[#This Row],[Quality/Quantity]],0)</f>
        <v>0</v>
      </c>
      <c r="J671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672" spans="9:10">
      <c r="I672">
        <f>DropAnalityka[[#This Row],[Sell Drop]]+IF(DropAnalityka[[#This Row],[Drop]]="Scroll", 2000*DropAnalityka[[#This Row],[Quality/Quantity]],0)</f>
        <v>0</v>
      </c>
      <c r="J672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673" spans="9:10">
      <c r="I673">
        <f>DropAnalityka[[#This Row],[Sell Drop]]+IF(DropAnalityka[[#This Row],[Drop]]="Scroll", 2000*DropAnalityka[[#This Row],[Quality/Quantity]],0)</f>
        <v>0</v>
      </c>
      <c r="J673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674" spans="9:10">
      <c r="I674">
        <f>DropAnalityka[[#This Row],[Sell Drop]]+IF(DropAnalityka[[#This Row],[Drop]]="Scroll", 2000*DropAnalityka[[#This Row],[Quality/Quantity]],0)</f>
        <v>0</v>
      </c>
      <c r="J674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675" spans="9:10">
      <c r="I675">
        <f>DropAnalityka[[#This Row],[Sell Drop]]+IF(DropAnalityka[[#This Row],[Drop]]="Scroll", 2000*DropAnalityka[[#This Row],[Quality/Quantity]],0)</f>
        <v>0</v>
      </c>
      <c r="J675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676" spans="9:10">
      <c r="I676">
        <f>DropAnalityka[[#This Row],[Sell Drop]]+IF(DropAnalityka[[#This Row],[Drop]]="Scroll", 2000*DropAnalityka[[#This Row],[Quality/Quantity]],0)</f>
        <v>0</v>
      </c>
      <c r="J676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677" spans="9:10">
      <c r="I677">
        <f>DropAnalityka[[#This Row],[Sell Drop]]+IF(DropAnalityka[[#This Row],[Drop]]="Scroll", 2000*DropAnalityka[[#This Row],[Quality/Quantity]],0)</f>
        <v>0</v>
      </c>
      <c r="J677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678" spans="9:10">
      <c r="I678">
        <f>DropAnalityka[[#This Row],[Sell Drop]]+IF(DropAnalityka[[#This Row],[Drop]]="Scroll", 2000*DropAnalityka[[#This Row],[Quality/Quantity]],0)</f>
        <v>0</v>
      </c>
      <c r="J678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679" spans="9:10">
      <c r="I679">
        <f>DropAnalityka[[#This Row],[Sell Drop]]+IF(DropAnalityka[[#This Row],[Drop]]="Scroll", 2000*DropAnalityka[[#This Row],[Quality/Quantity]],0)</f>
        <v>0</v>
      </c>
      <c r="J679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680" spans="9:10">
      <c r="I680">
        <f>DropAnalityka[[#This Row],[Sell Drop]]+IF(DropAnalityka[[#This Row],[Drop]]="Scroll", 2000*DropAnalityka[[#This Row],[Quality/Quantity]],0)</f>
        <v>0</v>
      </c>
      <c r="J680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681" spans="9:10">
      <c r="I681">
        <f>DropAnalityka[[#This Row],[Sell Drop]]+IF(DropAnalityka[[#This Row],[Drop]]="Scroll", 2000*DropAnalityka[[#This Row],[Quality/Quantity]],0)</f>
        <v>0</v>
      </c>
      <c r="J681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682" spans="9:10">
      <c r="I682">
        <f>DropAnalityka[[#This Row],[Sell Drop]]+IF(DropAnalityka[[#This Row],[Drop]]="Scroll", 2000*DropAnalityka[[#This Row],[Quality/Quantity]],0)</f>
        <v>0</v>
      </c>
      <c r="J682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683" spans="9:10">
      <c r="I683">
        <f>DropAnalityka[[#This Row],[Sell Drop]]+IF(DropAnalityka[[#This Row],[Drop]]="Scroll", 2000*DropAnalityka[[#This Row],[Quality/Quantity]],0)</f>
        <v>0</v>
      </c>
      <c r="J683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684" spans="9:10">
      <c r="I684">
        <f>DropAnalityka[[#This Row],[Sell Drop]]+IF(DropAnalityka[[#This Row],[Drop]]="Scroll", 2000*DropAnalityka[[#This Row],[Quality/Quantity]],0)</f>
        <v>0</v>
      </c>
      <c r="J684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685" spans="9:10">
      <c r="I685">
        <f>DropAnalityka[[#This Row],[Sell Drop]]+IF(DropAnalityka[[#This Row],[Drop]]="Scroll", 2000*DropAnalityka[[#This Row],[Quality/Quantity]],0)</f>
        <v>0</v>
      </c>
      <c r="J685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686" spans="9:10">
      <c r="I686">
        <f>DropAnalityka[[#This Row],[Sell Drop]]+IF(DropAnalityka[[#This Row],[Drop]]="Scroll", 2000*DropAnalityka[[#This Row],[Quality/Quantity]],0)</f>
        <v>0</v>
      </c>
      <c r="J686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687" spans="9:10">
      <c r="I687">
        <f>DropAnalityka[[#This Row],[Sell Drop]]+IF(DropAnalityka[[#This Row],[Drop]]="Scroll", 2000*DropAnalityka[[#This Row],[Quality/Quantity]],0)</f>
        <v>0</v>
      </c>
      <c r="J687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688" spans="9:10">
      <c r="I688">
        <f>DropAnalityka[[#This Row],[Sell Drop]]+IF(DropAnalityka[[#This Row],[Drop]]="Scroll", 2000*DropAnalityka[[#This Row],[Quality/Quantity]],0)</f>
        <v>0</v>
      </c>
      <c r="J688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689" spans="9:10">
      <c r="I689">
        <f>DropAnalityka[[#This Row],[Sell Drop]]+IF(DropAnalityka[[#This Row],[Drop]]="Scroll", 2000*DropAnalityka[[#This Row],[Quality/Quantity]],0)</f>
        <v>0</v>
      </c>
      <c r="J689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690" spans="9:10">
      <c r="I690">
        <f>DropAnalityka[[#This Row],[Sell Drop]]+IF(DropAnalityka[[#This Row],[Drop]]="Scroll", 2000*DropAnalityka[[#This Row],[Quality/Quantity]],0)</f>
        <v>0</v>
      </c>
      <c r="J690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691" spans="9:10">
      <c r="I691">
        <f>DropAnalityka[[#This Row],[Sell Drop]]+IF(DropAnalityka[[#This Row],[Drop]]="Scroll", 2000*DropAnalityka[[#This Row],[Quality/Quantity]],0)</f>
        <v>0</v>
      </c>
      <c r="J691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692" spans="9:10">
      <c r="I692">
        <f>DropAnalityka[[#This Row],[Sell Drop]]+IF(DropAnalityka[[#This Row],[Drop]]="Scroll", 2000*DropAnalityka[[#This Row],[Quality/Quantity]],0)</f>
        <v>0</v>
      </c>
      <c r="J692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693" spans="9:10">
      <c r="I693">
        <f>DropAnalityka[[#This Row],[Sell Drop]]+IF(DropAnalityka[[#This Row],[Drop]]="Scroll", 2000*DropAnalityka[[#This Row],[Quality/Quantity]],0)</f>
        <v>0</v>
      </c>
      <c r="J693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694" spans="9:10">
      <c r="I694">
        <f>DropAnalityka[[#This Row],[Sell Drop]]+IF(DropAnalityka[[#This Row],[Drop]]="Scroll", 2000*DropAnalityka[[#This Row],[Quality/Quantity]],0)</f>
        <v>0</v>
      </c>
      <c r="J694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695" spans="9:10">
      <c r="I695">
        <f>DropAnalityka[[#This Row],[Sell Drop]]+IF(DropAnalityka[[#This Row],[Drop]]="Scroll", 2000*DropAnalityka[[#This Row],[Quality/Quantity]],0)</f>
        <v>0</v>
      </c>
      <c r="J695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696" spans="9:10">
      <c r="I696">
        <f>DropAnalityka[[#This Row],[Sell Drop]]+IF(DropAnalityka[[#This Row],[Drop]]="Scroll", 2000*DropAnalityka[[#This Row],[Quality/Quantity]],0)</f>
        <v>0</v>
      </c>
      <c r="J696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697" spans="9:10">
      <c r="I697">
        <f>DropAnalityka[[#This Row],[Sell Drop]]+IF(DropAnalityka[[#This Row],[Drop]]="Scroll", 2000*DropAnalityka[[#This Row],[Quality/Quantity]],0)</f>
        <v>0</v>
      </c>
      <c r="J697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698" spans="9:10">
      <c r="I698">
        <f>DropAnalityka[[#This Row],[Sell Drop]]+IF(DropAnalityka[[#This Row],[Drop]]="Scroll", 2000*DropAnalityka[[#This Row],[Quality/Quantity]],0)</f>
        <v>0</v>
      </c>
      <c r="J698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699" spans="9:10">
      <c r="I699">
        <f>DropAnalityka[[#This Row],[Sell Drop]]+IF(DropAnalityka[[#This Row],[Drop]]="Scroll", 2000*DropAnalityka[[#This Row],[Quality/Quantity]],0)</f>
        <v>0</v>
      </c>
      <c r="J699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700" spans="9:10">
      <c r="I700">
        <f>DropAnalityka[[#This Row],[Sell Drop]]+IF(DropAnalityka[[#This Row],[Drop]]="Scroll", 2000*DropAnalityka[[#This Row],[Quality/Quantity]],0)</f>
        <v>0</v>
      </c>
      <c r="J700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701" spans="9:10">
      <c r="I701">
        <f>DropAnalityka[[#This Row],[Sell Drop]]+IF(DropAnalityka[[#This Row],[Drop]]="Scroll", 2000*DropAnalityka[[#This Row],[Quality/Quantity]],0)</f>
        <v>0</v>
      </c>
      <c r="J701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702" spans="9:10">
      <c r="I702">
        <f>DropAnalityka[[#This Row],[Sell Drop]]+IF(DropAnalityka[[#This Row],[Drop]]="Scroll", 2000*DropAnalityka[[#This Row],[Quality/Quantity]],0)</f>
        <v>0</v>
      </c>
      <c r="J702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703" spans="9:10">
      <c r="I703">
        <f>DropAnalityka[[#This Row],[Sell Drop]]+IF(DropAnalityka[[#This Row],[Drop]]="Scroll", 2000*DropAnalityka[[#This Row],[Quality/Quantity]],0)</f>
        <v>0</v>
      </c>
      <c r="J703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704" spans="9:10">
      <c r="I704">
        <f>DropAnalityka[[#This Row],[Sell Drop]]+IF(DropAnalityka[[#This Row],[Drop]]="Scroll", 2000*DropAnalityka[[#This Row],[Quality/Quantity]],0)</f>
        <v>0</v>
      </c>
      <c r="J704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705" spans="9:10">
      <c r="I705">
        <f>DropAnalityka[[#This Row],[Sell Drop]]+IF(DropAnalityka[[#This Row],[Drop]]="Scroll", 2000*DropAnalityka[[#This Row],[Quality/Quantity]],0)</f>
        <v>0</v>
      </c>
      <c r="J705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706" spans="9:10">
      <c r="I706">
        <f>DropAnalityka[[#This Row],[Sell Drop]]+IF(DropAnalityka[[#This Row],[Drop]]="Scroll", 2000*DropAnalityka[[#This Row],[Quality/Quantity]],0)</f>
        <v>0</v>
      </c>
      <c r="J706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707" spans="9:10">
      <c r="I707">
        <f>DropAnalityka[[#This Row],[Sell Drop]]+IF(DropAnalityka[[#This Row],[Drop]]="Scroll", 2000*DropAnalityka[[#This Row],[Quality/Quantity]],0)</f>
        <v>0</v>
      </c>
      <c r="J707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708" spans="9:10">
      <c r="I708">
        <f>DropAnalityka[[#This Row],[Sell Drop]]+IF(DropAnalityka[[#This Row],[Drop]]="Scroll", 2000*DropAnalityka[[#This Row],[Quality/Quantity]],0)</f>
        <v>0</v>
      </c>
      <c r="J708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709" spans="9:10">
      <c r="I709">
        <f>DropAnalityka[[#This Row],[Sell Drop]]+IF(DropAnalityka[[#This Row],[Drop]]="Scroll", 2000*DropAnalityka[[#This Row],[Quality/Quantity]],0)</f>
        <v>0</v>
      </c>
      <c r="J709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710" spans="9:10">
      <c r="I710">
        <f>DropAnalityka[[#This Row],[Sell Drop]]+IF(DropAnalityka[[#This Row],[Drop]]="Scroll", 2000*DropAnalityka[[#This Row],[Quality/Quantity]],0)</f>
        <v>0</v>
      </c>
      <c r="J710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711" spans="9:10">
      <c r="I711">
        <f>DropAnalityka[[#This Row],[Sell Drop]]+IF(DropAnalityka[[#This Row],[Drop]]="Scroll", 2000*DropAnalityka[[#This Row],[Quality/Quantity]],0)</f>
        <v>0</v>
      </c>
      <c r="J711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712" spans="9:10">
      <c r="I712">
        <f>DropAnalityka[[#This Row],[Sell Drop]]+IF(DropAnalityka[[#This Row],[Drop]]="Scroll", 2000*DropAnalityka[[#This Row],[Quality/Quantity]],0)</f>
        <v>0</v>
      </c>
      <c r="J712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713" spans="9:10">
      <c r="I713">
        <f>DropAnalityka[[#This Row],[Sell Drop]]+IF(DropAnalityka[[#This Row],[Drop]]="Scroll", 2000*DropAnalityka[[#This Row],[Quality/Quantity]],0)</f>
        <v>0</v>
      </c>
      <c r="J713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714" spans="9:10">
      <c r="I714">
        <f>DropAnalityka[[#This Row],[Sell Drop]]+IF(DropAnalityka[[#This Row],[Drop]]="Scroll", 2000*DropAnalityka[[#This Row],[Quality/Quantity]],0)</f>
        <v>0</v>
      </c>
      <c r="J714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715" spans="9:10">
      <c r="I715">
        <f>DropAnalityka[[#This Row],[Sell Drop]]+IF(DropAnalityka[[#This Row],[Drop]]="Scroll", 2000*DropAnalityka[[#This Row],[Quality/Quantity]],0)</f>
        <v>0</v>
      </c>
      <c r="J715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716" spans="9:10">
      <c r="I716">
        <f>DropAnalityka[[#This Row],[Sell Drop]]+IF(DropAnalityka[[#This Row],[Drop]]="Scroll", 2000*DropAnalityka[[#This Row],[Quality/Quantity]],0)</f>
        <v>0</v>
      </c>
      <c r="J716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717" spans="9:10">
      <c r="I717">
        <f>DropAnalityka[[#This Row],[Sell Drop]]+IF(DropAnalityka[[#This Row],[Drop]]="Scroll", 2000*DropAnalityka[[#This Row],[Quality/Quantity]],0)</f>
        <v>0</v>
      </c>
      <c r="J717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718" spans="9:10">
      <c r="I718">
        <f>DropAnalityka[[#This Row],[Sell Drop]]+IF(DropAnalityka[[#This Row],[Drop]]="Scroll", 2000*DropAnalityka[[#This Row],[Quality/Quantity]],0)</f>
        <v>0</v>
      </c>
      <c r="J718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719" spans="9:10">
      <c r="I719">
        <f>DropAnalityka[[#This Row],[Sell Drop]]+IF(DropAnalityka[[#This Row],[Drop]]="Scroll", 2000*DropAnalityka[[#This Row],[Quality/Quantity]],0)</f>
        <v>0</v>
      </c>
      <c r="J719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720" spans="9:10">
      <c r="I720">
        <f>DropAnalityka[[#This Row],[Sell Drop]]+IF(DropAnalityka[[#This Row],[Drop]]="Scroll", 2000*DropAnalityka[[#This Row],[Quality/Quantity]],0)</f>
        <v>0</v>
      </c>
      <c r="J720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721" spans="9:10">
      <c r="I721">
        <f>DropAnalityka[[#This Row],[Sell Drop]]+IF(DropAnalityka[[#This Row],[Drop]]="Scroll", 2000*DropAnalityka[[#This Row],[Quality/Quantity]],0)</f>
        <v>0</v>
      </c>
      <c r="J721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722" spans="9:10">
      <c r="I722">
        <f>DropAnalityka[[#This Row],[Sell Drop]]+IF(DropAnalityka[[#This Row],[Drop]]="Scroll", 2000*DropAnalityka[[#This Row],[Quality/Quantity]],0)</f>
        <v>0</v>
      </c>
      <c r="J722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723" spans="9:10">
      <c r="I723">
        <f>DropAnalityka[[#This Row],[Sell Drop]]+IF(DropAnalityka[[#This Row],[Drop]]="Scroll", 2000*DropAnalityka[[#This Row],[Quality/Quantity]],0)</f>
        <v>0</v>
      </c>
      <c r="J723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724" spans="9:10">
      <c r="I724">
        <f>DropAnalityka[[#This Row],[Sell Drop]]+IF(DropAnalityka[[#This Row],[Drop]]="Scroll", 2000*DropAnalityka[[#This Row],[Quality/Quantity]],0)</f>
        <v>0</v>
      </c>
      <c r="J724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725" spans="9:10">
      <c r="I725">
        <f>DropAnalityka[[#This Row],[Sell Drop]]+IF(DropAnalityka[[#This Row],[Drop]]="Scroll", 2000*DropAnalityka[[#This Row],[Quality/Quantity]],0)</f>
        <v>0</v>
      </c>
      <c r="J725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726" spans="9:10">
      <c r="I726">
        <f>DropAnalityka[[#This Row],[Sell Drop]]+IF(DropAnalityka[[#This Row],[Drop]]="Scroll", 2000*DropAnalityka[[#This Row],[Quality/Quantity]],0)</f>
        <v>0</v>
      </c>
      <c r="J726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727" spans="9:10">
      <c r="I727">
        <f>DropAnalityka[[#This Row],[Sell Drop]]+IF(DropAnalityka[[#This Row],[Drop]]="Scroll", 2000*DropAnalityka[[#This Row],[Quality/Quantity]],0)</f>
        <v>0</v>
      </c>
      <c r="J727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728" spans="9:10">
      <c r="I728">
        <f>DropAnalityka[[#This Row],[Sell Drop]]+IF(DropAnalityka[[#This Row],[Drop]]="Scroll", 2000*DropAnalityka[[#This Row],[Quality/Quantity]],0)</f>
        <v>0</v>
      </c>
      <c r="J728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729" spans="9:10">
      <c r="I729">
        <f>DropAnalityka[[#This Row],[Sell Drop]]+IF(DropAnalityka[[#This Row],[Drop]]="Scroll", 2000*DropAnalityka[[#This Row],[Quality/Quantity]],0)</f>
        <v>0</v>
      </c>
      <c r="J729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730" spans="9:10">
      <c r="I730">
        <f>DropAnalityka[[#This Row],[Sell Drop]]+IF(DropAnalityka[[#This Row],[Drop]]="Scroll", 2000*DropAnalityka[[#This Row],[Quality/Quantity]],0)</f>
        <v>0</v>
      </c>
      <c r="J730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731" spans="9:10">
      <c r="I731">
        <f>DropAnalityka[[#This Row],[Sell Drop]]+IF(DropAnalityka[[#This Row],[Drop]]="Scroll", 2000*DropAnalityka[[#This Row],[Quality/Quantity]],0)</f>
        <v>0</v>
      </c>
      <c r="J731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732" spans="9:10">
      <c r="I732">
        <f>DropAnalityka[[#This Row],[Sell Drop]]+IF(DropAnalityka[[#This Row],[Drop]]="Scroll", 2000*DropAnalityka[[#This Row],[Quality/Quantity]],0)</f>
        <v>0</v>
      </c>
      <c r="J732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733" spans="9:10">
      <c r="I733">
        <f>DropAnalityka[[#This Row],[Sell Drop]]+IF(DropAnalityka[[#This Row],[Drop]]="Scroll", 2000*DropAnalityka[[#This Row],[Quality/Quantity]],0)</f>
        <v>0</v>
      </c>
      <c r="J733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734" spans="9:10">
      <c r="I734">
        <f>DropAnalityka[[#This Row],[Sell Drop]]+IF(DropAnalityka[[#This Row],[Drop]]="Scroll", 2000*DropAnalityka[[#This Row],[Quality/Quantity]],0)</f>
        <v>0</v>
      </c>
      <c r="J734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735" spans="9:10">
      <c r="I735">
        <f>DropAnalityka[[#This Row],[Sell Drop]]+IF(DropAnalityka[[#This Row],[Drop]]="Scroll", 2000*DropAnalityka[[#This Row],[Quality/Quantity]],0)</f>
        <v>0</v>
      </c>
      <c r="J735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736" spans="9:10">
      <c r="I736">
        <f>DropAnalityka[[#This Row],[Sell Drop]]+IF(DropAnalityka[[#This Row],[Drop]]="Scroll", 2000*DropAnalityka[[#This Row],[Quality/Quantity]],0)</f>
        <v>0</v>
      </c>
      <c r="J736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737" spans="1:10">
      <c r="I737">
        <f>DropAnalityka[[#This Row],[Sell Drop]]+IF(DropAnalityka[[#This Row],[Drop]]="Scroll", 2000*DropAnalityka[[#This Row],[Quality/Quantity]],0)</f>
        <v>0</v>
      </c>
      <c r="J737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738" spans="1:10">
      <c r="I738">
        <f>DropAnalityka[[#This Row],[Sell Drop]]+IF(DropAnalityka[[#This Row],[Drop]]="Scroll", 2000*DropAnalityka[[#This Row],[Quality/Quantity]],0)</f>
        <v>0</v>
      </c>
      <c r="J738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739" spans="1:10">
      <c r="I739">
        <f>DropAnalityka[[#This Row],[Sell Drop]]+IF(DropAnalityka[[#This Row],[Drop]]="Scroll", 2000*DropAnalityka[[#This Row],[Quality/Quantity]],0)</f>
        <v>0</v>
      </c>
      <c r="J739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740" spans="1:10">
      <c r="I740">
        <f>DropAnalityka[[#This Row],[Sell Drop]]+IF(DropAnalityka[[#This Row],[Drop]]="Scroll", 2000*DropAnalityka[[#This Row],[Quality/Quantity]],0)</f>
        <v>0</v>
      </c>
      <c r="J740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741" spans="1:10">
      <c r="I741">
        <f>DropAnalityka[[#This Row],[Sell Drop]]+IF(DropAnalityka[[#This Row],[Drop]]="Scroll", 2000*DropAnalityka[[#This Row],[Quality/Quantity]],0)</f>
        <v>0</v>
      </c>
      <c r="J741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742" spans="1:10">
      <c r="I742">
        <f>DropAnalityka[[#This Row],[Sell Drop]]+IF(DropAnalityka[[#This Row],[Drop]]="Scroll", 2000*DropAnalityka[[#This Row],[Quality/Quantity]],0)</f>
        <v>0</v>
      </c>
      <c r="J742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  <row r="743" spans="1:10">
      <c r="A743" s="6"/>
      <c r="B743" s="6"/>
      <c r="C743" s="6"/>
      <c r="D743" s="6"/>
      <c r="E743" s="6"/>
      <c r="F743" s="6"/>
      <c r="G743" s="6"/>
      <c r="H743" s="6"/>
      <c r="I743">
        <f>DropAnalityka[[#This Row],[Sell Drop]]+IF(DropAnalityka[[#This Row],[Drop]]="Scroll", 2000*DropAnalityka[[#This Row],[Quality/Quantity]],0)</f>
        <v>0</v>
      </c>
      <c r="J743">
        <f>IF(AND(DropAnalityka[[#This Row],[Drop]]="Fod",DropAnalityka[[#This Row],[Quality/Quantity]]="2*"),15120,IF(AND(DropAnalityka[[#This Row],[Drop]]="Fod",DropAnalityka[[#This Row],[Quality/Quantity]]="3*"),81182,IF(AND(DropAnalityka[[#This Row],[Drop]]="Rainb",DropAnalityka[[#This Row],[Quality/Quantity]]="2*"),81182,0)))</f>
        <v>0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45"/>
  <sheetViews>
    <sheetView workbookViewId="0">
      <selection activeCell="D54" sqref="D54"/>
    </sheetView>
  </sheetViews>
  <sheetFormatPr defaultRowHeight="14.25"/>
  <cols>
    <col min="1" max="1" width="17.375" customWidth="1"/>
    <col min="2" max="2" width="11.375" bestFit="1" customWidth="1"/>
    <col min="3" max="3" width="14.625" bestFit="1" customWidth="1"/>
    <col min="4" max="4" width="13" bestFit="1" customWidth="1"/>
    <col min="5" max="5" width="10.875" customWidth="1"/>
    <col min="6" max="6" width="11.375" customWidth="1"/>
    <col min="7" max="7" width="11.375" bestFit="1" customWidth="1"/>
    <col min="8" max="8" width="10.625" customWidth="1"/>
    <col min="9" max="9" width="11.375" customWidth="1"/>
    <col min="10" max="10" width="6.75" bestFit="1" customWidth="1"/>
    <col min="11" max="11" width="6" bestFit="1" customWidth="1"/>
  </cols>
  <sheetData>
    <row r="1" spans="1:21">
      <c r="A1" s="46"/>
      <c r="B1" s="47" t="s">
        <v>145</v>
      </c>
      <c r="C1" s="47" t="s">
        <v>146</v>
      </c>
      <c r="D1" s="48" t="s">
        <v>147</v>
      </c>
    </row>
    <row r="2" spans="1:21">
      <c r="A2" s="5"/>
      <c r="B2" s="6">
        <v>248</v>
      </c>
      <c r="C2" s="6"/>
    </row>
    <row r="3" spans="1:21">
      <c r="A3" s="5">
        <f>16*3600</f>
        <v>57600</v>
      </c>
      <c r="B3" s="6">
        <f>$A3/B2+$F$10</f>
        <v>293.25806451612902</v>
      </c>
      <c r="C3" s="6">
        <f>(B3)*'Location features'!$N$9</f>
        <v>313220.07276819204</v>
      </c>
      <c r="D3">
        <f>'EXP lvls'!O10/Summary!C3</f>
        <v>12.888829136399995</v>
      </c>
    </row>
    <row r="4" spans="1:21" ht="15" thickBot="1">
      <c r="A4" s="7"/>
      <c r="B4" s="8"/>
      <c r="C4" s="8"/>
      <c r="D4" s="9"/>
    </row>
    <row r="9" spans="1:21" ht="15.75" thickBot="1">
      <c r="B9" t="s">
        <v>3</v>
      </c>
      <c r="C9" t="s">
        <v>2</v>
      </c>
      <c r="D9" t="s">
        <v>57</v>
      </c>
      <c r="E9" t="s">
        <v>42</v>
      </c>
      <c r="F9" t="s">
        <v>41</v>
      </c>
      <c r="G9" t="s">
        <v>55</v>
      </c>
      <c r="H9" t="s">
        <v>56</v>
      </c>
      <c r="I9" s="3" t="s">
        <v>7</v>
      </c>
      <c r="J9" s="3" t="s">
        <v>5</v>
      </c>
      <c r="K9" s="3" t="s">
        <v>6</v>
      </c>
      <c r="L9" s="4" t="s">
        <v>15</v>
      </c>
      <c r="M9" s="4" t="s">
        <v>43</v>
      </c>
      <c r="N9" s="4" t="s">
        <v>44</v>
      </c>
      <c r="O9" s="4" t="s">
        <v>45</v>
      </c>
      <c r="P9" s="4" t="s">
        <v>153</v>
      </c>
      <c r="Q9" s="4" t="s">
        <v>158</v>
      </c>
      <c r="R9" s="4" t="s">
        <v>159</v>
      </c>
      <c r="S9" s="4" t="s">
        <v>160</v>
      </c>
      <c r="T9" s="4" t="s">
        <v>161</v>
      </c>
      <c r="U9" s="4" t="s">
        <v>159</v>
      </c>
    </row>
    <row r="10" spans="1:21" ht="15" thickTop="1">
      <c r="A10" t="s">
        <v>4</v>
      </c>
      <c r="B10" s="1">
        <f t="shared" ref="B10:B17" si="0">(2*$G10+$H10)/($O10-$N10)*L10</f>
        <v>2082904.4973607038</v>
      </c>
      <c r="C10" s="1">
        <f t="shared" ref="C10:C17" si="1">($G10+$H10)/($O10-$N10)*M10</f>
        <v>1915206.8140417454</v>
      </c>
      <c r="D10">
        <v>200</v>
      </c>
      <c r="E10">
        <v>0</v>
      </c>
      <c r="F10">
        <v>61</v>
      </c>
      <c r="G10">
        <v>0</v>
      </c>
      <c r="H10">
        <f>D10/30*$F10+$B$3*3+$D$44+$D$44</f>
        <v>2006.4408602150538</v>
      </c>
      <c r="I10" s="50" t="s">
        <v>8</v>
      </c>
      <c r="J10" s="50" t="s">
        <v>32</v>
      </c>
      <c r="K10" s="50">
        <v>3</v>
      </c>
      <c r="L10">
        <f>SUMIFS(LocFeatures[[#All],[XP Train Gain]],LocFeatures[[#All],[Location]],Summary!$I10,LocFeatures[[#All],[LVL]],Summary!$J10,LocFeatures[[#All],[Stage]],Summary!$K10)</f>
        <v>3294</v>
      </c>
      <c r="M10">
        <f>SUMIFS(LocFeatures[[#All],[Drop worth gain]],LocFeatures[[#All],[Location]],Summary!$I10,LocFeatures[[#All],[LVL]],Summary!$J10,LocFeatures[[#All],[Stage]],Summary!$K10)</f>
        <v>3028.7952488687779</v>
      </c>
      <c r="N10">
        <f>SUMIFS(LocFeatures[[#All],[Energy gain]],LocFeatures[[#All],[Location]],Summary!$I10,LocFeatures[[#All],[LVL]],Summary!$J10,LocFeatures[[#All],[Stage]],Summary!$K10)</f>
        <v>0.82692307692307687</v>
      </c>
      <c r="O10">
        <f>SUMIFS(LocFeatures[[#All],[E. Cost]],LocFeatures[[#All],[Location]],Summary!$I10,LocFeatures[[#All],[LVL]],Summary!$J10,LocFeatures[[#All],[Stage]],Summary!$K10)</f>
        <v>4</v>
      </c>
    </row>
    <row r="11" spans="1:21">
      <c r="A11" t="s">
        <v>58</v>
      </c>
      <c r="B11" s="1">
        <f t="shared" si="0"/>
        <v>3418370.4492668617</v>
      </c>
      <c r="C11" s="1">
        <f t="shared" si="1"/>
        <v>1571576.2258064512</v>
      </c>
      <c r="D11">
        <v>200</v>
      </c>
      <c r="E11">
        <v>200</v>
      </c>
      <c r="F11">
        <f>F10</f>
        <v>61</v>
      </c>
      <c r="G11">
        <f>$D$44+$B$3*3+D11/30*F11</f>
        <v>1646.4408602150538</v>
      </c>
      <c r="H11">
        <v>0</v>
      </c>
      <c r="I11" s="50" t="s">
        <v>8</v>
      </c>
      <c r="J11" s="50" t="s">
        <v>32</v>
      </c>
      <c r="K11" s="50">
        <v>3</v>
      </c>
      <c r="L11">
        <f>SUMIFS(LocFeatures[[#All],[XP Train Gain]],LocFeatures[[#All],[Location]],Summary!$I11,LocFeatures[[#All],[LVL]],Summary!$J11,LocFeatures[[#All],[Stage]],Summary!$K11)</f>
        <v>3294</v>
      </c>
      <c r="M11">
        <f>SUMIFS(LocFeatures[[#All],[Drop worth gain]],LocFeatures[[#All],[Location]],Summary!$I11,LocFeatures[[#All],[LVL]],Summary!$J11,LocFeatures[[#All],[Stage]],Summary!$K11)</f>
        <v>3028.7952488687779</v>
      </c>
      <c r="N11">
        <f>SUMIFS(LocFeatures[[#All],[Energy gain]],LocFeatures[[#All],[Location]],Summary!$I11,LocFeatures[[#All],[LVL]],Summary!$J11,LocFeatures[[#All],[Stage]],Summary!$K11)</f>
        <v>0.82692307692307687</v>
      </c>
      <c r="O11">
        <f>SUMIFS(LocFeatures[[#All],[E. Cost]],LocFeatures[[#All],[Location]],Summary!$I11,LocFeatures[[#All],[LVL]],Summary!$J11,LocFeatures[[#All],[Stage]],Summary!$K11)</f>
        <v>4</v>
      </c>
    </row>
    <row r="12" spans="1:21">
      <c r="A12" t="s">
        <v>53</v>
      </c>
      <c r="B12" s="1">
        <f t="shared" si="0"/>
        <v>3134620.6310850438</v>
      </c>
      <c r="C12" s="1">
        <f t="shared" si="1"/>
        <v>1527031.5199240984</v>
      </c>
      <c r="D12">
        <v>0</v>
      </c>
      <c r="E12">
        <v>200</v>
      </c>
      <c r="F12">
        <f t="shared" ref="F12:F21" si="2">F11</f>
        <v>61</v>
      </c>
      <c r="G12">
        <f>$D$44+$B$3*3+D12/30*F12+$D$44/2</f>
        <v>1419.7741935483871</v>
      </c>
      <c r="H12">
        <f>$D$44/2</f>
        <v>180</v>
      </c>
      <c r="I12" s="50" t="s">
        <v>8</v>
      </c>
      <c r="J12" s="50" t="s">
        <v>32</v>
      </c>
      <c r="K12" s="50">
        <v>3</v>
      </c>
      <c r="L12">
        <f>SUMIFS(LocFeatures[[#All],[XP Train Gain]],LocFeatures[[#All],[Location]],Summary!$I12,LocFeatures[[#All],[LVL]],Summary!$J12,LocFeatures[[#All],[Stage]],Summary!$K12)</f>
        <v>3294</v>
      </c>
      <c r="M12">
        <f>SUMIFS(LocFeatures[[#All],[Drop worth gain]],LocFeatures[[#All],[Location]],Summary!$I12,LocFeatures[[#All],[LVL]],Summary!$J12,LocFeatures[[#All],[Stage]],Summary!$K12)</f>
        <v>3028.7952488687779</v>
      </c>
      <c r="N12">
        <f>SUMIFS(LocFeatures[[#All],[Energy gain]],LocFeatures[[#All],[Location]],Summary!$I12,LocFeatures[[#All],[LVL]],Summary!$J12,LocFeatures[[#All],[Stage]],Summary!$K12)</f>
        <v>0.82692307692307687</v>
      </c>
      <c r="O12">
        <f>SUMIFS(LocFeatures[[#All],[E. Cost]],LocFeatures[[#All],[Location]],Summary!$I12,LocFeatures[[#All],[LVL]],Summary!$J12,LocFeatures[[#All],[Stage]],Summary!$K12)</f>
        <v>4</v>
      </c>
    </row>
    <row r="13" spans="1:21">
      <c r="A13" t="s">
        <v>54</v>
      </c>
      <c r="B13" s="1">
        <f t="shared" si="0"/>
        <v>3017046.4046920817</v>
      </c>
      <c r="C13" s="1">
        <f t="shared" si="1"/>
        <v>1527031.5199240984</v>
      </c>
      <c r="D13">
        <v>0</v>
      </c>
      <c r="E13">
        <v>100</v>
      </c>
      <c r="F13">
        <f t="shared" si="2"/>
        <v>61</v>
      </c>
      <c r="G13">
        <f>2*($D$44+$B$3+D13/30*F13)</f>
        <v>1306.516129032258</v>
      </c>
      <c r="H13">
        <f>$B$3</f>
        <v>293.25806451612902</v>
      </c>
      <c r="I13" s="50" t="s">
        <v>8</v>
      </c>
      <c r="J13" s="50" t="s">
        <v>32</v>
      </c>
      <c r="K13" s="50">
        <v>3</v>
      </c>
      <c r="L13">
        <f>SUMIFS(LocFeatures[[#All],[XP Train Gain]],LocFeatures[[#All],[Location]],Summary!$I13,LocFeatures[[#All],[LVL]],Summary!$J13,LocFeatures[[#All],[Stage]],Summary!$K13)</f>
        <v>3294</v>
      </c>
      <c r="M13">
        <f>SUMIFS(LocFeatures[[#All],[Drop worth gain]],LocFeatures[[#All],[Location]],Summary!$I13,LocFeatures[[#All],[LVL]],Summary!$J13,LocFeatures[[#All],[Stage]],Summary!$K13)</f>
        <v>3028.7952488687779</v>
      </c>
      <c r="N13">
        <f>SUMIFS(LocFeatures[[#All],[Energy gain]],LocFeatures[[#All],[Location]],Summary!$I13,LocFeatures[[#All],[LVL]],Summary!$J13,LocFeatures[[#All],[Stage]],Summary!$K13)</f>
        <v>0.82692307692307687</v>
      </c>
      <c r="O13">
        <f>SUMIFS(LocFeatures[[#All],[E. Cost]],LocFeatures[[#All],[Location]],Summary!$I13,LocFeatures[[#All],[LVL]],Summary!$J13,LocFeatures[[#All],[Stage]],Summary!$K13)</f>
        <v>4</v>
      </c>
    </row>
    <row r="14" spans="1:21">
      <c r="A14" t="s">
        <v>4</v>
      </c>
      <c r="B14" s="1">
        <f t="shared" si="0"/>
        <v>2143018.8229557388</v>
      </c>
      <c r="C14" s="1">
        <f t="shared" si="1"/>
        <v>2644220.7506251559</v>
      </c>
      <c r="D14">
        <v>200</v>
      </c>
      <c r="E14">
        <v>0</v>
      </c>
      <c r="F14">
        <f t="shared" si="2"/>
        <v>61</v>
      </c>
      <c r="G14">
        <v>0</v>
      </c>
      <c r="H14">
        <f>D14/30*$F14+$B$3*3+$D$44+$D$44</f>
        <v>2006.4408602150538</v>
      </c>
      <c r="I14" s="50" t="s">
        <v>33</v>
      </c>
      <c r="J14" s="50" t="s">
        <v>9</v>
      </c>
      <c r="K14" s="50">
        <v>1</v>
      </c>
      <c r="L14">
        <f>SUMIFS(LocFeatures[[#All],[XP Train Gain]],LocFeatures[[#All],[Location]],Summary!$I14,LocFeatures[[#All],[LVL]],Summary!$J14,LocFeatures[[#All],[Stage]],Summary!$K14)</f>
        <v>2268</v>
      </c>
      <c r="M14">
        <f>SUMIFS(LocFeatures[[#All],[Drop worth gain]],LocFeatures[[#All],[Location]],Summary!$I14,LocFeatures[[#All],[LVL]],Summary!$J14,LocFeatures[[#All],[Stage]],Summary!$K14)</f>
        <v>2798.4320987654319</v>
      </c>
      <c r="N14">
        <f>SUMIFS(LocFeatures[[#All],[Energy gain]],LocFeatures[[#All],[Location]],Summary!$I14,LocFeatures[[#All],[LVL]],Summary!$J14,LocFeatures[[#All],[Stage]],Summary!$K14)</f>
        <v>0.87654320987654322</v>
      </c>
      <c r="O14">
        <f>SUMIFS(LocFeatures[[#All],[E. Cost]],LocFeatures[[#All],[Location]],Summary!$I14,LocFeatures[[#All],[LVL]],Summary!$J14,LocFeatures[[#All],[Stage]],Summary!$K14)</f>
        <v>3</v>
      </c>
    </row>
    <row r="15" spans="1:21">
      <c r="A15" t="s">
        <v>58</v>
      </c>
      <c r="B15" s="1">
        <f t="shared" si="0"/>
        <v>3517027.4133533384</v>
      </c>
      <c r="C15" s="1">
        <f t="shared" si="1"/>
        <v>2169788.89016004</v>
      </c>
      <c r="D15">
        <v>200</v>
      </c>
      <c r="E15">
        <v>200</v>
      </c>
      <c r="F15">
        <f t="shared" si="2"/>
        <v>61</v>
      </c>
      <c r="G15">
        <f>$D$44+$B$3*3+D15/30*F15</f>
        <v>1646.4408602150538</v>
      </c>
      <c r="H15">
        <v>0</v>
      </c>
      <c r="I15" s="50" t="s">
        <v>33</v>
      </c>
      <c r="J15" s="50" t="s">
        <v>9</v>
      </c>
      <c r="K15" s="50">
        <v>1</v>
      </c>
      <c r="L15">
        <f>SUMIFS(LocFeatures[[#All],[XP Train Gain]],LocFeatures[[#All],[Location]],Summary!$I15,LocFeatures[[#All],[LVL]],Summary!$J15,LocFeatures[[#All],[Stage]],Summary!$K15)</f>
        <v>2268</v>
      </c>
      <c r="M15">
        <f>SUMIFS(LocFeatures[[#All],[Drop worth gain]],LocFeatures[[#All],[Location]],Summary!$I15,LocFeatures[[#All],[LVL]],Summary!$J15,LocFeatures[[#All],[Stage]],Summary!$K15)</f>
        <v>2798.4320987654319</v>
      </c>
      <c r="N15">
        <f>SUMIFS(LocFeatures[[#All],[Energy gain]],LocFeatures[[#All],[Location]],Summary!$I15,LocFeatures[[#All],[LVL]],Summary!$J15,LocFeatures[[#All],[Stage]],Summary!$K15)</f>
        <v>0.87654320987654322</v>
      </c>
      <c r="O15">
        <f>SUMIFS(LocFeatures[[#All],[E. Cost]],LocFeatures[[#All],[Location]],Summary!$I15,LocFeatures[[#All],[LVL]],Summary!$J15,LocFeatures[[#All],[Stage]],Summary!$K15)</f>
        <v>3</v>
      </c>
    </row>
    <row r="16" spans="1:21">
      <c r="A16" t="s">
        <v>53</v>
      </c>
      <c r="B16" s="1">
        <f t="shared" si="0"/>
        <v>3225088.3435858963</v>
      </c>
      <c r="C16" s="1">
        <f t="shared" si="1"/>
        <v>2108288.4638034506</v>
      </c>
      <c r="D16">
        <v>0</v>
      </c>
      <c r="E16">
        <v>200</v>
      </c>
      <c r="F16">
        <f t="shared" si="2"/>
        <v>61</v>
      </c>
      <c r="G16">
        <f>$D$44+$B$3*3+D16/30*F16+$D$44/2</f>
        <v>1419.7741935483871</v>
      </c>
      <c r="H16">
        <f>$D$44/2</f>
        <v>180</v>
      </c>
      <c r="I16" s="50" t="s">
        <v>33</v>
      </c>
      <c r="J16" s="50" t="s">
        <v>9</v>
      </c>
      <c r="K16" s="50">
        <v>1</v>
      </c>
      <c r="L16">
        <f>SUMIFS(LocFeatures[[#All],[XP Train Gain]],LocFeatures[[#All],[Location]],Summary!$I16,LocFeatures[[#All],[LVL]],Summary!$J16,LocFeatures[[#All],[Stage]],Summary!$K16)</f>
        <v>2268</v>
      </c>
      <c r="M16">
        <f>SUMIFS(LocFeatures[[#All],[Drop worth gain]],LocFeatures[[#All],[Location]],Summary!$I16,LocFeatures[[#All],[LVL]],Summary!$J16,LocFeatures[[#All],[Stage]],Summary!$K16)</f>
        <v>2798.4320987654319</v>
      </c>
      <c r="N16">
        <f>SUMIFS(LocFeatures[[#All],[Energy gain]],LocFeatures[[#All],[Location]],Summary!$I16,LocFeatures[[#All],[LVL]],Summary!$J16,LocFeatures[[#All],[Stage]],Summary!$K16)</f>
        <v>0.87654320987654322</v>
      </c>
      <c r="O16">
        <f>SUMIFS(LocFeatures[[#All],[E. Cost]],LocFeatures[[#All],[Location]],Summary!$I16,LocFeatures[[#All],[LVL]],Summary!$J16,LocFeatures[[#All],[Stage]],Summary!$K16)</f>
        <v>3</v>
      </c>
    </row>
    <row r="17" spans="1:15">
      <c r="A17" t="s">
        <v>54</v>
      </c>
      <c r="B17" s="1">
        <f t="shared" si="0"/>
        <v>3104120.8289572387</v>
      </c>
      <c r="C17" s="1">
        <f t="shared" si="1"/>
        <v>2108288.4638034506</v>
      </c>
      <c r="D17">
        <v>0</v>
      </c>
      <c r="E17">
        <v>100</v>
      </c>
      <c r="F17">
        <f t="shared" si="2"/>
        <v>61</v>
      </c>
      <c r="G17">
        <f>2*($D$44+$B$3+D17/30*F17)</f>
        <v>1306.516129032258</v>
      </c>
      <c r="H17">
        <f>$B$3</f>
        <v>293.25806451612902</v>
      </c>
      <c r="I17" s="50" t="s">
        <v>33</v>
      </c>
      <c r="J17" s="50" t="s">
        <v>9</v>
      </c>
      <c r="K17" s="50">
        <v>1</v>
      </c>
      <c r="L17">
        <f>SUMIFS(LocFeatures[[#All],[XP Train Gain]],LocFeatures[[#All],[Location]],Summary!$I17,LocFeatures[[#All],[LVL]],Summary!$J17,LocFeatures[[#All],[Stage]],Summary!$K17)</f>
        <v>2268</v>
      </c>
      <c r="M17">
        <f>SUMIFS(LocFeatures[[#All],[Drop worth gain]],LocFeatures[[#All],[Location]],Summary!$I17,LocFeatures[[#All],[LVL]],Summary!$J17,LocFeatures[[#All],[Stage]],Summary!$K17)</f>
        <v>2798.4320987654319</v>
      </c>
      <c r="N17">
        <f>SUMIFS(LocFeatures[[#All],[Energy gain]],LocFeatures[[#All],[Location]],Summary!$I17,LocFeatures[[#All],[LVL]],Summary!$J17,LocFeatures[[#All],[Stage]],Summary!$K17)</f>
        <v>0.87654320987654322</v>
      </c>
      <c r="O17">
        <f>SUMIFS(LocFeatures[[#All],[E. Cost]],LocFeatures[[#All],[Location]],Summary!$I17,LocFeatures[[#All],[LVL]],Summary!$J17,LocFeatures[[#All],[Stage]],Summary!$K17)</f>
        <v>3</v>
      </c>
    </row>
    <row r="18" spans="1:15">
      <c r="A18" t="s">
        <v>4</v>
      </c>
      <c r="B18" s="1">
        <f t="shared" ref="B18:B21" si="3">(2*$G18+$H18)/($O18-$N18)*L18</f>
        <v>2633153.8619714691</v>
      </c>
      <c r="C18" s="1">
        <f t="shared" ref="C18:C21" si="4">($G18+$H18)/($O18-$N18)*M18</f>
        <v>1638207.2487044379</v>
      </c>
      <c r="D18">
        <v>200</v>
      </c>
      <c r="E18">
        <v>0</v>
      </c>
      <c r="F18">
        <f t="shared" si="2"/>
        <v>61</v>
      </c>
      <c r="G18">
        <v>0</v>
      </c>
      <c r="H18">
        <f>D18/30*$F18+$B$3*3+$D$44+$D$44</f>
        <v>2006.4408602150538</v>
      </c>
      <c r="I18" s="50" t="s">
        <v>8</v>
      </c>
      <c r="J18" s="51" t="s">
        <v>34</v>
      </c>
      <c r="K18" s="50">
        <v>3</v>
      </c>
      <c r="L18">
        <f>SUMIFS(LocFeatures[[#All],[XP Train Gain]],LocFeatures[[#All],[Location]],Summary!$I18,LocFeatures[[#All],[LVL]],Summary!$J18,LocFeatures[[#All],[Stage]],Summary!$K18)</f>
        <v>5400</v>
      </c>
      <c r="M18">
        <f>SUMIFS(LocFeatures[[#All],[Drop worth gain]],LocFeatures[[#All],[Location]],Summary!$I18,LocFeatures[[#All],[LVL]],Summary!$J18,LocFeatures[[#All],[Stage]],Summary!$K18)</f>
        <v>3359.5906683480453</v>
      </c>
      <c r="N18">
        <f>SUMIFS(LocFeatures[[#All],[Energy gain]],LocFeatures[[#All],[Location]],Summary!$I18,LocFeatures[[#All],[LVL]],Summary!$J18,LocFeatures[[#All],[Stage]],Summary!$K18)</f>
        <v>0.88524590163934425</v>
      </c>
      <c r="O18">
        <f>SUMIFS(LocFeatures[[#All],[E. Cost]],LocFeatures[[#All],[Location]],Summary!$I18,LocFeatures[[#All],[LVL]],Summary!$J18,LocFeatures[[#All],[Stage]],Summary!$K18)</f>
        <v>5</v>
      </c>
    </row>
    <row r="19" spans="1:15">
      <c r="A19" t="s">
        <v>58</v>
      </c>
      <c r="B19" s="1">
        <f t="shared" si="3"/>
        <v>4321415.2936640531</v>
      </c>
      <c r="C19" s="1">
        <f t="shared" si="4"/>
        <v>1344276.5272824336</v>
      </c>
      <c r="D19">
        <v>200</v>
      </c>
      <c r="E19">
        <v>200</v>
      </c>
      <c r="F19">
        <f t="shared" si="2"/>
        <v>61</v>
      </c>
      <c r="G19">
        <f>$D$44+$B$3*3+D19/30*F19</f>
        <v>1646.4408602150538</v>
      </c>
      <c r="H19">
        <v>0</v>
      </c>
      <c r="I19" s="50" t="s">
        <v>8</v>
      </c>
      <c r="J19" s="51" t="s">
        <v>34</v>
      </c>
      <c r="K19" s="50">
        <v>3</v>
      </c>
      <c r="L19">
        <f>SUMIFS(LocFeatures[[#All],[XP Train Gain]],LocFeatures[[#All],[Location]],Summary!$I19,LocFeatures[[#All],[LVL]],Summary!$J19,LocFeatures[[#All],[Stage]],Summary!$K19)</f>
        <v>5400</v>
      </c>
      <c r="M19">
        <f>SUMIFS(LocFeatures[[#All],[Drop worth gain]],LocFeatures[[#All],[Location]],Summary!$I19,LocFeatures[[#All],[LVL]],Summary!$J19,LocFeatures[[#All],[Stage]],Summary!$K19)</f>
        <v>3359.5906683480453</v>
      </c>
      <c r="N19">
        <f>SUMIFS(LocFeatures[[#All],[Energy gain]],LocFeatures[[#All],[Location]],Summary!$I19,LocFeatures[[#All],[LVL]],Summary!$J19,LocFeatures[[#All],[Stage]],Summary!$K19)</f>
        <v>0.88524590163934425</v>
      </c>
      <c r="O19">
        <f>SUMIFS(LocFeatures[[#All],[E. Cost]],LocFeatures[[#All],[Location]],Summary!$I19,LocFeatures[[#All],[LVL]],Summary!$J19,LocFeatures[[#All],[Stage]],Summary!$K19)</f>
        <v>5</v>
      </c>
    </row>
    <row r="20" spans="1:15">
      <c r="A20" t="s">
        <v>53</v>
      </c>
      <c r="B20" s="1">
        <f t="shared" si="3"/>
        <v>3962706.1303174393</v>
      </c>
      <c r="C20" s="1">
        <f t="shared" si="4"/>
        <v>1306174.3967277291</v>
      </c>
      <c r="D20">
        <v>0</v>
      </c>
      <c r="E20">
        <v>200</v>
      </c>
      <c r="F20">
        <f t="shared" si="2"/>
        <v>61</v>
      </c>
      <c r="G20">
        <f>$D$44+$B$3*3+D20/30*F20+$D$44/2</f>
        <v>1419.7741935483871</v>
      </c>
      <c r="H20">
        <f>$D$44/2</f>
        <v>180</v>
      </c>
      <c r="I20" s="50" t="s">
        <v>8</v>
      </c>
      <c r="J20" s="51" t="s">
        <v>34</v>
      </c>
      <c r="K20" s="50">
        <v>3</v>
      </c>
      <c r="L20">
        <f>SUMIFS(LocFeatures[[#All],[XP Train Gain]],LocFeatures[[#All],[Location]],Summary!$I20,LocFeatures[[#All],[LVL]],Summary!$J20,LocFeatures[[#All],[Stage]],Summary!$K20)</f>
        <v>5400</v>
      </c>
      <c r="M20">
        <f>SUMIFS(LocFeatures[[#All],[Drop worth gain]],LocFeatures[[#All],[Location]],Summary!$I20,LocFeatures[[#All],[LVL]],Summary!$J20,LocFeatures[[#All],[Stage]],Summary!$K20)</f>
        <v>3359.5906683480453</v>
      </c>
      <c r="N20">
        <f>SUMIFS(LocFeatures[[#All],[Energy gain]],LocFeatures[[#All],[Location]],Summary!$I20,LocFeatures[[#All],[LVL]],Summary!$J20,LocFeatures[[#All],[Stage]],Summary!$K20)</f>
        <v>0.88524590163934425</v>
      </c>
      <c r="O20">
        <f>SUMIFS(LocFeatures[[#All],[E. Cost]],LocFeatures[[#All],[Location]],Summary!$I20,LocFeatures[[#All],[LVL]],Summary!$J20,LocFeatures[[#All],[Stage]],Summary!$K20)</f>
        <v>5</v>
      </c>
    </row>
    <row r="21" spans="1:15">
      <c r="A21" t="s">
        <v>54</v>
      </c>
      <c r="B21" s="1">
        <f t="shared" si="3"/>
        <v>3814071.8416655948</v>
      </c>
      <c r="C21" s="1">
        <f t="shared" si="4"/>
        <v>1306174.3967277291</v>
      </c>
      <c r="D21">
        <v>0</v>
      </c>
      <c r="E21">
        <v>100</v>
      </c>
      <c r="F21">
        <f t="shared" si="2"/>
        <v>61</v>
      </c>
      <c r="G21">
        <f>2*($D$44+$B$3+D21/30*F21)</f>
        <v>1306.516129032258</v>
      </c>
      <c r="H21">
        <f>$B$3</f>
        <v>293.25806451612902</v>
      </c>
      <c r="I21" s="50" t="s">
        <v>8</v>
      </c>
      <c r="J21" s="51" t="s">
        <v>34</v>
      </c>
      <c r="K21" s="50">
        <v>3</v>
      </c>
      <c r="L21">
        <f>SUMIFS(LocFeatures[[#All],[XP Train Gain]],LocFeatures[[#All],[Location]],Summary!$I21,LocFeatures[[#All],[LVL]],Summary!$J21,LocFeatures[[#All],[Stage]],Summary!$K21)</f>
        <v>5400</v>
      </c>
      <c r="M21">
        <f>SUMIFS(LocFeatures[[#All],[Drop worth gain]],LocFeatures[[#All],[Location]],Summary!$I21,LocFeatures[[#All],[LVL]],Summary!$J21,LocFeatures[[#All],[Stage]],Summary!$K21)</f>
        <v>3359.5906683480453</v>
      </c>
      <c r="N21">
        <f>SUMIFS(LocFeatures[[#All],[Energy gain]],LocFeatures[[#All],[Location]],Summary!$I21,LocFeatures[[#All],[LVL]],Summary!$J21,LocFeatures[[#All],[Stage]],Summary!$K21)</f>
        <v>0.88524590163934425</v>
      </c>
      <c r="O21">
        <f>SUMIFS(LocFeatures[[#All],[E. Cost]],LocFeatures[[#All],[Location]],Summary!$I21,LocFeatures[[#All],[LVL]],Summary!$J21,LocFeatures[[#All],[Stage]],Summary!$K21)</f>
        <v>5</v>
      </c>
    </row>
    <row r="22" spans="1:15">
      <c r="A22" t="s">
        <v>70</v>
      </c>
      <c r="B22" s="1">
        <f t="shared" ref="B22" si="5">(2*$G22+$H22)/($O22-$N22)*L22</f>
        <v>1514961.8600225959</v>
      </c>
      <c r="C22" s="1">
        <f t="shared" ref="C22" si="6">($G22+$H22)/($O22-$N22)*M22</f>
        <v>471264.04887362133</v>
      </c>
      <c r="D22">
        <v>0</v>
      </c>
      <c r="E22">
        <v>0</v>
      </c>
      <c r="F22">
        <f t="shared" ref="F22:F40" si="7">F21</f>
        <v>61</v>
      </c>
      <c r="G22">
        <f>F22+10+12*3600/268+$D$44-15</f>
        <v>577.19402985074623</v>
      </c>
      <c r="H22">
        <v>0</v>
      </c>
      <c r="I22" s="50" t="s">
        <v>8</v>
      </c>
      <c r="J22" s="51" t="s">
        <v>34</v>
      </c>
      <c r="K22" s="50">
        <v>3</v>
      </c>
      <c r="L22">
        <f>SUMIFS(LocFeatures[[#All],[XP Train Gain]],LocFeatures[[#All],[Location]],Summary!$I22,LocFeatures[[#All],[LVL]],Summary!$J22,LocFeatures[[#All],[Stage]],Summary!$K22)</f>
        <v>5400</v>
      </c>
      <c r="M22">
        <f>SUMIFS(LocFeatures[[#All],[Drop worth gain]],LocFeatures[[#All],[Location]],Summary!$I22,LocFeatures[[#All],[LVL]],Summary!$J22,LocFeatures[[#All],[Stage]],Summary!$K22)</f>
        <v>3359.5906683480453</v>
      </c>
      <c r="N22">
        <f>SUMIFS(LocFeatures[[#All],[Energy gain]],LocFeatures[[#All],[Location]],Summary!$I22,LocFeatures[[#All],[LVL]],Summary!$J22,LocFeatures[[#All],[Stage]],Summary!$K22)</f>
        <v>0.88524590163934425</v>
      </c>
      <c r="O22">
        <f>SUMIFS(LocFeatures[[#All],[E. Cost]],LocFeatures[[#All],[Location]],Summary!$I22,LocFeatures[[#All],[LVL]],Summary!$J22,LocFeatures[[#All],[Stage]],Summary!$K22)</f>
        <v>5</v>
      </c>
    </row>
    <row r="23" spans="1:15">
      <c r="A23" t="s">
        <v>69</v>
      </c>
      <c r="B23" s="1">
        <f t="shared" ref="B23" si="8">(2*$G23+$H23)/($O23-$N23)*L23</f>
        <v>2016447.8601722142</v>
      </c>
      <c r="C23" s="1">
        <f t="shared" ref="C23" si="9">($G23+$H23)/($O23-$N23)*M23</f>
        <v>627262.90872638475</v>
      </c>
      <c r="D23">
        <v>0</v>
      </c>
      <c r="E23">
        <v>0</v>
      </c>
      <c r="F23">
        <f t="shared" si="7"/>
        <v>61</v>
      </c>
      <c r="G23">
        <f>F23+10+16*3600/$B$2+$D$44+120-15</f>
        <v>768.25806451612902</v>
      </c>
      <c r="H23">
        <v>0</v>
      </c>
      <c r="I23" s="50" t="s">
        <v>8</v>
      </c>
      <c r="J23" s="51" t="s">
        <v>34</v>
      </c>
      <c r="K23" s="50">
        <v>3</v>
      </c>
      <c r="L23">
        <f>SUMIFS(LocFeatures[[#All],[XP Train Gain]],LocFeatures[[#All],[Location]],Summary!$I23,LocFeatures[[#All],[LVL]],Summary!$J23,LocFeatures[[#All],[Stage]],Summary!$K23)</f>
        <v>5400</v>
      </c>
      <c r="M23">
        <f>SUMIFS(LocFeatures[[#All],[Drop worth gain]],LocFeatures[[#All],[Location]],Summary!$I23,LocFeatures[[#All],[LVL]],Summary!$J23,LocFeatures[[#All],[Stage]],Summary!$K23)</f>
        <v>3359.5906683480453</v>
      </c>
      <c r="N23">
        <f>SUMIFS(LocFeatures[[#All],[Energy gain]],LocFeatures[[#All],[Location]],Summary!$I23,LocFeatures[[#All],[LVL]],Summary!$J23,LocFeatures[[#All],[Stage]],Summary!$K23)</f>
        <v>0.88524590163934425</v>
      </c>
      <c r="O23">
        <f>SUMIFS(LocFeatures[[#All],[E. Cost]],LocFeatures[[#All],[Location]],Summary!$I23,LocFeatures[[#All],[LVL]],Summary!$J23,LocFeatures[[#All],[Stage]],Summary!$K23)</f>
        <v>5</v>
      </c>
    </row>
    <row r="24" spans="1:15">
      <c r="A24" t="s">
        <v>71</v>
      </c>
      <c r="B24" s="1">
        <f t="shared" ref="B24:B26" si="10">(2*$G24+$H24)/($O24-$N24)*L24</f>
        <v>4238299.7558154473</v>
      </c>
      <c r="C24" s="1">
        <f t="shared" ref="C24:C26" si="11">($G24+$H24)/($O24-$N24)*M24</f>
        <v>1318421.5101203127</v>
      </c>
      <c r="D24">
        <v>0</v>
      </c>
      <c r="E24">
        <v>0</v>
      </c>
      <c r="F24">
        <f t="shared" si="7"/>
        <v>61</v>
      </c>
      <c r="G24">
        <f>3*(F23+10+16*3600/$B$2)+$D$44+3*120-15</f>
        <v>1614.7741935483871</v>
      </c>
      <c r="I24" s="50" t="s">
        <v>8</v>
      </c>
      <c r="J24" s="51" t="s">
        <v>34</v>
      </c>
      <c r="K24" s="50">
        <v>3</v>
      </c>
      <c r="L24">
        <f>SUMIFS(LocFeatures[[#All],[XP Train Gain]],LocFeatures[[#All],[Location]],Summary!$I24,LocFeatures[[#All],[LVL]],Summary!$J24,LocFeatures[[#All],[Stage]],Summary!$K24)</f>
        <v>5400</v>
      </c>
      <c r="M24">
        <f>SUMIFS(LocFeatures[[#All],[Drop worth gain]],LocFeatures[[#All],[Location]],Summary!$I24,LocFeatures[[#All],[LVL]],Summary!$J24,LocFeatures[[#All],[Stage]],Summary!$K24)</f>
        <v>3359.5906683480453</v>
      </c>
      <c r="N24">
        <f>SUMIFS(LocFeatures[[#All],[Energy gain]],LocFeatures[[#All],[Location]],Summary!$I24,LocFeatures[[#All],[LVL]],Summary!$J24,LocFeatures[[#All],[Stage]],Summary!$K24)</f>
        <v>0.88524590163934425</v>
      </c>
      <c r="O24">
        <f>SUMIFS(LocFeatures[[#All],[E. Cost]],LocFeatures[[#All],[Location]],Summary!$I24,LocFeatures[[#All],[LVL]],Summary!$J24,LocFeatures[[#All],[Stage]],Summary!$K24)</f>
        <v>5</v>
      </c>
    </row>
    <row r="25" spans="1:15">
      <c r="A25" t="s">
        <v>70</v>
      </c>
      <c r="B25" s="1">
        <f t="shared" si="10"/>
        <v>1309941.8507462686</v>
      </c>
      <c r="C25" s="1">
        <f t="shared" si="11"/>
        <v>736444.31883137499</v>
      </c>
      <c r="D25">
        <v>0</v>
      </c>
      <c r="E25">
        <v>0</v>
      </c>
      <c r="F25">
        <f t="shared" si="7"/>
        <v>61</v>
      </c>
      <c r="G25">
        <f>F25+10+12*3600/268+$D$44-15</f>
        <v>577.19402985074623</v>
      </c>
      <c r="H25">
        <v>0</v>
      </c>
      <c r="I25" s="50" t="s">
        <v>68</v>
      </c>
      <c r="J25" s="50" t="s">
        <v>9</v>
      </c>
      <c r="K25" s="50">
        <v>1</v>
      </c>
      <c r="L25">
        <f>SUMIFS(LocFeatures[[#All],[XP Train Gain]],LocFeatures[[#All],[Location]],Summary!$I25,LocFeatures[[#All],[LVL]],Summary!$J25,LocFeatures[[#All],[Stage]],Summary!$K25)</f>
        <v>2397</v>
      </c>
      <c r="M25">
        <f>SUMIFS(LocFeatures[[#All],[Drop worth gain]],LocFeatures[[#All],[Location]],Summary!$I25,LocFeatures[[#All],[LVL]],Summary!$J25,LocFeatures[[#All],[Stage]],Summary!$K25)</f>
        <v>2695.1685393258426</v>
      </c>
      <c r="N25">
        <f>SUMIFS(LocFeatures[[#All],[Energy gain]],LocFeatures[[#All],[Location]],Summary!$I25,LocFeatures[[#All],[LVL]],Summary!$J25,LocFeatures[[#All],[Stage]],Summary!$K25)</f>
        <v>0.88764044943820219</v>
      </c>
      <c r="O25">
        <f>SUMIFS(LocFeatures[[#All],[E. Cost]],LocFeatures[[#All],[Location]],Summary!$I25,LocFeatures[[#All],[LVL]],Summary!$J25,LocFeatures[[#All],[Stage]],Summary!$K25)</f>
        <v>3</v>
      </c>
    </row>
    <row r="26" spans="1:15">
      <c r="A26" t="s">
        <v>69</v>
      </c>
      <c r="B26" s="1">
        <f t="shared" si="10"/>
        <v>1743561.6774193551</v>
      </c>
      <c r="C26" s="1">
        <f t="shared" si="11"/>
        <v>980223.7336993824</v>
      </c>
      <c r="D26">
        <v>0</v>
      </c>
      <c r="E26">
        <v>0</v>
      </c>
      <c r="F26">
        <f t="shared" si="7"/>
        <v>61</v>
      </c>
      <c r="G26">
        <f>F26+10+16*3600/$B$2+$D$44+120-15</f>
        <v>768.25806451612902</v>
      </c>
      <c r="H26">
        <v>0</v>
      </c>
      <c r="I26" s="50" t="s">
        <v>68</v>
      </c>
      <c r="J26" s="50" t="s">
        <v>9</v>
      </c>
      <c r="K26" s="50">
        <v>1</v>
      </c>
      <c r="L26">
        <f>SUMIFS(LocFeatures[[#All],[XP Train Gain]],LocFeatures[[#All],[Location]],Summary!$I26,LocFeatures[[#All],[LVL]],Summary!$J26,LocFeatures[[#All],[Stage]],Summary!$K26)</f>
        <v>2397</v>
      </c>
      <c r="M26">
        <f>SUMIFS(LocFeatures[[#All],[Drop worth gain]],LocFeatures[[#All],[Location]],Summary!$I26,LocFeatures[[#All],[LVL]],Summary!$J26,LocFeatures[[#All],[Stage]],Summary!$K26)</f>
        <v>2695.1685393258426</v>
      </c>
      <c r="N26">
        <f>SUMIFS(LocFeatures[[#All],[Energy gain]],LocFeatures[[#All],[Location]],Summary!$I26,LocFeatures[[#All],[LVL]],Summary!$J26,LocFeatures[[#All],[Stage]],Summary!$K26)</f>
        <v>0.88764044943820219</v>
      </c>
      <c r="O26">
        <f>SUMIFS(LocFeatures[[#All],[E. Cost]],LocFeatures[[#All],[Location]],Summary!$I26,LocFeatures[[#All],[LVL]],Summary!$J26,LocFeatures[[#All],[Stage]],Summary!$K26)</f>
        <v>3</v>
      </c>
    </row>
    <row r="27" spans="1:15">
      <c r="A27" t="s">
        <v>71</v>
      </c>
      <c r="B27" s="1">
        <f t="shared" ref="B27:B29" si="12">(2*$G27+$H27)/($O27-$N27)*L27</f>
        <v>3664730.032258065</v>
      </c>
      <c r="C27" s="1">
        <f t="shared" ref="C27:C29" si="13">($G27+$H27)/($O27-$N27)*M27</f>
        <v>2060297.2649279342</v>
      </c>
      <c r="D27">
        <v>0</v>
      </c>
      <c r="E27">
        <v>0</v>
      </c>
      <c r="F27">
        <f t="shared" si="7"/>
        <v>61</v>
      </c>
      <c r="G27">
        <f>3*(F26+10+16*3600/$B$2)+$D$44+3*120-15</f>
        <v>1614.7741935483871</v>
      </c>
      <c r="I27" s="50" t="s">
        <v>68</v>
      </c>
      <c r="J27" s="50" t="s">
        <v>9</v>
      </c>
      <c r="K27" s="50">
        <v>1</v>
      </c>
      <c r="L27">
        <f>SUMIFS(LocFeatures[[#All],[XP Train Gain]],LocFeatures[[#All],[Location]],Summary!$I27,LocFeatures[[#All],[LVL]],Summary!$J27,LocFeatures[[#All],[Stage]],Summary!$K27)</f>
        <v>2397</v>
      </c>
      <c r="M27">
        <f>SUMIFS(LocFeatures[[#All],[Drop worth gain]],LocFeatures[[#All],[Location]],Summary!$I27,LocFeatures[[#All],[LVL]],Summary!$J27,LocFeatures[[#All],[Stage]],Summary!$K27)</f>
        <v>2695.1685393258426</v>
      </c>
      <c r="N27">
        <f>SUMIFS(LocFeatures[[#All],[Energy gain]],LocFeatures[[#All],[Location]],Summary!$I27,LocFeatures[[#All],[LVL]],Summary!$J27,LocFeatures[[#All],[Stage]],Summary!$K27)</f>
        <v>0.88764044943820219</v>
      </c>
      <c r="O27">
        <f>SUMIFS(LocFeatures[[#All],[E. Cost]],LocFeatures[[#All],[Location]],Summary!$I27,LocFeatures[[#All],[LVL]],Summary!$J27,LocFeatures[[#All],[Stage]],Summary!$K27)</f>
        <v>3</v>
      </c>
    </row>
    <row r="28" spans="1:15">
      <c r="A28" t="s">
        <v>70</v>
      </c>
      <c r="B28" s="1">
        <f t="shared" si="12"/>
        <v>1232966.9864630336</v>
      </c>
      <c r="C28" s="1">
        <f t="shared" si="13"/>
        <v>760664.54842068709</v>
      </c>
      <c r="D28">
        <v>0</v>
      </c>
      <c r="E28">
        <v>0</v>
      </c>
      <c r="F28">
        <f t="shared" si="7"/>
        <v>61</v>
      </c>
      <c r="G28">
        <f>F28+10+12*3600/268+$D$44-15</f>
        <v>577.19402985074623</v>
      </c>
      <c r="H28">
        <v>0</v>
      </c>
      <c r="I28" s="50" t="s">
        <v>33</v>
      </c>
      <c r="J28" s="50" t="s">
        <v>9</v>
      </c>
      <c r="K28" s="50">
        <v>1</v>
      </c>
      <c r="L28">
        <f>SUMIFS(LocFeatures[[#All],[XP Train Gain]],LocFeatures[[#All],[Location]],Summary!$I28,LocFeatures[[#All],[LVL]],Summary!$J28,LocFeatures[[#All],[Stage]],Summary!$K28)</f>
        <v>2268</v>
      </c>
      <c r="M28">
        <f>SUMIFS(LocFeatures[[#All],[Drop worth gain]],LocFeatures[[#All],[Location]],Summary!$I28,LocFeatures[[#All],[LVL]],Summary!$J28,LocFeatures[[#All],[Stage]],Summary!$K28)</f>
        <v>2798.4320987654319</v>
      </c>
      <c r="N28">
        <f>SUMIFS(LocFeatures[[#All],[Energy gain]],LocFeatures[[#All],[Location]],Summary!$I28,LocFeatures[[#All],[LVL]],Summary!$J28,LocFeatures[[#All],[Stage]],Summary!$K28)</f>
        <v>0.87654320987654322</v>
      </c>
      <c r="O28">
        <f>SUMIFS(LocFeatures[[#All],[E. Cost]],LocFeatures[[#All],[Location]],Summary!$I28,LocFeatures[[#All],[LVL]],Summary!$J28,LocFeatures[[#All],[Stage]],Summary!$K28)</f>
        <v>3</v>
      </c>
    </row>
    <row r="29" spans="1:15">
      <c r="A29" t="s">
        <v>69</v>
      </c>
      <c r="B29" s="1">
        <f t="shared" si="12"/>
        <v>1641106.4246061514</v>
      </c>
      <c r="C29" s="1">
        <f t="shared" si="13"/>
        <v>1012461.3968492121</v>
      </c>
      <c r="D29">
        <v>0</v>
      </c>
      <c r="E29">
        <v>0</v>
      </c>
      <c r="F29">
        <f t="shared" si="7"/>
        <v>61</v>
      </c>
      <c r="G29">
        <f>F29+10+16*3600/$B$2+$D$44+120-15</f>
        <v>768.25806451612902</v>
      </c>
      <c r="H29">
        <v>0</v>
      </c>
      <c r="I29" s="50" t="s">
        <v>33</v>
      </c>
      <c r="J29" s="50" t="s">
        <v>9</v>
      </c>
      <c r="K29" s="50">
        <v>1</v>
      </c>
      <c r="L29">
        <f>SUMIFS(LocFeatures[[#All],[XP Train Gain]],LocFeatures[[#All],[Location]],Summary!$I29,LocFeatures[[#All],[LVL]],Summary!$J29,LocFeatures[[#All],[Stage]],Summary!$K29)</f>
        <v>2268</v>
      </c>
      <c r="M29">
        <f>SUMIFS(LocFeatures[[#All],[Drop worth gain]],LocFeatures[[#All],[Location]],Summary!$I29,LocFeatures[[#All],[LVL]],Summary!$J29,LocFeatures[[#All],[Stage]],Summary!$K29)</f>
        <v>2798.4320987654319</v>
      </c>
      <c r="N29">
        <f>SUMIFS(LocFeatures[[#All],[Energy gain]],LocFeatures[[#All],[Location]],Summary!$I29,LocFeatures[[#All],[LVL]],Summary!$J29,LocFeatures[[#All],[Stage]],Summary!$K29)</f>
        <v>0.87654320987654322</v>
      </c>
      <c r="O29">
        <f>SUMIFS(LocFeatures[[#All],[E. Cost]],LocFeatures[[#All],[Location]],Summary!$I29,LocFeatures[[#All],[LVL]],Summary!$J29,LocFeatures[[#All],[Stage]],Summary!$K29)</f>
        <v>3</v>
      </c>
    </row>
    <row r="30" spans="1:15">
      <c r="A30" t="s">
        <v>71</v>
      </c>
      <c r="B30" s="1">
        <f t="shared" ref="B30" si="14">(2*$G30+$H30)/($O30-$N30)*L30</f>
        <v>3449382.9947486869</v>
      </c>
      <c r="C30" s="1">
        <f t="shared" ref="C30" si="15">($G30+$H30)/($O30-$N30)*M30</f>
        <v>2128056.4579894971</v>
      </c>
      <c r="D30">
        <v>0</v>
      </c>
      <c r="E30">
        <v>0</v>
      </c>
      <c r="F30">
        <f t="shared" si="7"/>
        <v>61</v>
      </c>
      <c r="G30">
        <f>3*(F29+10+16*3600/$B$2)+$D$44+3*120-15</f>
        <v>1614.7741935483871</v>
      </c>
      <c r="I30" s="50" t="s">
        <v>33</v>
      </c>
      <c r="J30" s="50" t="s">
        <v>9</v>
      </c>
      <c r="K30" s="50">
        <v>1</v>
      </c>
      <c r="L30">
        <f>SUMIFS(LocFeatures[[#All],[XP Train Gain]],LocFeatures[[#All],[Location]],Summary!$I30,LocFeatures[[#All],[LVL]],Summary!$J30,LocFeatures[[#All],[Stage]],Summary!$K30)</f>
        <v>2268</v>
      </c>
      <c r="M30">
        <f>SUMIFS(LocFeatures[[#All],[Drop worth gain]],LocFeatures[[#All],[Location]],Summary!$I30,LocFeatures[[#All],[LVL]],Summary!$J30,LocFeatures[[#All],[Stage]],Summary!$K30)</f>
        <v>2798.4320987654319</v>
      </c>
      <c r="N30">
        <f>SUMIFS(LocFeatures[[#All],[Energy gain]],LocFeatures[[#All],[Location]],Summary!$I30,LocFeatures[[#All],[LVL]],Summary!$J30,LocFeatures[[#All],[Stage]],Summary!$K30)</f>
        <v>0.87654320987654322</v>
      </c>
      <c r="O30">
        <f>SUMIFS(LocFeatures[[#All],[E. Cost]],LocFeatures[[#All],[Location]],Summary!$I30,LocFeatures[[#All],[LVL]],Summary!$J30,LocFeatures[[#All],[Stage]],Summary!$K30)</f>
        <v>3</v>
      </c>
    </row>
    <row r="31" spans="1:15">
      <c r="A31" t="s">
        <v>149</v>
      </c>
      <c r="B31" s="1">
        <f t="shared" ref="B31" si="16">(2*$G31+$H31)/($O31-$N31)*L31</f>
        <v>754608.51762940735</v>
      </c>
      <c r="C31" s="1">
        <f t="shared" ref="C31" si="17">($G31+$H31)/($O31-$N31)*M31</f>
        <v>465546.89103525877</v>
      </c>
      <c r="D31">
        <v>0</v>
      </c>
      <c r="E31">
        <v>100</v>
      </c>
      <c r="F31">
        <f t="shared" si="7"/>
        <v>61</v>
      </c>
      <c r="G31">
        <f>$B$3+60</f>
        <v>353.25806451612902</v>
      </c>
      <c r="I31" s="50" t="s">
        <v>33</v>
      </c>
      <c r="J31" s="50" t="s">
        <v>9</v>
      </c>
      <c r="K31" s="50">
        <v>1</v>
      </c>
      <c r="L31">
        <f>SUMIFS(LocFeatures[[#All],[XP Train Gain]],LocFeatures[[#All],[Location]],Summary!$I31,LocFeatures[[#All],[LVL]],Summary!$J31,LocFeatures[[#All],[Stage]],Summary!$K31)</f>
        <v>2268</v>
      </c>
      <c r="M31">
        <f>SUMIFS(LocFeatures[[#All],[Drop worth gain]],LocFeatures[[#All],[Location]],Summary!$I31,LocFeatures[[#All],[LVL]],Summary!$J31,LocFeatures[[#All],[Stage]],Summary!$K31)</f>
        <v>2798.4320987654319</v>
      </c>
      <c r="N31">
        <f>SUMIFS(LocFeatures[[#All],[Energy gain]],LocFeatures[[#All],[Location]],Summary!$I31,LocFeatures[[#All],[LVL]],Summary!$J31,LocFeatures[[#All],[Stage]],Summary!$K31)</f>
        <v>0.87654320987654322</v>
      </c>
      <c r="O31">
        <f>SUMIFS(LocFeatures[[#All],[E. Cost]],LocFeatures[[#All],[Location]],Summary!$I31,LocFeatures[[#All],[LVL]],Summary!$J31,LocFeatures[[#All],[Stage]],Summary!$K31)</f>
        <v>3</v>
      </c>
    </row>
    <row r="32" spans="1:15">
      <c r="A32" t="s">
        <v>4</v>
      </c>
      <c r="B32" s="1">
        <f t="shared" ref="B32:B34" si="18">(2*$G32+$H32)/($O32-$N32)*L32</f>
        <v>572761.02625656407</v>
      </c>
      <c r="C32" s="1">
        <f t="shared" ref="C32:C34" si="19">($G32+$H32)/($O32-$N32)*M32</f>
        <v>706716.4201050261</v>
      </c>
      <c r="D32">
        <v>90</v>
      </c>
      <c r="E32">
        <v>0</v>
      </c>
      <c r="F32">
        <f t="shared" si="7"/>
        <v>61</v>
      </c>
      <c r="G32">
        <v>0</v>
      </c>
      <c r="H32">
        <f>$B$3+60+$D32/30*$F32</f>
        <v>536.25806451612902</v>
      </c>
      <c r="I32" s="50" t="s">
        <v>33</v>
      </c>
      <c r="J32" s="50" t="s">
        <v>9</v>
      </c>
      <c r="K32" s="50">
        <v>1</v>
      </c>
      <c r="L32">
        <f>SUMIFS(LocFeatures[[#All],[XP Train Gain]],LocFeatures[[#All],[Location]],Summary!$I32,LocFeatures[[#All],[LVL]],Summary!$J32,LocFeatures[[#All],[Stage]],Summary!$K32)</f>
        <v>2268</v>
      </c>
      <c r="M32">
        <f>SUMIFS(LocFeatures[[#All],[Drop worth gain]],LocFeatures[[#All],[Location]],Summary!$I32,LocFeatures[[#All],[LVL]],Summary!$J32,LocFeatures[[#All],[Stage]],Summary!$K32)</f>
        <v>2798.4320987654319</v>
      </c>
      <c r="N32">
        <f>SUMIFS(LocFeatures[[#All],[Energy gain]],LocFeatures[[#All],[Location]],Summary!$I32,LocFeatures[[#All],[LVL]],Summary!$J32,LocFeatures[[#All],[Stage]],Summary!$K32)</f>
        <v>0.87654320987654322</v>
      </c>
      <c r="O32">
        <f>SUMIFS(LocFeatures[[#All],[E. Cost]],LocFeatures[[#All],[Location]],Summary!$I32,LocFeatures[[#All],[LVL]],Summary!$J32,LocFeatures[[#All],[Stage]],Summary!$K32)</f>
        <v>3</v>
      </c>
    </row>
    <row r="33" spans="1:21">
      <c r="A33" t="s">
        <v>150</v>
      </c>
      <c r="B33" s="1">
        <f t="shared" ref="B33" si="20">(2*$G33+$H33)/($O33-$N33)*L33</f>
        <v>763681.36834208551</v>
      </c>
      <c r="C33" s="1">
        <f t="shared" ref="C33" si="21">($G33+$H33)/($O33-$N33)*M33</f>
        <v>706716.4201050261</v>
      </c>
      <c r="D33">
        <v>90</v>
      </c>
      <c r="E33">
        <v>0</v>
      </c>
      <c r="F33">
        <f t="shared" si="7"/>
        <v>61</v>
      </c>
      <c r="G33">
        <v>0</v>
      </c>
      <c r="H33">
        <f>$B$3+60+$D33/30*$F33</f>
        <v>536.25806451612902</v>
      </c>
      <c r="I33" s="50" t="s">
        <v>33</v>
      </c>
      <c r="J33" s="50" t="s">
        <v>9</v>
      </c>
      <c r="K33" s="50">
        <v>1</v>
      </c>
      <c r="L33">
        <f>2/3*2*SUMIFS(LocFeatures[[#All],[XP Train Gain]],LocFeatures[[#All],[Location]],Summary!$I33,LocFeatures[[#All],[LVL]],Summary!$J33,LocFeatures[[#All],[Stage]],Summary!$K33)</f>
        <v>3024</v>
      </c>
      <c r="M33">
        <f>SUMIFS(LocFeatures[[#All],[Drop worth gain]],LocFeatures[[#All],[Location]],Summary!$I33,LocFeatures[[#All],[LVL]],Summary!$J33,LocFeatures[[#All],[Stage]],Summary!$K33)</f>
        <v>2798.4320987654319</v>
      </c>
      <c r="N33">
        <f>SUMIFS(LocFeatures[[#All],[Energy gain]],LocFeatures[[#All],[Location]],Summary!$I33,LocFeatures[[#All],[LVL]],Summary!$J33,LocFeatures[[#All],[Stage]],Summary!$K33)</f>
        <v>0.87654320987654322</v>
      </c>
      <c r="O33">
        <f>SUMIFS(LocFeatures[[#All],[E. Cost]],LocFeatures[[#All],[Location]],Summary!$I33,LocFeatures[[#All],[LVL]],Summary!$J33,LocFeatures[[#All],[Stage]],Summary!$K33)</f>
        <v>3</v>
      </c>
      <c r="P33">
        <f>3600/SUMIFS(LocFeatures[[#All],[TimeToComplete Sek]],LocFeatures[[#All],[Location]],Summary!$I33,LocFeatures[[#All],[LVL]],Summary!$J33,LocFeatures[[#All],[Stage]],Summary!$K33)</f>
        <v>58.064516129032256</v>
      </c>
      <c r="Q33">
        <f>P33*$L33</f>
        <v>175587.09677419355</v>
      </c>
      <c r="R33">
        <f>P33*($O33-$N33)</f>
        <v>123.29749103942653</v>
      </c>
      <c r="S33" s="2">
        <f>3600/SUMIFS(LocFeatures[[#All],[TimeToComplete Sek2]],LocFeatures[[#All],[Location]],Summary!$I33,LocFeatures[[#All],[LVL]],Summary!$J33,LocFeatures[[#All],[Stage]],Summary!$K33)</f>
        <v>28.8</v>
      </c>
      <c r="T33" s="2">
        <f>S33*$L33*3/2</f>
        <v>130636.79999999999</v>
      </c>
      <c r="U33" s="2">
        <f>S33*($O33-$N33)</f>
        <v>61.155555555555559</v>
      </c>
    </row>
    <row r="34" spans="1:21">
      <c r="A34" t="s">
        <v>149</v>
      </c>
      <c r="B34" s="1">
        <f t="shared" si="18"/>
        <v>927196.86415627808</v>
      </c>
      <c r="C34" s="1">
        <f t="shared" si="19"/>
        <v>288426.10486490757</v>
      </c>
      <c r="D34">
        <v>0</v>
      </c>
      <c r="E34">
        <v>0</v>
      </c>
      <c r="F34">
        <f>F32</f>
        <v>61</v>
      </c>
      <c r="G34">
        <f>$B$3+60</f>
        <v>353.25806451612902</v>
      </c>
      <c r="I34" s="50" t="s">
        <v>8</v>
      </c>
      <c r="J34" s="51" t="s">
        <v>34</v>
      </c>
      <c r="K34" s="50">
        <v>3</v>
      </c>
      <c r="L34">
        <f>SUMIFS(LocFeatures[[#All],[XP Train Gain]],LocFeatures[[#All],[Location]],Summary!$I34,LocFeatures[[#All],[LVL]],Summary!$J34,LocFeatures[[#All],[Stage]],Summary!$K34)</f>
        <v>5400</v>
      </c>
      <c r="M34">
        <f>SUMIFS(LocFeatures[[#All],[Drop worth gain]],LocFeatures[[#All],[Location]],Summary!$I34,LocFeatures[[#All],[LVL]],Summary!$J34,LocFeatures[[#All],[Stage]],Summary!$K34)</f>
        <v>3359.5906683480453</v>
      </c>
      <c r="N34">
        <f>SUMIFS(LocFeatures[[#All],[Energy gain]],LocFeatures[[#All],[Location]],Summary!$I34,LocFeatures[[#All],[LVL]],Summary!$J34,LocFeatures[[#All],[Stage]],Summary!$K34)</f>
        <v>0.88524590163934425</v>
      </c>
      <c r="O34">
        <f>SUMIFS(LocFeatures[[#All],[E. Cost]],LocFeatures[[#All],[Location]],Summary!$I34,LocFeatures[[#All],[LVL]],Summary!$J34,LocFeatures[[#All],[Stage]],Summary!$K34)</f>
        <v>5</v>
      </c>
    </row>
    <row r="35" spans="1:21">
      <c r="A35" t="s">
        <v>4</v>
      </c>
      <c r="B35" s="1">
        <f t="shared" ref="B35:B40" si="22">(2*$G35+$H35)/($O35-$N35)*L35</f>
        <v>703758.59144068882</v>
      </c>
      <c r="C35" s="1">
        <f t="shared" ref="C35:C40" si="23">($G35+$H35)/($O35-$N35)*M35</f>
        <v>437840.88825442636</v>
      </c>
      <c r="D35">
        <v>90</v>
      </c>
      <c r="E35">
        <v>0</v>
      </c>
      <c r="F35">
        <f t="shared" si="7"/>
        <v>61</v>
      </c>
      <c r="G35">
        <v>0</v>
      </c>
      <c r="H35">
        <f>$B$3+60+$D35/30*$F35</f>
        <v>536.25806451612902</v>
      </c>
      <c r="I35" s="50" t="s">
        <v>8</v>
      </c>
      <c r="J35" s="51" t="s">
        <v>34</v>
      </c>
      <c r="K35" s="50">
        <v>3</v>
      </c>
      <c r="L35">
        <f>SUMIFS(LocFeatures[[#All],[XP Train Gain]],LocFeatures[[#All],[Location]],Summary!$I35,LocFeatures[[#All],[LVL]],Summary!$J35,LocFeatures[[#All],[Stage]],Summary!$K35)</f>
        <v>5400</v>
      </c>
      <c r="M35">
        <f>SUMIFS(LocFeatures[[#All],[Drop worth gain]],LocFeatures[[#All],[Location]],Summary!$I35,LocFeatures[[#All],[LVL]],Summary!$J35,LocFeatures[[#All],[Stage]],Summary!$K35)</f>
        <v>3359.5906683480453</v>
      </c>
      <c r="N35">
        <f>SUMIFS(LocFeatures[[#All],[Energy gain]],LocFeatures[[#All],[Location]],Summary!$I35,LocFeatures[[#All],[LVL]],Summary!$J35,LocFeatures[[#All],[Stage]],Summary!$K35)</f>
        <v>0.88524590163934425</v>
      </c>
      <c r="O35">
        <f>SUMIFS(LocFeatures[[#All],[E. Cost]],LocFeatures[[#All],[Location]],Summary!$I35,LocFeatures[[#All],[LVL]],Summary!$J35,LocFeatures[[#All],[Stage]],Summary!$K35)</f>
        <v>5</v>
      </c>
    </row>
    <row r="36" spans="1:21">
      <c r="A36" t="s">
        <v>149</v>
      </c>
      <c r="B36" s="1">
        <f t="shared" si="22"/>
        <v>865881.59326788213</v>
      </c>
      <c r="C36" s="1">
        <f t="shared" si="23"/>
        <v>419492.60404330329</v>
      </c>
      <c r="D36">
        <v>0</v>
      </c>
      <c r="E36">
        <v>100</v>
      </c>
      <c r="F36">
        <f t="shared" si="7"/>
        <v>61</v>
      </c>
      <c r="G36">
        <f>$B$3+60</f>
        <v>353.25806451612902</v>
      </c>
      <c r="I36" s="50" t="s">
        <v>33</v>
      </c>
      <c r="J36" s="51" t="s">
        <v>32</v>
      </c>
      <c r="K36" s="50">
        <v>1</v>
      </c>
      <c r="L36">
        <f>SUMIFS(LocFeatures[[#All],[XP Train Gain]],LocFeatures[[#All],[Location]],Summary!$I36,LocFeatures[[#All],[LVL]],Summary!$J36,LocFeatures[[#All],[Stage]],Summary!$K36)</f>
        <v>3828</v>
      </c>
      <c r="M36">
        <f>SUMIFS(LocFeatures[[#All],[Drop worth gain]],LocFeatures[[#All],[Location]],Summary!$I36,LocFeatures[[#All],[LVL]],Summary!$J36,LocFeatures[[#All],[Stage]],Summary!$K36)</f>
        <v>3709.0930232558139</v>
      </c>
      <c r="N36">
        <f>SUMIFS(LocFeatures[[#All],[Energy gain]],LocFeatures[[#All],[Location]],Summary!$I36,LocFeatures[[#All],[LVL]],Summary!$J36,LocFeatures[[#All],[Stage]],Summary!$K36)</f>
        <v>0.87654320987654322</v>
      </c>
      <c r="O36">
        <f>SUMIFS(LocFeatures[[#All],[E. Cost]],LocFeatures[[#All],[Location]],Summary!$I36,LocFeatures[[#All],[LVL]],Summary!$J36,LocFeatures[[#All],[Stage]],Summary!$K36)</f>
        <v>4</v>
      </c>
    </row>
    <row r="37" spans="1:21">
      <c r="A37" t="s">
        <v>4</v>
      </c>
      <c r="B37" s="1">
        <f t="shared" si="22"/>
        <v>657219.23141654977</v>
      </c>
      <c r="C37" s="1">
        <f t="shared" si="23"/>
        <v>636804.40595524374</v>
      </c>
      <c r="D37">
        <v>90</v>
      </c>
      <c r="E37">
        <v>0</v>
      </c>
      <c r="F37">
        <f t="shared" si="7"/>
        <v>61</v>
      </c>
      <c r="G37">
        <v>0</v>
      </c>
      <c r="H37">
        <f>$B$3+60+$D37/30*$F37</f>
        <v>536.25806451612902</v>
      </c>
      <c r="I37" s="50" t="s">
        <v>33</v>
      </c>
      <c r="J37" s="51" t="s">
        <v>32</v>
      </c>
      <c r="K37" s="50">
        <v>1</v>
      </c>
      <c r="L37">
        <f>SUMIFS(LocFeatures[[#All],[XP Train Gain]],LocFeatures[[#All],[Location]],Summary!$I37,LocFeatures[[#All],[LVL]],Summary!$J37,LocFeatures[[#All],[Stage]],Summary!$K37)</f>
        <v>3828</v>
      </c>
      <c r="M37">
        <f>SUMIFS(LocFeatures[[#All],[Drop worth gain]],LocFeatures[[#All],[Location]],Summary!$I37,LocFeatures[[#All],[LVL]],Summary!$J37,LocFeatures[[#All],[Stage]],Summary!$K37)</f>
        <v>3709.0930232558139</v>
      </c>
      <c r="N37">
        <f>SUMIFS(LocFeatures[[#All],[Energy gain]],LocFeatures[[#All],[Location]],Summary!$I37,LocFeatures[[#All],[LVL]],Summary!$J37,LocFeatures[[#All],[Stage]],Summary!$K37)</f>
        <v>0.87654320987654322</v>
      </c>
      <c r="O37">
        <f>SUMIFS(LocFeatures[[#All],[E. Cost]],LocFeatures[[#All],[Location]],Summary!$I37,LocFeatures[[#All],[LVL]],Summary!$J37,LocFeatures[[#All],[Stage]],Summary!$K37)</f>
        <v>4</v>
      </c>
    </row>
    <row r="38" spans="1:21">
      <c r="A38" t="s">
        <v>150</v>
      </c>
      <c r="B38" s="1">
        <f t="shared" si="22"/>
        <v>876292.30855539965</v>
      </c>
      <c r="C38" s="1">
        <f t="shared" si="23"/>
        <v>636804.40595524374</v>
      </c>
      <c r="D38">
        <v>90</v>
      </c>
      <c r="E38">
        <v>0</v>
      </c>
      <c r="F38">
        <f t="shared" si="7"/>
        <v>61</v>
      </c>
      <c r="G38">
        <v>0</v>
      </c>
      <c r="H38">
        <f>$B$3+60+$D38/30*$F38</f>
        <v>536.25806451612902</v>
      </c>
      <c r="I38" s="50" t="s">
        <v>33</v>
      </c>
      <c r="J38" s="51" t="s">
        <v>32</v>
      </c>
      <c r="K38" s="50">
        <v>1</v>
      </c>
      <c r="L38">
        <f>2/3*2*SUMIFS(LocFeatures[[#All],[XP Train Gain]],LocFeatures[[#All],[Location]],Summary!$I38,LocFeatures[[#All],[LVL]],Summary!$J38,LocFeatures[[#All],[Stage]],Summary!$K38)</f>
        <v>5104</v>
      </c>
      <c r="M38">
        <f>SUMIFS(LocFeatures[[#All],[Drop worth gain]],LocFeatures[[#All],[Location]],Summary!$I38,LocFeatures[[#All],[LVL]],Summary!$J38,LocFeatures[[#All],[Stage]],Summary!$K38)</f>
        <v>3709.0930232558139</v>
      </c>
      <c r="N38">
        <f>SUMIFS(LocFeatures[[#All],[Energy gain]],LocFeatures[[#All],[Location]],Summary!$I38,LocFeatures[[#All],[LVL]],Summary!$J38,LocFeatures[[#All],[Stage]],Summary!$K38)</f>
        <v>0.87654320987654322</v>
      </c>
      <c r="O38">
        <f>SUMIFS(LocFeatures[[#All],[E. Cost]],LocFeatures[[#All],[Location]],Summary!$I38,LocFeatures[[#All],[LVL]],Summary!$J38,LocFeatures[[#All],[Stage]],Summary!$K38)</f>
        <v>4</v>
      </c>
      <c r="P38">
        <f>3600/SUMIFS(LocFeatures[[#All],[TimeToComplete Sek]],LocFeatures[[#All],[Location]],Summary!$I38,LocFeatures[[#All],[LVL]],Summary!$J38,LocFeatures[[#All],[Stage]],Summary!$K38)</f>
        <v>29.508196721311474</v>
      </c>
      <c r="Q38">
        <f>P38*L38</f>
        <v>150609.83606557376</v>
      </c>
      <c r="R38">
        <f>P38*($O38-$N38)</f>
        <v>92.167577413479052</v>
      </c>
    </row>
    <row r="39" spans="1:21">
      <c r="A39" t="s">
        <v>162</v>
      </c>
      <c r="B39" s="1">
        <f t="shared" si="22"/>
        <v>2057653.6339084769</v>
      </c>
      <c r="C39" s="1">
        <f t="shared" si="23"/>
        <v>1269445.3212678167</v>
      </c>
      <c r="D39">
        <v>300</v>
      </c>
      <c r="E39">
        <v>100</v>
      </c>
      <c r="F39">
        <f>F38</f>
        <v>61</v>
      </c>
      <c r="G39">
        <f>$B$3+60+$D39/30*F39</f>
        <v>963.25806451612902</v>
      </c>
      <c r="I39" s="50" t="s">
        <v>33</v>
      </c>
      <c r="J39" s="50" t="s">
        <v>9</v>
      </c>
      <c r="K39" s="50">
        <v>1</v>
      </c>
      <c r="L39">
        <f>SUMIFS(LocFeatures[[#All],[XP Train Gain]],LocFeatures[[#All],[Location]],Summary!$I39,LocFeatures[[#All],[LVL]],Summary!$J39,LocFeatures[[#All],[Stage]],Summary!$K39)</f>
        <v>2268</v>
      </c>
      <c r="M39">
        <f>SUMIFS(LocFeatures[[#All],[Drop worth gain]],LocFeatures[[#All],[Location]],Summary!$I39,LocFeatures[[#All],[LVL]],Summary!$J39,LocFeatures[[#All],[Stage]],Summary!$K39)</f>
        <v>2798.4320987654319</v>
      </c>
      <c r="N39">
        <f>SUMIFS(LocFeatures[[#All],[Energy gain]],LocFeatures[[#All],[Location]],Summary!$I39,LocFeatures[[#All],[LVL]],Summary!$J39,LocFeatures[[#All],[Stage]],Summary!$K39)</f>
        <v>0.87654320987654322</v>
      </c>
      <c r="O39">
        <f>SUMIFS(LocFeatures[[#All],[E. Cost]],LocFeatures[[#All],[Location]],Summary!$I39,LocFeatures[[#All],[LVL]],Summary!$J39,LocFeatures[[#All],[Stage]],Summary!$K39)</f>
        <v>3</v>
      </c>
    </row>
    <row r="40" spans="1:21">
      <c r="A40" t="s">
        <v>4</v>
      </c>
      <c r="B40" s="1">
        <f t="shared" si="22"/>
        <v>1246001.00300075</v>
      </c>
      <c r="C40" s="1">
        <f t="shared" si="23"/>
        <v>1537411.4646786693</v>
      </c>
      <c r="D40">
        <v>400</v>
      </c>
      <c r="E40">
        <v>0</v>
      </c>
      <c r="F40">
        <f t="shared" si="7"/>
        <v>61</v>
      </c>
      <c r="G40">
        <v>0</v>
      </c>
      <c r="H40">
        <f>$B$3+60+$D40/30*$F40</f>
        <v>1166.5913978494623</v>
      </c>
      <c r="I40" s="50" t="s">
        <v>33</v>
      </c>
      <c r="J40" s="50" t="s">
        <v>9</v>
      </c>
      <c r="K40" s="50">
        <v>1</v>
      </c>
      <c r="L40">
        <f>SUMIFS(LocFeatures[[#All],[XP Train Gain]],LocFeatures[[#All],[Location]],Summary!$I40,LocFeatures[[#All],[LVL]],Summary!$J40,LocFeatures[[#All],[Stage]],Summary!$K40)</f>
        <v>2268</v>
      </c>
      <c r="M40">
        <f>SUMIFS(LocFeatures[[#All],[Drop worth gain]],LocFeatures[[#All],[Location]],Summary!$I40,LocFeatures[[#All],[LVL]],Summary!$J40,LocFeatures[[#All],[Stage]],Summary!$K40)</f>
        <v>2798.4320987654319</v>
      </c>
      <c r="N40">
        <f>SUMIFS(LocFeatures[[#All],[Energy gain]],LocFeatures[[#All],[Location]],Summary!$I40,LocFeatures[[#All],[LVL]],Summary!$J40,LocFeatures[[#All],[Stage]],Summary!$K40)</f>
        <v>0.87654320987654322</v>
      </c>
      <c r="O40">
        <f>SUMIFS(LocFeatures[[#All],[E. Cost]],LocFeatures[[#All],[Location]],Summary!$I40,LocFeatures[[#All],[LVL]],Summary!$J40,LocFeatures[[#All],[Stage]],Summary!$K40)</f>
        <v>3</v>
      </c>
    </row>
    <row r="43" spans="1:21">
      <c r="B43" t="s">
        <v>47</v>
      </c>
      <c r="C43" t="s">
        <v>48</v>
      </c>
      <c r="D43" t="s">
        <v>49</v>
      </c>
      <c r="E43" t="s">
        <v>50</v>
      </c>
      <c r="F43" t="s">
        <v>51</v>
      </c>
    </row>
    <row r="44" spans="1:21">
      <c r="A44" t="s">
        <v>46</v>
      </c>
      <c r="B44">
        <f>6*40</f>
        <v>240</v>
      </c>
      <c r="C44">
        <f>6*80</f>
        <v>480</v>
      </c>
      <c r="D44">
        <v>360</v>
      </c>
      <c r="E44">
        <f>B3</f>
        <v>293.25806451612902</v>
      </c>
      <c r="F44">
        <f>(E44+D44+120)*2</f>
        <v>1546.516129032258</v>
      </c>
    </row>
    <row r="45" spans="1:21">
      <c r="A45" t="s">
        <v>52</v>
      </c>
      <c r="B45">
        <f>6*40</f>
        <v>240</v>
      </c>
      <c r="C45">
        <f>6*80</f>
        <v>480</v>
      </c>
      <c r="D45">
        <v>360</v>
      </c>
      <c r="E45">
        <f>E44</f>
        <v>293.25806451612902</v>
      </c>
      <c r="F45">
        <f>3*(E45+120)+D45</f>
        <v>1599.7741935483871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45"/>
  <sheetViews>
    <sheetView zoomScale="85" zoomScaleNormal="85" workbookViewId="0">
      <selection activeCell="G4" sqref="G4"/>
    </sheetView>
  </sheetViews>
  <sheetFormatPr defaultRowHeight="14.25"/>
  <cols>
    <col min="1" max="1" width="10.125" bestFit="1" customWidth="1"/>
    <col min="2" max="2" width="15.5" customWidth="1"/>
    <col min="5" max="9" width="11.25" customWidth="1"/>
    <col min="13" max="13" width="9.375" bestFit="1" customWidth="1"/>
    <col min="17" max="17" width="10.375" bestFit="1" customWidth="1"/>
    <col min="19" max="19" width="9.25" bestFit="1" customWidth="1"/>
    <col min="21" max="21" width="11" customWidth="1"/>
    <col min="24" max="24" width="9.75" bestFit="1" customWidth="1"/>
    <col min="25" max="25" width="10.875" customWidth="1"/>
  </cols>
  <sheetData>
    <row r="1" spans="1:30" ht="43.5" thickBot="1">
      <c r="A1" s="42" t="s">
        <v>133</v>
      </c>
      <c r="B1" s="42" t="s">
        <v>132</v>
      </c>
      <c r="C1" s="42" t="s">
        <v>131</v>
      </c>
      <c r="D1" s="42" t="s">
        <v>130</v>
      </c>
      <c r="E1" s="42" t="s">
        <v>129</v>
      </c>
      <c r="F1" s="42" t="s">
        <v>128</v>
      </c>
      <c r="G1" s="42" t="s">
        <v>127</v>
      </c>
      <c r="H1" s="42" t="s">
        <v>126</v>
      </c>
      <c r="I1" s="42" t="s">
        <v>125</v>
      </c>
      <c r="J1" s="40" t="s">
        <v>124</v>
      </c>
      <c r="K1" s="42" t="s">
        <v>123</v>
      </c>
      <c r="L1" s="42" t="s">
        <v>122</v>
      </c>
      <c r="M1" s="42" t="s">
        <v>121</v>
      </c>
      <c r="N1" s="42" t="s">
        <v>120</v>
      </c>
      <c r="O1" s="42" t="s">
        <v>119</v>
      </c>
      <c r="P1" s="42" t="s">
        <v>118</v>
      </c>
      <c r="Q1" s="41" t="s">
        <v>117</v>
      </c>
      <c r="R1" s="40" t="s">
        <v>116</v>
      </c>
      <c r="S1" s="39"/>
      <c r="T1" s="39"/>
      <c r="U1" s="39"/>
      <c r="V1" s="39" t="s">
        <v>5</v>
      </c>
      <c r="W1" t="s">
        <v>115</v>
      </c>
      <c r="X1" t="s">
        <v>114</v>
      </c>
      <c r="Y1" t="s">
        <v>93</v>
      </c>
      <c r="AA1" s="39" t="s">
        <v>5</v>
      </c>
      <c r="AB1" t="s">
        <v>115</v>
      </c>
      <c r="AC1" t="s">
        <v>114</v>
      </c>
      <c r="AD1" t="s">
        <v>93</v>
      </c>
    </row>
    <row r="2" spans="1:30" ht="15" thickBot="1">
      <c r="A2" s="22" t="s">
        <v>113</v>
      </c>
      <c r="B2" s="22" t="s">
        <v>112</v>
      </c>
      <c r="C2" s="21">
        <v>1</v>
      </c>
      <c r="D2" s="21">
        <v>1.5</v>
      </c>
      <c r="E2" s="21">
        <v>0</v>
      </c>
      <c r="F2" s="21">
        <v>0</v>
      </c>
      <c r="G2" s="21">
        <v>0</v>
      </c>
      <c r="H2" s="23"/>
      <c r="I2" s="23"/>
      <c r="J2" s="23"/>
      <c r="K2" s="22">
        <v>749</v>
      </c>
      <c r="L2" s="22">
        <v>2.2469999999999999</v>
      </c>
      <c r="M2" s="22">
        <v>3.371</v>
      </c>
      <c r="N2" s="21">
        <v>0.15</v>
      </c>
      <c r="O2" s="21">
        <f>IF(N2+G2+J2*$Y$2+IF(OR(A2 = "Blade", A2 = "Fatal+Blade", A2 = "Status+Blade", A2 = "Rage+Blade"), 0.12, IF(A2 = "2xBlade", 0.24, IF(A2 = "3xBlade", 0.36,0)))&gt;1, 1, N2+G2+J2*$Y$2+IF(OR(A2 = "Blade", A2 = "Fatal+Blade", A2 = "Status+Blade", A2 = "Rage+Blade"), 0.12, IF(A2 = "2xBlade", 0.24, IF(A2 = "3xBlade", 0.36,0))))</f>
        <v>0.15</v>
      </c>
      <c r="P2" s="20">
        <f t="shared" ref="P2:P27" si="0">O2*M2+(1-O2)*L2</f>
        <v>2.4155999999999995</v>
      </c>
      <c r="Q2" s="19">
        <v>2.4155999999999995</v>
      </c>
      <c r="R2" s="18">
        <f>P2/Q2-1</f>
        <v>0</v>
      </c>
      <c r="S2" s="18"/>
      <c r="T2" s="18"/>
      <c r="U2" s="18"/>
      <c r="W2" s="15">
        <f>AB2</f>
        <v>0.32</v>
      </c>
      <c r="X2" s="15">
        <f>AC2</f>
        <v>0.42</v>
      </c>
      <c r="Y2" s="15">
        <f>AD2</f>
        <v>0.31</v>
      </c>
      <c r="AA2">
        <v>12</v>
      </c>
      <c r="AB2" s="15">
        <f>(AB7+AB8*$AA$2)/100</f>
        <v>0.32</v>
      </c>
      <c r="AC2" s="15">
        <f>(AC7+AC8*$AA$2)/100</f>
        <v>0.42</v>
      </c>
      <c r="AD2" s="15">
        <f>(AD7+AD8*$AA$2)/100</f>
        <v>0.31</v>
      </c>
    </row>
    <row r="3" spans="1:30" ht="15" thickBot="1">
      <c r="A3" s="22" t="s">
        <v>111</v>
      </c>
      <c r="B3" s="22" t="s">
        <v>102</v>
      </c>
      <c r="C3" s="21">
        <f t="shared" ref="C3:C27" si="1">$C$2+E3+H3*$W$2+IF(OR(A3 = "Fatal", A3 = "Fatal+Blade"), 0.35,0)</f>
        <v>1.96</v>
      </c>
      <c r="D3" s="21">
        <f>$D$2+F3+I3*$X$2+IF(OR(A3 = "Rage", A3 = "Rage+Blade"), 0.4, 0)</f>
        <v>1.5</v>
      </c>
      <c r="E3" s="21">
        <f t="shared" ref="E3:F6" si="2">E2</f>
        <v>0</v>
      </c>
      <c r="F3" s="21">
        <f t="shared" si="2"/>
        <v>0</v>
      </c>
      <c r="G3" s="21">
        <v>0.25</v>
      </c>
      <c r="H3" s="23">
        <v>3</v>
      </c>
      <c r="I3" s="23"/>
      <c r="J3" s="23"/>
      <c r="K3" s="22">
        <f t="shared" ref="K3:K27" si="3">K$2*$C3/1000</f>
        <v>1.46804</v>
      </c>
      <c r="L3" s="22">
        <f t="shared" ref="L3:L27" si="4">L$2*$C3</f>
        <v>4.4041199999999998</v>
      </c>
      <c r="M3" s="22">
        <f t="shared" ref="M3:M27" si="5">L3*D3</f>
        <v>6.6061800000000002</v>
      </c>
      <c r="N3" s="21">
        <v>0.15</v>
      </c>
      <c r="O3" s="21">
        <f t="shared" ref="O3:O22" si="6">IF(N3+G3+J3*$Y$2+IF(OR(A3 = "Blade", A3 = "Fatal+Blade", A3 = "Status+Blade", A3 = "Rage+Blade"), 0.12, IF(A3 = "2xBlade", 0.24, IF(A3 = "3xBlade", 0.36,0)))&gt;1, 1, N3+G3+J3*$Y$2+IF(OR(A3 = "Blade", A3 = "Fatal+Blade", A3 = "Status+Blade", A3 = "Rage+Blade"), 0.12, IF(A3 = "2xBlade", 0.24, IF(A3 = "3xBlade", 0.36,0))))</f>
        <v>0.4</v>
      </c>
      <c r="P3" s="20">
        <f t="shared" si="0"/>
        <v>5.2849439999999994</v>
      </c>
      <c r="Q3" s="19">
        <v>4.289523</v>
      </c>
      <c r="R3" s="18">
        <f t="shared" ref="R3:R27" si="7">P3/Q3-1</f>
        <v>0.23205866946045028</v>
      </c>
      <c r="S3" s="18"/>
      <c r="T3" s="18"/>
      <c r="U3" s="18"/>
      <c r="W3" s="15"/>
      <c r="X3" s="15"/>
      <c r="AB3" s="15"/>
      <c r="AC3" s="15"/>
    </row>
    <row r="4" spans="1:30" ht="15" thickBot="1">
      <c r="A4" s="25" t="s">
        <v>111</v>
      </c>
      <c r="B4" s="25" t="s">
        <v>101</v>
      </c>
      <c r="C4" s="24">
        <f t="shared" si="1"/>
        <v>1.6400000000000001</v>
      </c>
      <c r="D4" s="21">
        <f t="shared" ref="D4:D26" si="8">$D$2+F4+I4*$X$2+IF(OR(A4 = "Rage", A4 = "Rage+Blade"), 0.4, 0)</f>
        <v>1.92</v>
      </c>
      <c r="E4" s="24">
        <f t="shared" si="2"/>
        <v>0</v>
      </c>
      <c r="F4" s="24">
        <f t="shared" si="2"/>
        <v>0</v>
      </c>
      <c r="G4" s="24">
        <f>G3</f>
        <v>0.25</v>
      </c>
      <c r="H4" s="26">
        <v>2</v>
      </c>
      <c r="I4" s="26">
        <v>1</v>
      </c>
      <c r="J4" s="26"/>
      <c r="K4" s="25">
        <f t="shared" si="3"/>
        <v>1.2283600000000001</v>
      </c>
      <c r="L4" s="25">
        <f t="shared" si="4"/>
        <v>3.6850800000000001</v>
      </c>
      <c r="M4" s="25">
        <f t="shared" si="5"/>
        <v>7.0753535999999997</v>
      </c>
      <c r="N4" s="24">
        <f>N3</f>
        <v>0.15</v>
      </c>
      <c r="O4" s="21">
        <f t="shared" si="6"/>
        <v>0.4</v>
      </c>
      <c r="P4" s="43">
        <f t="shared" si="0"/>
        <v>5.0411894400000001</v>
      </c>
      <c r="Q4" s="19">
        <v>3.9564277199999998</v>
      </c>
      <c r="R4" s="18">
        <f t="shared" si="7"/>
        <v>0.27417705990594987</v>
      </c>
      <c r="S4" s="18"/>
      <c r="T4" s="18"/>
      <c r="U4" s="18"/>
      <c r="W4" s="1">
        <v>4</v>
      </c>
      <c r="X4" s="1">
        <v>4</v>
      </c>
      <c r="Y4" s="1">
        <v>3</v>
      </c>
      <c r="AA4" t="s">
        <v>28</v>
      </c>
      <c r="AB4" s="1">
        <v>4</v>
      </c>
      <c r="AC4" s="1">
        <v>4</v>
      </c>
      <c r="AD4" s="1">
        <v>3</v>
      </c>
    </row>
    <row r="5" spans="1:30" ht="15" thickBot="1">
      <c r="A5" s="25" t="s">
        <v>111</v>
      </c>
      <c r="B5" s="25" t="s">
        <v>96</v>
      </c>
      <c r="C5" s="24">
        <f t="shared" si="1"/>
        <v>1.6400000000000001</v>
      </c>
      <c r="D5" s="21">
        <f t="shared" si="8"/>
        <v>1.5</v>
      </c>
      <c r="E5" s="24">
        <f t="shared" si="2"/>
        <v>0</v>
      </c>
      <c r="F5" s="24">
        <f t="shared" si="2"/>
        <v>0</v>
      </c>
      <c r="G5" s="24">
        <f>G4</f>
        <v>0.25</v>
      </c>
      <c r="H5" s="26">
        <v>2</v>
      </c>
      <c r="I5" s="26"/>
      <c r="J5" s="26">
        <v>1</v>
      </c>
      <c r="K5" s="25">
        <f t="shared" si="3"/>
        <v>1.2283600000000001</v>
      </c>
      <c r="L5" s="25">
        <f t="shared" si="4"/>
        <v>3.6850800000000001</v>
      </c>
      <c r="M5" s="25">
        <f t="shared" si="5"/>
        <v>5.5276200000000006</v>
      </c>
      <c r="N5" s="24">
        <f>N4</f>
        <v>0.15</v>
      </c>
      <c r="O5" s="21">
        <f t="shared" si="6"/>
        <v>0.71</v>
      </c>
      <c r="P5" s="43">
        <f t="shared" si="0"/>
        <v>4.9932834000000001</v>
      </c>
      <c r="Q5" s="19">
        <v>4.0607783999999993</v>
      </c>
      <c r="R5" s="18">
        <f t="shared" si="7"/>
        <v>0.22963700752545391</v>
      </c>
      <c r="S5" s="18"/>
      <c r="T5" s="18"/>
      <c r="U5" s="18"/>
      <c r="W5" s="1">
        <v>2</v>
      </c>
      <c r="X5" s="1">
        <v>2.25</v>
      </c>
      <c r="Y5" s="1">
        <v>2</v>
      </c>
      <c r="AA5" t="s">
        <v>28</v>
      </c>
      <c r="AB5" s="1">
        <v>2</v>
      </c>
      <c r="AC5" s="1">
        <v>2.25</v>
      </c>
      <c r="AD5" s="1">
        <v>2</v>
      </c>
    </row>
    <row r="6" spans="1:30" ht="29.25" thickBot="1">
      <c r="A6" s="25" t="s">
        <v>110</v>
      </c>
      <c r="B6" s="25" t="s">
        <v>102</v>
      </c>
      <c r="C6" s="24">
        <f t="shared" si="1"/>
        <v>1.96</v>
      </c>
      <c r="D6" s="21">
        <f t="shared" si="8"/>
        <v>1.5</v>
      </c>
      <c r="E6" s="24">
        <f t="shared" si="2"/>
        <v>0</v>
      </c>
      <c r="F6" s="24">
        <f t="shared" si="2"/>
        <v>0</v>
      </c>
      <c r="G6" s="24">
        <f>G5</f>
        <v>0.25</v>
      </c>
      <c r="H6" s="26">
        <v>3</v>
      </c>
      <c r="I6" s="26"/>
      <c r="J6" s="26"/>
      <c r="K6" s="25">
        <f t="shared" si="3"/>
        <v>1.46804</v>
      </c>
      <c r="L6" s="25">
        <f t="shared" si="4"/>
        <v>4.4041199999999998</v>
      </c>
      <c r="M6" s="25">
        <f t="shared" si="5"/>
        <v>6.6061800000000002</v>
      </c>
      <c r="N6" s="24">
        <f>N5</f>
        <v>0.15</v>
      </c>
      <c r="O6" s="21">
        <f t="shared" si="6"/>
        <v>0.52</v>
      </c>
      <c r="P6" s="43">
        <f t="shared" si="0"/>
        <v>5.5491912000000001</v>
      </c>
      <c r="Q6" s="19">
        <v>4.5133242000000005</v>
      </c>
      <c r="R6" s="18">
        <f t="shared" si="7"/>
        <v>0.22951309369710238</v>
      </c>
      <c r="S6" s="18"/>
      <c r="T6" s="18"/>
      <c r="U6" s="18"/>
      <c r="W6" s="1"/>
      <c r="X6" s="1"/>
      <c r="Y6" s="1"/>
    </row>
    <row r="7" spans="1:30" ht="15" thickBot="1">
      <c r="A7" s="25" t="s">
        <v>100</v>
      </c>
      <c r="B7" s="25" t="s">
        <v>102</v>
      </c>
      <c r="C7" s="24">
        <f t="shared" si="1"/>
        <v>2.31</v>
      </c>
      <c r="D7" s="21">
        <f t="shared" si="8"/>
        <v>1.5</v>
      </c>
      <c r="E7" s="24">
        <f>E4</f>
        <v>0</v>
      </c>
      <c r="F7" s="24">
        <f>F4</f>
        <v>0</v>
      </c>
      <c r="G7" s="24">
        <f>G4</f>
        <v>0.25</v>
      </c>
      <c r="H7" s="26">
        <v>3</v>
      </c>
      <c r="I7" s="26"/>
      <c r="J7" s="26"/>
      <c r="K7" s="25">
        <f t="shared" si="3"/>
        <v>1.7301900000000001</v>
      </c>
      <c r="L7" s="25">
        <f t="shared" si="4"/>
        <v>5.1905700000000001</v>
      </c>
      <c r="M7" s="25">
        <f t="shared" si="5"/>
        <v>7.7858549999999997</v>
      </c>
      <c r="N7" s="24">
        <f>N4</f>
        <v>0.15</v>
      </c>
      <c r="O7" s="21">
        <f t="shared" si="6"/>
        <v>0.4</v>
      </c>
      <c r="P7" s="43">
        <f t="shared" si="0"/>
        <v>6.2286840000000003</v>
      </c>
      <c r="Q7" s="19">
        <v>5.1939405000000001</v>
      </c>
      <c r="R7" s="18">
        <f t="shared" si="7"/>
        <v>0.19922128487994817</v>
      </c>
      <c r="S7" s="18"/>
      <c r="T7" s="18"/>
      <c r="U7" s="18"/>
      <c r="V7" t="s">
        <v>109</v>
      </c>
      <c r="AA7" t="s">
        <v>29</v>
      </c>
      <c r="AB7">
        <v>5</v>
      </c>
      <c r="AC7">
        <v>6</v>
      </c>
      <c r="AD7">
        <v>4</v>
      </c>
    </row>
    <row r="8" spans="1:30" ht="15.75" thickBot="1">
      <c r="A8" s="25" t="s">
        <v>99</v>
      </c>
      <c r="B8" s="25" t="s">
        <v>102</v>
      </c>
      <c r="C8" s="24">
        <f t="shared" si="1"/>
        <v>1.96</v>
      </c>
      <c r="D8" s="21">
        <f t="shared" si="8"/>
        <v>1.9</v>
      </c>
      <c r="E8" s="24">
        <f t="shared" ref="E8:G13" si="9">E7</f>
        <v>0</v>
      </c>
      <c r="F8" s="24">
        <f t="shared" si="9"/>
        <v>0</v>
      </c>
      <c r="G8" s="24">
        <f t="shared" si="9"/>
        <v>0.25</v>
      </c>
      <c r="H8" s="26">
        <v>3</v>
      </c>
      <c r="I8" s="26"/>
      <c r="J8" s="26"/>
      <c r="K8" s="25">
        <f t="shared" si="3"/>
        <v>1.46804</v>
      </c>
      <c r="L8" s="25">
        <f t="shared" si="4"/>
        <v>4.4041199999999998</v>
      </c>
      <c r="M8" s="25">
        <f t="shared" si="5"/>
        <v>8.3678279999999994</v>
      </c>
      <c r="N8" s="24">
        <f t="shared" ref="N8:N13" si="10">N7</f>
        <v>0.15</v>
      </c>
      <c r="O8" s="21">
        <f t="shared" si="6"/>
        <v>0.4</v>
      </c>
      <c r="P8" s="43">
        <f t="shared" si="0"/>
        <v>5.9896031999999995</v>
      </c>
      <c r="Q8" s="19">
        <v>4.7371254</v>
      </c>
      <c r="R8" s="18">
        <f t="shared" si="7"/>
        <v>0.26439616734655136</v>
      </c>
      <c r="S8" s="18"/>
      <c r="T8" s="18" t="s">
        <v>136</v>
      </c>
      <c r="U8" s="38" t="s">
        <v>108</v>
      </c>
      <c r="V8" s="37" t="s">
        <v>107</v>
      </c>
      <c r="W8" s="36" t="s">
        <v>106</v>
      </c>
      <c r="X8" s="35" t="s">
        <v>105</v>
      </c>
      <c r="AA8" t="s">
        <v>29</v>
      </c>
      <c r="AB8">
        <v>2.25</v>
      </c>
      <c r="AC8">
        <v>3</v>
      </c>
      <c r="AD8">
        <v>2.25</v>
      </c>
    </row>
    <row r="9" spans="1:30" ht="15" thickBot="1">
      <c r="A9" s="25" t="s">
        <v>98</v>
      </c>
      <c r="B9" s="25" t="s">
        <v>102</v>
      </c>
      <c r="C9" s="24">
        <f t="shared" si="1"/>
        <v>1.96</v>
      </c>
      <c r="D9" s="21">
        <f t="shared" si="8"/>
        <v>1.5</v>
      </c>
      <c r="E9" s="24">
        <f t="shared" si="9"/>
        <v>0</v>
      </c>
      <c r="F9" s="24">
        <f t="shared" si="9"/>
        <v>0</v>
      </c>
      <c r="G9" s="24">
        <f t="shared" si="9"/>
        <v>0.25</v>
      </c>
      <c r="H9" s="26">
        <v>3</v>
      </c>
      <c r="I9" s="26"/>
      <c r="J9" s="26"/>
      <c r="K9" s="25">
        <f t="shared" si="3"/>
        <v>1.46804</v>
      </c>
      <c r="L9" s="25">
        <f t="shared" si="4"/>
        <v>4.4041199999999998</v>
      </c>
      <c r="M9" s="25">
        <f t="shared" si="5"/>
        <v>6.6061800000000002</v>
      </c>
      <c r="N9" s="24">
        <f t="shared" si="10"/>
        <v>0.15</v>
      </c>
      <c r="O9" s="21">
        <f t="shared" si="6"/>
        <v>0.52</v>
      </c>
      <c r="P9" s="43">
        <f t="shared" si="0"/>
        <v>5.5491912000000001</v>
      </c>
      <c r="Q9" s="19">
        <v>4.5133242000000005</v>
      </c>
      <c r="R9" s="18">
        <f t="shared" si="7"/>
        <v>0.22951309369710238</v>
      </c>
      <c r="S9" s="18"/>
      <c r="T9" s="18" t="s">
        <v>137</v>
      </c>
      <c r="U9" s="34">
        <v>0.15</v>
      </c>
      <c r="V9" s="33">
        <v>0.1</v>
      </c>
      <c r="W9" s="32">
        <v>0.12</v>
      </c>
      <c r="X9" s="31">
        <v>0.2</v>
      </c>
    </row>
    <row r="10" spans="1:30" ht="15" thickBot="1">
      <c r="A10" s="25" t="s">
        <v>97</v>
      </c>
      <c r="B10" s="25" t="s">
        <v>102</v>
      </c>
      <c r="C10" s="24">
        <f t="shared" si="1"/>
        <v>1.96</v>
      </c>
      <c r="D10" s="21">
        <f t="shared" si="8"/>
        <v>1.5</v>
      </c>
      <c r="E10" s="24">
        <f t="shared" si="9"/>
        <v>0</v>
      </c>
      <c r="F10" s="24">
        <f t="shared" si="9"/>
        <v>0</v>
      </c>
      <c r="G10" s="24">
        <f t="shared" si="9"/>
        <v>0.25</v>
      </c>
      <c r="H10" s="26">
        <v>3</v>
      </c>
      <c r="I10" s="26"/>
      <c r="J10" s="26"/>
      <c r="K10" s="25">
        <f t="shared" si="3"/>
        <v>1.46804</v>
      </c>
      <c r="L10" s="25">
        <f t="shared" si="4"/>
        <v>4.4041199999999998</v>
      </c>
      <c r="M10" s="25">
        <f t="shared" si="5"/>
        <v>6.6061800000000002</v>
      </c>
      <c r="N10" s="24">
        <f t="shared" si="10"/>
        <v>0.15</v>
      </c>
      <c r="O10" s="21">
        <f t="shared" si="6"/>
        <v>0.64</v>
      </c>
      <c r="P10" s="43">
        <f t="shared" si="0"/>
        <v>5.8134383999999999</v>
      </c>
      <c r="Q10" s="19">
        <v>4.7371254</v>
      </c>
      <c r="R10" s="18">
        <f t="shared" si="7"/>
        <v>0.22720804477753531</v>
      </c>
      <c r="S10" s="18"/>
      <c r="T10" s="18" t="s">
        <v>137</v>
      </c>
      <c r="U10" s="34">
        <v>0.3</v>
      </c>
      <c r="V10" s="33">
        <v>0.1</v>
      </c>
      <c r="W10" s="32">
        <v>0.12</v>
      </c>
      <c r="X10" s="31">
        <v>0.15</v>
      </c>
      <c r="AA10" t="s">
        <v>30</v>
      </c>
      <c r="AB10">
        <v>8</v>
      </c>
      <c r="AC10">
        <v>8</v>
      </c>
      <c r="AD10">
        <v>5</v>
      </c>
    </row>
    <row r="11" spans="1:30" ht="15" thickBot="1">
      <c r="A11" s="25" t="s">
        <v>104</v>
      </c>
      <c r="B11" s="25" t="s">
        <v>102</v>
      </c>
      <c r="C11" s="24">
        <f t="shared" si="1"/>
        <v>1.96</v>
      </c>
      <c r="D11" s="21">
        <f t="shared" si="8"/>
        <v>1.5</v>
      </c>
      <c r="E11" s="24">
        <f t="shared" si="9"/>
        <v>0</v>
      </c>
      <c r="F11" s="24">
        <f t="shared" si="9"/>
        <v>0</v>
      </c>
      <c r="G11" s="24">
        <f t="shared" si="9"/>
        <v>0.25</v>
      </c>
      <c r="H11" s="26">
        <v>3</v>
      </c>
      <c r="I11" s="26"/>
      <c r="J11" s="26"/>
      <c r="K11" s="25">
        <f t="shared" si="3"/>
        <v>1.46804</v>
      </c>
      <c r="L11" s="25">
        <f t="shared" si="4"/>
        <v>4.4041199999999998</v>
      </c>
      <c r="M11" s="25">
        <f t="shared" si="5"/>
        <v>6.6061800000000002</v>
      </c>
      <c r="N11" s="24">
        <f t="shared" si="10"/>
        <v>0.15</v>
      </c>
      <c r="O11" s="21">
        <f t="shared" si="6"/>
        <v>0.76</v>
      </c>
      <c r="P11" s="43">
        <f t="shared" si="0"/>
        <v>6.0776856000000006</v>
      </c>
      <c r="Q11" s="19">
        <v>4.9609266000000005</v>
      </c>
      <c r="R11" s="18">
        <f t="shared" si="7"/>
        <v>0.22511097019657567</v>
      </c>
      <c r="S11" s="18"/>
      <c r="T11" s="18" t="s">
        <v>137</v>
      </c>
      <c r="U11" s="34">
        <v>0.5</v>
      </c>
      <c r="V11" s="33">
        <v>0.1</v>
      </c>
      <c r="W11" s="32">
        <v>0.12</v>
      </c>
      <c r="X11" s="31">
        <v>0.11</v>
      </c>
      <c r="AA11" t="s">
        <v>30</v>
      </c>
      <c r="AB11">
        <v>2.25</v>
      </c>
      <c r="AC11">
        <v>3.33</v>
      </c>
      <c r="AD11">
        <v>2.5</v>
      </c>
    </row>
    <row r="12" spans="1:30" ht="29.25" thickBot="1">
      <c r="A12" s="25" t="s">
        <v>103</v>
      </c>
      <c r="B12" s="25" t="s">
        <v>102</v>
      </c>
      <c r="C12" s="24">
        <f t="shared" si="1"/>
        <v>2.31</v>
      </c>
      <c r="D12" s="21">
        <f t="shared" si="8"/>
        <v>1.5</v>
      </c>
      <c r="E12" s="24">
        <f t="shared" si="9"/>
        <v>0</v>
      </c>
      <c r="F12" s="24">
        <f t="shared" si="9"/>
        <v>0</v>
      </c>
      <c r="G12" s="24">
        <f t="shared" si="9"/>
        <v>0.25</v>
      </c>
      <c r="H12" s="26">
        <v>3</v>
      </c>
      <c r="I12" s="26"/>
      <c r="J12" s="26"/>
      <c r="K12" s="25">
        <f t="shared" si="3"/>
        <v>1.7301900000000001</v>
      </c>
      <c r="L12" s="25">
        <f t="shared" si="4"/>
        <v>5.1905700000000001</v>
      </c>
      <c r="M12" s="25">
        <f t="shared" si="5"/>
        <v>7.7858549999999997</v>
      </c>
      <c r="N12" s="24">
        <f t="shared" si="10"/>
        <v>0.15</v>
      </c>
      <c r="O12" s="21">
        <f t="shared" si="6"/>
        <v>0.52</v>
      </c>
      <c r="P12" s="43">
        <f t="shared" si="0"/>
        <v>6.5401182000000002</v>
      </c>
      <c r="Q12" s="19">
        <v>5.4649286999999998</v>
      </c>
      <c r="R12" s="18">
        <f t="shared" si="7"/>
        <v>0.19674355495251028</v>
      </c>
      <c r="S12" s="18"/>
      <c r="T12" s="18"/>
      <c r="U12" s="34"/>
      <c r="V12" s="33"/>
      <c r="W12" s="32"/>
      <c r="X12" s="31"/>
    </row>
    <row r="13" spans="1:30" ht="29.25" thickBot="1">
      <c r="A13" s="25" t="s">
        <v>134</v>
      </c>
      <c r="B13" s="25" t="s">
        <v>102</v>
      </c>
      <c r="C13" s="24">
        <f t="shared" si="1"/>
        <v>1.96</v>
      </c>
      <c r="D13" s="21">
        <f t="shared" si="8"/>
        <v>1.9</v>
      </c>
      <c r="E13" s="24">
        <f t="shared" si="9"/>
        <v>0</v>
      </c>
      <c r="F13" s="24">
        <f t="shared" si="9"/>
        <v>0</v>
      </c>
      <c r="G13" s="24">
        <f t="shared" si="9"/>
        <v>0.25</v>
      </c>
      <c r="H13" s="26">
        <v>3</v>
      </c>
      <c r="I13" s="26"/>
      <c r="J13" s="26"/>
      <c r="K13" s="25">
        <f t="shared" si="3"/>
        <v>1.46804</v>
      </c>
      <c r="L13" s="25">
        <f t="shared" si="4"/>
        <v>4.4041199999999998</v>
      </c>
      <c r="M13" s="25">
        <f t="shared" si="5"/>
        <v>8.3678279999999994</v>
      </c>
      <c r="N13" s="24">
        <f t="shared" si="10"/>
        <v>0.15</v>
      </c>
      <c r="O13" s="21">
        <f t="shared" si="6"/>
        <v>0.52</v>
      </c>
      <c r="P13" s="43">
        <f t="shared" si="0"/>
        <v>6.4652481599999998</v>
      </c>
      <c r="Q13" s="19">
        <v>5.1399675600000005</v>
      </c>
      <c r="R13" s="18">
        <f t="shared" si="7"/>
        <v>0.25783831989787864</v>
      </c>
      <c r="S13" s="18"/>
      <c r="T13" s="18"/>
      <c r="U13" s="34"/>
      <c r="V13" s="33"/>
      <c r="W13" s="32"/>
      <c r="X13" s="31"/>
      <c r="AA13" t="s">
        <v>31</v>
      </c>
      <c r="AB13">
        <v>11</v>
      </c>
      <c r="AC13">
        <v>11</v>
      </c>
      <c r="AD13">
        <v>7</v>
      </c>
    </row>
    <row r="14" spans="1:30" ht="15" thickBot="1">
      <c r="A14" s="25" t="s">
        <v>100</v>
      </c>
      <c r="B14" s="25" t="s">
        <v>101</v>
      </c>
      <c r="C14" s="24">
        <f t="shared" si="1"/>
        <v>1.9900000000000002</v>
      </c>
      <c r="D14" s="21">
        <f t="shared" si="8"/>
        <v>1.92</v>
      </c>
      <c r="E14" s="24">
        <f>E8</f>
        <v>0</v>
      </c>
      <c r="F14" s="24">
        <f>F8</f>
        <v>0</v>
      </c>
      <c r="G14" s="24">
        <f>G8</f>
        <v>0.25</v>
      </c>
      <c r="H14" s="26">
        <v>2</v>
      </c>
      <c r="I14" s="26">
        <v>1</v>
      </c>
      <c r="J14" s="26"/>
      <c r="K14" s="25">
        <f t="shared" si="3"/>
        <v>1.4905100000000002</v>
      </c>
      <c r="L14" s="25">
        <f t="shared" si="4"/>
        <v>4.4715300000000004</v>
      </c>
      <c r="M14" s="25">
        <f t="shared" si="5"/>
        <v>8.5853376000000008</v>
      </c>
      <c r="N14" s="24">
        <f>N10</f>
        <v>0.15</v>
      </c>
      <c r="O14" s="21">
        <f t="shared" si="6"/>
        <v>0.4</v>
      </c>
      <c r="P14" s="43">
        <f t="shared" si="0"/>
        <v>6.1170530400000009</v>
      </c>
      <c r="Q14" s="19">
        <v>4.9180594575000001</v>
      </c>
      <c r="R14" s="18">
        <f t="shared" si="7"/>
        <v>0.24379403967382807</v>
      </c>
      <c r="S14" s="18"/>
      <c r="T14" s="18"/>
      <c r="U14" s="34"/>
      <c r="V14" s="33"/>
      <c r="W14" s="32"/>
      <c r="X14" s="31"/>
      <c r="AA14" t="s">
        <v>31</v>
      </c>
      <c r="AB14">
        <v>3</v>
      </c>
      <c r="AC14">
        <v>4</v>
      </c>
      <c r="AD14">
        <v>3</v>
      </c>
    </row>
    <row r="15" spans="1:30" ht="15" thickBot="1">
      <c r="A15" s="25" t="s">
        <v>99</v>
      </c>
      <c r="B15" s="25" t="s">
        <v>101</v>
      </c>
      <c r="C15" s="24">
        <f t="shared" si="1"/>
        <v>1.6400000000000001</v>
      </c>
      <c r="D15" s="21">
        <f t="shared" si="8"/>
        <v>2.3199999999999998</v>
      </c>
      <c r="E15" s="24">
        <f>E14</f>
        <v>0</v>
      </c>
      <c r="F15" s="24">
        <f>F14</f>
        <v>0</v>
      </c>
      <c r="G15" s="24">
        <f>G14</f>
        <v>0.25</v>
      </c>
      <c r="H15" s="26">
        <v>2</v>
      </c>
      <c r="I15" s="26">
        <v>1</v>
      </c>
      <c r="J15" s="26"/>
      <c r="K15" s="25">
        <f t="shared" si="3"/>
        <v>1.2283600000000001</v>
      </c>
      <c r="L15" s="25">
        <f t="shared" si="4"/>
        <v>3.6850800000000001</v>
      </c>
      <c r="M15" s="25">
        <f t="shared" si="5"/>
        <v>8.549385599999999</v>
      </c>
      <c r="N15" s="24">
        <f t="shared" ref="N15:N20" si="11">N14</f>
        <v>0.15</v>
      </c>
      <c r="O15" s="21">
        <f t="shared" si="6"/>
        <v>0.4</v>
      </c>
      <c r="P15" s="43">
        <f t="shared" si="0"/>
        <v>5.6308022399999995</v>
      </c>
      <c r="Q15" s="19">
        <v>4.3447093199999998</v>
      </c>
      <c r="R15" s="18">
        <f t="shared" si="7"/>
        <v>0.29601357082273116</v>
      </c>
      <c r="S15" s="18"/>
      <c r="T15" s="18"/>
      <c r="U15" s="34"/>
      <c r="V15" s="33"/>
      <c r="W15" s="32"/>
      <c r="X15" s="31"/>
    </row>
    <row r="16" spans="1:30" ht="15" thickBot="1">
      <c r="A16" s="25" t="s">
        <v>98</v>
      </c>
      <c r="B16" s="25" t="s">
        <v>101</v>
      </c>
      <c r="C16" s="24">
        <f t="shared" si="1"/>
        <v>1.6400000000000001</v>
      </c>
      <c r="D16" s="21">
        <f t="shared" si="8"/>
        <v>1.92</v>
      </c>
      <c r="E16" s="24">
        <f>E10</f>
        <v>0</v>
      </c>
      <c r="F16" s="24">
        <f>F10</f>
        <v>0</v>
      </c>
      <c r="G16" s="24">
        <f>G10</f>
        <v>0.25</v>
      </c>
      <c r="H16" s="26">
        <v>2</v>
      </c>
      <c r="I16" s="26">
        <v>1</v>
      </c>
      <c r="J16" s="26"/>
      <c r="K16" s="25">
        <f t="shared" si="3"/>
        <v>1.2283600000000001</v>
      </c>
      <c r="L16" s="25">
        <f t="shared" si="4"/>
        <v>3.6850800000000001</v>
      </c>
      <c r="M16" s="25">
        <f t="shared" si="5"/>
        <v>7.0753535999999997</v>
      </c>
      <c r="N16" s="24">
        <f t="shared" si="11"/>
        <v>0.15</v>
      </c>
      <c r="O16" s="21">
        <f t="shared" si="6"/>
        <v>0.52</v>
      </c>
      <c r="P16" s="43">
        <f t="shared" si="0"/>
        <v>5.4480222719999993</v>
      </c>
      <c r="Q16" s="19">
        <v>4.2447268079999994</v>
      </c>
      <c r="R16" s="18">
        <f t="shared" si="7"/>
        <v>0.28348007267091013</v>
      </c>
      <c r="S16" s="18"/>
      <c r="T16" s="18"/>
      <c r="U16" s="30"/>
      <c r="V16" s="29"/>
      <c r="W16" s="28"/>
      <c r="X16" s="27"/>
    </row>
    <row r="17" spans="1:25" ht="15" thickBot="1">
      <c r="A17" s="25" t="s">
        <v>97</v>
      </c>
      <c r="B17" s="25" t="s">
        <v>101</v>
      </c>
      <c r="C17" s="24">
        <f t="shared" si="1"/>
        <v>1.6400000000000001</v>
      </c>
      <c r="D17" s="21">
        <f t="shared" si="8"/>
        <v>1.92</v>
      </c>
      <c r="E17" s="24">
        <f t="shared" ref="E17:G20" si="12">E16</f>
        <v>0</v>
      </c>
      <c r="F17" s="24">
        <f t="shared" si="12"/>
        <v>0</v>
      </c>
      <c r="G17" s="24">
        <f t="shared" si="12"/>
        <v>0.25</v>
      </c>
      <c r="H17" s="26">
        <v>2</v>
      </c>
      <c r="I17" s="26">
        <v>1</v>
      </c>
      <c r="J17" s="26"/>
      <c r="K17" s="25">
        <f t="shared" si="3"/>
        <v>1.2283600000000001</v>
      </c>
      <c r="L17" s="25">
        <f t="shared" si="4"/>
        <v>3.6850800000000001</v>
      </c>
      <c r="M17" s="25">
        <f t="shared" si="5"/>
        <v>7.0753535999999997</v>
      </c>
      <c r="N17" s="24">
        <f t="shared" si="11"/>
        <v>0.15</v>
      </c>
      <c r="O17" s="21">
        <f t="shared" si="6"/>
        <v>0.64</v>
      </c>
      <c r="P17" s="43">
        <f t="shared" si="0"/>
        <v>5.8548551039999994</v>
      </c>
      <c r="Q17" s="19">
        <v>4.5330258959999998</v>
      </c>
      <c r="R17" s="18">
        <f t="shared" si="7"/>
        <v>0.29159974779018993</v>
      </c>
      <c r="S17" s="18"/>
      <c r="T17" s="18"/>
      <c r="U17" s="18"/>
    </row>
    <row r="18" spans="1:25" ht="15" thickBot="1">
      <c r="A18" s="25" t="s">
        <v>104</v>
      </c>
      <c r="B18" s="25" t="s">
        <v>101</v>
      </c>
      <c r="C18" s="24">
        <f t="shared" si="1"/>
        <v>1.6400000000000001</v>
      </c>
      <c r="D18" s="21">
        <f t="shared" si="8"/>
        <v>1.92</v>
      </c>
      <c r="E18" s="24">
        <f t="shared" si="12"/>
        <v>0</v>
      </c>
      <c r="F18" s="24">
        <f t="shared" si="12"/>
        <v>0</v>
      </c>
      <c r="G18" s="24">
        <f t="shared" si="12"/>
        <v>0.25</v>
      </c>
      <c r="H18" s="26">
        <v>2</v>
      </c>
      <c r="I18" s="26">
        <v>1</v>
      </c>
      <c r="J18" s="26"/>
      <c r="K18" s="25">
        <f t="shared" si="3"/>
        <v>1.2283600000000001</v>
      </c>
      <c r="L18" s="25">
        <f t="shared" si="4"/>
        <v>3.6850800000000001</v>
      </c>
      <c r="M18" s="25">
        <f t="shared" si="5"/>
        <v>7.0753535999999997</v>
      </c>
      <c r="N18" s="24">
        <f t="shared" si="11"/>
        <v>0.15</v>
      </c>
      <c r="O18" s="21">
        <f t="shared" si="6"/>
        <v>0.76</v>
      </c>
      <c r="P18" s="43">
        <f t="shared" si="0"/>
        <v>6.2616879359999995</v>
      </c>
      <c r="Q18" s="19">
        <v>4.8213249839999994</v>
      </c>
      <c r="R18" s="18">
        <f t="shared" si="7"/>
        <v>0.2987483641488542</v>
      </c>
      <c r="S18" s="18"/>
      <c r="T18" s="18"/>
      <c r="U18" s="18" t="s">
        <v>135</v>
      </c>
    </row>
    <row r="19" spans="1:25" ht="29.25" thickBot="1">
      <c r="A19" s="25" t="s">
        <v>103</v>
      </c>
      <c r="B19" s="25" t="s">
        <v>101</v>
      </c>
      <c r="C19" s="24">
        <f t="shared" si="1"/>
        <v>1.9900000000000002</v>
      </c>
      <c r="D19" s="21">
        <f t="shared" si="8"/>
        <v>1.92</v>
      </c>
      <c r="E19" s="24">
        <f t="shared" si="12"/>
        <v>0</v>
      </c>
      <c r="F19" s="24">
        <f t="shared" si="12"/>
        <v>0</v>
      </c>
      <c r="G19" s="24">
        <f t="shared" si="12"/>
        <v>0.25</v>
      </c>
      <c r="H19" s="26">
        <v>2</v>
      </c>
      <c r="I19" s="26">
        <v>1</v>
      </c>
      <c r="J19" s="26"/>
      <c r="K19" s="25">
        <f t="shared" si="3"/>
        <v>1.4905100000000002</v>
      </c>
      <c r="L19" s="25">
        <f t="shared" si="4"/>
        <v>4.4715300000000004</v>
      </c>
      <c r="M19" s="25">
        <f t="shared" si="5"/>
        <v>8.5853376000000008</v>
      </c>
      <c r="N19" s="24">
        <f t="shared" si="11"/>
        <v>0.15</v>
      </c>
      <c r="O19" s="21">
        <f t="shared" si="6"/>
        <v>0.52</v>
      </c>
      <c r="P19" s="43">
        <f t="shared" si="0"/>
        <v>6.6107099520000006</v>
      </c>
      <c r="Q19" s="19">
        <v>5.2764312404999991</v>
      </c>
      <c r="R19" s="18">
        <f t="shared" si="7"/>
        <v>0.25287522014094588</v>
      </c>
      <c r="S19" s="18"/>
      <c r="T19" s="18"/>
      <c r="U19" s="18"/>
    </row>
    <row r="20" spans="1:25" ht="29.25" thickBot="1">
      <c r="A20" s="25" t="s">
        <v>134</v>
      </c>
      <c r="B20" s="25" t="s">
        <v>101</v>
      </c>
      <c r="C20" s="24">
        <f t="shared" si="1"/>
        <v>1.6400000000000001</v>
      </c>
      <c r="D20" s="21">
        <f t="shared" ref="D20" si="13">$D$2+F20+I20*$X$2+IF(OR(A20 = "Rage", A20 = "Rage+Blade"), 0.4, 0)</f>
        <v>2.3199999999999998</v>
      </c>
      <c r="E20" s="24">
        <f t="shared" si="12"/>
        <v>0</v>
      </c>
      <c r="F20" s="24">
        <f t="shared" si="12"/>
        <v>0</v>
      </c>
      <c r="G20" s="24">
        <f t="shared" si="12"/>
        <v>0.25</v>
      </c>
      <c r="H20" s="26">
        <v>2</v>
      </c>
      <c r="I20" s="26">
        <v>1</v>
      </c>
      <c r="J20" s="26"/>
      <c r="K20" s="25">
        <f t="shared" si="3"/>
        <v>1.2283600000000001</v>
      </c>
      <c r="L20" s="25">
        <f t="shared" si="4"/>
        <v>3.6850800000000001</v>
      </c>
      <c r="M20" s="25">
        <f t="shared" si="5"/>
        <v>8.549385599999999</v>
      </c>
      <c r="N20" s="24">
        <f t="shared" si="11"/>
        <v>0.15</v>
      </c>
      <c r="O20" s="21">
        <f t="shared" ref="O20" si="14">IF(N20+G20+J20*$Y$2+IF(OR(A20 = "Blade", A20 = "Fatal+Blade", A20 = "Status+Blade", A20 = "Rage+Blade"), 0.12, IF(A20 = "2xBlade", 0.24, IF(A20 = "3xBlade", 0.36,0)))&gt;1, 1, N20+G20+J20*$Y$2+IF(OR(A20 = "Blade", A20 = "Fatal+Blade", A20 = "Status+Blade", A20 = "Rage+Blade"), 0.12, IF(A20 = "2xBlade", 0.24, IF(A20 = "3xBlade", 0.36,0))))</f>
        <v>0.52</v>
      </c>
      <c r="P20" s="43">
        <f t="shared" si="0"/>
        <v>6.214518912</v>
      </c>
      <c r="Q20" s="19">
        <v>4.7883210480000002</v>
      </c>
      <c r="R20" s="18">
        <f t="shared" si="7"/>
        <v>0.29784925649371363</v>
      </c>
      <c r="S20" s="18"/>
      <c r="T20" s="18"/>
      <c r="U20" s="18" t="s">
        <v>108</v>
      </c>
    </row>
    <row r="21" spans="1:25" ht="15" thickBot="1">
      <c r="A21" s="25" t="s">
        <v>100</v>
      </c>
      <c r="B21" s="25" t="s">
        <v>96</v>
      </c>
      <c r="C21" s="24">
        <f t="shared" si="1"/>
        <v>1.9900000000000002</v>
      </c>
      <c r="D21" s="21">
        <f t="shared" si="8"/>
        <v>1.5</v>
      </c>
      <c r="E21" s="24">
        <f>E17</f>
        <v>0</v>
      </c>
      <c r="F21" s="24">
        <f>F17</f>
        <v>0</v>
      </c>
      <c r="G21" s="24">
        <f>G17</f>
        <v>0.25</v>
      </c>
      <c r="H21" s="26">
        <v>2</v>
      </c>
      <c r="I21" s="26"/>
      <c r="J21" s="26">
        <v>1</v>
      </c>
      <c r="K21" s="25">
        <f t="shared" si="3"/>
        <v>1.4905100000000002</v>
      </c>
      <c r="L21" s="25">
        <f t="shared" si="4"/>
        <v>4.4715300000000004</v>
      </c>
      <c r="M21" s="25">
        <f t="shared" si="5"/>
        <v>6.7072950000000002</v>
      </c>
      <c r="N21" s="24">
        <f>N17</f>
        <v>0.15</v>
      </c>
      <c r="O21" s="21">
        <f t="shared" si="6"/>
        <v>0.71</v>
      </c>
      <c r="P21" s="43">
        <f t="shared" si="0"/>
        <v>6.05892315</v>
      </c>
      <c r="Q21" s="19">
        <v>5.0477731499999994</v>
      </c>
      <c r="R21" s="18">
        <f t="shared" si="7"/>
        <v>0.20031605421887888</v>
      </c>
      <c r="S21" s="18"/>
      <c r="T21" s="18"/>
      <c r="U21" s="18"/>
    </row>
    <row r="22" spans="1:25" ht="15" thickBot="1">
      <c r="A22" s="25" t="s">
        <v>99</v>
      </c>
      <c r="B22" s="25" t="s">
        <v>96</v>
      </c>
      <c r="C22" s="24">
        <f t="shared" si="1"/>
        <v>1.6400000000000001</v>
      </c>
      <c r="D22" s="21">
        <f t="shared" si="8"/>
        <v>1.9</v>
      </c>
      <c r="E22" s="24">
        <f t="shared" ref="E22:G27" si="15">E21</f>
        <v>0</v>
      </c>
      <c r="F22" s="24">
        <f t="shared" si="15"/>
        <v>0</v>
      </c>
      <c r="G22" s="24">
        <f t="shared" si="15"/>
        <v>0.25</v>
      </c>
      <c r="H22" s="26">
        <v>2</v>
      </c>
      <c r="I22" s="26"/>
      <c r="J22" s="26">
        <v>1</v>
      </c>
      <c r="K22" s="25">
        <f t="shared" si="3"/>
        <v>1.2283600000000001</v>
      </c>
      <c r="L22" s="25">
        <f t="shared" si="4"/>
        <v>3.6850800000000001</v>
      </c>
      <c r="M22" s="25">
        <f t="shared" si="5"/>
        <v>7.001652</v>
      </c>
      <c r="N22" s="24">
        <f t="shared" ref="N22:N27" si="16">N21</f>
        <v>0.15</v>
      </c>
      <c r="O22" s="21">
        <f t="shared" si="6"/>
        <v>0.71</v>
      </c>
      <c r="P22" s="43">
        <f t="shared" si="0"/>
        <v>6.03984612</v>
      </c>
      <c r="Q22" s="19">
        <v>4.7208571199999998</v>
      </c>
      <c r="R22" s="18">
        <f t="shared" si="7"/>
        <v>0.27939608559896434</v>
      </c>
      <c r="S22" s="18"/>
      <c r="T22" s="18"/>
      <c r="U22" s="18"/>
    </row>
    <row r="23" spans="1:25" ht="15" thickBot="1">
      <c r="A23" s="25" t="s">
        <v>98</v>
      </c>
      <c r="B23" s="25" t="s">
        <v>96</v>
      </c>
      <c r="C23" s="24">
        <f t="shared" si="1"/>
        <v>1.6400000000000001</v>
      </c>
      <c r="D23" s="21">
        <f t="shared" si="8"/>
        <v>1.5</v>
      </c>
      <c r="E23" s="24">
        <f t="shared" si="15"/>
        <v>0</v>
      </c>
      <c r="F23" s="24">
        <f t="shared" si="15"/>
        <v>0</v>
      </c>
      <c r="G23" s="24">
        <f t="shared" si="15"/>
        <v>0.25</v>
      </c>
      <c r="H23" s="26">
        <v>2</v>
      </c>
      <c r="I23" s="26"/>
      <c r="J23" s="26">
        <v>1</v>
      </c>
      <c r="K23" s="25">
        <f t="shared" si="3"/>
        <v>1.2283600000000001</v>
      </c>
      <c r="L23" s="25">
        <f t="shared" si="4"/>
        <v>3.6850800000000001</v>
      </c>
      <c r="M23" s="25">
        <f t="shared" si="5"/>
        <v>5.5276200000000006</v>
      </c>
      <c r="N23" s="24">
        <f t="shared" si="16"/>
        <v>0.15</v>
      </c>
      <c r="O23" s="21">
        <f>N23+0.12</f>
        <v>0.27</v>
      </c>
      <c r="P23" s="43">
        <f t="shared" si="0"/>
        <v>4.1825658000000008</v>
      </c>
      <c r="Q23" s="19">
        <v>4.2549191999999998</v>
      </c>
      <c r="R23" s="18">
        <f t="shared" si="7"/>
        <v>-1.7004647232783832E-2</v>
      </c>
      <c r="S23" s="18"/>
      <c r="T23" s="18"/>
      <c r="U23" s="18"/>
    </row>
    <row r="24" spans="1:25" ht="15" thickBot="1">
      <c r="A24" s="25" t="s">
        <v>97</v>
      </c>
      <c r="B24" s="25" t="s">
        <v>96</v>
      </c>
      <c r="C24" s="24">
        <f t="shared" si="1"/>
        <v>1.6400000000000001</v>
      </c>
      <c r="D24" s="21">
        <f t="shared" si="8"/>
        <v>1.5</v>
      </c>
      <c r="E24" s="24">
        <f t="shared" si="15"/>
        <v>0</v>
      </c>
      <c r="F24" s="24">
        <f t="shared" si="15"/>
        <v>0</v>
      </c>
      <c r="G24" s="24">
        <f t="shared" si="15"/>
        <v>0.25</v>
      </c>
      <c r="H24" s="26">
        <v>2</v>
      </c>
      <c r="I24" s="26"/>
      <c r="J24" s="26">
        <v>1</v>
      </c>
      <c r="K24" s="25">
        <f t="shared" si="3"/>
        <v>1.2283600000000001</v>
      </c>
      <c r="L24" s="25">
        <f t="shared" si="4"/>
        <v>3.6850800000000001</v>
      </c>
      <c r="M24" s="25">
        <f t="shared" si="5"/>
        <v>5.5276200000000006</v>
      </c>
      <c r="N24" s="24">
        <f t="shared" si="16"/>
        <v>0.15</v>
      </c>
      <c r="O24" s="21">
        <f>N24+G24+J24*$Y$2+0.24</f>
        <v>0.95</v>
      </c>
      <c r="P24" s="43">
        <f t="shared" si="0"/>
        <v>5.4354930000000001</v>
      </c>
      <c r="Q24" s="19">
        <v>4.4490599999999993</v>
      </c>
      <c r="R24" s="18">
        <f t="shared" si="7"/>
        <v>0.22171717171717198</v>
      </c>
      <c r="S24" s="18"/>
      <c r="T24" s="18"/>
      <c r="U24" s="18"/>
    </row>
    <row r="25" spans="1:25" ht="15" thickBot="1">
      <c r="A25" s="25" t="s">
        <v>104</v>
      </c>
      <c r="B25" s="25" t="s">
        <v>96</v>
      </c>
      <c r="C25" s="24">
        <f t="shared" si="1"/>
        <v>1.6400000000000001</v>
      </c>
      <c r="D25" s="21">
        <f t="shared" si="8"/>
        <v>1.5</v>
      </c>
      <c r="E25" s="24">
        <f t="shared" si="15"/>
        <v>0</v>
      </c>
      <c r="F25" s="24">
        <f t="shared" si="15"/>
        <v>0</v>
      </c>
      <c r="G25" s="24">
        <f t="shared" si="15"/>
        <v>0.25</v>
      </c>
      <c r="H25" s="26">
        <v>2</v>
      </c>
      <c r="I25" s="26">
        <v>0</v>
      </c>
      <c r="J25" s="26">
        <v>1</v>
      </c>
      <c r="K25" s="25">
        <f t="shared" si="3"/>
        <v>1.2283600000000001</v>
      </c>
      <c r="L25" s="25">
        <f t="shared" si="4"/>
        <v>3.6850800000000001</v>
      </c>
      <c r="M25" s="25">
        <f t="shared" si="5"/>
        <v>5.5276200000000006</v>
      </c>
      <c r="N25" s="24">
        <f t="shared" si="16"/>
        <v>0.15</v>
      </c>
      <c r="O25" s="21">
        <f>N25+G25+J25*$Y$2+0.36</f>
        <v>1.0699999999999998</v>
      </c>
      <c r="P25" s="43">
        <f t="shared" si="0"/>
        <v>5.6565978000000001</v>
      </c>
      <c r="Q25" s="19">
        <v>4.6432007999999989</v>
      </c>
      <c r="R25" s="18">
        <f t="shared" si="7"/>
        <v>0.21825396825396859</v>
      </c>
      <c r="S25" s="18"/>
      <c r="T25" s="18"/>
      <c r="U25" s="18"/>
    </row>
    <row r="26" spans="1:25" ht="29.25" thickBot="1">
      <c r="A26" s="25" t="s">
        <v>103</v>
      </c>
      <c r="B26" s="25" t="s">
        <v>96</v>
      </c>
      <c r="C26" s="24">
        <f t="shared" si="1"/>
        <v>1.9900000000000002</v>
      </c>
      <c r="D26" s="21">
        <f t="shared" si="8"/>
        <v>1.5</v>
      </c>
      <c r="E26" s="24">
        <f t="shared" si="15"/>
        <v>0</v>
      </c>
      <c r="F26" s="24">
        <f t="shared" si="15"/>
        <v>0</v>
      </c>
      <c r="G26" s="24">
        <f t="shared" si="15"/>
        <v>0.25</v>
      </c>
      <c r="H26" s="26">
        <v>2</v>
      </c>
      <c r="I26" s="26">
        <v>0</v>
      </c>
      <c r="J26" s="26">
        <v>1</v>
      </c>
      <c r="K26" s="25">
        <f t="shared" si="3"/>
        <v>1.4905100000000002</v>
      </c>
      <c r="L26" s="25">
        <f t="shared" si="4"/>
        <v>4.4715300000000004</v>
      </c>
      <c r="M26" s="25">
        <f t="shared" si="5"/>
        <v>6.7072950000000002</v>
      </c>
      <c r="N26" s="24">
        <f t="shared" si="16"/>
        <v>0.15</v>
      </c>
      <c r="O26" s="21">
        <f>N26+G26+J26*$Y$2+0.12</f>
        <v>0.83</v>
      </c>
      <c r="P26" s="43">
        <f t="shared" si="0"/>
        <v>6.3272149500000001</v>
      </c>
      <c r="Q26" s="19">
        <v>5.2891009499999999</v>
      </c>
      <c r="R26" s="18">
        <f t="shared" si="7"/>
        <v>0.19627418909446237</v>
      </c>
      <c r="S26" s="18"/>
      <c r="T26" s="18"/>
      <c r="U26" s="18"/>
      <c r="X26" t="s">
        <v>94</v>
      </c>
      <c r="Y26" t="s">
        <v>95</v>
      </c>
    </row>
    <row r="27" spans="1:25" ht="29.25" thickBot="1">
      <c r="A27" s="25" t="s">
        <v>134</v>
      </c>
      <c r="B27" s="25" t="s">
        <v>96</v>
      </c>
      <c r="C27" s="24">
        <f t="shared" si="1"/>
        <v>1.6400000000000001</v>
      </c>
      <c r="D27" s="21">
        <f t="shared" ref="D27" si="17">$D$2+F27+I27*$X$2+IF(OR(A27 = "Rage", A27 = "Rage+Blade"), 0.4, 0)</f>
        <v>1.9</v>
      </c>
      <c r="E27" s="24">
        <f t="shared" si="15"/>
        <v>0</v>
      </c>
      <c r="F27" s="24">
        <f t="shared" si="15"/>
        <v>0</v>
      </c>
      <c r="G27" s="24">
        <f t="shared" si="15"/>
        <v>0.25</v>
      </c>
      <c r="H27" s="26">
        <v>2</v>
      </c>
      <c r="I27" s="26">
        <v>0</v>
      </c>
      <c r="J27" s="26">
        <v>1</v>
      </c>
      <c r="K27" s="25">
        <f t="shared" si="3"/>
        <v>1.2283600000000001</v>
      </c>
      <c r="L27" s="25">
        <f t="shared" si="4"/>
        <v>3.6850800000000001</v>
      </c>
      <c r="M27" s="25">
        <f t="shared" si="5"/>
        <v>7.001652</v>
      </c>
      <c r="N27" s="24">
        <f t="shared" si="16"/>
        <v>0.15</v>
      </c>
      <c r="O27" s="21">
        <f>N27+G27+J27*$Y$2+0.12</f>
        <v>0.83</v>
      </c>
      <c r="P27" s="43">
        <f t="shared" si="0"/>
        <v>6.4378347599999994</v>
      </c>
      <c r="Q27" s="19">
        <v>5.0703105600000002</v>
      </c>
      <c r="R27" s="18">
        <f t="shared" si="7"/>
        <v>0.26971211798908024</v>
      </c>
      <c r="S27" s="18"/>
      <c r="T27" s="18"/>
      <c r="U27" s="18"/>
      <c r="W27" t="s">
        <v>94</v>
      </c>
      <c r="X27" t="s">
        <v>29</v>
      </c>
    </row>
    <row r="28" spans="1:25" ht="15" thickBot="1">
      <c r="A28" s="25"/>
      <c r="B28" s="25"/>
      <c r="C28" s="24"/>
      <c r="D28" s="24"/>
      <c r="E28" s="24"/>
      <c r="F28" s="24"/>
      <c r="G28" s="24"/>
      <c r="H28" s="26"/>
      <c r="I28" s="26"/>
      <c r="J28" s="10"/>
      <c r="K28" s="25"/>
      <c r="L28" s="25"/>
      <c r="M28" s="25"/>
      <c r="N28" s="24"/>
      <c r="O28" s="24"/>
      <c r="P28" s="20"/>
      <c r="Q28" s="19"/>
      <c r="R28" s="18"/>
      <c r="S28" s="18"/>
      <c r="T28" s="18"/>
      <c r="U28" s="18"/>
      <c r="W28" t="s">
        <v>93</v>
      </c>
      <c r="X28" s="15">
        <v>0.03</v>
      </c>
      <c r="Y28" s="15">
        <v>0.02</v>
      </c>
    </row>
    <row r="29" spans="1:25" ht="15" thickBot="1">
      <c r="A29" s="22"/>
      <c r="B29" s="22"/>
      <c r="C29" s="21"/>
      <c r="D29" s="21"/>
      <c r="E29" s="21"/>
      <c r="F29" s="21"/>
      <c r="G29" s="21"/>
      <c r="H29" s="23"/>
      <c r="I29" s="23"/>
      <c r="K29" s="22"/>
      <c r="L29" s="22"/>
      <c r="M29" s="22"/>
      <c r="N29" s="21"/>
      <c r="O29" s="21"/>
      <c r="P29" s="20"/>
      <c r="Q29" s="19"/>
      <c r="R29" s="18"/>
      <c r="S29" s="18"/>
      <c r="T29" s="18"/>
      <c r="U29" s="18"/>
      <c r="W29" t="s">
        <v>92</v>
      </c>
      <c r="X29" s="15">
        <v>0.03</v>
      </c>
      <c r="Y29" s="15">
        <v>0.02</v>
      </c>
    </row>
    <row r="30" spans="1:25" ht="15" thickBot="1">
      <c r="A30" s="22"/>
      <c r="B30" s="22"/>
      <c r="C30" s="21"/>
      <c r="D30" s="21"/>
      <c r="E30" s="21"/>
      <c r="F30" s="21"/>
      <c r="G30" s="21"/>
      <c r="H30" s="23"/>
      <c r="I30" s="23"/>
      <c r="K30" s="22"/>
      <c r="L30" s="22"/>
      <c r="M30" s="22"/>
      <c r="N30" s="21"/>
      <c r="O30" s="21"/>
      <c r="P30" s="20"/>
      <c r="Q30" s="19"/>
      <c r="R30" s="18"/>
      <c r="S30" s="18"/>
      <c r="T30" s="18"/>
      <c r="U30" s="18"/>
      <c r="W30" t="s">
        <v>91</v>
      </c>
      <c r="X30" t="s">
        <v>90</v>
      </c>
      <c r="Y30" s="15">
        <v>0.06</v>
      </c>
    </row>
    <row r="31" spans="1:25" ht="15" thickBot="1">
      <c r="A31" s="22"/>
      <c r="B31" s="22"/>
      <c r="C31" s="21"/>
      <c r="D31" s="21"/>
      <c r="E31" s="21"/>
      <c r="F31" s="21"/>
      <c r="G31" s="21"/>
      <c r="H31" s="23"/>
      <c r="I31" s="23"/>
      <c r="K31" s="22"/>
      <c r="L31" s="22"/>
      <c r="M31" s="22"/>
      <c r="N31" s="21"/>
      <c r="O31" s="21"/>
      <c r="P31" s="20"/>
      <c r="Q31" s="19"/>
      <c r="R31" s="18"/>
      <c r="S31" s="18"/>
      <c r="T31" s="18"/>
      <c r="U31" s="18"/>
    </row>
    <row r="32" spans="1:25" ht="15" thickBot="1">
      <c r="A32" s="22"/>
      <c r="B32" s="22"/>
      <c r="C32" s="21"/>
      <c r="D32" s="21"/>
      <c r="E32" s="21"/>
      <c r="F32" s="21"/>
      <c r="G32" s="21"/>
      <c r="H32" s="23"/>
      <c r="I32" s="23"/>
      <c r="K32" s="22"/>
      <c r="L32" s="22"/>
      <c r="M32" s="22"/>
      <c r="N32" s="21"/>
      <c r="O32" s="21"/>
      <c r="P32" s="20"/>
      <c r="Q32" s="19"/>
      <c r="R32" s="18"/>
      <c r="S32" s="18"/>
      <c r="T32" s="18"/>
      <c r="U32" s="18"/>
    </row>
    <row r="33" spans="1:21" ht="15" thickBot="1">
      <c r="A33" s="22"/>
      <c r="B33" s="22"/>
      <c r="C33" s="21"/>
      <c r="D33" s="21"/>
      <c r="E33" s="21"/>
      <c r="F33" s="21"/>
      <c r="G33" s="21"/>
      <c r="H33" s="23"/>
      <c r="I33" s="23"/>
      <c r="K33" s="22"/>
      <c r="L33" s="22"/>
      <c r="M33" s="22"/>
      <c r="N33" s="21"/>
      <c r="O33" s="21"/>
      <c r="P33" s="20"/>
      <c r="Q33" s="19"/>
      <c r="R33" s="18"/>
      <c r="S33" s="18"/>
      <c r="T33" s="18"/>
      <c r="U33" s="18"/>
    </row>
    <row r="34" spans="1:21" ht="15" thickBot="1">
      <c r="A34" s="22"/>
      <c r="B34" s="22"/>
      <c r="C34" s="21"/>
      <c r="D34" s="21"/>
      <c r="E34" s="21"/>
      <c r="F34" s="21"/>
      <c r="G34" s="21"/>
      <c r="H34" s="23"/>
      <c r="I34" s="23"/>
      <c r="K34" s="22"/>
      <c r="L34" s="22"/>
      <c r="M34" s="22"/>
      <c r="N34" s="21"/>
      <c r="O34" s="21"/>
      <c r="P34" s="20"/>
      <c r="Q34" s="19"/>
      <c r="R34" s="18"/>
      <c r="S34" s="18"/>
      <c r="T34" s="18"/>
      <c r="U34" s="18"/>
    </row>
    <row r="35" spans="1:21" ht="15" thickBot="1">
      <c r="A35" s="22"/>
      <c r="B35" s="22"/>
      <c r="C35" s="21"/>
      <c r="D35" s="21"/>
      <c r="E35" s="21"/>
      <c r="F35" s="21"/>
      <c r="G35" s="21"/>
      <c r="H35" s="23"/>
      <c r="I35" s="23"/>
      <c r="K35" s="22"/>
      <c r="L35" s="22"/>
      <c r="M35" s="22"/>
      <c r="N35" s="21"/>
      <c r="O35" s="21"/>
      <c r="P35" s="20"/>
      <c r="Q35" s="19"/>
      <c r="R35" s="18"/>
      <c r="S35" s="18"/>
      <c r="T35" s="18"/>
      <c r="U35" s="18"/>
    </row>
    <row r="36" spans="1:21" ht="15" thickBot="1">
      <c r="A36" s="22"/>
      <c r="B36" s="22"/>
      <c r="C36" s="21"/>
      <c r="D36" s="21"/>
      <c r="E36" s="21"/>
      <c r="F36" s="21"/>
      <c r="G36" s="21"/>
      <c r="H36" s="23"/>
      <c r="I36" s="23"/>
      <c r="K36" s="22"/>
      <c r="L36" s="22"/>
      <c r="M36" s="22"/>
      <c r="N36" s="21"/>
      <c r="O36" s="21"/>
      <c r="P36" s="20"/>
      <c r="Q36" s="19"/>
      <c r="R36" s="18"/>
      <c r="S36" s="18"/>
      <c r="T36" s="18"/>
      <c r="U36" s="18"/>
    </row>
    <row r="37" spans="1:21" ht="15" thickBot="1">
      <c r="A37" s="22"/>
      <c r="B37" s="22"/>
      <c r="C37" s="21"/>
      <c r="D37" s="21"/>
      <c r="E37" s="21"/>
      <c r="F37" s="21"/>
      <c r="G37" s="21"/>
      <c r="H37" s="23"/>
      <c r="I37" s="23"/>
      <c r="K37" s="22"/>
      <c r="L37" s="22"/>
      <c r="M37" s="22"/>
      <c r="N37" s="21"/>
      <c r="O37" s="21"/>
      <c r="P37" s="20"/>
      <c r="Q37" s="19"/>
      <c r="R37" s="18"/>
      <c r="S37" s="18"/>
      <c r="T37" s="18"/>
      <c r="U37" s="18"/>
    </row>
    <row r="38" spans="1:21" ht="15" thickBot="1">
      <c r="A38" s="22"/>
      <c r="B38" s="22"/>
      <c r="C38" s="21"/>
      <c r="D38" s="21"/>
      <c r="E38" s="21"/>
      <c r="F38" s="21"/>
      <c r="G38" s="21"/>
      <c r="H38" s="23"/>
      <c r="I38" s="23"/>
      <c r="K38" s="22"/>
      <c r="L38" s="22"/>
      <c r="M38" s="22"/>
      <c r="N38" s="21"/>
      <c r="O38" s="21"/>
      <c r="P38" s="20"/>
      <c r="Q38" s="19"/>
      <c r="R38" s="18"/>
      <c r="S38" s="18"/>
      <c r="T38" s="18"/>
      <c r="U38" s="18"/>
    </row>
    <row r="39" spans="1:21" ht="15" thickBot="1">
      <c r="A39" s="22"/>
      <c r="B39" s="22"/>
      <c r="C39" s="21"/>
      <c r="D39" s="21"/>
      <c r="E39" s="21"/>
      <c r="F39" s="21"/>
      <c r="G39" s="21"/>
      <c r="H39" s="23"/>
      <c r="I39" s="23"/>
      <c r="K39" s="22"/>
      <c r="L39" s="22"/>
      <c r="M39" s="22"/>
      <c r="N39" s="21"/>
      <c r="O39" s="21"/>
      <c r="P39" s="20"/>
      <c r="Q39" s="19"/>
      <c r="R39" s="18"/>
      <c r="S39" s="18"/>
      <c r="T39" s="18"/>
      <c r="U39" s="18"/>
    </row>
    <row r="40" spans="1:21" ht="15" thickBot="1">
      <c r="A40" s="22"/>
      <c r="B40" s="22"/>
      <c r="C40" s="21"/>
      <c r="D40" s="21"/>
      <c r="E40" s="21"/>
      <c r="F40" s="21"/>
      <c r="G40" s="21"/>
      <c r="H40" s="23"/>
      <c r="I40" s="23"/>
      <c r="K40" s="22"/>
      <c r="L40" s="22"/>
      <c r="M40" s="22"/>
      <c r="N40" s="21"/>
      <c r="O40" s="21"/>
      <c r="P40" s="20"/>
      <c r="Q40" s="19"/>
      <c r="R40" s="18"/>
      <c r="S40" s="18"/>
      <c r="T40" s="18"/>
      <c r="U40" s="18"/>
    </row>
    <row r="41" spans="1:21" ht="15" thickBot="1">
      <c r="A41" s="22"/>
      <c r="B41" s="22"/>
      <c r="C41" s="21"/>
      <c r="D41" s="21"/>
      <c r="E41" s="21"/>
      <c r="F41" s="21"/>
      <c r="G41" s="21"/>
      <c r="H41" s="23"/>
      <c r="I41" s="23"/>
      <c r="K41" s="22"/>
      <c r="L41" s="22"/>
      <c r="M41" s="22"/>
      <c r="N41" s="21"/>
      <c r="O41" s="21"/>
      <c r="P41" s="20"/>
      <c r="Q41" s="19"/>
      <c r="R41" s="18"/>
      <c r="S41" s="18"/>
      <c r="T41" s="18"/>
      <c r="U41" s="18"/>
    </row>
    <row r="42" spans="1:21" ht="15" thickBot="1">
      <c r="A42" s="22"/>
      <c r="B42" s="22"/>
      <c r="C42" s="21"/>
      <c r="D42" s="21"/>
      <c r="E42" s="21"/>
      <c r="F42" s="21"/>
      <c r="G42" s="21"/>
      <c r="H42" s="23"/>
      <c r="I42" s="23"/>
      <c r="K42" s="22"/>
      <c r="L42" s="22"/>
      <c r="M42" s="22"/>
      <c r="N42" s="21"/>
      <c r="O42" s="21"/>
      <c r="P42" s="20"/>
      <c r="Q42" s="19"/>
      <c r="R42" s="18"/>
      <c r="S42" s="18"/>
      <c r="T42" s="18"/>
      <c r="U42" s="18"/>
    </row>
    <row r="43" spans="1:21" ht="15" thickBot="1">
      <c r="A43" s="22"/>
      <c r="B43" s="22"/>
      <c r="C43" s="21"/>
      <c r="D43" s="21"/>
      <c r="E43" s="21"/>
      <c r="F43" s="21"/>
      <c r="G43" s="21"/>
      <c r="H43" s="23"/>
      <c r="I43" s="23"/>
      <c r="K43" s="22"/>
      <c r="L43" s="22"/>
      <c r="M43" s="22"/>
      <c r="N43" s="21"/>
      <c r="O43" s="21"/>
      <c r="P43" s="20"/>
      <c r="Q43" s="19"/>
      <c r="R43" s="18"/>
      <c r="S43" s="18"/>
      <c r="T43" s="18"/>
      <c r="U43" s="18"/>
    </row>
    <row r="44" spans="1:21" ht="15" thickBot="1">
      <c r="A44" s="22"/>
      <c r="B44" s="22"/>
      <c r="C44" s="21"/>
      <c r="D44" s="21"/>
      <c r="E44" s="21"/>
      <c r="F44" s="21"/>
      <c r="G44" s="21"/>
      <c r="H44" s="23"/>
      <c r="I44" s="23"/>
      <c r="K44" s="22"/>
      <c r="L44" s="22"/>
      <c r="M44" s="22"/>
      <c r="N44" s="21"/>
      <c r="O44" s="21"/>
      <c r="P44" s="20"/>
      <c r="Q44" s="19"/>
      <c r="R44" s="18"/>
      <c r="S44" s="18"/>
      <c r="T44" s="18"/>
      <c r="U44" s="18"/>
    </row>
    <row r="45" spans="1:21" ht="15" thickBot="1">
      <c r="A45" s="22"/>
      <c r="B45" s="22"/>
      <c r="C45" s="21"/>
      <c r="D45" s="21"/>
      <c r="E45" s="21"/>
      <c r="F45" s="21"/>
      <c r="G45" s="21"/>
      <c r="H45" s="23"/>
      <c r="I45" s="23"/>
      <c r="K45" s="22"/>
      <c r="L45" s="22"/>
      <c r="M45" s="22"/>
      <c r="N45" s="21"/>
      <c r="O45" s="21"/>
      <c r="P45" s="20"/>
      <c r="Q45" s="19"/>
      <c r="R45" s="18"/>
      <c r="S45" s="18"/>
      <c r="T45" s="18"/>
      <c r="U45" s="18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L37"/>
  <sheetViews>
    <sheetView topLeftCell="D1" workbookViewId="0">
      <selection activeCell="G39" sqref="G39"/>
    </sheetView>
  </sheetViews>
  <sheetFormatPr defaultRowHeight="14.25"/>
  <cols>
    <col min="1" max="1" width="17" bestFit="1" customWidth="1"/>
    <col min="2" max="2" width="19.375" bestFit="1" customWidth="1"/>
    <col min="3" max="3" width="18" bestFit="1" customWidth="1"/>
    <col min="4" max="4" width="21.25" bestFit="1" customWidth="1"/>
    <col min="5" max="5" width="13.625" bestFit="1" customWidth="1"/>
    <col min="7" max="7" width="20.5" customWidth="1"/>
    <col min="8" max="8" width="16.75" customWidth="1"/>
    <col min="9" max="9" width="6" customWidth="1"/>
    <col min="10" max="10" width="7.125" customWidth="1"/>
    <col min="11" max="11" width="12.625" customWidth="1"/>
    <col min="12" max="13" width="14.125" customWidth="1"/>
    <col min="14" max="14" width="18.75" bestFit="1" customWidth="1"/>
    <col min="15" max="15" width="20.5" bestFit="1" customWidth="1"/>
    <col min="16" max="16" width="18.75" bestFit="1" customWidth="1"/>
    <col min="17" max="17" width="20.5" customWidth="1"/>
    <col min="18" max="18" width="26" customWidth="1"/>
    <col min="19" max="19" width="27.75" customWidth="1"/>
    <col min="20" max="20" width="11.375" customWidth="1"/>
    <col min="21" max="21" width="6.5" customWidth="1"/>
    <col min="22" max="22" width="6" customWidth="1"/>
    <col min="23" max="23" width="14.125" bestFit="1" customWidth="1"/>
    <col min="24" max="24" width="10.375" customWidth="1"/>
    <col min="25" max="25" width="14.125" bestFit="1" customWidth="1"/>
    <col min="26" max="26" width="14.875" bestFit="1" customWidth="1"/>
    <col min="27" max="28" width="6" customWidth="1"/>
    <col min="29" max="29" width="7.125" customWidth="1"/>
    <col min="30" max="30" width="18.625" bestFit="1" customWidth="1"/>
    <col min="31" max="31" width="8.875" customWidth="1"/>
    <col min="32" max="32" width="12.5" bestFit="1" customWidth="1"/>
    <col min="33" max="33" width="14.125" bestFit="1" customWidth="1"/>
  </cols>
  <sheetData>
    <row r="3" spans="1:12">
      <c r="B3" s="11" t="s">
        <v>76</v>
      </c>
      <c r="G3" s="11" t="s">
        <v>173</v>
      </c>
      <c r="H3" s="11" t="s">
        <v>172</v>
      </c>
    </row>
    <row r="4" spans="1:12">
      <c r="A4" s="11" t="s">
        <v>72</v>
      </c>
      <c r="B4" t="s">
        <v>75</v>
      </c>
      <c r="C4" t="s">
        <v>77</v>
      </c>
      <c r="D4" t="s">
        <v>78</v>
      </c>
      <c r="E4" t="s">
        <v>148</v>
      </c>
      <c r="G4" s="11" t="s">
        <v>72</v>
      </c>
      <c r="H4" t="s">
        <v>62</v>
      </c>
      <c r="I4" t="s">
        <v>36</v>
      </c>
      <c r="J4" t="s">
        <v>73</v>
      </c>
      <c r="K4" t="s">
        <v>175</v>
      </c>
      <c r="L4" t="s">
        <v>74</v>
      </c>
    </row>
    <row r="5" spans="1:12">
      <c r="A5" s="12" t="s">
        <v>68</v>
      </c>
      <c r="B5" s="1">
        <v>1486.0760869565217</v>
      </c>
      <c r="C5" s="1">
        <v>831.20652173913038</v>
      </c>
      <c r="D5" s="15">
        <v>0.85869565217391308</v>
      </c>
      <c r="E5" s="49">
        <v>27</v>
      </c>
      <c r="G5" s="12" t="s">
        <v>33</v>
      </c>
      <c r="H5" s="49">
        <v>5</v>
      </c>
      <c r="I5" s="49">
        <v>24</v>
      </c>
      <c r="J5" s="49">
        <v>61</v>
      </c>
      <c r="K5" s="49">
        <v>1</v>
      </c>
      <c r="L5" s="49">
        <v>91</v>
      </c>
    </row>
    <row r="6" spans="1:12">
      <c r="A6" s="13" t="s">
        <v>9</v>
      </c>
      <c r="B6" s="1">
        <v>1486.0760869565217</v>
      </c>
      <c r="C6" s="1">
        <v>831.20652173913038</v>
      </c>
      <c r="D6" s="15">
        <v>0.85869565217391308</v>
      </c>
      <c r="E6" s="49">
        <v>27</v>
      </c>
      <c r="G6" s="13" t="s">
        <v>32</v>
      </c>
      <c r="H6" s="49">
        <v>2</v>
      </c>
      <c r="I6" s="49">
        <v>1</v>
      </c>
      <c r="J6" s="49">
        <v>6</v>
      </c>
      <c r="K6" s="49">
        <v>1</v>
      </c>
      <c r="L6" s="49">
        <v>10</v>
      </c>
    </row>
    <row r="7" spans="1:12">
      <c r="A7" s="14">
        <v>1</v>
      </c>
      <c r="B7" s="1">
        <v>1473.5393258426966</v>
      </c>
      <c r="C7" s="1">
        <v>817.13483146067415</v>
      </c>
      <c r="D7" s="15">
        <v>0.88764044943820219</v>
      </c>
      <c r="E7" s="49">
        <v>27</v>
      </c>
      <c r="G7" s="14">
        <v>1</v>
      </c>
      <c r="H7" s="49">
        <v>2</v>
      </c>
      <c r="I7" s="49">
        <v>1</v>
      </c>
      <c r="J7" s="49">
        <v>5</v>
      </c>
      <c r="K7" s="49">
        <v>1</v>
      </c>
      <c r="L7" s="49">
        <v>9</v>
      </c>
    </row>
    <row r="8" spans="1:12">
      <c r="A8" s="14">
        <v>2</v>
      </c>
      <c r="B8" s="1">
        <v>2526</v>
      </c>
      <c r="C8" s="1">
        <v>866</v>
      </c>
      <c r="D8" s="15">
        <v>0</v>
      </c>
      <c r="E8" s="49"/>
      <c r="G8" s="14">
        <v>2</v>
      </c>
      <c r="H8" s="49"/>
      <c r="I8" s="49"/>
      <c r="J8" s="49">
        <v>1</v>
      </c>
      <c r="K8" s="49"/>
      <c r="L8" s="49">
        <v>1</v>
      </c>
    </row>
    <row r="9" spans="1:12">
      <c r="A9" s="14">
        <v>3</v>
      </c>
      <c r="B9" s="1">
        <v>1524</v>
      </c>
      <c r="C9" s="1">
        <v>1440</v>
      </c>
      <c r="D9" s="15">
        <v>0</v>
      </c>
      <c r="E9" s="49"/>
      <c r="G9" s="13" t="s">
        <v>9</v>
      </c>
      <c r="H9" s="49">
        <v>3</v>
      </c>
      <c r="I9" s="49">
        <v>23</v>
      </c>
      <c r="J9" s="49">
        <v>55</v>
      </c>
      <c r="K9" s="49"/>
      <c r="L9" s="49">
        <v>81</v>
      </c>
    </row>
    <row r="10" spans="1:12">
      <c r="A10" s="12" t="s">
        <v>33</v>
      </c>
      <c r="B10" s="1">
        <v>1400.3296703296703</v>
      </c>
      <c r="C10" s="1">
        <v>925.82222222222219</v>
      </c>
      <c r="D10" s="15">
        <v>0.8571428571428571</v>
      </c>
      <c r="E10" s="49">
        <v>30</v>
      </c>
      <c r="G10" s="14">
        <v>1</v>
      </c>
      <c r="H10" s="49">
        <v>3</v>
      </c>
      <c r="I10" s="49">
        <v>23</v>
      </c>
      <c r="J10" s="49">
        <v>55</v>
      </c>
      <c r="K10" s="49"/>
      <c r="L10" s="49">
        <v>81</v>
      </c>
    </row>
    <row r="11" spans="1:12">
      <c r="A11" s="13" t="s">
        <v>32</v>
      </c>
      <c r="B11" s="1">
        <v>1409.9</v>
      </c>
      <c r="C11" s="1">
        <v>1598.2</v>
      </c>
      <c r="D11" s="15">
        <v>0.7</v>
      </c>
      <c r="E11" s="49">
        <v>4</v>
      </c>
      <c r="G11" s="12" t="s">
        <v>74</v>
      </c>
      <c r="H11" s="49">
        <v>5</v>
      </c>
      <c r="I11" s="49">
        <v>24</v>
      </c>
      <c r="J11" s="49">
        <v>61</v>
      </c>
      <c r="K11" s="49">
        <v>1</v>
      </c>
      <c r="L11" s="49">
        <v>91</v>
      </c>
    </row>
    <row r="12" spans="1:12">
      <c r="A12" s="14">
        <v>1</v>
      </c>
      <c r="B12" s="1">
        <v>1386.8888888888889</v>
      </c>
      <c r="C12" s="1">
        <v>1562.4444444444443</v>
      </c>
      <c r="D12" s="15">
        <v>0.66666666666666663</v>
      </c>
      <c r="E12" s="49">
        <v>4</v>
      </c>
    </row>
    <row r="13" spans="1:12">
      <c r="A13" s="14">
        <v>2</v>
      </c>
      <c r="B13" s="1">
        <v>1617</v>
      </c>
      <c r="C13" s="1">
        <v>1920</v>
      </c>
      <c r="D13" s="15">
        <v>1</v>
      </c>
      <c r="E13" s="49"/>
      <c r="J13" t="s">
        <v>174</v>
      </c>
    </row>
    <row r="14" spans="1:12">
      <c r="A14" s="13" t="s">
        <v>9</v>
      </c>
      <c r="B14" s="1">
        <v>1399.148148148148</v>
      </c>
      <c r="C14" s="1">
        <v>841.77499999999998</v>
      </c>
      <c r="D14" s="15">
        <v>0.87654320987654322</v>
      </c>
      <c r="E14" s="49">
        <v>26</v>
      </c>
      <c r="H14" t="s">
        <v>9</v>
      </c>
      <c r="I14">
        <f>23/81*$J14/(3-0.87)</f>
        <v>13.331014895960124</v>
      </c>
      <c r="J14">
        <v>100</v>
      </c>
    </row>
    <row r="15" spans="1:12">
      <c r="A15" s="14">
        <v>1</v>
      </c>
      <c r="B15" s="1">
        <v>1399.148148148148</v>
      </c>
      <c r="C15" s="1">
        <v>841.77499999999998</v>
      </c>
      <c r="D15" s="15">
        <v>0.87654320987654322</v>
      </c>
      <c r="E15" s="49">
        <v>26</v>
      </c>
      <c r="H15" t="s">
        <v>32</v>
      </c>
      <c r="I15">
        <f>23/81*$J15/(4-0.87)*2</f>
        <v>18.143809411115054</v>
      </c>
      <c r="J15">
        <v>100</v>
      </c>
    </row>
    <row r="16" spans="1:12">
      <c r="A16" s="12" t="s">
        <v>39</v>
      </c>
      <c r="B16" s="1">
        <v>1603</v>
      </c>
      <c r="C16" s="1">
        <v>1752</v>
      </c>
      <c r="D16" s="15">
        <v>1</v>
      </c>
      <c r="E16" s="49"/>
      <c r="H16" t="s">
        <v>34</v>
      </c>
      <c r="I16">
        <f>23/81*$J16/(5-0.87)*3</f>
        <v>20.625952829342658</v>
      </c>
      <c r="J16">
        <v>100</v>
      </c>
    </row>
    <row r="17" spans="1:5">
      <c r="A17" s="13" t="s">
        <v>73</v>
      </c>
      <c r="B17" s="1">
        <v>1603</v>
      </c>
      <c r="C17" s="1">
        <v>1752</v>
      </c>
      <c r="D17" s="15">
        <v>1</v>
      </c>
      <c r="E17" s="49"/>
    </row>
    <row r="18" spans="1:5">
      <c r="A18" s="14">
        <v>3</v>
      </c>
      <c r="B18" s="1">
        <v>1603</v>
      </c>
      <c r="C18" s="1">
        <v>1752</v>
      </c>
      <c r="D18" s="15">
        <v>1</v>
      </c>
      <c r="E18" s="49"/>
    </row>
    <row r="19" spans="1:5">
      <c r="A19" s="12" t="s">
        <v>40</v>
      </c>
      <c r="B19" s="1">
        <v>1342.8888888888889</v>
      </c>
      <c r="C19" s="1">
        <v>0</v>
      </c>
      <c r="D19" s="15">
        <v>0.77777777777777779</v>
      </c>
      <c r="E19" s="49">
        <v>9</v>
      </c>
    </row>
    <row r="20" spans="1:5">
      <c r="A20" s="13" t="s">
        <v>9</v>
      </c>
      <c r="B20" s="1">
        <v>1296.75</v>
      </c>
      <c r="C20" s="1">
        <v>0</v>
      </c>
      <c r="D20" s="15">
        <v>0.625</v>
      </c>
      <c r="E20" s="49">
        <v>8</v>
      </c>
    </row>
    <row r="21" spans="1:5">
      <c r="A21" s="14">
        <v>4</v>
      </c>
      <c r="B21" s="1">
        <v>1267.7142857142858</v>
      </c>
      <c r="C21" s="1">
        <v>0</v>
      </c>
      <c r="D21" s="15">
        <v>0.7142857142857143</v>
      </c>
      <c r="E21" s="49">
        <v>7</v>
      </c>
    </row>
    <row r="22" spans="1:5">
      <c r="A22" s="14">
        <v>5</v>
      </c>
      <c r="B22" s="1">
        <v>1500</v>
      </c>
      <c r="C22" s="1">
        <v>0</v>
      </c>
      <c r="D22" s="15">
        <v>0</v>
      </c>
      <c r="E22" s="49">
        <v>1</v>
      </c>
    </row>
    <row r="23" spans="1:5">
      <c r="A23" s="13" t="s">
        <v>73</v>
      </c>
      <c r="B23" s="1">
        <v>1712</v>
      </c>
      <c r="C23" s="1">
        <v>0</v>
      </c>
      <c r="D23" s="15">
        <v>2</v>
      </c>
      <c r="E23" s="49">
        <v>1</v>
      </c>
    </row>
    <row r="24" spans="1:5">
      <c r="A24" s="14">
        <v>5</v>
      </c>
      <c r="B24" s="1">
        <v>1712</v>
      </c>
      <c r="C24" s="1">
        <v>0</v>
      </c>
      <c r="D24" s="15">
        <v>2</v>
      </c>
      <c r="E24" s="49">
        <v>1</v>
      </c>
    </row>
    <row r="25" spans="1:5">
      <c r="A25" s="12" t="s">
        <v>67</v>
      </c>
      <c r="B25" s="1">
        <v>1192</v>
      </c>
      <c r="C25" s="1">
        <v>0</v>
      </c>
      <c r="D25" s="15">
        <v>1</v>
      </c>
      <c r="E25" s="49">
        <v>1</v>
      </c>
    </row>
    <row r="26" spans="1:5">
      <c r="A26" s="13" t="s">
        <v>34</v>
      </c>
      <c r="B26" s="1">
        <v>1192</v>
      </c>
      <c r="C26" s="1">
        <v>0</v>
      </c>
      <c r="D26" s="15">
        <v>1</v>
      </c>
      <c r="E26" s="49">
        <v>1</v>
      </c>
    </row>
    <row r="27" spans="1:5">
      <c r="A27" s="14">
        <v>2</v>
      </c>
      <c r="B27" s="1">
        <v>1192</v>
      </c>
      <c r="C27" s="1">
        <v>0</v>
      </c>
      <c r="D27" s="15">
        <v>1</v>
      </c>
      <c r="E27" s="49">
        <v>1</v>
      </c>
    </row>
    <row r="28" spans="1:5">
      <c r="A28" s="12" t="s">
        <v>8</v>
      </c>
      <c r="B28" s="1">
        <v>1333.9292929292928</v>
      </c>
      <c r="C28" s="1">
        <v>511.28571428571428</v>
      </c>
      <c r="D28" s="15">
        <v>0.86868686868686873</v>
      </c>
      <c r="E28" s="49">
        <v>34</v>
      </c>
    </row>
    <row r="29" spans="1:5">
      <c r="A29" s="13" t="s">
        <v>32</v>
      </c>
      <c r="B29" s="1">
        <v>1402.3207547169811</v>
      </c>
      <c r="C29" s="1">
        <v>619.19230769230774</v>
      </c>
      <c r="D29" s="15">
        <v>0.83018867924528306</v>
      </c>
      <c r="E29" s="49">
        <v>20</v>
      </c>
    </row>
    <row r="30" spans="1:5">
      <c r="A30" s="14">
        <v>3</v>
      </c>
      <c r="B30" s="1">
        <v>1400.4423076923076</v>
      </c>
      <c r="C30" s="1">
        <v>608.74509803921569</v>
      </c>
      <c r="D30" s="15">
        <v>0.82692307692307687</v>
      </c>
      <c r="E30" s="49">
        <v>20</v>
      </c>
    </row>
    <row r="31" spans="1:5">
      <c r="A31" s="14">
        <v>6</v>
      </c>
      <c r="B31" s="1">
        <v>1500</v>
      </c>
      <c r="C31" s="1">
        <v>1152</v>
      </c>
      <c r="D31" s="15">
        <v>1</v>
      </c>
      <c r="E31" s="49"/>
    </row>
    <row r="32" spans="1:5">
      <c r="A32" s="13" t="s">
        <v>34</v>
      </c>
      <c r="B32" s="1">
        <v>1513.75</v>
      </c>
      <c r="C32" s="1">
        <v>1386</v>
      </c>
      <c r="D32" s="15">
        <v>1.5</v>
      </c>
      <c r="E32" s="49"/>
    </row>
    <row r="33" spans="1:5">
      <c r="A33" s="14">
        <v>3</v>
      </c>
      <c r="B33" s="1">
        <v>1513.75</v>
      </c>
      <c r="C33" s="1">
        <v>1386</v>
      </c>
      <c r="D33" s="15">
        <v>1.5</v>
      </c>
      <c r="E33" s="49"/>
    </row>
    <row r="34" spans="1:5">
      <c r="A34" s="13" t="s">
        <v>9</v>
      </c>
      <c r="B34" s="1">
        <v>1230.5</v>
      </c>
      <c r="C34" s="1">
        <v>294.38095238095241</v>
      </c>
      <c r="D34" s="15">
        <v>0.8571428571428571</v>
      </c>
      <c r="E34" s="49">
        <v>14</v>
      </c>
    </row>
    <row r="35" spans="1:5">
      <c r="A35" s="14">
        <v>1</v>
      </c>
      <c r="B35" s="1">
        <v>1315</v>
      </c>
      <c r="C35" s="1">
        <v>912</v>
      </c>
      <c r="D35" s="15">
        <v>2</v>
      </c>
      <c r="E35" s="49"/>
    </row>
    <row r="36" spans="1:5">
      <c r="A36" s="14">
        <v>3</v>
      </c>
      <c r="B36" s="1">
        <v>1228.439024390244</v>
      </c>
      <c r="C36" s="1">
        <v>279.3170731707317</v>
      </c>
      <c r="D36" s="15">
        <v>0.82926829268292679</v>
      </c>
      <c r="E36" s="49">
        <v>14</v>
      </c>
    </row>
    <row r="37" spans="1:5">
      <c r="A37" s="12" t="s">
        <v>74</v>
      </c>
      <c r="B37" s="1">
        <v>1403.0341296928327</v>
      </c>
      <c r="C37" s="1">
        <v>727.32989690721649</v>
      </c>
      <c r="D37" s="15">
        <v>0.86006825938566556</v>
      </c>
      <c r="E37" s="49">
        <v>101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6"/>
  <sheetViews>
    <sheetView workbookViewId="0">
      <selection activeCell="C28" sqref="C28"/>
    </sheetView>
  </sheetViews>
  <sheetFormatPr defaultRowHeight="14.25"/>
  <cols>
    <col min="3" max="3" width="12.25" bestFit="1" customWidth="1"/>
    <col min="4" max="4" width="12.375" bestFit="1" customWidth="1"/>
    <col min="5" max="5" width="11.375" bestFit="1" customWidth="1"/>
    <col min="6" max="6" width="11" customWidth="1"/>
  </cols>
  <sheetData>
    <row r="1" spans="1:6">
      <c r="A1" t="s">
        <v>186</v>
      </c>
      <c r="B1" t="s">
        <v>187</v>
      </c>
      <c r="C1" t="s">
        <v>188</v>
      </c>
      <c r="D1" t="s">
        <v>192</v>
      </c>
      <c r="E1" t="s">
        <v>189</v>
      </c>
      <c r="F1" t="s">
        <v>10</v>
      </c>
    </row>
    <row r="2" spans="1:6">
      <c r="A2" t="s">
        <v>176</v>
      </c>
      <c r="B2" t="s">
        <v>185</v>
      </c>
      <c r="C2" t="s">
        <v>196</v>
      </c>
      <c r="D2" t="s">
        <v>202</v>
      </c>
      <c r="E2" t="s">
        <v>203</v>
      </c>
      <c r="F2" t="s">
        <v>204</v>
      </c>
    </row>
    <row r="3" spans="1:6">
      <c r="A3" t="s">
        <v>177</v>
      </c>
      <c r="B3" t="s">
        <v>185</v>
      </c>
      <c r="C3" t="s">
        <v>201</v>
      </c>
      <c r="D3" t="s">
        <v>199</v>
      </c>
      <c r="E3" t="s">
        <v>200</v>
      </c>
      <c r="F3" t="s">
        <v>204</v>
      </c>
    </row>
    <row r="4" spans="1:6">
      <c r="A4" t="s">
        <v>178</v>
      </c>
      <c r="B4" t="s">
        <v>185</v>
      </c>
      <c r="C4" t="s">
        <v>179</v>
      </c>
      <c r="D4" t="s">
        <v>191</v>
      </c>
      <c r="E4" t="s">
        <v>205</v>
      </c>
      <c r="F4" t="s">
        <v>204</v>
      </c>
    </row>
    <row r="5" spans="1:6">
      <c r="A5" t="s">
        <v>181</v>
      </c>
      <c r="B5" t="s">
        <v>180</v>
      </c>
      <c r="C5" t="s">
        <v>196</v>
      </c>
      <c r="D5" t="s">
        <v>198</v>
      </c>
      <c r="E5" t="s">
        <v>197</v>
      </c>
      <c r="F5" t="s">
        <v>204</v>
      </c>
    </row>
    <row r="6" spans="1:6">
      <c r="A6" t="s">
        <v>182</v>
      </c>
      <c r="B6" t="s">
        <v>183</v>
      </c>
      <c r="C6" t="s">
        <v>184</v>
      </c>
      <c r="D6" t="s">
        <v>195</v>
      </c>
      <c r="E6" t="s">
        <v>190</v>
      </c>
      <c r="F6" t="s">
        <v>204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Arkusze</vt:lpstr>
      </vt:variant>
      <vt:variant>
        <vt:i4>7</vt:i4>
      </vt:variant>
    </vt:vector>
  </HeadingPairs>
  <TitlesOfParts>
    <vt:vector size="7" baseType="lpstr">
      <vt:lpstr>EXP lvls</vt:lpstr>
      <vt:lpstr>Location features</vt:lpstr>
      <vt:lpstr>Drop analityka</vt:lpstr>
      <vt:lpstr>Summary</vt:lpstr>
      <vt:lpstr>Runes for DPS</vt:lpstr>
      <vt:lpstr>TabPrz</vt:lpstr>
      <vt:lpstr>Runes to mobs</vt:lpstr>
    </vt:vector>
  </TitlesOfParts>
  <Company>Credit Agricole SA</Company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mzacharuk</dc:creator>
  <cp:lastModifiedBy>maria_000</cp:lastModifiedBy>
  <dcterms:created xsi:type="dcterms:W3CDTF">2015-09-10T08:10:52Z</dcterms:created>
  <dcterms:modified xsi:type="dcterms:W3CDTF">2015-09-25T07:06:13Z</dcterms:modified>
</cp:coreProperties>
</file>