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Cache/pivotCacheRecords1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240" yWindow="90" windowWidth="24720" windowHeight="11820"/>
  </bookViews>
  <sheets>
    <sheet name="EXP lvls" sheetId="1" r:id="rId1"/>
    <sheet name="Location features" sheetId="4" r:id="rId2"/>
    <sheet name="Drop analityka" sheetId="3" r:id="rId3"/>
    <sheet name="Summary" sheetId="2" r:id="rId4"/>
    <sheet name="Runes for DPS" sheetId="6" r:id="rId5"/>
    <sheet name="TabPrz" sheetId="5" r:id="rId6"/>
    <sheet name="Runes to mobs" sheetId="7" r:id="rId7"/>
    <sheet name="Runes" sheetId="8" r:id="rId8"/>
    <sheet name="Fusion" sheetId="9" r:id="rId9"/>
  </sheets>
  <calcPr calcId="125725"/>
  <pivotCaches>
    <pivotCache cacheId="52" r:id="rId10"/>
  </pivotCaches>
</workbook>
</file>

<file path=xl/calcChain.xml><?xml version="1.0" encoding="utf-8"?>
<calcChain xmlns="http://schemas.openxmlformats.org/spreadsheetml/2006/main">
  <c r="M25" i="4"/>
  <c r="L25"/>
  <c r="K25"/>
  <c r="J25"/>
  <c r="O25" s="1"/>
  <c r="J18"/>
  <c r="M18" i="1"/>
  <c r="M17"/>
  <c r="P25" i="4" l="1"/>
  <c r="L24"/>
  <c r="K24"/>
  <c r="J24"/>
  <c r="L23"/>
  <c r="K23"/>
  <c r="J23"/>
  <c r="O24" l="1"/>
  <c r="O23"/>
  <c r="J543" i="3" l="1"/>
  <c r="L22" i="4" l="1"/>
  <c r="K22"/>
  <c r="J22"/>
  <c r="O22" l="1"/>
  <c r="L18"/>
  <c r="K16" i="8"/>
  <c r="J16"/>
  <c r="I16"/>
  <c r="H16"/>
  <c r="G16"/>
  <c r="F16"/>
  <c r="E16"/>
  <c r="D16"/>
  <c r="K12"/>
  <c r="J12"/>
  <c r="I12"/>
  <c r="H12"/>
  <c r="G12"/>
  <c r="E12"/>
  <c r="F12"/>
  <c r="D12"/>
  <c r="O3" i="4"/>
  <c r="O5"/>
  <c r="O6"/>
  <c r="O7"/>
  <c r="O26"/>
  <c r="O27"/>
  <c r="O28"/>
  <c r="O29"/>
  <c r="O30"/>
  <c r="O31"/>
  <c r="O32"/>
  <c r="O33"/>
  <c r="O34"/>
  <c r="O35"/>
  <c r="O36"/>
  <c r="O37"/>
  <c r="O38"/>
  <c r="O39"/>
  <c r="O40"/>
  <c r="O41"/>
  <c r="O42"/>
  <c r="O43"/>
  <c r="O44"/>
  <c r="O45"/>
  <c r="O46"/>
  <c r="O47"/>
  <c r="O48"/>
  <c r="O49"/>
  <c r="O50"/>
  <c r="O51"/>
  <c r="O52"/>
  <c r="O53"/>
  <c r="O54"/>
  <c r="O55"/>
  <c r="O56"/>
  <c r="O57"/>
  <c r="O58"/>
  <c r="O59"/>
  <c r="O60"/>
  <c r="O61"/>
  <c r="O62"/>
  <c r="O63"/>
  <c r="O64"/>
  <c r="O65"/>
  <c r="O66"/>
  <c r="O67"/>
  <c r="O68"/>
  <c r="O69"/>
  <c r="O70"/>
  <c r="O71"/>
  <c r="O72"/>
  <c r="O73"/>
  <c r="O74"/>
  <c r="O75"/>
  <c r="O76"/>
  <c r="O77"/>
  <c r="O78"/>
  <c r="O79"/>
  <c r="O80"/>
  <c r="O81"/>
  <c r="O82"/>
  <c r="O83"/>
  <c r="O84"/>
  <c r="O85"/>
  <c r="O86"/>
  <c r="O87"/>
  <c r="O88"/>
  <c r="O89"/>
  <c r="O90"/>
  <c r="O91"/>
  <c r="O92"/>
  <c r="O93"/>
  <c r="O94"/>
  <c r="O95"/>
  <c r="O96"/>
  <c r="O97"/>
  <c r="O98"/>
  <c r="O99"/>
  <c r="O100"/>
  <c r="O101"/>
  <c r="O102"/>
  <c r="O103"/>
  <c r="O104"/>
  <c r="O105"/>
  <c r="O106"/>
  <c r="O107"/>
  <c r="O108"/>
  <c r="O109"/>
  <c r="O110"/>
  <c r="O111"/>
  <c r="O112"/>
  <c r="O113"/>
  <c r="O114"/>
  <c r="O115"/>
  <c r="P7"/>
  <c r="P6"/>
  <c r="P5"/>
  <c r="P3"/>
  <c r="I3"/>
  <c r="N3" s="1"/>
  <c r="I6"/>
  <c r="N6" s="1"/>
  <c r="I7"/>
  <c r="N7" s="1"/>
  <c r="I10"/>
  <c r="I19"/>
  <c r="K2" i="3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I14" i="4" s="1"/>
  <c r="N14" s="1"/>
  <c r="K179" i="3"/>
  <c r="K180"/>
  <c r="K181"/>
  <c r="K182"/>
  <c r="K183"/>
  <c r="K184"/>
  <c r="K185"/>
  <c r="K186"/>
  <c r="K187"/>
  <c r="K188"/>
  <c r="K189"/>
  <c r="I16" i="4" s="1"/>
  <c r="K190" i="3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5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39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L59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L179"/>
  <c r="L180"/>
  <c r="L181"/>
  <c r="L182"/>
  <c r="L183"/>
  <c r="L184"/>
  <c r="L185"/>
  <c r="L186"/>
  <c r="L187"/>
  <c r="L188"/>
  <c r="L189"/>
  <c r="L190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5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39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J11" i="4"/>
  <c r="O11" s="1"/>
  <c r="J10"/>
  <c r="P10" s="1"/>
  <c r="M23" l="1"/>
  <c r="P23" s="1"/>
  <c r="M24"/>
  <c r="P24" s="1"/>
  <c r="M22"/>
  <c r="P22" s="1"/>
  <c r="O10"/>
  <c r="I17"/>
  <c r="N10"/>
  <c r="M2"/>
  <c r="M11"/>
  <c r="P11" s="1"/>
  <c r="M14"/>
  <c r="M16"/>
  <c r="J12"/>
  <c r="M17" l="1"/>
  <c r="M18"/>
  <c r="M20"/>
  <c r="M12"/>
  <c r="M13"/>
  <c r="M8"/>
  <c r="M21"/>
  <c r="M4"/>
  <c r="M15"/>
  <c r="M9"/>
  <c r="J739" i="3"/>
  <c r="J738"/>
  <c r="J737"/>
  <c r="J736"/>
  <c r="J735"/>
  <c r="J734"/>
  <c r="J733"/>
  <c r="J732"/>
  <c r="J731"/>
  <c r="J730"/>
  <c r="J729"/>
  <c r="J728"/>
  <c r="J727"/>
  <c r="J726"/>
  <c r="J725"/>
  <c r="J724"/>
  <c r="J723"/>
  <c r="J722"/>
  <c r="J721"/>
  <c r="J720"/>
  <c r="J719"/>
  <c r="J718"/>
  <c r="J717"/>
  <c r="J716"/>
  <c r="J715"/>
  <c r="J714"/>
  <c r="J713"/>
  <c r="J712"/>
  <c r="J711"/>
  <c r="J710"/>
  <c r="J709"/>
  <c r="J708"/>
  <c r="J707"/>
  <c r="J706"/>
  <c r="J705"/>
  <c r="J704"/>
  <c r="J703"/>
  <c r="J702"/>
  <c r="J701"/>
  <c r="J700"/>
  <c r="J699"/>
  <c r="J698"/>
  <c r="J697"/>
  <c r="J696"/>
  <c r="J695"/>
  <c r="J694"/>
  <c r="J693"/>
  <c r="J692"/>
  <c r="J691"/>
  <c r="J690"/>
  <c r="J689"/>
  <c r="J688"/>
  <c r="J687"/>
  <c r="J686"/>
  <c r="J685"/>
  <c r="J684"/>
  <c r="J683"/>
  <c r="J682"/>
  <c r="J681"/>
  <c r="J680"/>
  <c r="J679"/>
  <c r="J678"/>
  <c r="J677"/>
  <c r="J676"/>
  <c r="J675"/>
  <c r="J674"/>
  <c r="J673"/>
  <c r="J672"/>
  <c r="J671"/>
  <c r="J670"/>
  <c r="J669"/>
  <c r="J668"/>
  <c r="J667"/>
  <c r="J666"/>
  <c r="J665"/>
  <c r="J664"/>
  <c r="J663"/>
  <c r="J662"/>
  <c r="J661"/>
  <c r="J660"/>
  <c r="J659"/>
  <c r="J658"/>
  <c r="J657"/>
  <c r="J656"/>
  <c r="J655"/>
  <c r="J654"/>
  <c r="J653"/>
  <c r="J652"/>
  <c r="J651"/>
  <c r="J650"/>
  <c r="J649"/>
  <c r="J648"/>
  <c r="J647"/>
  <c r="J646"/>
  <c r="J645"/>
  <c r="J644"/>
  <c r="J643"/>
  <c r="J642"/>
  <c r="J641"/>
  <c r="J640"/>
  <c r="J639"/>
  <c r="J638"/>
  <c r="J637"/>
  <c r="J636"/>
  <c r="J635"/>
  <c r="J634"/>
  <c r="J633"/>
  <c r="J632"/>
  <c r="J631"/>
  <c r="J630"/>
  <c r="J629"/>
  <c r="J628"/>
  <c r="J627"/>
  <c r="J626"/>
  <c r="J625"/>
  <c r="J624"/>
  <c r="J623"/>
  <c r="J622"/>
  <c r="J621"/>
  <c r="J620"/>
  <c r="J619"/>
  <c r="J618"/>
  <c r="J617"/>
  <c r="J616"/>
  <c r="J615"/>
  <c r="J614"/>
  <c r="I25" i="4" s="1"/>
  <c r="N25" s="1"/>
  <c r="J613" i="3"/>
  <c r="J612"/>
  <c r="J611"/>
  <c r="J610"/>
  <c r="J609"/>
  <c r="J608"/>
  <c r="J607"/>
  <c r="J606"/>
  <c r="J605"/>
  <c r="J604"/>
  <c r="J603"/>
  <c r="J602"/>
  <c r="J601"/>
  <c r="J600"/>
  <c r="J599"/>
  <c r="J598"/>
  <c r="J597"/>
  <c r="J596"/>
  <c r="J595"/>
  <c r="J594"/>
  <c r="J593"/>
  <c r="J592"/>
  <c r="J591"/>
  <c r="J590"/>
  <c r="J589"/>
  <c r="J588"/>
  <c r="J587"/>
  <c r="J586"/>
  <c r="J585"/>
  <c r="J584"/>
  <c r="J583"/>
  <c r="J582"/>
  <c r="J581"/>
  <c r="J580"/>
  <c r="J579"/>
  <c r="J578"/>
  <c r="J577"/>
  <c r="J576"/>
  <c r="J575"/>
  <c r="J574"/>
  <c r="J573"/>
  <c r="J572"/>
  <c r="J571"/>
  <c r="J570"/>
  <c r="J569"/>
  <c r="J568"/>
  <c r="J567"/>
  <c r="J566"/>
  <c r="J565"/>
  <c r="J564"/>
  <c r="J563"/>
  <c r="J562"/>
  <c r="J561"/>
  <c r="J560"/>
  <c r="J559"/>
  <c r="J558"/>
  <c r="J557"/>
  <c r="J556"/>
  <c r="J555"/>
  <c r="J554"/>
  <c r="J553"/>
  <c r="J552"/>
  <c r="J551"/>
  <c r="J550"/>
  <c r="J549"/>
  <c r="J548"/>
  <c r="J547"/>
  <c r="J546"/>
  <c r="J545"/>
  <c r="J544"/>
  <c r="J542"/>
  <c r="J541"/>
  <c r="J540"/>
  <c r="J539"/>
  <c r="J538"/>
  <c r="J537"/>
  <c r="J536"/>
  <c r="J535"/>
  <c r="J534"/>
  <c r="J533"/>
  <c r="J532"/>
  <c r="J531"/>
  <c r="J530"/>
  <c r="J529"/>
  <c r="J528"/>
  <c r="J527"/>
  <c r="J526"/>
  <c r="J525"/>
  <c r="J524"/>
  <c r="J523"/>
  <c r="J522"/>
  <c r="J521"/>
  <c r="J520"/>
  <c r="J519"/>
  <c r="J518"/>
  <c r="J517"/>
  <c r="J516"/>
  <c r="J515"/>
  <c r="J514"/>
  <c r="J513"/>
  <c r="J512"/>
  <c r="J511"/>
  <c r="J510"/>
  <c r="J509"/>
  <c r="J508"/>
  <c r="J507"/>
  <c r="J506"/>
  <c r="J505"/>
  <c r="J504"/>
  <c r="J503"/>
  <c r="J502"/>
  <c r="J501"/>
  <c r="J500"/>
  <c r="J499"/>
  <c r="J498"/>
  <c r="J497"/>
  <c r="J496"/>
  <c r="J495"/>
  <c r="J494"/>
  <c r="J493"/>
  <c r="J492"/>
  <c r="J491"/>
  <c r="J490"/>
  <c r="J489"/>
  <c r="J488"/>
  <c r="J487"/>
  <c r="J486"/>
  <c r="J485"/>
  <c r="J484"/>
  <c r="J483"/>
  <c r="J482"/>
  <c r="J481"/>
  <c r="J480"/>
  <c r="J479"/>
  <c r="J478"/>
  <c r="J477"/>
  <c r="J476"/>
  <c r="J475"/>
  <c r="J474"/>
  <c r="J473"/>
  <c r="J472"/>
  <c r="J471"/>
  <c r="J470"/>
  <c r="J469"/>
  <c r="J468"/>
  <c r="J467"/>
  <c r="J466"/>
  <c r="J465"/>
  <c r="J464"/>
  <c r="J463"/>
  <c r="J462"/>
  <c r="J461"/>
  <c r="J460"/>
  <c r="J459"/>
  <c r="J458"/>
  <c r="J457"/>
  <c r="J456"/>
  <c r="J455"/>
  <c r="J454"/>
  <c r="J453"/>
  <c r="J452"/>
  <c r="J451"/>
  <c r="J450"/>
  <c r="J449"/>
  <c r="J448"/>
  <c r="J447"/>
  <c r="J446"/>
  <c r="J445"/>
  <c r="J444"/>
  <c r="J443"/>
  <c r="J442"/>
  <c r="J441"/>
  <c r="J440"/>
  <c r="J439"/>
  <c r="J438"/>
  <c r="J437"/>
  <c r="J436"/>
  <c r="J435"/>
  <c r="J434"/>
  <c r="J433"/>
  <c r="J432"/>
  <c r="J431"/>
  <c r="J430"/>
  <c r="J429"/>
  <c r="J428"/>
  <c r="J427"/>
  <c r="J426"/>
  <c r="J425"/>
  <c r="J424"/>
  <c r="J423"/>
  <c r="J422"/>
  <c r="J421"/>
  <c r="J420"/>
  <c r="J419"/>
  <c r="J418"/>
  <c r="J417"/>
  <c r="J416"/>
  <c r="J415"/>
  <c r="J414"/>
  <c r="J413"/>
  <c r="J412"/>
  <c r="J411"/>
  <c r="J410"/>
  <c r="J409"/>
  <c r="J408"/>
  <c r="J407"/>
  <c r="J406"/>
  <c r="J405"/>
  <c r="J404"/>
  <c r="J403"/>
  <c r="J402"/>
  <c r="J401"/>
  <c r="J400"/>
  <c r="J399"/>
  <c r="J398"/>
  <c r="J397"/>
  <c r="J396"/>
  <c r="J395"/>
  <c r="J394"/>
  <c r="J393"/>
  <c r="J392"/>
  <c r="J391"/>
  <c r="J390"/>
  <c r="J389"/>
  <c r="J388"/>
  <c r="J387"/>
  <c r="J386"/>
  <c r="J385"/>
  <c r="J384"/>
  <c r="J383"/>
  <c r="J382"/>
  <c r="J381"/>
  <c r="J379"/>
  <c r="J372"/>
  <c r="J371"/>
  <c r="J364"/>
  <c r="J360"/>
  <c r="J354"/>
  <c r="J349"/>
  <c r="J343"/>
  <c r="J324"/>
  <c r="J319"/>
  <c r="J314"/>
  <c r="J307"/>
  <c r="J299"/>
  <c r="J296"/>
  <c r="J294"/>
  <c r="J283"/>
  <c r="J276"/>
  <c r="J273"/>
  <c r="J271"/>
  <c r="J269"/>
  <c r="J267"/>
  <c r="J253"/>
  <c r="J252"/>
  <c r="J249"/>
  <c r="J248"/>
  <c r="J240"/>
  <c r="J234"/>
  <c r="J233"/>
  <c r="J232"/>
  <c r="J221"/>
  <c r="J216"/>
  <c r="J201"/>
  <c r="J200"/>
  <c r="J197"/>
  <c r="J185"/>
  <c r="J181"/>
  <c r="J175"/>
  <c r="J173"/>
  <c r="J172"/>
  <c r="J171"/>
  <c r="J169"/>
  <c r="J167"/>
  <c r="J166"/>
  <c r="J162"/>
  <c r="J161"/>
  <c r="J160"/>
  <c r="J157"/>
  <c r="J154"/>
  <c r="J152"/>
  <c r="J15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I11" i="4" s="1"/>
  <c r="N11" s="1"/>
  <c r="J59" i="3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2"/>
  <c r="I2" i="4" s="1"/>
  <c r="K21"/>
  <c r="L21"/>
  <c r="J21"/>
  <c r="O21" s="1"/>
  <c r="M16" i="1"/>
  <c r="I24" i="4" l="1"/>
  <c r="N24" s="1"/>
  <c r="I23"/>
  <c r="N23" s="1"/>
  <c r="I22"/>
  <c r="N22" s="1"/>
  <c r="O16" i="1"/>
  <c r="M19"/>
  <c r="M20" s="1"/>
  <c r="I8" i="4"/>
  <c r="I12"/>
  <c r="N12" s="1"/>
  <c r="I5"/>
  <c r="N5" s="1"/>
  <c r="I4"/>
  <c r="I18"/>
  <c r="I13"/>
  <c r="I21"/>
  <c r="N21" s="1"/>
  <c r="I15"/>
  <c r="I20"/>
  <c r="I9"/>
  <c r="P21"/>
  <c r="O18" i="1"/>
  <c r="I16" i="5"/>
  <c r="I15"/>
  <c r="I14"/>
  <c r="M21" i="1" l="1"/>
  <c r="M22" s="1"/>
  <c r="M23" s="1"/>
  <c r="O20"/>
  <c r="U4"/>
  <c r="V4" s="1"/>
  <c r="U5"/>
  <c r="V5" s="1"/>
  <c r="U6"/>
  <c r="V6" s="1"/>
  <c r="U7"/>
  <c r="V7" s="1"/>
  <c r="U8"/>
  <c r="V8" s="1"/>
  <c r="K2" i="4"/>
  <c r="K3"/>
  <c r="K4"/>
  <c r="K5"/>
  <c r="K6"/>
  <c r="K7"/>
  <c r="K8"/>
  <c r="K9"/>
  <c r="K10"/>
  <c r="K11"/>
  <c r="K12"/>
  <c r="K13"/>
  <c r="K14"/>
  <c r="K15"/>
  <c r="K16"/>
  <c r="K17"/>
  <c r="K18"/>
  <c r="K19"/>
  <c r="K20"/>
  <c r="J20"/>
  <c r="L20"/>
  <c r="N20" l="1"/>
  <c r="O20"/>
  <c r="P20"/>
  <c r="Y8" i="1"/>
  <c r="Y7"/>
  <c r="Y6"/>
  <c r="Y5"/>
  <c r="Y4"/>
  <c r="X4"/>
  <c r="X8"/>
  <c r="X7"/>
  <c r="X6"/>
  <c r="X5"/>
  <c r="Q17"/>
  <c r="O22" l="1"/>
  <c r="O24" s="1"/>
  <c r="M3"/>
  <c r="O40" i="2"/>
  <c r="O39"/>
  <c r="S33"/>
  <c r="P38"/>
  <c r="P33"/>
  <c r="O38"/>
  <c r="M38"/>
  <c r="O33"/>
  <c r="O37"/>
  <c r="M37"/>
  <c r="O36"/>
  <c r="M36"/>
  <c r="O35"/>
  <c r="O34"/>
  <c r="O32"/>
  <c r="O31"/>
  <c r="M5" i="1" l="1"/>
  <c r="M7" s="1"/>
  <c r="M4"/>
  <c r="X2" i="6"/>
  <c r="AD2"/>
  <c r="Y2" s="1"/>
  <c r="O2" s="1"/>
  <c r="P2" s="1"/>
  <c r="R2" s="1"/>
  <c r="AC2"/>
  <c r="AB2"/>
  <c r="W2" s="1"/>
  <c r="E3"/>
  <c r="E4" s="1"/>
  <c r="F3"/>
  <c r="G4"/>
  <c r="G5" s="1"/>
  <c r="G6" s="1"/>
  <c r="N4"/>
  <c r="N7" s="1"/>
  <c r="U3" i="1"/>
  <c r="V3" s="1"/>
  <c r="U2"/>
  <c r="L19" i="4"/>
  <c r="O4" i="1" l="1"/>
  <c r="M6"/>
  <c r="M9" s="1"/>
  <c r="L38" i="2"/>
  <c r="Q38" s="1"/>
  <c r="Y2" i="1"/>
  <c r="V2"/>
  <c r="L36" i="2"/>
  <c r="L37"/>
  <c r="X2" i="1"/>
  <c r="G7" i="6"/>
  <c r="G8" s="1"/>
  <c r="G14" s="1"/>
  <c r="G15" s="1"/>
  <c r="D3"/>
  <c r="O3"/>
  <c r="N8"/>
  <c r="N5"/>
  <c r="O4"/>
  <c r="F4"/>
  <c r="D4" s="1"/>
  <c r="E5"/>
  <c r="C4"/>
  <c r="E7"/>
  <c r="C3"/>
  <c r="Y3" i="1"/>
  <c r="X3"/>
  <c r="O30" i="2"/>
  <c r="O29"/>
  <c r="O28"/>
  <c r="J15" i="4"/>
  <c r="O27" i="2"/>
  <c r="O26"/>
  <c r="O25"/>
  <c r="O24"/>
  <c r="O23"/>
  <c r="O22"/>
  <c r="F11"/>
  <c r="F12" s="1"/>
  <c r="F13" s="1"/>
  <c r="F14" s="1"/>
  <c r="F15" s="1"/>
  <c r="F16" s="1"/>
  <c r="F17" s="1"/>
  <c r="F18" s="1"/>
  <c r="F19" s="1"/>
  <c r="F20" s="1"/>
  <c r="F21" s="1"/>
  <c r="F22" s="1"/>
  <c r="O21"/>
  <c r="O20"/>
  <c r="H20"/>
  <c r="O19"/>
  <c r="O18"/>
  <c r="M8" i="1" l="1"/>
  <c r="N27" i="2"/>
  <c r="N15" i="4"/>
  <c r="O6" i="1"/>
  <c r="N22" i="2"/>
  <c r="N34"/>
  <c r="N35"/>
  <c r="G9" i="6"/>
  <c r="G10" s="1"/>
  <c r="G16" s="1"/>
  <c r="G17" s="1"/>
  <c r="O7"/>
  <c r="O5"/>
  <c r="N6"/>
  <c r="O6" s="1"/>
  <c r="N9"/>
  <c r="O8"/>
  <c r="F7"/>
  <c r="D7" s="1"/>
  <c r="F5"/>
  <c r="D5" s="1"/>
  <c r="E6"/>
  <c r="C6" s="1"/>
  <c r="C5"/>
  <c r="L4"/>
  <c r="M4" s="1"/>
  <c r="P4" s="1"/>
  <c r="R4" s="1"/>
  <c r="K4"/>
  <c r="K3"/>
  <c r="L3"/>
  <c r="M3" s="1"/>
  <c r="P3" s="1"/>
  <c r="R3" s="1"/>
  <c r="C7"/>
  <c r="E8"/>
  <c r="N24" i="2"/>
  <c r="N18"/>
  <c r="N21"/>
  <c r="N23"/>
  <c r="N19"/>
  <c r="N20"/>
  <c r="G22"/>
  <c r="F23"/>
  <c r="N26"/>
  <c r="N25"/>
  <c r="L17" i="4"/>
  <c r="J17"/>
  <c r="L16"/>
  <c r="J16"/>
  <c r="L15"/>
  <c r="P15" s="1"/>
  <c r="M10" i="1" l="1"/>
  <c r="M11" s="1"/>
  <c r="O15" i="4"/>
  <c r="N16"/>
  <c r="O16"/>
  <c r="N17"/>
  <c r="O17"/>
  <c r="P17"/>
  <c r="P16"/>
  <c r="O8" i="1"/>
  <c r="G11" i="6"/>
  <c r="G12" s="1"/>
  <c r="G13" s="1"/>
  <c r="G18"/>
  <c r="G19" s="1"/>
  <c r="G20" s="1"/>
  <c r="G21"/>
  <c r="G22" s="1"/>
  <c r="G23" s="1"/>
  <c r="G24" s="1"/>
  <c r="G25" s="1"/>
  <c r="G26" s="1"/>
  <c r="G27" s="1"/>
  <c r="O9"/>
  <c r="N10"/>
  <c r="F6"/>
  <c r="D6" s="1"/>
  <c r="F8"/>
  <c r="D8" s="1"/>
  <c r="L7"/>
  <c r="M7" s="1"/>
  <c r="P7" s="1"/>
  <c r="R7" s="1"/>
  <c r="K7"/>
  <c r="L5"/>
  <c r="M5" s="1"/>
  <c r="P5" s="1"/>
  <c r="R5" s="1"/>
  <c r="K5"/>
  <c r="L6"/>
  <c r="K6"/>
  <c r="C8"/>
  <c r="E14"/>
  <c r="E9"/>
  <c r="L27" i="2"/>
  <c r="L25"/>
  <c r="L26"/>
  <c r="G24"/>
  <c r="G23"/>
  <c r="F24"/>
  <c r="F25" s="1"/>
  <c r="M26"/>
  <c r="M27"/>
  <c r="M25"/>
  <c r="L12" i="4"/>
  <c r="O10" i="1" l="1"/>
  <c r="O12" s="1"/>
  <c r="P12" i="4"/>
  <c r="O12"/>
  <c r="L35" i="2"/>
  <c r="L34"/>
  <c r="M35"/>
  <c r="M34"/>
  <c r="M6" i="6"/>
  <c r="P6" s="1"/>
  <c r="R6" s="1"/>
  <c r="O10"/>
  <c r="N11"/>
  <c r="N14"/>
  <c r="F14"/>
  <c r="D14" s="1"/>
  <c r="F9"/>
  <c r="D9" s="1"/>
  <c r="L8"/>
  <c r="K8"/>
  <c r="C9"/>
  <c r="E10"/>
  <c r="E15"/>
  <c r="C15" s="1"/>
  <c r="C14"/>
  <c r="L24" i="2"/>
  <c r="B24" s="1"/>
  <c r="L18"/>
  <c r="L23"/>
  <c r="B23" s="1"/>
  <c r="L21"/>
  <c r="L22"/>
  <c r="B22" s="1"/>
  <c r="L20"/>
  <c r="L19"/>
  <c r="F26"/>
  <c r="G25"/>
  <c r="B25" s="1"/>
  <c r="M23"/>
  <c r="C23" s="1"/>
  <c r="M22"/>
  <c r="C22" s="1"/>
  <c r="M19"/>
  <c r="M18"/>
  <c r="M21"/>
  <c r="M20"/>
  <c r="M24"/>
  <c r="C24" s="1"/>
  <c r="L9" i="4"/>
  <c r="L14"/>
  <c r="J13"/>
  <c r="L13"/>
  <c r="O17" i="2"/>
  <c r="C45"/>
  <c r="B45"/>
  <c r="C44"/>
  <c r="B44"/>
  <c r="J8" i="4"/>
  <c r="J9"/>
  <c r="O13" i="2"/>
  <c r="O12"/>
  <c r="O16"/>
  <c r="P14" i="4" l="1"/>
  <c r="O14"/>
  <c r="O9"/>
  <c r="N13"/>
  <c r="O13"/>
  <c r="N8"/>
  <c r="O18"/>
  <c r="N9"/>
  <c r="P13"/>
  <c r="P9"/>
  <c r="L39" i="2"/>
  <c r="L40"/>
  <c r="N39"/>
  <c r="N40"/>
  <c r="J19" i="4"/>
  <c r="O19" s="1"/>
  <c r="N32" i="2"/>
  <c r="N33"/>
  <c r="N31"/>
  <c r="L33"/>
  <c r="L32"/>
  <c r="L31"/>
  <c r="N12" i="6"/>
  <c r="O11"/>
  <c r="O14"/>
  <c r="N15"/>
  <c r="F15"/>
  <c r="D15" s="1"/>
  <c r="M8"/>
  <c r="P8" s="1"/>
  <c r="R8" s="1"/>
  <c r="F10"/>
  <c r="D10" s="1"/>
  <c r="K9"/>
  <c r="L9"/>
  <c r="C10"/>
  <c r="E16"/>
  <c r="E11"/>
  <c r="L14"/>
  <c r="M14" s="1"/>
  <c r="K14"/>
  <c r="L15"/>
  <c r="K15"/>
  <c r="L30" i="2"/>
  <c r="L29"/>
  <c r="L28"/>
  <c r="C25"/>
  <c r="N30"/>
  <c r="N29"/>
  <c r="N28"/>
  <c r="G27"/>
  <c r="G26"/>
  <c r="F27"/>
  <c r="F28" s="1"/>
  <c r="N17"/>
  <c r="H12"/>
  <c r="O15"/>
  <c r="O14"/>
  <c r="O11"/>
  <c r="O10"/>
  <c r="N19" i="4" l="1"/>
  <c r="P19"/>
  <c r="N18"/>
  <c r="P18"/>
  <c r="U33" i="2"/>
  <c r="R33"/>
  <c r="T33"/>
  <c r="Q33"/>
  <c r="N38"/>
  <c r="R38" s="1"/>
  <c r="N37"/>
  <c r="N36"/>
  <c r="N13" i="6"/>
  <c r="O13" s="1"/>
  <c r="O12"/>
  <c r="P14"/>
  <c r="R14" s="1"/>
  <c r="N16"/>
  <c r="O15"/>
  <c r="F11"/>
  <c r="D11" s="1"/>
  <c r="F16"/>
  <c r="D16" s="1"/>
  <c r="M15"/>
  <c r="M9"/>
  <c r="P9" s="1"/>
  <c r="R9" s="1"/>
  <c r="K10"/>
  <c r="L10"/>
  <c r="C11"/>
  <c r="E12"/>
  <c r="E17"/>
  <c r="E18" s="1"/>
  <c r="C16"/>
  <c r="F29" i="2"/>
  <c r="F30" s="1"/>
  <c r="F31" s="1"/>
  <c r="F32" s="1"/>
  <c r="G28"/>
  <c r="B27"/>
  <c r="C27"/>
  <c r="B26"/>
  <c r="C26"/>
  <c r="H16"/>
  <c r="L17"/>
  <c r="L8" i="4"/>
  <c r="A3" i="2"/>
  <c r="B3" s="1"/>
  <c r="L2" i="4"/>
  <c r="J2"/>
  <c r="L4"/>
  <c r="J4"/>
  <c r="P8" l="1"/>
  <c r="O8"/>
  <c r="N2"/>
  <c r="O2"/>
  <c r="N4"/>
  <c r="O4"/>
  <c r="P2"/>
  <c r="P4"/>
  <c r="M40" i="2"/>
  <c r="M39"/>
  <c r="G36"/>
  <c r="C36" s="1"/>
  <c r="F34"/>
  <c r="F35" s="1"/>
  <c r="F36" s="1"/>
  <c r="F37" s="1"/>
  <c r="F33"/>
  <c r="H33" s="1"/>
  <c r="B33" s="1"/>
  <c r="M33"/>
  <c r="M32"/>
  <c r="M31"/>
  <c r="G31"/>
  <c r="H32"/>
  <c r="G34"/>
  <c r="H35"/>
  <c r="C12" i="6"/>
  <c r="L12" s="1"/>
  <c r="E13"/>
  <c r="C13" s="1"/>
  <c r="E19"/>
  <c r="C18"/>
  <c r="O16"/>
  <c r="N17"/>
  <c r="P15"/>
  <c r="R15" s="1"/>
  <c r="F17"/>
  <c r="D17" s="1"/>
  <c r="F12"/>
  <c r="M10"/>
  <c r="P10" s="1"/>
  <c r="R10" s="1"/>
  <c r="K11"/>
  <c r="L11"/>
  <c r="M11" s="1"/>
  <c r="P11" s="1"/>
  <c r="R11" s="1"/>
  <c r="E21"/>
  <c r="C17"/>
  <c r="L16"/>
  <c r="K16"/>
  <c r="M29" i="2"/>
  <c r="M28"/>
  <c r="C28" s="1"/>
  <c r="M30"/>
  <c r="B28"/>
  <c r="G30"/>
  <c r="G29"/>
  <c r="M17"/>
  <c r="L13"/>
  <c r="L12"/>
  <c r="L10"/>
  <c r="L11"/>
  <c r="L16"/>
  <c r="L14"/>
  <c r="L15"/>
  <c r="M12"/>
  <c r="M13"/>
  <c r="N16"/>
  <c r="N14"/>
  <c r="N15"/>
  <c r="M16"/>
  <c r="M14"/>
  <c r="M15"/>
  <c r="N12"/>
  <c r="N13"/>
  <c r="N10"/>
  <c r="N11"/>
  <c r="M10"/>
  <c r="M11"/>
  <c r="C3" l="1"/>
  <c r="D3" s="1"/>
  <c r="R12" i="4"/>
  <c r="Q15"/>
  <c r="Q12"/>
  <c r="C33" i="2"/>
  <c r="B36"/>
  <c r="H37"/>
  <c r="F38"/>
  <c r="B34"/>
  <c r="C34"/>
  <c r="B31"/>
  <c r="C31"/>
  <c r="C32"/>
  <c r="B32"/>
  <c r="B35"/>
  <c r="C35"/>
  <c r="R15" i="4"/>
  <c r="L18" i="6"/>
  <c r="K18"/>
  <c r="L13"/>
  <c r="K13"/>
  <c r="K12"/>
  <c r="E20"/>
  <c r="C20" s="1"/>
  <c r="C19"/>
  <c r="F13"/>
  <c r="D13" s="1"/>
  <c r="D12"/>
  <c r="M12" s="1"/>
  <c r="P12" s="1"/>
  <c r="R12" s="1"/>
  <c r="N18"/>
  <c r="N21"/>
  <c r="O17"/>
  <c r="F18"/>
  <c r="D18" s="1"/>
  <c r="F21"/>
  <c r="D21" s="1"/>
  <c r="M16"/>
  <c r="P16" s="1"/>
  <c r="R16" s="1"/>
  <c r="L17"/>
  <c r="K17"/>
  <c r="E22"/>
  <c r="C21"/>
  <c r="B29" i="2"/>
  <c r="C29"/>
  <c r="B30"/>
  <c r="C30"/>
  <c r="G19"/>
  <c r="H18"/>
  <c r="G21"/>
  <c r="H21"/>
  <c r="G20"/>
  <c r="R9" i="4"/>
  <c r="Q9"/>
  <c r="H10" i="2"/>
  <c r="H17"/>
  <c r="G13"/>
  <c r="G12"/>
  <c r="H13"/>
  <c r="G11"/>
  <c r="H14"/>
  <c r="G15"/>
  <c r="G17"/>
  <c r="E44"/>
  <c r="F44" s="1"/>
  <c r="G16"/>
  <c r="H38" l="1"/>
  <c r="C38" s="1"/>
  <c r="F39"/>
  <c r="C37"/>
  <c r="B37"/>
  <c r="K20" i="6"/>
  <c r="L20"/>
  <c r="K19"/>
  <c r="L19"/>
  <c r="M13"/>
  <c r="P13" s="1"/>
  <c r="R13" s="1"/>
  <c r="O21"/>
  <c r="N22"/>
  <c r="N19"/>
  <c r="O18"/>
  <c r="F19"/>
  <c r="M18"/>
  <c r="M17"/>
  <c r="P17" s="1"/>
  <c r="R17" s="1"/>
  <c r="F22"/>
  <c r="D22" s="1"/>
  <c r="E23"/>
  <c r="C22"/>
  <c r="L21"/>
  <c r="K21"/>
  <c r="B20" i="2"/>
  <c r="C20"/>
  <c r="C19"/>
  <c r="B19"/>
  <c r="C18"/>
  <c r="B18"/>
  <c r="B21"/>
  <c r="C21"/>
  <c r="B10"/>
  <c r="C10"/>
  <c r="C11"/>
  <c r="B11"/>
  <c r="B13"/>
  <c r="C13"/>
  <c r="B12"/>
  <c r="C12"/>
  <c r="B17"/>
  <c r="C17"/>
  <c r="C14"/>
  <c r="B14"/>
  <c r="C16"/>
  <c r="B16"/>
  <c r="E45"/>
  <c r="F45" s="1"/>
  <c r="B15"/>
  <c r="C15"/>
  <c r="B38" l="1"/>
  <c r="F40"/>
  <c r="H40" s="1"/>
  <c r="G39"/>
  <c r="F20" i="6"/>
  <c r="D20" s="1"/>
  <c r="M20" s="1"/>
  <c r="D19"/>
  <c r="M19" s="1"/>
  <c r="N23"/>
  <c r="O23" s="1"/>
  <c r="O22"/>
  <c r="N20"/>
  <c r="O20" s="1"/>
  <c r="O19"/>
  <c r="P18"/>
  <c r="R18" s="1"/>
  <c r="F23"/>
  <c r="D23" s="1"/>
  <c r="M21"/>
  <c r="P21" s="1"/>
  <c r="R21" s="1"/>
  <c r="L22"/>
  <c r="K22"/>
  <c r="E24"/>
  <c r="C23"/>
  <c r="B39" i="2" l="1"/>
  <c r="C39"/>
  <c r="B40"/>
  <c r="C40"/>
  <c r="P19" i="6"/>
  <c r="R19" s="1"/>
  <c r="C24"/>
  <c r="K24" s="1"/>
  <c r="E25"/>
  <c r="P20"/>
  <c r="R20" s="1"/>
  <c r="N24"/>
  <c r="O24" s="1"/>
  <c r="F24"/>
  <c r="D24" s="1"/>
  <c r="M22"/>
  <c r="P22" s="1"/>
  <c r="R22" s="1"/>
  <c r="L23"/>
  <c r="M23" s="1"/>
  <c r="K23"/>
  <c r="L24" l="1"/>
  <c r="M24" s="1"/>
  <c r="E26"/>
  <c r="C25"/>
  <c r="N25"/>
  <c r="O25" s="1"/>
  <c r="P23"/>
  <c r="R23" s="1"/>
  <c r="F25"/>
  <c r="D25" s="1"/>
  <c r="C26" l="1"/>
  <c r="E27"/>
  <c r="C27" s="1"/>
  <c r="K25"/>
  <c r="L25"/>
  <c r="M25" s="1"/>
  <c r="N26"/>
  <c r="O26" s="1"/>
  <c r="P24"/>
  <c r="R24" s="1"/>
  <c r="F26"/>
  <c r="L27" l="1"/>
  <c r="K27"/>
  <c r="L26"/>
  <c r="K26"/>
  <c r="F27"/>
  <c r="D27" s="1"/>
  <c r="D26"/>
  <c r="M26" s="1"/>
  <c r="N27"/>
  <c r="O27" s="1"/>
  <c r="P25"/>
  <c r="R25" s="1"/>
  <c r="P26" l="1"/>
  <c r="R26" s="1"/>
  <c r="M27"/>
  <c r="P27" s="1"/>
  <c r="R27" s="1"/>
</calcChain>
</file>

<file path=xl/sharedStrings.xml><?xml version="1.0" encoding="utf-8"?>
<sst xmlns="http://schemas.openxmlformats.org/spreadsheetml/2006/main" count="2144" uniqueCount="305">
  <si>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</si>
  <si>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</si>
  <si>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</si>
  <si>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</si>
  <si>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</si>
  <si>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</si>
  <si>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</si>
  <si>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</si>
  <si>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</si>
  <si>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</si>
  <si>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</si>
  <si>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Wind/Fire/Wind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</si>
  <si>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</si>
  <si>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</si>
  <si>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</si>
  <si>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</si>
  <si>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</si>
  <si>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</si>
  <si>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</si>
  <si>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</si>
  <si>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</si>
  <si>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</si>
  <si>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long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</si>
  <si>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</si>
  <si>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</si>
  <si>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</si>
  <si>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</si>
  <si>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</si>
  <si>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</si>
  <si>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</si>
  <si>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</si>
  <si>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</si>
  <si>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</si>
  <si>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</si>
  <si>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</si>
  <si>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</si>
  <si>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</si>
  <si>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</si>
  <si>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Kolumna3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</si>
  <si>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</si>
  <si>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</si>
  <si>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</si>
  <si>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</si>
  <si>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</si>
  <si>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</si>
  <si>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</si>
  <si>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</si>
  <si>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</si>
  <si>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</si>
  <si>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</si>
  <si>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</si>
  <si>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</si>
  <si>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</si>
  <si>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</si>
  <si>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</si>
  <si>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</si>
  <si>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</si>
  <si>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</si>
  <si>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</si>
  <si>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</si>
  <si>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</si>
  <si>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</si>
  <si>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</si>
  <si>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</si>
  <si>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EoWat(Low)</t>
  </si>
  <si>
    <t>EoMag(Mid)</t>
  </si>
  <si>
    <t>EoMag(Low)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</si>
  <si>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</si>
  <si>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</si>
  <si>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</si>
  <si>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</si>
  <si>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</si>
  <si>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</si>
  <si>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</si>
  <si>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</si>
  <si>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</si>
  <si>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</si>
  <si>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</si>
  <si>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</si>
  <si>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Time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</si>
  <si>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</si>
  <si>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</si>
  <si>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</si>
  <si>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</si>
  <si>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</si>
  <si>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</si>
  <si>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</si>
  <si>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</si>
  <si>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</si>
  <si>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</si>
  <si>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>3-6%</t>
  </si>
  <si>
    <t xml:space="preserve">Atk </t>
  </si>
  <si>
    <t>Crit D</t>
  </si>
  <si>
    <t>Crit C</t>
  </si>
  <si>
    <t>Substat</t>
  </si>
  <si>
    <t>Basic Substat</t>
  </si>
  <si>
    <t>Atk%/Crit.C/Atk%</t>
  </si>
  <si>
    <t>2xBlade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</si>
  <si>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</si>
  <si>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</si>
  <si>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</si>
  <si>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</si>
  <si>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</si>
  <si>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</si>
  <si>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</si>
  <si>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</si>
  <si>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</si>
  <si>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</si>
  <si>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</si>
  <si>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</si>
  <si>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Status+Blade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</si>
  <si>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</si>
  <si>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</si>
  <si>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</si>
  <si>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</si>
  <si>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</si>
  <si>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</si>
  <si>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</si>
  <si>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</si>
  <si>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</si>
  <si>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</si>
  <si>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</si>
  <si>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</si>
  <si>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</si>
  <si>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</si>
  <si>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</si>
  <si>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</si>
  <si>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</si>
  <si>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</si>
  <si>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</si>
  <si>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</si>
  <si>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</si>
  <si>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</si>
  <si>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</si>
  <si>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</si>
  <si>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A/A/A ; A/CC/A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</si>
  <si>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</si>
  <si>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</si>
  <si>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</si>
  <si>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</si>
  <si>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</si>
  <si>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</si>
  <si>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</si>
  <si>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</si>
  <si>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</si>
  <si>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</si>
  <si>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</si>
  <si>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</si>
  <si>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</si>
  <si>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</si>
  <si>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</si>
  <si>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</si>
  <si>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</si>
  <si>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</si>
  <si>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MagicKnight+Ramagos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</si>
  <si>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</si>
  <si>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</si>
  <si>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</si>
  <si>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</si>
  <si>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</si>
  <si>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</si>
  <si>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</si>
  <si>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</si>
  <si>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EoMag(low)</t>
  </si>
  <si>
    <t>proc succ</t>
  </si>
  <si>
    <t>proc gain</t>
  </si>
  <si>
    <t>HoLight</t>
  </si>
  <si>
    <t>EoLig(low)</t>
  </si>
  <si>
    <t>EoLig(mid)</t>
  </si>
  <si>
    <t>SD(sala)</t>
  </si>
  <si>
    <t>Evolve</t>
  </si>
  <si>
    <t>SummStone</t>
  </si>
  <si>
    <t>Etykiety kolumn</t>
  </si>
  <si>
    <t>Licznik z Energy Drop</t>
  </si>
  <si>
    <t>energy spend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</si>
  <si>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</si>
  <si>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</si>
  <si>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</si>
  <si>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</si>
  <si>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</si>
  <si>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</si>
  <si>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</si>
  <si>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</si>
  <si>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</si>
  <si>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</si>
  <si>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</si>
  <si>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</si>
  <si>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</si>
  <si>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</si>
  <si>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</si>
  <si>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</si>
  <si>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</si>
  <si>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</si>
  <si>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</si>
  <si>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</si>
  <si>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</si>
  <si>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</si>
  <si>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</si>
  <si>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</si>
  <si>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</si>
  <si>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</si>
  <si>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</si>
  <si>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</si>
  <si>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</si>
  <si>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</si>
  <si>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EoDark(low)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</si>
  <si>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</si>
  <si>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</si>
  <si>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</si>
  <si>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</si>
  <si>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</si>
  <si>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</si>
  <si>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</si>
  <si>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MagicKnight</t>
  </si>
  <si>
    <t>19.54.42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</si>
  <si>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</si>
  <si>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</si>
  <si>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</si>
  <si>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</si>
  <si>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</si>
  <si>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</si>
  <si>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</si>
  <si>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</si>
  <si>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</si>
  <si>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</si>
  <si>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</si>
  <si>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</si>
  <si>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</si>
  <si>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</si>
  <si>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</si>
  <si>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</si>
  <si>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</si>
  <si>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</si>
  <si>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</si>
  <si>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</si>
  <si>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</si>
  <si>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Vamp</t>
  </si>
  <si>
    <t>Rev</t>
  </si>
  <si>
    <t>Def%</t>
  </si>
  <si>
    <t>Grade</t>
  </si>
  <si>
    <t>Res%</t>
  </si>
  <si>
    <t>Chose</t>
  </si>
  <si>
    <t>Y</t>
  </si>
  <si>
    <t>EoWat(Mid)</t>
  </si>
  <si>
    <t>SumStone</t>
  </si>
  <si>
    <t>EoWat(High)</t>
  </si>
  <si>
    <t>SD(Bearman)</t>
  </si>
  <si>
    <t>Angelmon</t>
  </si>
  <si>
    <t>HoWater</t>
  </si>
  <si>
    <t>EoMag(High)</t>
  </si>
  <si>
    <t>Raoq</t>
  </si>
  <si>
    <t>Sieq</t>
  </si>
  <si>
    <t>Hero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</si>
  <si>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</si>
  <si>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</si>
  <si>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</si>
  <si>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</si>
  <si>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</si>
  <si>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</si>
  <si>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</si>
  <si>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</si>
  <si>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</si>
  <si>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</si>
  <si>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</si>
  <si>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</si>
  <si>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</si>
  <si>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</si>
  <si>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</si>
  <si>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</si>
  <si>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</si>
  <si>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</si>
  <si>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</si>
  <si>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</si>
  <si>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</si>
  <si>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</si>
  <si>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</si>
  <si>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</si>
  <si>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</si>
  <si>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</si>
  <si>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</si>
  <si>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</si>
  <si>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</si>
  <si>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</si>
  <si>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</si>
  <si>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</si>
  <si>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</si>
  <si>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</si>
  <si>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</si>
  <si>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</si>
  <si>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</si>
  <si>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</si>
  <si>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</si>
  <si>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</si>
  <si>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</si>
  <si>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</si>
  <si>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</si>
  <si>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</si>
  <si>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</si>
  <si>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15.50</t>
  </si>
  <si>
    <t>17.18</t>
  </si>
  <si>
    <t>17.55</t>
  </si>
  <si>
    <t>18.37</t>
  </si>
  <si>
    <t>get</t>
  </si>
  <si>
    <t>19.23</t>
  </si>
  <si>
    <t>Time sec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</si>
</sst>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2" fontId="0" fillId="0" borderId="0" xfId="0" applyNumberFormat="1" applyFill="1"/>
    <xf numFmtId="3" fontId="0" fillId="0" borderId="0" xfId="0" applyNumberFormat="1"/>
    <xf numFmtId="3" fontId="0" fillId="0" borderId="0" xfId="0" applyNumberFormat="1" applyFill="1"/>
    <xf numFmtId="0" fontId="0" fillId="0" borderId="4" xfId="0" applyBorder="1"/>
    <xf numFmtId="0" fontId="3" fillId="0" borderId="5" xfId="0" applyFont="1" applyBorder="1"/>
    <xf numFmtId="0" fontId="5" fillId="0" borderId="0" xfId="0" applyFont="1" applyBorder="1"/>
    <xf numFmtId="0" fontId="5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0" xfId="0" applyFont="1" applyFill="1" applyBorder="1"/>
    <xf numFmtId="0" fontId="3" fillId="2" borderId="6" xfId="0" applyFont="1" applyFill="1" applyBorder="1"/>
    <xf numFmtId="0" fontId="3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</cellXfs>
  <cellStyles count="1">
    <cellStyle name="Normalny" xfId="0" builtinId="0"/>
  </cellStyles>
  <dxfs count="10"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268.515900231483" createdVersion="3" refreshedVersion="3" minRefreshableVersion="3" recordCount="742">
  <cacheSource type="worksheet">
    <worksheetSource name="DropAnalityka"/>
  </cacheSource>
  <cacheFields count="9">
    <cacheField name="Location" numFmtId="0">
      <sharedItems containsBlank="1" count="8">
        <s v="Tamor Desert"/>
        <s v="Faimon"/>
        <s v="Giant"/>
        <s v="HoMagic"/>
        <s v="Mt White"/>
        <s v="Aiden"/>
        <s v="HoLight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String="0" containsBlank="1" containsNumber="1" containsInteger="1" minValue="1" maxValue="6" count="7">
        <n v="1"/>
        <n v="3"/>
        <n v="6"/>
        <n v="5"/>
        <n v="4"/>
        <n v="2"/>
        <m/>
      </sharedItems>
    </cacheField>
    <cacheField name="Mana drop" numFmtId="0">
      <sharedItems containsString="0" containsBlank="1" containsNumber="1" containsInteger="1" minValue="310" maxValue="3389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13">
        <m/>
        <s v="Fod"/>
        <s v="Scroll"/>
        <s v="EoMag(Low)"/>
        <s v="Rainb"/>
        <s v="EoMag(Mid)"/>
        <s v="EoWat(Low)"/>
        <s v="EoLig(low)"/>
        <s v="EoLig(mid)"/>
        <s v="SD(sala)"/>
        <s v="SummStone"/>
        <s v="SweetCookie"/>
        <s v="Lowx2" u="1"/>
      </sharedItems>
    </cacheField>
    <cacheField name="Quality/Quantity" numFmtId="0">
      <sharedItems containsBlank="1" containsMixedTypes="1" containsNumber="1" containsInteger="1" minValue="1" maxValue="4"/>
    </cacheField>
    <cacheField name="Sell drop" numFmtId="0">
      <sharedItems containsString="0" containsBlank="1" containsNumber="1" containsInteger="1" minValue="0" maxValue="3182"/>
    </cacheField>
    <cacheField name="Time" numFmtId="0">
      <sharedItems containsNonDate="0" containsDate="1" containsString="0" containsBlank="1" minDate="1899-12-30T07:56:20" maxDate="1899-12-30T08:32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42">
  <r>
    <x v="0"/>
    <x v="0"/>
    <x v="0"/>
    <n v="1315"/>
    <n v="2"/>
    <x v="0"/>
    <m/>
    <n v="912"/>
    <m/>
  </r>
  <r>
    <x v="0"/>
    <x v="0"/>
    <x v="1"/>
    <n v="1255"/>
    <n v="0"/>
    <x v="0"/>
    <m/>
    <n v="325"/>
    <m/>
  </r>
  <r>
    <x v="0"/>
    <x v="0"/>
    <x v="1"/>
    <n v="1668"/>
    <n v="1"/>
    <x v="1"/>
    <s v="2*"/>
    <n v="0"/>
    <m/>
  </r>
  <r>
    <x v="0"/>
    <x v="0"/>
    <x v="1"/>
    <n v="1008"/>
    <n v="0"/>
    <x v="0"/>
    <m/>
    <n v="325"/>
    <m/>
  </r>
  <r>
    <x v="0"/>
    <x v="0"/>
    <x v="1"/>
    <n v="1619"/>
    <n v="1"/>
    <x v="0"/>
    <m/>
    <n v="325"/>
    <m/>
  </r>
  <r>
    <x v="0"/>
    <x v="0"/>
    <x v="1"/>
    <n v="1152"/>
    <n v="1"/>
    <x v="0"/>
    <m/>
    <n v="720"/>
    <m/>
  </r>
  <r>
    <x v="0"/>
    <x v="0"/>
    <x v="1"/>
    <n v="1007"/>
    <n v="0"/>
    <x v="2"/>
    <n v="1"/>
    <n v="0"/>
    <m/>
  </r>
  <r>
    <x v="0"/>
    <x v="0"/>
    <x v="1"/>
    <n v="1401"/>
    <n v="0"/>
    <x v="1"/>
    <s v="2*"/>
    <n v="0"/>
    <m/>
  </r>
  <r>
    <x v="0"/>
    <x v="0"/>
    <x v="1"/>
    <n v="1705"/>
    <n v="1"/>
    <x v="2"/>
    <n v="1"/>
    <n v="0"/>
    <m/>
  </r>
  <r>
    <x v="0"/>
    <x v="0"/>
    <x v="1"/>
    <n v="1033"/>
    <n v="0"/>
    <x v="0"/>
    <m/>
    <n v="720"/>
    <m/>
  </r>
  <r>
    <x v="0"/>
    <x v="0"/>
    <x v="1"/>
    <n v="645"/>
    <n v="0"/>
    <x v="1"/>
    <s v="2*"/>
    <n v="0"/>
    <m/>
  </r>
  <r>
    <x v="0"/>
    <x v="0"/>
    <x v="1"/>
    <n v="1091"/>
    <n v="4"/>
    <x v="0"/>
    <m/>
    <n v="325"/>
    <m/>
  </r>
  <r>
    <x v="0"/>
    <x v="0"/>
    <x v="1"/>
    <n v="519"/>
    <n v="2"/>
    <x v="0"/>
    <m/>
    <n v="487"/>
    <m/>
  </r>
  <r>
    <x v="0"/>
    <x v="0"/>
    <x v="1"/>
    <n v="1378"/>
    <n v="1"/>
    <x v="0"/>
    <m/>
    <n v="325"/>
    <m/>
  </r>
  <r>
    <x v="0"/>
    <x v="0"/>
    <x v="1"/>
    <n v="1455"/>
    <n v="1"/>
    <x v="0"/>
    <m/>
    <n v="325"/>
    <m/>
  </r>
  <r>
    <x v="0"/>
    <x v="0"/>
    <x v="1"/>
    <n v="790"/>
    <n v="2"/>
    <x v="1"/>
    <s v="1*"/>
    <n v="0"/>
    <m/>
  </r>
  <r>
    <x v="0"/>
    <x v="0"/>
    <x v="1"/>
    <n v="1881"/>
    <n v="2"/>
    <x v="2"/>
    <n v="1"/>
    <n v="0"/>
    <m/>
  </r>
  <r>
    <x v="0"/>
    <x v="0"/>
    <x v="1"/>
    <n v="1508"/>
    <n v="0"/>
    <x v="0"/>
    <m/>
    <n v="325"/>
    <m/>
  </r>
  <r>
    <x v="0"/>
    <x v="0"/>
    <x v="1"/>
    <n v="970"/>
    <n v="0"/>
    <x v="0"/>
    <m/>
    <n v="433"/>
    <m/>
  </r>
  <r>
    <x v="0"/>
    <x v="0"/>
    <x v="1"/>
    <n v="1863"/>
    <n v="0"/>
    <x v="0"/>
    <m/>
    <n v="379"/>
    <m/>
  </r>
  <r>
    <x v="0"/>
    <x v="0"/>
    <x v="1"/>
    <n v="1298"/>
    <n v="1"/>
    <x v="1"/>
    <s v="1*"/>
    <n v="0"/>
    <m/>
  </r>
  <r>
    <x v="0"/>
    <x v="0"/>
    <x v="1"/>
    <n v="867"/>
    <n v="2"/>
    <x v="0"/>
    <m/>
    <n v="325"/>
    <m/>
  </r>
  <r>
    <x v="0"/>
    <x v="0"/>
    <x v="1"/>
    <n v="1453"/>
    <n v="1"/>
    <x v="0"/>
    <m/>
    <n v="325"/>
    <m/>
  </r>
  <r>
    <x v="0"/>
    <x v="0"/>
    <x v="1"/>
    <n v="1293"/>
    <n v="0"/>
    <x v="2"/>
    <m/>
    <n v="0"/>
    <m/>
  </r>
  <r>
    <x v="0"/>
    <x v="0"/>
    <x v="1"/>
    <n v="1406"/>
    <n v="0"/>
    <x v="0"/>
    <m/>
    <n v="325"/>
    <m/>
  </r>
  <r>
    <x v="0"/>
    <x v="0"/>
    <x v="1"/>
    <n v="1172"/>
    <n v="1"/>
    <x v="2"/>
    <m/>
    <n v="0"/>
    <m/>
  </r>
  <r>
    <x v="0"/>
    <x v="0"/>
    <x v="1"/>
    <n v="1517"/>
    <n v="2"/>
    <x v="0"/>
    <m/>
    <n v="325"/>
    <m/>
  </r>
  <r>
    <x v="0"/>
    <x v="0"/>
    <x v="1"/>
    <n v="679"/>
    <n v="0"/>
    <x v="0"/>
    <m/>
    <n v="379"/>
    <m/>
  </r>
  <r>
    <x v="0"/>
    <x v="0"/>
    <x v="1"/>
    <n v="1263"/>
    <n v="0"/>
    <x v="0"/>
    <m/>
    <n v="487"/>
    <m/>
  </r>
  <r>
    <x v="0"/>
    <x v="0"/>
    <x v="1"/>
    <n v="497"/>
    <n v="1"/>
    <x v="2"/>
    <m/>
    <n v="0"/>
    <m/>
  </r>
  <r>
    <x v="0"/>
    <x v="0"/>
    <x v="1"/>
    <n v="621"/>
    <n v="1"/>
    <x v="0"/>
    <m/>
    <n v="720"/>
    <m/>
  </r>
  <r>
    <x v="0"/>
    <x v="0"/>
    <x v="1"/>
    <n v="1165"/>
    <n v="1"/>
    <x v="0"/>
    <m/>
    <n v="325"/>
    <m/>
  </r>
  <r>
    <x v="0"/>
    <x v="0"/>
    <x v="1"/>
    <n v="1390"/>
    <n v="1"/>
    <x v="2"/>
    <m/>
    <n v="0"/>
    <m/>
  </r>
  <r>
    <x v="0"/>
    <x v="0"/>
    <x v="1"/>
    <n v="999"/>
    <n v="1"/>
    <x v="2"/>
    <m/>
    <n v="0"/>
    <m/>
  </r>
  <r>
    <x v="0"/>
    <x v="0"/>
    <x v="1"/>
    <n v="1117"/>
    <n v="2"/>
    <x v="0"/>
    <m/>
    <n v="325"/>
    <m/>
  </r>
  <r>
    <x v="0"/>
    <x v="0"/>
    <x v="1"/>
    <n v="794"/>
    <n v="1"/>
    <x v="0"/>
    <m/>
    <n v="325"/>
    <m/>
  </r>
  <r>
    <x v="0"/>
    <x v="0"/>
    <x v="1"/>
    <n v="1432"/>
    <n v="1"/>
    <x v="0"/>
    <m/>
    <n v="325"/>
    <m/>
  </r>
  <r>
    <x v="0"/>
    <x v="0"/>
    <x v="1"/>
    <n v="1485"/>
    <n v="0"/>
    <x v="0"/>
    <m/>
    <n v="433"/>
    <m/>
  </r>
  <r>
    <x v="0"/>
    <x v="0"/>
    <x v="1"/>
    <n v="1301"/>
    <n v="1"/>
    <x v="0"/>
    <m/>
    <n v="379"/>
    <m/>
  </r>
  <r>
    <x v="0"/>
    <x v="0"/>
    <x v="1"/>
    <n v="1501"/>
    <n v="0"/>
    <x v="0"/>
    <m/>
    <n v="720"/>
    <m/>
  </r>
  <r>
    <x v="0"/>
    <x v="1"/>
    <x v="1"/>
    <n v="1470"/>
    <n v="0"/>
    <x v="0"/>
    <m/>
    <n v="1080"/>
    <m/>
  </r>
  <r>
    <x v="0"/>
    <x v="1"/>
    <x v="1"/>
    <n v="1058"/>
    <n v="1"/>
    <x v="2"/>
    <m/>
    <n v="0"/>
    <m/>
  </r>
  <r>
    <x v="1"/>
    <x v="0"/>
    <x v="0"/>
    <n v="1552"/>
    <n v="2"/>
    <x v="0"/>
    <m/>
    <n v="2128"/>
    <m/>
  </r>
  <r>
    <x v="1"/>
    <x v="0"/>
    <x v="0"/>
    <n v="1468"/>
    <n v="1"/>
    <x v="2"/>
    <m/>
    <n v="0"/>
    <m/>
  </r>
  <r>
    <x v="1"/>
    <x v="0"/>
    <x v="0"/>
    <n v="1481"/>
    <n v="1"/>
    <x v="0"/>
    <m/>
    <n v="0"/>
    <m/>
  </r>
  <r>
    <x v="1"/>
    <x v="0"/>
    <x v="0"/>
    <n v="1928"/>
    <n v="1"/>
    <x v="0"/>
    <m/>
    <n v="1824"/>
    <m/>
  </r>
  <r>
    <x v="1"/>
    <x v="0"/>
    <x v="0"/>
    <n v="1273"/>
    <n v="1"/>
    <x v="0"/>
    <m/>
    <n v="0"/>
    <m/>
  </r>
  <r>
    <x v="1"/>
    <x v="0"/>
    <x v="0"/>
    <n v="698"/>
    <n v="2"/>
    <x v="0"/>
    <m/>
    <n v="892"/>
    <m/>
  </r>
  <r>
    <x v="1"/>
    <x v="0"/>
    <x v="0"/>
    <n v="1500"/>
    <n v="1"/>
    <x v="0"/>
    <m/>
    <n v="2128"/>
    <m/>
  </r>
  <r>
    <x v="1"/>
    <x v="0"/>
    <x v="0"/>
    <n v="310"/>
    <n v="1"/>
    <x v="2"/>
    <m/>
    <n v="0"/>
    <m/>
  </r>
  <r>
    <x v="1"/>
    <x v="0"/>
    <x v="0"/>
    <n v="1386"/>
    <n v="0"/>
    <x v="0"/>
    <m/>
    <n v="823"/>
    <m/>
  </r>
  <r>
    <x v="1"/>
    <x v="0"/>
    <x v="0"/>
    <n v="1353"/>
    <n v="1"/>
    <x v="0"/>
    <m/>
    <n v="1824"/>
    <m/>
  </r>
  <r>
    <x v="1"/>
    <x v="0"/>
    <x v="0"/>
    <n v="1480"/>
    <n v="1"/>
    <x v="2"/>
    <m/>
    <n v="0"/>
    <m/>
  </r>
  <r>
    <x v="1"/>
    <x v="0"/>
    <x v="0"/>
    <n v="1618"/>
    <n v="1"/>
    <x v="2"/>
    <m/>
    <n v="0"/>
    <m/>
  </r>
  <r>
    <x v="1"/>
    <x v="0"/>
    <x v="0"/>
    <n v="1145"/>
    <n v="3"/>
    <x v="0"/>
    <m/>
    <n v="1824"/>
    <m/>
  </r>
  <r>
    <x v="1"/>
    <x v="0"/>
    <x v="0"/>
    <n v="1164"/>
    <n v="0"/>
    <x v="0"/>
    <m/>
    <n v="823"/>
    <m/>
  </r>
  <r>
    <x v="0"/>
    <x v="1"/>
    <x v="2"/>
    <n v="1500"/>
    <n v="1"/>
    <x v="0"/>
    <m/>
    <n v="1152"/>
    <m/>
  </r>
  <r>
    <x v="1"/>
    <x v="0"/>
    <x v="0"/>
    <n v="1215"/>
    <n v="1"/>
    <x v="0"/>
    <m/>
    <n v="823"/>
    <m/>
  </r>
  <r>
    <x v="1"/>
    <x v="0"/>
    <x v="0"/>
    <n v="1268"/>
    <n v="2"/>
    <x v="0"/>
    <m/>
    <n v="1824"/>
    <m/>
  </r>
  <r>
    <x v="1"/>
    <x v="0"/>
    <x v="0"/>
    <n v="1694"/>
    <n v="0"/>
    <x v="0"/>
    <m/>
    <n v="960"/>
    <m/>
  </r>
  <r>
    <x v="1"/>
    <x v="0"/>
    <x v="0"/>
    <n v="1722"/>
    <n v="1"/>
    <x v="0"/>
    <m/>
    <n v="1824"/>
    <m/>
  </r>
  <r>
    <x v="1"/>
    <x v="0"/>
    <x v="0"/>
    <n v="852"/>
    <n v="0"/>
    <x v="0"/>
    <m/>
    <n v="823"/>
    <m/>
  </r>
  <r>
    <x v="1"/>
    <x v="0"/>
    <x v="0"/>
    <n v="1720"/>
    <n v="1"/>
    <x v="0"/>
    <m/>
    <n v="892"/>
    <m/>
  </r>
  <r>
    <x v="1"/>
    <x v="0"/>
    <x v="0"/>
    <n v="1162"/>
    <n v="1"/>
    <x v="0"/>
    <m/>
    <n v="823"/>
    <m/>
  </r>
  <r>
    <x v="1"/>
    <x v="0"/>
    <x v="0"/>
    <n v="1888"/>
    <n v="2"/>
    <x v="2"/>
    <m/>
    <n v="0"/>
    <m/>
  </r>
  <r>
    <x v="1"/>
    <x v="0"/>
    <x v="0"/>
    <n v="703"/>
    <n v="0"/>
    <x v="0"/>
    <m/>
    <n v="960"/>
    <m/>
  </r>
  <r>
    <x v="1"/>
    <x v="0"/>
    <x v="0"/>
    <n v="1958"/>
    <n v="2"/>
    <x v="2"/>
    <m/>
    <n v="0"/>
    <m/>
  </r>
  <r>
    <x v="1"/>
    <x v="0"/>
    <x v="0"/>
    <n v="1380"/>
    <n v="1"/>
    <x v="0"/>
    <m/>
    <n v="823"/>
    <m/>
  </r>
  <r>
    <x v="0"/>
    <x v="1"/>
    <x v="1"/>
    <n v="1241"/>
    <n v="0"/>
    <x v="0"/>
    <m/>
    <n v="720"/>
    <m/>
  </r>
  <r>
    <x v="0"/>
    <x v="1"/>
    <x v="1"/>
    <n v="2522"/>
    <n v="2"/>
    <x v="1"/>
    <s v="2*"/>
    <n v="0"/>
    <m/>
  </r>
  <r>
    <x v="0"/>
    <x v="1"/>
    <x v="1"/>
    <n v="1714"/>
    <n v="0"/>
    <x v="0"/>
    <m/>
    <n v="720"/>
    <m/>
  </r>
  <r>
    <x v="0"/>
    <x v="1"/>
    <x v="1"/>
    <n v="1068"/>
    <n v="0"/>
    <x v="0"/>
    <m/>
    <n v="720"/>
    <m/>
  </r>
  <r>
    <x v="0"/>
    <x v="1"/>
    <x v="1"/>
    <n v="1616"/>
    <n v="0"/>
    <x v="0"/>
    <m/>
    <n v="720"/>
    <m/>
  </r>
  <r>
    <x v="0"/>
    <x v="1"/>
    <x v="1"/>
    <n v="1019"/>
    <n v="2"/>
    <x v="1"/>
    <s v="2*"/>
    <n v="0"/>
    <m/>
  </r>
  <r>
    <x v="0"/>
    <x v="1"/>
    <x v="1"/>
    <n v="1705"/>
    <n v="1"/>
    <x v="0"/>
    <m/>
    <n v="1159"/>
    <m/>
  </r>
  <r>
    <x v="0"/>
    <x v="1"/>
    <x v="1"/>
    <n v="1196"/>
    <n v="1"/>
    <x v="2"/>
    <n v="2"/>
    <n v="0"/>
    <m/>
  </r>
  <r>
    <x v="0"/>
    <x v="1"/>
    <x v="1"/>
    <n v="780"/>
    <n v="1"/>
    <x v="0"/>
    <m/>
    <n v="720"/>
    <m/>
  </r>
  <r>
    <x v="0"/>
    <x v="1"/>
    <x v="1"/>
    <n v="1258"/>
    <n v="0"/>
    <x v="0"/>
    <m/>
    <n v="720"/>
    <m/>
  </r>
  <r>
    <x v="0"/>
    <x v="0"/>
    <x v="1"/>
    <n v="2183"/>
    <n v="1"/>
    <x v="2"/>
    <m/>
    <n v="0"/>
    <m/>
  </r>
  <r>
    <x v="0"/>
    <x v="0"/>
    <x v="1"/>
    <n v="985"/>
    <n v="0"/>
    <x v="0"/>
    <m/>
    <n v="720"/>
    <m/>
  </r>
  <r>
    <x v="0"/>
    <x v="1"/>
    <x v="1"/>
    <n v="1518"/>
    <n v="0"/>
    <x v="0"/>
    <m/>
    <n v="960"/>
    <m/>
  </r>
  <r>
    <x v="0"/>
    <x v="1"/>
    <x v="1"/>
    <n v="1785"/>
    <n v="3"/>
    <x v="0"/>
    <m/>
    <n v="1159"/>
    <m/>
  </r>
  <r>
    <x v="0"/>
    <x v="1"/>
    <x v="1"/>
    <n v="1866"/>
    <n v="3"/>
    <x v="2"/>
    <m/>
    <n v="0"/>
    <m/>
  </r>
  <r>
    <x v="0"/>
    <x v="1"/>
    <x v="1"/>
    <n v="1249"/>
    <n v="1"/>
    <x v="0"/>
    <m/>
    <n v="1546"/>
    <m/>
  </r>
  <r>
    <x v="0"/>
    <x v="1"/>
    <x v="1"/>
    <n v="904"/>
    <n v="0"/>
    <x v="0"/>
    <m/>
    <n v="1159"/>
    <m/>
  </r>
  <r>
    <x v="0"/>
    <x v="1"/>
    <x v="1"/>
    <n v="1447"/>
    <n v="0"/>
    <x v="2"/>
    <m/>
    <n v="0"/>
    <m/>
  </r>
  <r>
    <x v="0"/>
    <x v="1"/>
    <x v="1"/>
    <n v="1756"/>
    <n v="2"/>
    <x v="0"/>
    <m/>
    <n v="720"/>
    <m/>
  </r>
  <r>
    <x v="0"/>
    <x v="1"/>
    <x v="1"/>
    <n v="1070"/>
    <n v="0"/>
    <x v="0"/>
    <m/>
    <n v="840"/>
    <m/>
  </r>
  <r>
    <x v="0"/>
    <x v="1"/>
    <x v="1"/>
    <n v="1710"/>
    <n v="0"/>
    <x v="2"/>
    <m/>
    <n v="0"/>
    <m/>
  </r>
  <r>
    <x v="0"/>
    <x v="1"/>
    <x v="1"/>
    <n v="1226"/>
    <n v="0"/>
    <x v="0"/>
    <m/>
    <n v="1159"/>
    <m/>
  </r>
  <r>
    <x v="0"/>
    <x v="1"/>
    <x v="1"/>
    <n v="1124"/>
    <n v="0"/>
    <x v="0"/>
    <m/>
    <n v="1159"/>
    <m/>
  </r>
  <r>
    <x v="0"/>
    <x v="1"/>
    <x v="1"/>
    <n v="1725"/>
    <n v="2"/>
    <x v="2"/>
    <m/>
    <n v="0"/>
    <m/>
  </r>
  <r>
    <x v="0"/>
    <x v="1"/>
    <x v="1"/>
    <n v="1933"/>
    <n v="1"/>
    <x v="0"/>
    <m/>
    <n v="720"/>
    <m/>
  </r>
  <r>
    <x v="0"/>
    <x v="1"/>
    <x v="1"/>
    <n v="1398"/>
    <n v="2"/>
    <x v="2"/>
    <m/>
    <n v="0"/>
    <m/>
  </r>
  <r>
    <x v="0"/>
    <x v="1"/>
    <x v="1"/>
    <n v="1984"/>
    <n v="1"/>
    <x v="0"/>
    <m/>
    <n v="720"/>
    <m/>
  </r>
  <r>
    <x v="0"/>
    <x v="1"/>
    <x v="1"/>
    <n v="1093"/>
    <n v="0"/>
    <x v="0"/>
    <m/>
    <n v="720"/>
    <m/>
  </r>
  <r>
    <x v="0"/>
    <x v="1"/>
    <x v="1"/>
    <n v="1133"/>
    <n v="2"/>
    <x v="0"/>
    <m/>
    <n v="1159"/>
    <m/>
  </r>
  <r>
    <x v="0"/>
    <x v="1"/>
    <x v="1"/>
    <n v="1193"/>
    <n v="2"/>
    <x v="0"/>
    <m/>
    <n v="1546"/>
    <m/>
  </r>
  <r>
    <x v="0"/>
    <x v="1"/>
    <x v="1"/>
    <n v="1346"/>
    <n v="1"/>
    <x v="2"/>
    <m/>
    <n v="0"/>
    <m/>
  </r>
  <r>
    <x v="1"/>
    <x v="0"/>
    <x v="0"/>
    <n v="1167"/>
    <n v="1"/>
    <x v="0"/>
    <m/>
    <n v="2128"/>
    <m/>
  </r>
  <r>
    <x v="1"/>
    <x v="0"/>
    <x v="0"/>
    <n v="1005"/>
    <n v="0"/>
    <x v="0"/>
    <m/>
    <n v="1976"/>
    <m/>
  </r>
  <r>
    <x v="1"/>
    <x v="0"/>
    <x v="0"/>
    <n v="1738"/>
    <n v="0"/>
    <x v="0"/>
    <m/>
    <n v="1824"/>
    <m/>
  </r>
  <r>
    <x v="1"/>
    <x v="0"/>
    <x v="0"/>
    <n v="1440"/>
    <n v="0"/>
    <x v="0"/>
    <m/>
    <n v="823"/>
    <m/>
  </r>
  <r>
    <x v="1"/>
    <x v="0"/>
    <x v="0"/>
    <n v="632"/>
    <n v="0"/>
    <x v="0"/>
    <m/>
    <n v="1824"/>
    <m/>
  </r>
  <r>
    <x v="1"/>
    <x v="0"/>
    <x v="0"/>
    <n v="2032"/>
    <n v="1"/>
    <x v="0"/>
    <m/>
    <n v="2128"/>
    <m/>
  </r>
  <r>
    <x v="1"/>
    <x v="0"/>
    <x v="0"/>
    <n v="559"/>
    <n v="0"/>
    <x v="0"/>
    <m/>
    <n v="823"/>
    <m/>
  </r>
  <r>
    <x v="1"/>
    <x v="0"/>
    <x v="0"/>
    <n v="1582"/>
    <n v="0"/>
    <x v="0"/>
    <m/>
    <n v="1824"/>
    <m/>
  </r>
  <r>
    <x v="1"/>
    <x v="0"/>
    <x v="0"/>
    <n v="1981"/>
    <n v="1"/>
    <x v="2"/>
    <m/>
    <n v="0"/>
    <m/>
  </r>
  <r>
    <x v="1"/>
    <x v="0"/>
    <x v="0"/>
    <n v="859"/>
    <n v="2"/>
    <x v="0"/>
    <m/>
    <n v="1824"/>
    <m/>
  </r>
  <r>
    <x v="1"/>
    <x v="0"/>
    <x v="0"/>
    <n v="874"/>
    <n v="0"/>
    <x v="0"/>
    <m/>
    <n v="1824"/>
    <m/>
  </r>
  <r>
    <x v="1"/>
    <x v="0"/>
    <x v="0"/>
    <n v="1505"/>
    <n v="0"/>
    <x v="0"/>
    <m/>
    <n v="960"/>
    <m/>
  </r>
  <r>
    <x v="1"/>
    <x v="0"/>
    <x v="0"/>
    <n v="1971"/>
    <n v="2"/>
    <x v="0"/>
    <m/>
    <n v="823"/>
    <m/>
  </r>
  <r>
    <x v="1"/>
    <x v="0"/>
    <x v="0"/>
    <n v="991"/>
    <n v="0"/>
    <x v="2"/>
    <m/>
    <n v="0"/>
    <m/>
  </r>
  <r>
    <x v="1"/>
    <x v="0"/>
    <x v="0"/>
    <n v="1762"/>
    <n v="1"/>
    <x v="0"/>
    <m/>
    <n v="1824"/>
    <m/>
  </r>
  <r>
    <x v="1"/>
    <x v="0"/>
    <x v="0"/>
    <n v="1178"/>
    <n v="1"/>
    <x v="0"/>
    <m/>
    <n v="892"/>
    <m/>
  </r>
  <r>
    <x v="1"/>
    <x v="0"/>
    <x v="0"/>
    <n v="1010"/>
    <n v="0"/>
    <x v="2"/>
    <m/>
    <n v="0"/>
    <m/>
  </r>
  <r>
    <x v="0"/>
    <x v="1"/>
    <x v="1"/>
    <n v="961"/>
    <n v="0"/>
    <x v="0"/>
    <m/>
    <n v="1159"/>
    <m/>
  </r>
  <r>
    <x v="2"/>
    <x v="2"/>
    <x v="1"/>
    <n v="1603"/>
    <n v="1"/>
    <x v="0"/>
    <m/>
    <n v="1752"/>
    <m/>
  </r>
  <r>
    <x v="3"/>
    <x v="2"/>
    <x v="3"/>
    <n v="1712"/>
    <n v="2"/>
    <x v="3"/>
    <n v="2"/>
    <n v="0"/>
    <m/>
  </r>
  <r>
    <x v="0"/>
    <x v="1"/>
    <x v="1"/>
    <n v="532"/>
    <n v="2"/>
    <x v="0"/>
    <m/>
    <n v="720"/>
    <m/>
  </r>
  <r>
    <x v="0"/>
    <x v="1"/>
    <x v="1"/>
    <n v="1301"/>
    <n v="0"/>
    <x v="0"/>
    <m/>
    <n v="1739"/>
    <m/>
  </r>
  <r>
    <x v="0"/>
    <x v="1"/>
    <x v="1"/>
    <n v="1244"/>
    <n v="0"/>
    <x v="0"/>
    <m/>
    <n v="840"/>
    <m/>
  </r>
  <r>
    <x v="0"/>
    <x v="1"/>
    <x v="1"/>
    <n v="1900"/>
    <n v="0"/>
    <x v="2"/>
    <m/>
    <n v="0"/>
    <m/>
  </r>
  <r>
    <x v="0"/>
    <x v="1"/>
    <x v="1"/>
    <n v="621"/>
    <n v="1"/>
    <x v="2"/>
    <m/>
    <n v="0"/>
    <m/>
  </r>
  <r>
    <x v="0"/>
    <x v="1"/>
    <x v="1"/>
    <n v="1299"/>
    <n v="0"/>
    <x v="0"/>
    <m/>
    <n v="1159"/>
    <m/>
  </r>
  <r>
    <x v="0"/>
    <x v="1"/>
    <x v="1"/>
    <n v="1187"/>
    <n v="1"/>
    <x v="0"/>
    <m/>
    <n v="1159"/>
    <m/>
  </r>
  <r>
    <x v="0"/>
    <x v="1"/>
    <x v="1"/>
    <n v="1395"/>
    <n v="1"/>
    <x v="0"/>
    <m/>
    <n v="1352"/>
    <m/>
  </r>
  <r>
    <x v="0"/>
    <x v="1"/>
    <x v="1"/>
    <n v="1797"/>
    <n v="2"/>
    <x v="1"/>
    <s v="2*"/>
    <n v="0"/>
    <m/>
  </r>
  <r>
    <x v="0"/>
    <x v="1"/>
    <x v="1"/>
    <n v="1295"/>
    <n v="0"/>
    <x v="2"/>
    <m/>
    <n v="0"/>
    <m/>
  </r>
  <r>
    <x v="0"/>
    <x v="1"/>
    <x v="1"/>
    <n v="2244"/>
    <n v="2"/>
    <x v="4"/>
    <s v="2*"/>
    <n v="0"/>
    <m/>
  </r>
  <r>
    <x v="0"/>
    <x v="1"/>
    <x v="1"/>
    <n v="1719"/>
    <n v="1"/>
    <x v="1"/>
    <s v="1*"/>
    <n v="0"/>
    <m/>
  </r>
  <r>
    <x v="1"/>
    <x v="0"/>
    <x v="0"/>
    <n v="677"/>
    <n v="0"/>
    <x v="1"/>
    <s v="2*"/>
    <n v="0"/>
    <m/>
  </r>
  <r>
    <x v="1"/>
    <x v="0"/>
    <x v="0"/>
    <n v="1098"/>
    <n v="2"/>
    <x v="0"/>
    <m/>
    <n v="823"/>
    <m/>
  </r>
  <r>
    <x v="1"/>
    <x v="0"/>
    <x v="0"/>
    <n v="1357"/>
    <n v="1"/>
    <x v="2"/>
    <m/>
    <n v="0"/>
    <m/>
  </r>
  <r>
    <x v="1"/>
    <x v="0"/>
    <x v="0"/>
    <n v="871"/>
    <n v="0"/>
    <x v="0"/>
    <m/>
    <n v="823"/>
    <m/>
  </r>
  <r>
    <x v="1"/>
    <x v="0"/>
    <x v="0"/>
    <n v="1258"/>
    <n v="0"/>
    <x v="1"/>
    <s v="2*"/>
    <n v="0"/>
    <m/>
  </r>
  <r>
    <x v="1"/>
    <x v="0"/>
    <x v="0"/>
    <n v="1950"/>
    <n v="1"/>
    <x v="0"/>
    <m/>
    <n v="823"/>
    <m/>
  </r>
  <r>
    <x v="1"/>
    <x v="0"/>
    <x v="0"/>
    <n v="1467"/>
    <n v="2"/>
    <x v="0"/>
    <m/>
    <n v="823"/>
    <m/>
  </r>
  <r>
    <x v="1"/>
    <x v="0"/>
    <x v="0"/>
    <n v="2122"/>
    <n v="3"/>
    <x v="2"/>
    <m/>
    <n v="0"/>
    <m/>
  </r>
  <r>
    <x v="1"/>
    <x v="0"/>
    <x v="0"/>
    <n v="1756"/>
    <n v="0"/>
    <x v="0"/>
    <m/>
    <n v="1824"/>
    <m/>
  </r>
  <r>
    <x v="1"/>
    <x v="0"/>
    <x v="0"/>
    <n v="1403"/>
    <n v="2"/>
    <x v="0"/>
    <m/>
    <n v="960"/>
    <m/>
  </r>
  <r>
    <x v="1"/>
    <x v="0"/>
    <x v="0"/>
    <n v="1242"/>
    <n v="0"/>
    <x v="0"/>
    <m/>
    <n v="823"/>
    <m/>
  </r>
  <r>
    <x v="1"/>
    <x v="0"/>
    <x v="0"/>
    <n v="1482"/>
    <n v="1"/>
    <x v="0"/>
    <m/>
    <n v="892"/>
    <m/>
  </r>
  <r>
    <x v="1"/>
    <x v="0"/>
    <x v="0"/>
    <n v="908"/>
    <n v="3"/>
    <x v="2"/>
    <m/>
    <n v="0"/>
    <m/>
  </r>
  <r>
    <x v="1"/>
    <x v="0"/>
    <x v="0"/>
    <n v="1969"/>
    <n v="0"/>
    <x v="0"/>
    <m/>
    <n v="823"/>
    <m/>
  </r>
  <r>
    <x v="1"/>
    <x v="0"/>
    <x v="0"/>
    <n v="1354"/>
    <n v="0"/>
    <x v="0"/>
    <m/>
    <n v="1824"/>
    <m/>
  </r>
  <r>
    <x v="1"/>
    <x v="0"/>
    <x v="0"/>
    <n v="1568"/>
    <n v="0"/>
    <x v="0"/>
    <m/>
    <n v="823"/>
    <m/>
  </r>
  <r>
    <x v="1"/>
    <x v="0"/>
    <x v="0"/>
    <n v="1520"/>
    <n v="0"/>
    <x v="0"/>
    <m/>
    <n v="823"/>
    <m/>
  </r>
  <r>
    <x v="1"/>
    <x v="0"/>
    <x v="0"/>
    <n v="1605"/>
    <n v="0"/>
    <x v="2"/>
    <m/>
    <m/>
    <m/>
  </r>
  <r>
    <x v="1"/>
    <x v="0"/>
    <x v="0"/>
    <n v="1979"/>
    <n v="1"/>
    <x v="0"/>
    <m/>
    <n v="1824"/>
    <m/>
  </r>
  <r>
    <x v="1"/>
    <x v="0"/>
    <x v="0"/>
    <n v="1846"/>
    <n v="1"/>
    <x v="2"/>
    <m/>
    <n v="0"/>
    <m/>
  </r>
  <r>
    <x v="1"/>
    <x v="0"/>
    <x v="0"/>
    <n v="1861"/>
    <n v="1"/>
    <x v="0"/>
    <m/>
    <n v="823"/>
    <m/>
  </r>
  <r>
    <x v="1"/>
    <x v="0"/>
    <x v="0"/>
    <n v="1519"/>
    <n v="3"/>
    <x v="2"/>
    <m/>
    <n v="0"/>
    <m/>
  </r>
  <r>
    <x v="1"/>
    <x v="0"/>
    <x v="0"/>
    <n v="1049"/>
    <n v="1"/>
    <x v="0"/>
    <m/>
    <n v="960"/>
    <m/>
  </r>
  <r>
    <x v="1"/>
    <x v="0"/>
    <x v="0"/>
    <n v="992"/>
    <n v="1"/>
    <x v="0"/>
    <m/>
    <n v="2128"/>
    <m/>
  </r>
  <r>
    <x v="1"/>
    <x v="0"/>
    <x v="0"/>
    <n v="1441"/>
    <n v="1"/>
    <x v="2"/>
    <m/>
    <n v="0"/>
    <m/>
  </r>
  <r>
    <x v="1"/>
    <x v="0"/>
    <x v="0"/>
    <n v="1549"/>
    <n v="1"/>
    <x v="0"/>
    <m/>
    <n v="823"/>
    <m/>
  </r>
  <r>
    <x v="1"/>
    <x v="0"/>
    <x v="0"/>
    <n v="1078"/>
    <n v="0"/>
    <x v="0"/>
    <m/>
    <n v="1824"/>
    <m/>
  </r>
  <r>
    <x v="1"/>
    <x v="0"/>
    <x v="0"/>
    <n v="1900"/>
    <n v="1"/>
    <x v="2"/>
    <m/>
    <n v="0"/>
    <m/>
  </r>
  <r>
    <x v="1"/>
    <x v="0"/>
    <x v="0"/>
    <n v="1954"/>
    <n v="1"/>
    <x v="2"/>
    <m/>
    <n v="0"/>
    <m/>
  </r>
  <r>
    <x v="1"/>
    <x v="0"/>
    <x v="0"/>
    <n v="1261"/>
    <n v="1"/>
    <x v="2"/>
    <m/>
    <n v="0"/>
    <m/>
  </r>
  <r>
    <x v="1"/>
    <x v="0"/>
    <x v="0"/>
    <n v="1559"/>
    <n v="1"/>
    <x v="1"/>
    <s v="2*"/>
    <n v="0"/>
    <m/>
  </r>
  <r>
    <x v="1"/>
    <x v="0"/>
    <x v="0"/>
    <n v="1232"/>
    <n v="0"/>
    <x v="0"/>
    <m/>
    <n v="892"/>
    <m/>
  </r>
  <r>
    <x v="1"/>
    <x v="0"/>
    <x v="0"/>
    <n v="1417"/>
    <n v="0"/>
    <x v="0"/>
    <m/>
    <n v="823"/>
    <m/>
  </r>
  <r>
    <x v="1"/>
    <x v="0"/>
    <x v="0"/>
    <n v="1648"/>
    <n v="2"/>
    <x v="2"/>
    <m/>
    <n v="0"/>
    <m/>
  </r>
  <r>
    <x v="1"/>
    <x v="0"/>
    <x v="0"/>
    <n v="1770"/>
    <n v="2"/>
    <x v="2"/>
    <m/>
    <n v="0"/>
    <m/>
  </r>
  <r>
    <x v="1"/>
    <x v="0"/>
    <x v="0"/>
    <n v="1391"/>
    <n v="1"/>
    <x v="0"/>
    <m/>
    <n v="823"/>
    <m/>
  </r>
  <r>
    <x v="1"/>
    <x v="0"/>
    <x v="0"/>
    <n v="1192"/>
    <n v="0"/>
    <x v="2"/>
    <m/>
    <n v="0"/>
    <m/>
  </r>
  <r>
    <x v="3"/>
    <x v="0"/>
    <x v="4"/>
    <n v="1346"/>
    <n v="1"/>
    <x v="3"/>
    <n v="2"/>
    <n v="0"/>
    <m/>
  </r>
  <r>
    <x v="3"/>
    <x v="0"/>
    <x v="4"/>
    <n v="1240"/>
    <n v="0"/>
    <x v="2"/>
    <n v="2"/>
    <n v="0"/>
    <m/>
  </r>
  <r>
    <x v="3"/>
    <x v="0"/>
    <x v="4"/>
    <n v="1238"/>
    <n v="0"/>
    <x v="2"/>
    <n v="3"/>
    <n v="0"/>
    <m/>
  </r>
  <r>
    <x v="3"/>
    <x v="0"/>
    <x v="4"/>
    <n v="1236"/>
    <n v="1"/>
    <x v="2"/>
    <n v="2"/>
    <n v="0"/>
    <m/>
  </r>
  <r>
    <x v="3"/>
    <x v="0"/>
    <x v="4"/>
    <n v="1365"/>
    <n v="1"/>
    <x v="5"/>
    <n v="1"/>
    <n v="0"/>
    <m/>
  </r>
  <r>
    <x v="3"/>
    <x v="0"/>
    <x v="4"/>
    <n v="1240"/>
    <n v="1"/>
    <x v="2"/>
    <n v="3"/>
    <n v="0"/>
    <m/>
  </r>
  <r>
    <x v="3"/>
    <x v="0"/>
    <x v="4"/>
    <n v="1209"/>
    <n v="1"/>
    <x v="6"/>
    <n v="2"/>
    <n v="0"/>
    <m/>
  </r>
  <r>
    <x v="0"/>
    <x v="1"/>
    <x v="1"/>
    <n v="1206"/>
    <n v="0"/>
    <x v="0"/>
    <m/>
    <m/>
    <m/>
  </r>
  <r>
    <x v="4"/>
    <x v="3"/>
    <x v="5"/>
    <n v="1192"/>
    <n v="1"/>
    <x v="4"/>
    <s v="2*"/>
    <n v="0"/>
    <m/>
  </r>
  <r>
    <x v="0"/>
    <x v="1"/>
    <x v="1"/>
    <n v="1212"/>
    <n v="2"/>
    <x v="0"/>
    <m/>
    <n v="1352"/>
    <m/>
  </r>
  <r>
    <x v="0"/>
    <x v="1"/>
    <x v="1"/>
    <n v="564"/>
    <n v="0"/>
    <x v="1"/>
    <s v="2*"/>
    <n v="0"/>
    <m/>
  </r>
  <r>
    <x v="0"/>
    <x v="1"/>
    <x v="1"/>
    <n v="2224"/>
    <n v="2"/>
    <x v="2"/>
    <n v="2"/>
    <n v="0"/>
    <m/>
  </r>
  <r>
    <x v="0"/>
    <x v="1"/>
    <x v="1"/>
    <n v="1341"/>
    <n v="1"/>
    <x v="1"/>
    <s v="1*"/>
    <n v="0"/>
    <m/>
  </r>
  <r>
    <x v="0"/>
    <x v="1"/>
    <x v="1"/>
    <n v="1482"/>
    <n v="0"/>
    <x v="0"/>
    <m/>
    <n v="720"/>
    <m/>
  </r>
  <r>
    <x v="0"/>
    <x v="1"/>
    <x v="1"/>
    <n v="1565"/>
    <n v="0"/>
    <x v="0"/>
    <m/>
    <n v="720"/>
    <m/>
  </r>
  <r>
    <x v="0"/>
    <x v="1"/>
    <x v="1"/>
    <n v="1627"/>
    <n v="0"/>
    <x v="2"/>
    <n v="2"/>
    <n v="0"/>
    <m/>
  </r>
  <r>
    <x v="0"/>
    <x v="3"/>
    <x v="1"/>
    <n v="1597"/>
    <n v="1"/>
    <x v="0"/>
    <m/>
    <n v="2067"/>
    <m/>
  </r>
  <r>
    <x v="0"/>
    <x v="3"/>
    <x v="1"/>
    <n v="1772"/>
    <n v="1"/>
    <x v="0"/>
    <m/>
    <n v="1159"/>
    <m/>
  </r>
  <r>
    <x v="5"/>
    <x v="0"/>
    <x v="0"/>
    <n v="1111"/>
    <n v="1"/>
    <x v="0"/>
    <m/>
    <n v="1824"/>
    <m/>
  </r>
  <r>
    <x v="5"/>
    <x v="0"/>
    <x v="5"/>
    <n v="2526"/>
    <n v="0"/>
    <x v="0"/>
    <m/>
    <n v="866"/>
    <m/>
  </r>
  <r>
    <x v="5"/>
    <x v="0"/>
    <x v="1"/>
    <n v="1458"/>
    <n v="0"/>
    <x v="0"/>
    <m/>
    <n v="1440"/>
    <m/>
  </r>
  <r>
    <x v="5"/>
    <x v="0"/>
    <x v="1"/>
    <n v="1590"/>
    <n v="0"/>
    <x v="0"/>
    <m/>
    <n v="1440"/>
    <m/>
  </r>
  <r>
    <x v="5"/>
    <x v="0"/>
    <x v="0"/>
    <n v="1062"/>
    <n v="0"/>
    <x v="0"/>
    <m/>
    <n v="823"/>
    <m/>
  </r>
  <r>
    <x v="5"/>
    <x v="0"/>
    <x v="0"/>
    <n v="1492"/>
    <n v="1"/>
    <x v="0"/>
    <m/>
    <n v="1976"/>
    <m/>
  </r>
  <r>
    <x v="5"/>
    <x v="0"/>
    <x v="0"/>
    <n v="1482"/>
    <n v="1"/>
    <x v="0"/>
    <m/>
    <n v="823"/>
    <m/>
  </r>
  <r>
    <x v="5"/>
    <x v="0"/>
    <x v="0"/>
    <n v="1762"/>
    <n v="0"/>
    <x v="0"/>
    <m/>
    <n v="823"/>
    <m/>
  </r>
  <r>
    <x v="5"/>
    <x v="0"/>
    <x v="0"/>
    <n v="1391"/>
    <n v="1"/>
    <x v="0"/>
    <m/>
    <n v="2128"/>
    <m/>
  </r>
  <r>
    <x v="5"/>
    <x v="0"/>
    <x v="0"/>
    <n v="1281"/>
    <n v="1"/>
    <x v="2"/>
    <n v="1"/>
    <n v="0"/>
    <m/>
  </r>
  <r>
    <x v="5"/>
    <x v="0"/>
    <x v="0"/>
    <n v="1169"/>
    <n v="0"/>
    <x v="0"/>
    <m/>
    <n v="823"/>
    <m/>
  </r>
  <r>
    <x v="5"/>
    <x v="0"/>
    <x v="0"/>
    <n v="1657"/>
    <n v="2"/>
    <x v="0"/>
    <m/>
    <n v="892"/>
    <m/>
  </r>
  <r>
    <x v="5"/>
    <x v="0"/>
    <x v="0"/>
    <n v="1214"/>
    <n v="0"/>
    <x v="2"/>
    <n v="1"/>
    <n v="0"/>
    <m/>
  </r>
  <r>
    <x v="5"/>
    <x v="0"/>
    <x v="0"/>
    <n v="1156"/>
    <n v="0"/>
    <x v="2"/>
    <n v="1"/>
    <n v="0"/>
    <m/>
  </r>
  <r>
    <x v="5"/>
    <x v="0"/>
    <x v="0"/>
    <n v="1190"/>
    <n v="2"/>
    <x v="0"/>
    <m/>
    <n v="823"/>
    <m/>
  </r>
  <r>
    <x v="5"/>
    <x v="0"/>
    <x v="0"/>
    <n v="2017"/>
    <n v="0"/>
    <x v="0"/>
    <m/>
    <n v="960"/>
    <m/>
  </r>
  <r>
    <x v="5"/>
    <x v="0"/>
    <x v="0"/>
    <n v="1407"/>
    <n v="0"/>
    <x v="0"/>
    <m/>
    <n v="2128"/>
    <m/>
  </r>
  <r>
    <x v="5"/>
    <x v="0"/>
    <x v="0"/>
    <n v="710"/>
    <n v="1"/>
    <x v="0"/>
    <m/>
    <n v="892"/>
    <m/>
  </r>
  <r>
    <x v="5"/>
    <x v="0"/>
    <x v="0"/>
    <n v="1242"/>
    <n v="4"/>
    <x v="0"/>
    <m/>
    <n v="960"/>
    <m/>
  </r>
  <r>
    <x v="5"/>
    <x v="0"/>
    <x v="0"/>
    <n v="1757"/>
    <n v="3"/>
    <x v="0"/>
    <m/>
    <n v="2280"/>
    <m/>
  </r>
  <r>
    <x v="5"/>
    <x v="0"/>
    <x v="0"/>
    <n v="1460"/>
    <n v="1"/>
    <x v="0"/>
    <m/>
    <n v="823"/>
    <m/>
  </r>
  <r>
    <x v="5"/>
    <x v="0"/>
    <x v="0"/>
    <n v="1307"/>
    <n v="1"/>
    <x v="0"/>
    <m/>
    <n v="823"/>
    <m/>
  </r>
  <r>
    <x v="5"/>
    <x v="0"/>
    <x v="0"/>
    <n v="1260"/>
    <n v="1"/>
    <x v="0"/>
    <m/>
    <n v="892"/>
    <m/>
  </r>
  <r>
    <x v="5"/>
    <x v="0"/>
    <x v="0"/>
    <n v="1859"/>
    <n v="1"/>
    <x v="0"/>
    <m/>
    <n v="823"/>
    <m/>
  </r>
  <r>
    <x v="5"/>
    <x v="0"/>
    <x v="0"/>
    <n v="1744"/>
    <n v="0"/>
    <x v="0"/>
    <m/>
    <n v="823"/>
    <m/>
  </r>
  <r>
    <x v="5"/>
    <x v="0"/>
    <x v="0"/>
    <n v="1711"/>
    <n v="1"/>
    <x v="0"/>
    <m/>
    <n v="2280"/>
    <m/>
  </r>
  <r>
    <x v="5"/>
    <x v="0"/>
    <x v="0"/>
    <n v="693"/>
    <n v="1"/>
    <x v="0"/>
    <m/>
    <n v="2128"/>
    <m/>
  </r>
  <r>
    <x v="5"/>
    <x v="0"/>
    <x v="0"/>
    <n v="1404"/>
    <n v="0"/>
    <x v="1"/>
    <s v="2*"/>
    <n v="0"/>
    <m/>
  </r>
  <r>
    <x v="5"/>
    <x v="0"/>
    <x v="0"/>
    <n v="1291"/>
    <n v="1"/>
    <x v="2"/>
    <m/>
    <n v="0"/>
    <m/>
  </r>
  <r>
    <x v="5"/>
    <x v="0"/>
    <x v="0"/>
    <n v="1391"/>
    <n v="2"/>
    <x v="1"/>
    <s v="2*"/>
    <n v="0"/>
    <m/>
  </r>
  <r>
    <x v="5"/>
    <x v="0"/>
    <x v="0"/>
    <n v="2322"/>
    <n v="1"/>
    <x v="0"/>
    <m/>
    <n v="892"/>
    <m/>
  </r>
  <r>
    <x v="5"/>
    <x v="0"/>
    <x v="0"/>
    <n v="1538"/>
    <n v="2"/>
    <x v="0"/>
    <m/>
    <n v="823"/>
    <m/>
  </r>
  <r>
    <x v="5"/>
    <x v="0"/>
    <x v="0"/>
    <n v="686"/>
    <n v="0"/>
    <x v="0"/>
    <m/>
    <n v="823"/>
    <m/>
  </r>
  <r>
    <x v="5"/>
    <x v="0"/>
    <x v="0"/>
    <n v="1437"/>
    <n v="1"/>
    <x v="2"/>
    <n v="1"/>
    <n v="0"/>
    <m/>
  </r>
  <r>
    <x v="5"/>
    <x v="0"/>
    <x v="0"/>
    <n v="1376"/>
    <n v="1"/>
    <x v="1"/>
    <s v="2*"/>
    <n v="0"/>
    <m/>
  </r>
  <r>
    <x v="5"/>
    <x v="0"/>
    <x v="0"/>
    <n v="1953"/>
    <n v="1"/>
    <x v="0"/>
    <m/>
    <n v="823"/>
    <m/>
  </r>
  <r>
    <x v="5"/>
    <x v="0"/>
    <x v="0"/>
    <n v="1294"/>
    <n v="0"/>
    <x v="0"/>
    <m/>
    <n v="823"/>
    <m/>
  </r>
  <r>
    <x v="5"/>
    <x v="0"/>
    <x v="0"/>
    <n v="1130"/>
    <n v="2"/>
    <x v="1"/>
    <s v="2*"/>
    <n v="0"/>
    <m/>
  </r>
  <r>
    <x v="5"/>
    <x v="0"/>
    <x v="0"/>
    <n v="2414"/>
    <n v="0"/>
    <x v="1"/>
    <s v="2*"/>
    <n v="0"/>
    <m/>
  </r>
  <r>
    <x v="5"/>
    <x v="0"/>
    <x v="0"/>
    <n v="1779"/>
    <n v="1"/>
    <x v="1"/>
    <s v="2*"/>
    <n v="0"/>
    <m/>
  </r>
  <r>
    <x v="5"/>
    <x v="0"/>
    <x v="0"/>
    <n v="979"/>
    <n v="1"/>
    <x v="0"/>
    <m/>
    <n v="823"/>
    <m/>
  </r>
  <r>
    <x v="5"/>
    <x v="0"/>
    <x v="0"/>
    <n v="1775"/>
    <n v="1"/>
    <x v="0"/>
    <m/>
    <n v="1824"/>
    <m/>
  </r>
  <r>
    <x v="5"/>
    <x v="0"/>
    <x v="0"/>
    <n v="2068"/>
    <n v="2"/>
    <x v="1"/>
    <s v="2*"/>
    <n v="0"/>
    <m/>
  </r>
  <r>
    <x v="5"/>
    <x v="0"/>
    <x v="0"/>
    <n v="1735"/>
    <n v="1"/>
    <x v="0"/>
    <m/>
    <n v="823"/>
    <m/>
  </r>
  <r>
    <x v="5"/>
    <x v="0"/>
    <x v="0"/>
    <n v="2104"/>
    <n v="4"/>
    <x v="2"/>
    <m/>
    <n v="0"/>
    <m/>
  </r>
  <r>
    <x v="5"/>
    <x v="0"/>
    <x v="0"/>
    <n v="1385"/>
    <n v="0"/>
    <x v="2"/>
    <m/>
    <n v="0"/>
    <m/>
  </r>
  <r>
    <x v="5"/>
    <x v="0"/>
    <x v="0"/>
    <n v="1562"/>
    <n v="1"/>
    <x v="2"/>
    <m/>
    <n v="0"/>
    <m/>
  </r>
  <r>
    <x v="5"/>
    <x v="0"/>
    <x v="0"/>
    <n v="1650"/>
    <n v="0"/>
    <x v="0"/>
    <m/>
    <n v="823"/>
    <m/>
  </r>
  <r>
    <x v="5"/>
    <x v="0"/>
    <x v="0"/>
    <n v="1498"/>
    <n v="1"/>
    <x v="0"/>
    <m/>
    <n v="0"/>
    <m/>
  </r>
  <r>
    <x v="5"/>
    <x v="0"/>
    <x v="0"/>
    <n v="1387"/>
    <n v="1"/>
    <x v="0"/>
    <m/>
    <n v="823"/>
    <m/>
  </r>
  <r>
    <x v="5"/>
    <x v="0"/>
    <x v="0"/>
    <n v="2065"/>
    <n v="3"/>
    <x v="0"/>
    <m/>
    <n v="823"/>
    <m/>
  </r>
  <r>
    <x v="5"/>
    <x v="0"/>
    <x v="0"/>
    <n v="1270"/>
    <n v="1"/>
    <x v="0"/>
    <m/>
    <n v="1824"/>
    <m/>
  </r>
  <r>
    <x v="5"/>
    <x v="0"/>
    <x v="0"/>
    <n v="805"/>
    <n v="2"/>
    <x v="2"/>
    <m/>
    <n v="0"/>
    <m/>
  </r>
  <r>
    <x v="5"/>
    <x v="0"/>
    <x v="0"/>
    <n v="1426"/>
    <n v="1"/>
    <x v="0"/>
    <m/>
    <n v="0"/>
    <m/>
  </r>
  <r>
    <x v="5"/>
    <x v="0"/>
    <x v="0"/>
    <n v="1985"/>
    <n v="0"/>
    <x v="0"/>
    <m/>
    <n v="1824"/>
    <m/>
  </r>
  <r>
    <x v="5"/>
    <x v="0"/>
    <x v="0"/>
    <n v="534"/>
    <n v="0"/>
    <x v="0"/>
    <m/>
    <n v="960"/>
    <m/>
  </r>
  <r>
    <x v="5"/>
    <x v="0"/>
    <x v="0"/>
    <n v="1771"/>
    <n v="0"/>
    <x v="0"/>
    <m/>
    <n v="823"/>
    <m/>
  </r>
  <r>
    <x v="5"/>
    <x v="0"/>
    <x v="0"/>
    <n v="1455"/>
    <n v="0"/>
    <x v="1"/>
    <s v="2*"/>
    <n v="0"/>
    <m/>
  </r>
  <r>
    <x v="5"/>
    <x v="0"/>
    <x v="0"/>
    <n v="1687"/>
    <n v="0"/>
    <x v="0"/>
    <m/>
    <n v="823"/>
    <m/>
  </r>
  <r>
    <x v="5"/>
    <x v="0"/>
    <x v="0"/>
    <n v="1486"/>
    <n v="1"/>
    <x v="0"/>
    <m/>
    <n v="823"/>
    <m/>
  </r>
  <r>
    <x v="5"/>
    <x v="0"/>
    <x v="0"/>
    <n v="1799"/>
    <n v="1"/>
    <x v="2"/>
    <m/>
    <n v="0"/>
    <m/>
  </r>
  <r>
    <x v="5"/>
    <x v="0"/>
    <x v="0"/>
    <n v="1437"/>
    <n v="0"/>
    <x v="2"/>
    <m/>
    <n v="0"/>
    <m/>
  </r>
  <r>
    <x v="5"/>
    <x v="0"/>
    <x v="0"/>
    <n v="1653"/>
    <n v="1"/>
    <x v="0"/>
    <m/>
    <n v="1824"/>
    <m/>
  </r>
  <r>
    <x v="5"/>
    <x v="0"/>
    <x v="0"/>
    <n v="1162"/>
    <n v="1"/>
    <x v="0"/>
    <m/>
    <n v="823"/>
    <m/>
  </r>
  <r>
    <x v="5"/>
    <x v="0"/>
    <x v="0"/>
    <n v="1535"/>
    <n v="0"/>
    <x v="2"/>
    <m/>
    <n v="0"/>
    <m/>
  </r>
  <r>
    <x v="5"/>
    <x v="0"/>
    <x v="0"/>
    <n v="1913"/>
    <n v="1"/>
    <x v="2"/>
    <m/>
    <n v="0"/>
    <m/>
  </r>
  <r>
    <x v="5"/>
    <x v="0"/>
    <x v="0"/>
    <n v="2320"/>
    <n v="1"/>
    <x v="0"/>
    <m/>
    <n v="823"/>
    <m/>
  </r>
  <r>
    <x v="5"/>
    <x v="0"/>
    <x v="0"/>
    <n v="1826"/>
    <n v="1"/>
    <x v="0"/>
    <m/>
    <n v="823"/>
    <m/>
  </r>
  <r>
    <x v="5"/>
    <x v="0"/>
    <x v="0"/>
    <n v="1600"/>
    <n v="0"/>
    <x v="0"/>
    <m/>
    <n v="2128"/>
    <m/>
  </r>
  <r>
    <x v="5"/>
    <x v="0"/>
    <x v="0"/>
    <n v="1293"/>
    <n v="1"/>
    <x v="0"/>
    <m/>
    <n v="892"/>
    <m/>
  </r>
  <r>
    <x v="5"/>
    <x v="0"/>
    <x v="0"/>
    <n v="1136"/>
    <n v="0"/>
    <x v="0"/>
    <m/>
    <n v="823"/>
    <m/>
  </r>
  <r>
    <x v="5"/>
    <x v="0"/>
    <x v="0"/>
    <n v="2791"/>
    <n v="0"/>
    <x v="0"/>
    <m/>
    <n v="823"/>
    <m/>
  </r>
  <r>
    <x v="5"/>
    <x v="0"/>
    <x v="0"/>
    <n v="3389"/>
    <n v="1"/>
    <x v="0"/>
    <m/>
    <n v="1976"/>
    <m/>
  </r>
  <r>
    <x v="5"/>
    <x v="0"/>
    <x v="0"/>
    <n v="1297"/>
    <n v="3"/>
    <x v="0"/>
    <m/>
    <n v="823"/>
    <m/>
  </r>
  <r>
    <x v="5"/>
    <x v="0"/>
    <x v="0"/>
    <n v="1726"/>
    <n v="1"/>
    <x v="0"/>
    <m/>
    <n v="1824"/>
    <m/>
  </r>
  <r>
    <x v="0"/>
    <x v="3"/>
    <x v="1"/>
    <n v="1484"/>
    <n v="2"/>
    <x v="0"/>
    <m/>
    <n v="1159"/>
    <m/>
  </r>
  <r>
    <x v="0"/>
    <x v="3"/>
    <x v="1"/>
    <n v="1202"/>
    <n v="2"/>
    <x v="0"/>
    <m/>
    <n v="1159"/>
    <m/>
  </r>
  <r>
    <x v="5"/>
    <x v="0"/>
    <x v="0"/>
    <n v="562"/>
    <n v="0"/>
    <x v="0"/>
    <m/>
    <n v="1824"/>
    <m/>
  </r>
  <r>
    <x v="5"/>
    <x v="0"/>
    <x v="0"/>
    <n v="649"/>
    <n v="1"/>
    <x v="0"/>
    <m/>
    <n v="823"/>
    <m/>
  </r>
  <r>
    <x v="5"/>
    <x v="0"/>
    <x v="0"/>
    <n v="1241"/>
    <n v="1"/>
    <x v="2"/>
    <m/>
    <n v="0"/>
    <m/>
  </r>
  <r>
    <x v="5"/>
    <x v="0"/>
    <x v="0"/>
    <n v="1560"/>
    <n v="0"/>
    <x v="0"/>
    <m/>
    <n v="823"/>
    <d v="1899-12-30T07:56:20"/>
  </r>
  <r>
    <x v="5"/>
    <x v="0"/>
    <x v="0"/>
    <n v="1231"/>
    <n v="1"/>
    <x v="2"/>
    <m/>
    <n v="0"/>
    <d v="1899-12-30T07:59:05"/>
  </r>
  <r>
    <x v="5"/>
    <x v="0"/>
    <x v="0"/>
    <n v="566"/>
    <n v="1"/>
    <x v="0"/>
    <m/>
    <n v="823"/>
    <m/>
  </r>
  <r>
    <x v="5"/>
    <x v="0"/>
    <x v="0"/>
    <n v="723"/>
    <n v="1"/>
    <x v="2"/>
    <m/>
    <n v="0"/>
    <m/>
  </r>
  <r>
    <x v="5"/>
    <x v="0"/>
    <x v="0"/>
    <n v="1626"/>
    <n v="1"/>
    <x v="0"/>
    <m/>
    <n v="1824"/>
    <m/>
  </r>
  <r>
    <x v="5"/>
    <x v="0"/>
    <x v="0"/>
    <n v="2033"/>
    <n v="2"/>
    <x v="2"/>
    <m/>
    <n v="0"/>
    <m/>
  </r>
  <r>
    <x v="5"/>
    <x v="0"/>
    <x v="0"/>
    <n v="1600"/>
    <n v="1"/>
    <x v="0"/>
    <m/>
    <n v="1824"/>
    <d v="1899-12-30T08:13:20"/>
  </r>
  <r>
    <x v="5"/>
    <x v="0"/>
    <x v="0"/>
    <n v="702"/>
    <n v="0"/>
    <x v="0"/>
    <m/>
    <n v="1824"/>
    <m/>
  </r>
  <r>
    <x v="5"/>
    <x v="0"/>
    <x v="0"/>
    <n v="1330"/>
    <n v="0"/>
    <x v="2"/>
    <m/>
    <n v="0"/>
    <m/>
  </r>
  <r>
    <x v="5"/>
    <x v="0"/>
    <x v="0"/>
    <n v="1054"/>
    <n v="0"/>
    <x v="1"/>
    <s v="2*"/>
    <n v="0"/>
    <m/>
  </r>
  <r>
    <x v="5"/>
    <x v="0"/>
    <x v="0"/>
    <n v="1391"/>
    <n v="0"/>
    <x v="0"/>
    <m/>
    <n v="1824"/>
    <m/>
  </r>
  <r>
    <x v="5"/>
    <x v="0"/>
    <x v="0"/>
    <n v="1603"/>
    <n v="2"/>
    <x v="0"/>
    <m/>
    <n v="1824"/>
    <m/>
  </r>
  <r>
    <x v="5"/>
    <x v="0"/>
    <x v="0"/>
    <n v="1415"/>
    <n v="0"/>
    <x v="0"/>
    <m/>
    <n v="960"/>
    <m/>
  </r>
  <r>
    <x v="5"/>
    <x v="0"/>
    <x v="0"/>
    <n v="1206"/>
    <n v="1"/>
    <x v="0"/>
    <m/>
    <n v="823"/>
    <d v="1899-12-30T08:31:40"/>
  </r>
  <r>
    <x v="1"/>
    <x v="0"/>
    <x v="0"/>
    <n v="1840"/>
    <n v="1"/>
    <x v="0"/>
    <m/>
    <n v="823"/>
    <d v="1899-12-30T08:32:00"/>
  </r>
  <r>
    <x v="1"/>
    <x v="0"/>
    <x v="0"/>
    <n v="1042"/>
    <n v="0"/>
    <x v="2"/>
    <m/>
    <n v="0"/>
    <m/>
  </r>
  <r>
    <x v="3"/>
    <x v="0"/>
    <x v="3"/>
    <n v="1500"/>
    <n v="0"/>
    <x v="3"/>
    <n v="4"/>
    <n v="0"/>
    <m/>
  </r>
  <r>
    <x v="6"/>
    <x v="0"/>
    <x v="3"/>
    <n v="1500"/>
    <n v="0"/>
    <x v="7"/>
    <n v="3"/>
    <n v="0"/>
    <m/>
  </r>
  <r>
    <x v="6"/>
    <x v="0"/>
    <x v="3"/>
    <n v="1782"/>
    <n v="0"/>
    <x v="7"/>
    <n v="2"/>
    <n v="0"/>
    <m/>
  </r>
  <r>
    <x v="6"/>
    <x v="0"/>
    <x v="3"/>
    <n v="1666"/>
    <n v="1"/>
    <x v="8"/>
    <n v="1"/>
    <n v="0"/>
    <m/>
  </r>
  <r>
    <x v="6"/>
    <x v="0"/>
    <x v="3"/>
    <n v="1556"/>
    <n v="0"/>
    <x v="7"/>
    <n v="2"/>
    <n v="0"/>
    <m/>
  </r>
  <r>
    <x v="6"/>
    <x v="0"/>
    <x v="3"/>
    <n v="2860"/>
    <n v="0"/>
    <x v="8"/>
    <n v="1"/>
    <n v="0"/>
    <m/>
  </r>
  <r>
    <x v="6"/>
    <x v="0"/>
    <x v="3"/>
    <n v="2986"/>
    <n v="0"/>
    <x v="7"/>
    <n v="2"/>
    <n v="0"/>
    <m/>
  </r>
  <r>
    <x v="6"/>
    <x v="0"/>
    <x v="3"/>
    <n v="3172"/>
    <n v="1"/>
    <x v="9"/>
    <s v="2*"/>
    <n v="0"/>
    <m/>
  </r>
  <r>
    <x v="6"/>
    <x v="0"/>
    <x v="3"/>
    <n v="1420"/>
    <n v="0"/>
    <x v="8"/>
    <n v="2"/>
    <n v="0"/>
    <m/>
  </r>
  <r>
    <x v="6"/>
    <x v="0"/>
    <x v="3"/>
    <n v="1352"/>
    <n v="0"/>
    <x v="8"/>
    <n v="1"/>
    <n v="0"/>
    <m/>
  </r>
  <r>
    <x v="6"/>
    <x v="0"/>
    <x v="3"/>
    <n v="1362"/>
    <n v="0"/>
    <x v="2"/>
    <n v="4"/>
    <n v="0"/>
    <m/>
  </r>
  <r>
    <x v="6"/>
    <x v="0"/>
    <x v="3"/>
    <n v="1428"/>
    <n v="1"/>
    <x v="10"/>
    <n v="3"/>
    <n v="0"/>
    <m/>
  </r>
  <r>
    <x v="6"/>
    <x v="0"/>
    <x v="3"/>
    <n v="1500"/>
    <n v="4"/>
    <x v="2"/>
    <n v="2"/>
    <n v="0"/>
    <m/>
  </r>
  <r>
    <x v="6"/>
    <x v="0"/>
    <x v="3"/>
    <n v="1559"/>
    <n v="0"/>
    <x v="8"/>
    <n v="1"/>
    <n v="0"/>
    <m/>
  </r>
  <r>
    <x v="6"/>
    <x v="0"/>
    <x v="3"/>
    <n v="1600"/>
    <n v="0"/>
    <x v="8"/>
    <n v="3"/>
    <n v="0"/>
    <m/>
  </r>
  <r>
    <x v="6"/>
    <x v="0"/>
    <x v="3"/>
    <n v="1480"/>
    <n v="1"/>
    <x v="2"/>
    <n v="2"/>
    <n v="0"/>
    <m/>
  </r>
  <r>
    <x v="6"/>
    <x v="0"/>
    <x v="3"/>
    <n v="1389"/>
    <n v="0"/>
    <x v="7"/>
    <n v="4"/>
    <n v="0"/>
    <m/>
  </r>
  <r>
    <x v="1"/>
    <x v="1"/>
    <x v="5"/>
    <n v="1617"/>
    <n v="1"/>
    <x v="0"/>
    <m/>
    <n v="1920"/>
    <m/>
  </r>
  <r>
    <x v="1"/>
    <x v="1"/>
    <x v="0"/>
    <n v="1347"/>
    <n v="1"/>
    <x v="1"/>
    <s v="2*"/>
    <n v="0"/>
    <m/>
  </r>
  <r>
    <x v="1"/>
    <x v="1"/>
    <x v="0"/>
    <n v="2050"/>
    <n v="0"/>
    <x v="0"/>
    <m/>
    <n v="3182"/>
    <m/>
  </r>
  <r>
    <x v="1"/>
    <x v="1"/>
    <x v="0"/>
    <n v="999"/>
    <n v="2"/>
    <x v="0"/>
    <m/>
    <n v="2937"/>
    <m/>
  </r>
  <r>
    <x v="1"/>
    <x v="1"/>
    <x v="0"/>
    <n v="1097"/>
    <n v="1"/>
    <x v="0"/>
    <m/>
    <n v="2937"/>
    <m/>
  </r>
  <r>
    <x v="1"/>
    <x v="1"/>
    <x v="0"/>
    <n v="1283"/>
    <n v="1"/>
    <x v="0"/>
    <m/>
    <n v="1824"/>
    <m/>
  </r>
  <r>
    <x v="1"/>
    <x v="1"/>
    <x v="0"/>
    <n v="1407"/>
    <n v="0"/>
    <x v="2"/>
    <n v="2"/>
    <n v="0"/>
    <m/>
  </r>
  <r>
    <x v="1"/>
    <x v="1"/>
    <x v="0"/>
    <n v="1280"/>
    <n v="0"/>
    <x v="0"/>
    <m/>
    <n v="3182"/>
    <m/>
  </r>
  <r>
    <x v="1"/>
    <x v="1"/>
    <x v="0"/>
    <n v="1506"/>
    <n v="1"/>
    <x v="11"/>
    <n v="1"/>
    <n v="0"/>
    <m/>
  </r>
  <r>
    <x v="1"/>
    <x v="1"/>
    <x v="0"/>
    <n v="1513"/>
    <n v="0"/>
    <x v="1"/>
    <s v="3*"/>
    <n v="0"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2" cacheId="5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L11" firstHeaderRow="1" firstDataRow="2" firstDataCol="1"/>
  <pivotFields count="9">
    <pivotField axis="axisRow" showAll="0">
      <items count="9">
        <item h="1" x="5"/>
        <item x="1"/>
        <item h="1" x="2"/>
        <item h="1" x="3"/>
        <item h="1" x="4"/>
        <item h="1" x="0"/>
        <item h="1" x="7"/>
        <item h="1" x="6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8">
        <item x="0"/>
        <item x="5"/>
        <item x="1"/>
        <item x="4"/>
        <item x="3"/>
        <item x="2"/>
        <item x="6"/>
        <item t="default"/>
      </items>
    </pivotField>
    <pivotField showAll="0"/>
    <pivotField dataField="1" showAll="0"/>
    <pivotField axis="axisCol" showAll="0">
      <items count="14">
        <item x="3"/>
        <item x="5"/>
        <item x="6"/>
        <item x="1"/>
        <item m="1" x="12"/>
        <item x="4"/>
        <item x="2"/>
        <item x="0"/>
        <item x="7"/>
        <item x="8"/>
        <item x="9"/>
        <item x="10"/>
        <item x="11"/>
        <item t="default"/>
      </items>
    </pivotField>
    <pivotField showAll="0"/>
    <pivotField showAll="0"/>
    <pivotField showAll="0"/>
  </pivotFields>
  <rowFields count="3">
    <field x="0"/>
    <field x="1"/>
    <field x="2"/>
  </rowFields>
  <rowItems count="7">
    <i>
      <x v="1"/>
    </i>
    <i r="1">
      <x/>
    </i>
    <i r="2">
      <x/>
    </i>
    <i r="2">
      <x v="1"/>
    </i>
    <i r="1">
      <x v="2"/>
    </i>
    <i r="2">
      <x/>
    </i>
    <i t="grand">
      <x/>
    </i>
  </rowItems>
  <colFields count="1">
    <field x="5"/>
  </colFields>
  <colItems count="5">
    <i>
      <x v="3"/>
    </i>
    <i>
      <x v="6"/>
    </i>
    <i>
      <x v="7"/>
    </i>
    <i>
      <x v="12"/>
    </i>
    <i t="grand">
      <x/>
    </i>
  </colItems>
  <dataFields count="1">
    <dataField name="Licznik z Energy Drop" fld="4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1" cacheId="5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37" firstHeaderRow="1" firstDataRow="2" firstDataCol="1"/>
  <pivotFields count="9">
    <pivotField axis="axisRow" showAll="0">
      <items count="9">
        <item x="5"/>
        <item x="1"/>
        <item x="2"/>
        <item x="3"/>
        <item x="4"/>
        <item x="0"/>
        <item h="1" x="7"/>
        <item h="1" x="6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8">
        <item x="0"/>
        <item x="5"/>
        <item x="1"/>
        <item x="4"/>
        <item x="3"/>
        <item x="2"/>
        <item x="6"/>
        <item t="default"/>
      </items>
    </pivotField>
    <pivotField dataField="1" showAll="0"/>
    <pivotField dataField="1" showAll="0"/>
    <pivotField dataField="1" showAll="0"/>
    <pivotField showAll="0"/>
    <pivotField dataField="1" showAll="0"/>
    <pivotField showAll="0" defaultSubtotal="0"/>
  </pivotFields>
  <rowFields count="3">
    <field x="0"/>
    <field x="1"/>
    <field x="2"/>
  </rowFields>
  <rowItems count="33">
    <i>
      <x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1">
      <x v="3"/>
    </i>
    <i r="2">
      <x v="4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7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8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2" name="LocFeatures" displayName="LocFeatures" ref="A1:V115" totalsRowShown="0">
  <autoFilter ref="A1:V115">
    <filterColumn colId="0">
      <filters>
        <filter val="Faimon"/>
      </filters>
    </filterColumn>
  </autoFilter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7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6">
      <calculatedColumnFormula>4*LocFeatures[[#This Row],[XP Gain per member]]</calculatedColumnFormula>
    </tableColumn>
    <tableColumn id="11" name="XP Train Gain"/>
    <tableColumn id="22" name="XP drop" dataDxfId="5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4">
      <calculatedColumnFormula>LocFeatures[[#This Row],[XP Train Gain]]/(LocFeatures[[#This Row],[E. Cost]]-LocFeatures[[#This Row],[Energy gain]])</calculatedColumnFormula>
    </tableColumn>
    <tableColumn id="13" name="XP/Energy"/>
    <tableColumn id="15" name="Kolumna2"/>
    <tableColumn id="16" name="Kolumna3"/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739" totalsRowShown="0">
  <autoFilter ref="A1:M739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/>
    <tableColumn id="12" name="Fod Worth" dataDxfId="3">
      <calculatedColumnFormula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calculatedColumnFormula>
    </tableColumn>
    <tableColumn id="10" name="Exp Gain" dataDxfId="2">
      <calculatedColumnFormula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calculatedColumnFormula>
    </tableColumn>
    <tableColumn id="9" name="Time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abela8" displayName="Tabela8" ref="A1:M10" totalsRowShown="0">
  <autoFilter ref="A1:M10"/>
  <tableColumns count="13">
    <tableColumn id="1" name="Type"/>
    <tableColumn id="2" name="Grade"/>
    <tableColumn id="3" name="Slot"/>
    <tableColumn id="4" name="HP%"/>
    <tableColumn id="5" name="HP"/>
    <tableColumn id="6" name="Acc%"/>
    <tableColumn id="7" name="SPD"/>
    <tableColumn id="8" name="Crit Rate%"/>
    <tableColumn id="9" name="Crit DMG%"/>
    <tableColumn id="10" name="Att%"/>
    <tableColumn id="11" name="Def%"/>
    <tableColumn id="12" name="Res%"/>
    <tableColumn id="13" name="Chos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41"/>
  <sheetViews>
    <sheetView tabSelected="1" workbookViewId="0">
      <selection activeCell="N10" sqref="N10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27</v>
      </c>
      <c r="E1" t="s">
        <v>18</v>
      </c>
      <c r="F1" t="s">
        <v>13</v>
      </c>
      <c r="G1" t="s">
        <v>28</v>
      </c>
      <c r="H1" t="s">
        <v>29</v>
      </c>
      <c r="I1" t="s">
        <v>30</v>
      </c>
      <c r="J1" t="s">
        <v>31</v>
      </c>
      <c r="R1" t="s">
        <v>80</v>
      </c>
      <c r="S1" t="s">
        <v>81</v>
      </c>
      <c r="T1" t="s">
        <v>82</v>
      </c>
      <c r="U1" t="s">
        <v>15</v>
      </c>
      <c r="V1" t="s">
        <v>84</v>
      </c>
      <c r="W1" t="s">
        <v>170</v>
      </c>
      <c r="X1" t="s">
        <v>83</v>
      </c>
      <c r="Y1" t="s">
        <v>85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35</v>
      </c>
      <c r="M2" t="s">
        <v>138</v>
      </c>
      <c r="N2" t="s">
        <v>139</v>
      </c>
      <c r="O2" t="s">
        <v>142</v>
      </c>
      <c r="R2" t="s">
        <v>18</v>
      </c>
      <c r="S2">
        <v>150</v>
      </c>
      <c r="T2" t="s">
        <v>18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140</v>
      </c>
      <c r="M3">
        <f>5-N3</f>
        <v>2</v>
      </c>
      <c r="N3">
        <v>3</v>
      </c>
      <c r="O3" s="1">
        <v>0</v>
      </c>
      <c r="P3">
        <v>3</v>
      </c>
      <c r="R3" t="s">
        <v>13</v>
      </c>
      <c r="S3">
        <v>500</v>
      </c>
      <c r="T3" t="s">
        <v>13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89</v>
      </c>
      <c r="M4">
        <f>MAXA(M3-Tabela6[[#This Row],[Done]],0)</f>
        <v>0</v>
      </c>
      <c r="N4">
        <v>2</v>
      </c>
      <c r="O4" s="1">
        <f>M4*$B$5</f>
        <v>0</v>
      </c>
      <c r="P4">
        <v>2</v>
      </c>
      <c r="R4" t="s">
        <v>13</v>
      </c>
      <c r="S4">
        <v>300</v>
      </c>
      <c r="T4" t="s">
        <v>18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88</v>
      </c>
      <c r="M5">
        <f>MAXA(4*M3-Tabela6[[#This Row],[Done]],0)</f>
        <v>5</v>
      </c>
      <c r="N5">
        <v>3</v>
      </c>
      <c r="O5" s="1"/>
      <c r="P5">
        <v>3</v>
      </c>
      <c r="R5" t="s">
        <v>13</v>
      </c>
      <c r="S5">
        <v>500</v>
      </c>
      <c r="T5" t="s">
        <v>13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86</v>
      </c>
      <c r="M6">
        <f>MAXA(M5+M4-Tabela6[[#This Row],[Done]],0)</f>
        <v>5</v>
      </c>
      <c r="N6">
        <v>0</v>
      </c>
      <c r="O6" s="1">
        <f>M6*$B$4</f>
        <v>410910</v>
      </c>
      <c r="P6">
        <v>0</v>
      </c>
      <c r="R6" t="s">
        <v>28</v>
      </c>
      <c r="S6">
        <v>450</v>
      </c>
      <c r="T6" t="s">
        <v>18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87</v>
      </c>
      <c r="M7">
        <f>3*(M5+M4)-Tabela6[[#This Row],[Done]]</f>
        <v>8</v>
      </c>
      <c r="N7">
        <v>7</v>
      </c>
      <c r="O7" s="1"/>
      <c r="P7">
        <v>8</v>
      </c>
      <c r="R7" t="s">
        <v>28</v>
      </c>
      <c r="S7">
        <v>750</v>
      </c>
      <c r="T7" t="s">
        <v>13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141</v>
      </c>
      <c r="M8">
        <f>MAXA(M7+M6-Tabela6[[#This Row],[Done]],0)</f>
        <v>13</v>
      </c>
      <c r="N8">
        <v>0</v>
      </c>
      <c r="O8" s="1">
        <f>M8*$B$3</f>
        <v>465686</v>
      </c>
      <c r="P8">
        <v>1</v>
      </c>
      <c r="R8" t="s">
        <v>29</v>
      </c>
      <c r="S8">
        <v>600</v>
      </c>
      <c r="T8" t="s">
        <v>18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144</v>
      </c>
      <c r="M9" s="6">
        <f>2*(M7+M6)-Tabela6[[#This Row],[Done]]</f>
        <v>-3</v>
      </c>
      <c r="N9">
        <v>29</v>
      </c>
      <c r="O9" s="45"/>
      <c r="P9">
        <v>24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193</v>
      </c>
      <c r="M10">
        <f>MAXA((M9+M8)-Tabela6[[#This Row],[Done]],0)</f>
        <v>10</v>
      </c>
      <c r="N10">
        <v>0</v>
      </c>
      <c r="O10" s="52">
        <f>Tabela6[[#This Row],[Missing]]*$B$2</f>
        <v>151200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194</v>
      </c>
      <c r="M11" s="6">
        <f>MAXA(2*M10-Tabela6[[#This Row],[Done]],0)</f>
        <v>0</v>
      </c>
      <c r="N11">
        <v>300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143</v>
      </c>
      <c r="O12" s="44">
        <f>SUM(Tabela6[XP to gain])</f>
        <v>1027796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35</v>
      </c>
      <c r="M14" t="s">
        <v>138</v>
      </c>
      <c r="N14" t="s">
        <v>139</v>
      </c>
      <c r="O14" t="s">
        <v>142</v>
      </c>
      <c r="P14" t="s">
        <v>37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140</v>
      </c>
      <c r="M15">
        <v>0</v>
      </c>
      <c r="N15">
        <v>0</v>
      </c>
      <c r="O15" s="1">
        <v>0</v>
      </c>
      <c r="Q15" t="s">
        <v>164</v>
      </c>
      <c r="R15" t="s">
        <v>165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89</v>
      </c>
      <c r="M16">
        <f>M15-Tabela66[[#This Row],[Done]]</f>
        <v>0</v>
      </c>
      <c r="N16">
        <v>0</v>
      </c>
      <c r="O16" s="1">
        <f>M16*$B$5</f>
        <v>0</v>
      </c>
      <c r="Q16" s="15">
        <v>0.82</v>
      </c>
      <c r="R16" s="15">
        <v>0.1</v>
      </c>
    </row>
    <row r="17" spans="4:17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88</v>
      </c>
      <c r="M17">
        <f>MAXA(4-Tabela66[[#This Row],[Done]],0)</f>
        <v>4</v>
      </c>
      <c r="N17">
        <v>0</v>
      </c>
      <c r="O17" s="1"/>
      <c r="P17">
        <v>1</v>
      </c>
      <c r="Q17">
        <f>Q16*(1+R16)+(1-Q16)*(1+R16)/2</f>
        <v>1.0010000000000001</v>
      </c>
    </row>
    <row r="18" spans="4:17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86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7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87</v>
      </c>
      <c r="M19">
        <f>3*(M17+M16)-Tabela66[[#This Row],[Done]]</f>
        <v>12</v>
      </c>
      <c r="N19">
        <v>0</v>
      </c>
      <c r="O19" s="1"/>
      <c r="P19">
        <v>1</v>
      </c>
    </row>
    <row r="20" spans="4:17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141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7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144</v>
      </c>
      <c r="M21" s="6">
        <f>2*(M19+M18)-Tabela66[[#This Row],[Done]]</f>
        <v>32</v>
      </c>
      <c r="N21">
        <v>0</v>
      </c>
      <c r="O21" s="45"/>
      <c r="P21">
        <v>2</v>
      </c>
    </row>
    <row r="22" spans="4:17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193</v>
      </c>
      <c r="M22">
        <f>MAXA((M21+M20)-Tabela66[[#This Row],[Done]],0)</f>
        <v>48</v>
      </c>
      <c r="N22">
        <v>0</v>
      </c>
      <c r="O22" s="52">
        <f>Tabela66[[#This Row],[Missing]]*$B$2</f>
        <v>725760</v>
      </c>
    </row>
    <row r="23" spans="4:17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194</v>
      </c>
      <c r="M23" s="6">
        <f>MAXA(2*M22-Tabela66[[#This Row],[Done]],0)</f>
        <v>96</v>
      </c>
      <c r="N23">
        <v>0</v>
      </c>
      <c r="O23" s="45"/>
      <c r="P23">
        <v>45</v>
      </c>
    </row>
    <row r="24" spans="4:17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143</v>
      </c>
      <c r="O24" s="44">
        <f>SUM(Tabela66[XP to gain])</f>
        <v>1627640</v>
      </c>
    </row>
    <row r="25" spans="4:17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7">
      <c r="D26">
        <v>25</v>
      </c>
      <c r="H26">
        <v>13673</v>
      </c>
      <c r="I26">
        <v>16360</v>
      </c>
      <c r="J26">
        <v>19758</v>
      </c>
    </row>
    <row r="27" spans="4:17">
      <c r="D27">
        <v>26</v>
      </c>
      <c r="H27">
        <v>15619</v>
      </c>
      <c r="I27">
        <v>18690</v>
      </c>
      <c r="J27">
        <v>22572</v>
      </c>
    </row>
    <row r="28" spans="4:17">
      <c r="D28">
        <v>27</v>
      </c>
      <c r="H28">
        <v>17844</v>
      </c>
      <c r="I28">
        <v>21350</v>
      </c>
      <c r="J28">
        <v>25786</v>
      </c>
    </row>
    <row r="29" spans="4:17">
      <c r="D29">
        <v>28</v>
      </c>
      <c r="H29">
        <v>20386</v>
      </c>
      <c r="I29">
        <v>24392</v>
      </c>
      <c r="J29">
        <v>29458</v>
      </c>
    </row>
    <row r="30" spans="4:17">
      <c r="D30">
        <v>29</v>
      </c>
      <c r="H30">
        <v>23495</v>
      </c>
      <c r="I30">
        <v>28113</v>
      </c>
      <c r="J30">
        <v>33954</v>
      </c>
    </row>
    <row r="31" spans="4:17">
      <c r="D31">
        <v>30</v>
      </c>
      <c r="I31">
        <v>32404</v>
      </c>
      <c r="J31">
        <v>39134</v>
      </c>
    </row>
    <row r="32" spans="4:17">
      <c r="D32">
        <v>31</v>
      </c>
      <c r="I32">
        <v>37348</v>
      </c>
      <c r="J32">
        <v>45107</v>
      </c>
    </row>
    <row r="33" spans="4:10">
      <c r="D33">
        <v>32</v>
      </c>
      <c r="I33">
        <v>43048</v>
      </c>
      <c r="J33">
        <v>51990</v>
      </c>
    </row>
    <row r="34" spans="4:10">
      <c r="D34">
        <v>33</v>
      </c>
      <c r="I34">
        <v>49617</v>
      </c>
      <c r="J34">
        <v>59924</v>
      </c>
    </row>
    <row r="35" spans="4:10">
      <c r="D35">
        <v>34</v>
      </c>
      <c r="I35">
        <v>57188</v>
      </c>
      <c r="J35">
        <v>69068</v>
      </c>
    </row>
    <row r="36" spans="4:10">
      <c r="D36">
        <v>35</v>
      </c>
      <c r="J36">
        <v>76085</v>
      </c>
    </row>
    <row r="37" spans="4:10">
      <c r="D37">
        <v>36</v>
      </c>
      <c r="J37">
        <v>83816</v>
      </c>
    </row>
    <row r="38" spans="4:10">
      <c r="D38">
        <v>37</v>
      </c>
      <c r="J38">
        <v>92332</v>
      </c>
    </row>
    <row r="39" spans="4:10">
      <c r="D39">
        <v>38</v>
      </c>
      <c r="J39">
        <v>101712</v>
      </c>
    </row>
    <row r="40" spans="4:10">
      <c r="D40">
        <v>39</v>
      </c>
      <c r="J40">
        <v>112046</v>
      </c>
    </row>
    <row r="41" spans="4:10">
      <c r="D41">
        <v>40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V115"/>
  <sheetViews>
    <sheetView workbookViewId="0">
      <selection activeCell="P25" sqref="P25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8" max="8" width="15" customWidth="1"/>
    <col min="9" max="9" width="16.125" customWidth="1"/>
    <col min="10" max="11" width="13.25" customWidth="1"/>
    <col min="12" max="13" width="9.875" customWidth="1"/>
    <col min="14" max="15" width="14.25" customWidth="1"/>
    <col min="16" max="16" width="12" customWidth="1"/>
    <col min="20" max="20" width="20.125" bestFit="1" customWidth="1"/>
  </cols>
  <sheetData>
    <row r="1" spans="1:22">
      <c r="A1" t="s">
        <v>7</v>
      </c>
      <c r="B1" t="s">
        <v>5</v>
      </c>
      <c r="C1" t="s">
        <v>6</v>
      </c>
      <c r="D1" t="s">
        <v>25</v>
      </c>
      <c r="E1" t="s">
        <v>16</v>
      </c>
      <c r="F1" t="s">
        <v>20</v>
      </c>
      <c r="G1" t="s">
        <v>10</v>
      </c>
      <c r="H1" t="s">
        <v>21</v>
      </c>
      <c r="I1" t="s">
        <v>209</v>
      </c>
      <c r="J1" t="s">
        <v>24</v>
      </c>
      <c r="K1" t="s">
        <v>60</v>
      </c>
      <c r="L1" t="s">
        <v>59</v>
      </c>
      <c r="M1" t="s">
        <v>215</v>
      </c>
      <c r="N1" t="s">
        <v>210</v>
      </c>
      <c r="O1" t="s">
        <v>217</v>
      </c>
      <c r="P1" t="s">
        <v>26</v>
      </c>
      <c r="Q1" t="s">
        <v>37</v>
      </c>
      <c r="R1" t="s">
        <v>38</v>
      </c>
      <c r="S1" t="s">
        <v>152</v>
      </c>
      <c r="T1" t="s">
        <v>151</v>
      </c>
      <c r="U1" t="s">
        <v>155</v>
      </c>
      <c r="V1" t="s">
        <v>156</v>
      </c>
    </row>
    <row r="2" spans="1:22" hidden="1">
      <c r="A2" t="s">
        <v>8</v>
      </c>
      <c r="B2" t="s">
        <v>9</v>
      </c>
      <c r="C2">
        <v>1</v>
      </c>
      <c r="D2">
        <v>3</v>
      </c>
      <c r="E2">
        <v>630</v>
      </c>
      <c r="F2">
        <v>12</v>
      </c>
      <c r="G2" t="s">
        <v>11</v>
      </c>
      <c r="H2" t="s">
        <v>22</v>
      </c>
      <c r="I2" s="55">
        <f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f>
        <v>2227</v>
      </c>
      <c r="J2" s="19">
        <f>AVERAGEIFS(DropAnalityka[Energy Drop],DropAnalityka[Location],'Location features'!A2,DropAnalityka[LVL],'Location features'!B2,DropAnalityka[Stage],'Location features'!C2)</f>
        <v>2</v>
      </c>
      <c r="K2">
        <f>4*LocFeatures[[#This Row],[XP Gain per member]]</f>
        <v>2520</v>
      </c>
      <c r="L2">
        <f>3*E2</f>
        <v>1890</v>
      </c>
      <c r="M2" s="57">
        <f>AVERAGEIFS(DropAnalityka[Exp Gain],DropAnalityka[Location],'Location features'!$A2,DropAnalityka[LVL],'Location features'!$B2,DropAnalityka[Stage],'Location features'!$C2)</f>
        <v>0</v>
      </c>
      <c r="N2" s="57">
        <f>LocFeatures[[#This Row],[Drop worth gain]]/(LocFeatures[[#This Row],[E. Cost]]-LocFeatures[[#This Row],[Energy gain]])</f>
        <v>2227</v>
      </c>
      <c r="O2" s="57">
        <f>LocFeatures[[#This Row],[XP Train Gain]]/(LocFeatures[[#This Row],[E. Cost]]-LocFeatures[[#This Row],[Energy gain]])</f>
        <v>1890</v>
      </c>
      <c r="P2" s="57">
        <f>(LocFeatures[[#This Row],[XP Train Gain]]+LocFeatures[[#This Row],[XP drop]])/(LocFeatures[[#This Row],[E. Cost]]-LocFeatures[[#This Row],[Energy gain]])</f>
        <v>1890</v>
      </c>
    </row>
    <row r="3" spans="1:22" hidden="1">
      <c r="A3" t="s">
        <v>8</v>
      </c>
      <c r="B3" t="s">
        <v>9</v>
      </c>
      <c r="C3">
        <v>2</v>
      </c>
      <c r="D3">
        <v>3</v>
      </c>
      <c r="I3" s="53" t="e">
        <f>AVERAGEIFS(DropAnalityka[Mana drop],DropAnalityka[Location],'Location features'!A3,DropAnalityka[LVL],'Location features'!B3,DropAnalityka[Stage],'Location features'!C3)+AVERAGEIFS(DropAnalityka[Drop Worth],DropAnalityka[Location],'Location features'!A3,DropAnalityka[LVL],'Location features'!B3,DropAnalityka[Stage],'Location features'!C3)+AVERAGEIFS(DropAnalityka[Fod Worth],DropAnalityka[Location],'Location features'!A3,DropAnalityka[LVL],'Location features'!B3,DropAnalityka[Stage],'Location features'!C3)</f>
        <v>#DIV/0!</v>
      </c>
      <c r="K3">
        <f>4*LocFeatures[[#This Row],[XP Gain per member]]</f>
        <v>0</v>
      </c>
      <c r="M3" s="49"/>
      <c r="N3" t="e">
        <f>LocFeatures[[#This Row],[Drop worth gain]]/(LocFeatures[[#This Row],[E. Cost]]-LocFeatures[[#This Row],[Energy gain]])</f>
        <v>#DIV/0!</v>
      </c>
      <c r="O3" s="54">
        <f>LocFeatures[[#This Row],[XP Train Gain]]/(LocFeatures[[#This Row],[E. Cost]]-LocFeatures[[#This Row],[Energy gain]])</f>
        <v>0</v>
      </c>
      <c r="P3">
        <f>(LocFeatures[[#This Row],[XP Train Gain]]+LocFeatures[[#This Row],[XP drop]])/(LocFeatures[[#This Row],[E. Cost]]-LocFeatures[[#This Row],[Energy gain]])</f>
        <v>0</v>
      </c>
    </row>
    <row r="4" spans="1:22" hidden="1">
      <c r="A4" t="s">
        <v>8</v>
      </c>
      <c r="B4" t="s">
        <v>9</v>
      </c>
      <c r="C4">
        <v>3</v>
      </c>
      <c r="D4">
        <v>3</v>
      </c>
      <c r="E4">
        <v>642</v>
      </c>
      <c r="F4">
        <v>12</v>
      </c>
      <c r="G4" t="s">
        <v>19</v>
      </c>
      <c r="H4" t="s">
        <v>23</v>
      </c>
      <c r="I4" s="55">
        <f>AVERAGEIFS(DropAnalityka[Mana drop],DropAnalityka[Location],'Location features'!A4,DropAnalityka[LVL],'Location features'!B4,DropAnalityka[Stage],'Location features'!C4)+AVERAGEIFS(DropAnalityka[Drop Worth],DropAnalityka[Location],'Location features'!A4,DropAnalityka[LVL],'Location features'!B4,DropAnalityka[Stage],'Location features'!C4)+AVERAGEIFS(DropAnalityka[Fod Worth],DropAnalityka[Location],'Location features'!A4,DropAnalityka[LVL],'Location features'!B4,DropAnalityka[Stage],'Location features'!C4)</f>
        <v>2788.2439024390246</v>
      </c>
      <c r="J4" s="19">
        <f>AVERAGEIFS(DropAnalityka[Energy Drop],DropAnalityka[Location],'Location features'!A4,DropAnalityka[LVL],'Location features'!B4,DropAnalityka[Stage],'Location features'!C4)</f>
        <v>0.82926829268292679</v>
      </c>
      <c r="K4">
        <f>4*LocFeatures[[#This Row],[XP Gain per member]]</f>
        <v>2568</v>
      </c>
      <c r="L4">
        <f>3*E4</f>
        <v>1926</v>
      </c>
      <c r="M4" s="57">
        <f>AVERAGEIFS(DropAnalityka[Exp Gain],DropAnalityka[Location],'Location features'!$A4,DropAnalityka[LVL],'Location features'!$B4,DropAnalityka[Stage],'Location features'!$C4)</f>
        <v>1106.3414634146341</v>
      </c>
      <c r="N4" s="57">
        <f>LocFeatures[[#This Row],[Drop worth gain]]/(LocFeatures[[#This Row],[E. Cost]]-LocFeatures[[#This Row],[Energy gain]])</f>
        <v>1284.4719101123596</v>
      </c>
      <c r="O4" s="57">
        <f>LocFeatures[[#This Row],[XP Train Gain]]/(LocFeatures[[#This Row],[E. Cost]]-LocFeatures[[#This Row],[Energy gain]])</f>
        <v>887.25842696629206</v>
      </c>
      <c r="P4" s="57">
        <f>(LocFeatures[[#This Row],[XP Train Gain]]+LocFeatures[[#This Row],[XP drop]])/(LocFeatures[[#This Row],[E. Cost]]-LocFeatures[[#This Row],[Energy gain]])</f>
        <v>1396.9213483146066</v>
      </c>
    </row>
    <row r="5" spans="1:22" hidden="1">
      <c r="A5" t="s">
        <v>8</v>
      </c>
      <c r="B5" t="s">
        <v>9</v>
      </c>
      <c r="C5">
        <v>3</v>
      </c>
      <c r="D5">
        <v>3</v>
      </c>
      <c r="I5" s="53">
        <f>AVERAGEIFS(DropAnalityka[Mana drop],DropAnalityka[Location],'Location features'!A5,DropAnalityka[LVL],'Location features'!B5,DropAnalityka[Stage],'Location features'!C5)+AVERAGEIFS(DropAnalityka[Drop Worth],DropAnalityka[Location],'Location features'!A5,DropAnalityka[LVL],'Location features'!B5,DropAnalityka[Stage],'Location features'!C5)+AVERAGEIFS(DropAnalityka[Fod Worth],DropAnalityka[Location],'Location features'!A5,DropAnalityka[LVL],'Location features'!B5,DropAnalityka[Stage],'Location features'!C5)</f>
        <v>2788.2439024390246</v>
      </c>
      <c r="K5">
        <f>4*LocFeatures[[#This Row],[XP Gain per member]]</f>
        <v>0</v>
      </c>
      <c r="M5" s="49"/>
      <c r="N5" s="54">
        <f>LocFeatures[[#This Row],[Drop worth gain]]/(LocFeatures[[#This Row],[E. Cost]]-LocFeatures[[#This Row],[Energy gain]])</f>
        <v>929.41463414634154</v>
      </c>
      <c r="O5" s="54">
        <f>LocFeatures[[#This Row],[XP Train Gain]]/(LocFeatures[[#This Row],[E. Cost]]-LocFeatures[[#This Row],[Energy gain]])</f>
        <v>0</v>
      </c>
      <c r="P5" s="54">
        <f>(LocFeatures[[#This Row],[XP Train Gain]]+LocFeatures[[#This Row],[XP drop]])/(LocFeatures[[#This Row],[E. Cost]]-LocFeatures[[#This Row],[Energy gain]])</f>
        <v>0</v>
      </c>
    </row>
    <row r="6" spans="1:22" hidden="1">
      <c r="A6" s="10" t="s">
        <v>8</v>
      </c>
      <c r="B6" s="10" t="s">
        <v>9</v>
      </c>
      <c r="C6" s="10">
        <v>5</v>
      </c>
      <c r="D6" s="10">
        <v>3</v>
      </c>
      <c r="E6" s="10"/>
      <c r="F6" s="10"/>
      <c r="G6" s="10"/>
      <c r="H6" s="10"/>
      <c r="I6" s="53" t="e">
        <f>AVERAGEIFS(DropAnalityka[Mana drop],DropAnalityka[Location],'Location features'!A6,DropAnalityka[LVL],'Location features'!B6,DropAnalityka[Stage],'Location features'!C6)+AVERAGEIFS(DropAnalityka[Drop Worth],DropAnalityka[Location],'Location features'!A6,DropAnalityka[LVL],'Location features'!B6,DropAnalityka[Stage],'Location features'!C6)+AVERAGEIFS(DropAnalityka[Fod Worth],DropAnalityka[Location],'Location features'!A6,DropAnalityka[LVL],'Location features'!B6,DropAnalityka[Stage],'Location features'!C6)</f>
        <v>#DIV/0!</v>
      </c>
      <c r="J6" s="10"/>
      <c r="K6" s="10">
        <f>4*LocFeatures[[#This Row],[XP Gain per member]]</f>
        <v>0</v>
      </c>
      <c r="L6" s="10"/>
      <c r="M6" s="53"/>
      <c r="N6" t="e">
        <f>LocFeatures[[#This Row],[Drop worth gain]]/(LocFeatures[[#This Row],[E. Cost]]-LocFeatures[[#This Row],[Energy gain]])</f>
        <v>#DIV/0!</v>
      </c>
      <c r="O6" s="54">
        <f>LocFeatures[[#This Row],[XP Train Gain]]/(LocFeatures[[#This Row],[E. Cost]]-LocFeatures[[#This Row],[Energy gain]])</f>
        <v>0</v>
      </c>
      <c r="P6">
        <f>(LocFeatures[[#This Row],[XP Train Gain]]+LocFeatures[[#This Row],[XP drop]])/(LocFeatures[[#This Row],[E. Cost]]-LocFeatures[[#This Row],[Energy gain]])</f>
        <v>0</v>
      </c>
      <c r="Q6" s="10"/>
      <c r="R6" s="10"/>
    </row>
    <row r="7" spans="1:22" hidden="1">
      <c r="A7" s="10" t="s">
        <v>8</v>
      </c>
      <c r="B7" s="10" t="s">
        <v>9</v>
      </c>
      <c r="C7" s="10">
        <v>6</v>
      </c>
      <c r="D7" s="10">
        <v>3</v>
      </c>
      <c r="E7" s="10"/>
      <c r="F7" s="10"/>
      <c r="G7" s="10"/>
      <c r="H7" s="10"/>
      <c r="I7" s="53" t="e">
        <f>AVERAGEIFS(DropAnalityka[Mana drop],DropAnalityka[Location],'Location features'!A7,DropAnalityka[LVL],'Location features'!B7,DropAnalityka[Stage],'Location features'!C7)+AVERAGEIFS(DropAnalityka[Drop Worth],DropAnalityka[Location],'Location features'!A7,DropAnalityka[LVL],'Location features'!B7,DropAnalityka[Stage],'Location features'!C7)+AVERAGEIFS(DropAnalityka[Fod Worth],DropAnalityka[Location],'Location features'!A7,DropAnalityka[LVL],'Location features'!B7,DropAnalityka[Stage],'Location features'!C7)</f>
        <v>#DIV/0!</v>
      </c>
      <c r="J7" s="10"/>
      <c r="K7" s="10">
        <f>4*LocFeatures[[#This Row],[XP Gain per member]]</f>
        <v>0</v>
      </c>
      <c r="L7" s="10"/>
      <c r="M7" s="53"/>
      <c r="N7" t="e">
        <f>LocFeatures[[#This Row],[Drop worth gain]]/(LocFeatures[[#This Row],[E. Cost]]-LocFeatures[[#This Row],[Energy gain]])</f>
        <v>#DIV/0!</v>
      </c>
      <c r="O7" s="54">
        <f>LocFeatures[[#This Row],[XP Train Gain]]/(LocFeatures[[#This Row],[E. Cost]]-LocFeatures[[#This Row],[Energy gain]])</f>
        <v>0</v>
      </c>
      <c r="P7">
        <f>(LocFeatures[[#This Row],[XP Train Gain]]+LocFeatures[[#This Row],[XP drop]])/(LocFeatures[[#This Row],[E. Cost]]-LocFeatures[[#This Row],[Energy gain]])</f>
        <v>0</v>
      </c>
      <c r="Q7" s="10"/>
      <c r="R7" s="10"/>
    </row>
    <row r="8" spans="1:22" s="10" customFormat="1" hidden="1">
      <c r="A8" s="10" t="s">
        <v>8</v>
      </c>
      <c r="B8" s="10" t="s">
        <v>32</v>
      </c>
      <c r="C8" s="10">
        <v>3</v>
      </c>
      <c r="D8" s="10">
        <v>4</v>
      </c>
      <c r="E8" s="10">
        <v>1098</v>
      </c>
      <c r="F8" s="10">
        <v>12</v>
      </c>
      <c r="G8" s="10" t="s">
        <v>19</v>
      </c>
      <c r="I8" s="55">
        <f>AVERAGEIFS(DropAnalityka[Mana drop],DropAnalityka[Location],'Location features'!A8,DropAnalityka[LVL],'Location features'!B8,DropAnalityka[Stage],'Location features'!C8)+AVERAGEIFS(DropAnalityka[Drop Worth],DropAnalityka[Location],'Location features'!A8,DropAnalityka[LVL],'Location features'!B8,DropAnalityka[Stage],'Location features'!C8)+AVERAGEIFS(DropAnalityka[Fod Worth],DropAnalityka[Location],'Location features'!A8,DropAnalityka[LVL],'Location features'!B8,DropAnalityka[Stage],'Location features'!C8)</f>
        <v>4179.565312046444</v>
      </c>
      <c r="J8" s="56">
        <f>AVERAGEIFS(DropAnalityka[Energy Drop],DropAnalityka[Location],'Location features'!$A8,DropAnalityka[LVL],'Location features'!$B8,DropAnalityka[Stage],'Location features'!$C8)</f>
        <v>0.86792452830188682</v>
      </c>
      <c r="K8" s="10">
        <f>4*LocFeatures[[#This Row],[XP Gain per member]]</f>
        <v>4392</v>
      </c>
      <c r="L8" s="10">
        <f>3*E8</f>
        <v>3294</v>
      </c>
      <c r="M8" s="58">
        <f>AVERAGEIFS(DropAnalityka[Exp Gain],DropAnalityka[Location],'Location features'!$A8,DropAnalityka[LVL],'Location features'!$B8,DropAnalityka[Stage],'Location features'!$C8)</f>
        <v>2387.5849056603774</v>
      </c>
      <c r="N8" s="57">
        <f>LocFeatures[[#This Row],[Drop worth gain]]/(LocFeatures[[#This Row],[E. Cost]]-LocFeatures[[#This Row],[Energy gain]])</f>
        <v>1334.4395273401299</v>
      </c>
      <c r="O8" s="57">
        <f>LocFeatures[[#This Row],[XP Train Gain]]/(LocFeatures[[#This Row],[E. Cost]]-LocFeatures[[#This Row],[Energy gain]])</f>
        <v>1051.698795180723</v>
      </c>
      <c r="P8" s="57">
        <f>(LocFeatures[[#This Row],[XP Train Gain]]+LocFeatures[[#This Row],[XP drop]])/(LocFeatures[[#This Row],[E. Cost]]-LocFeatures[[#This Row],[Energy gain]])</f>
        <v>1814.0000000000002</v>
      </c>
      <c r="S8"/>
    </row>
    <row r="9" spans="1:22" s="10" customFormat="1">
      <c r="A9" s="10" t="s">
        <v>33</v>
      </c>
      <c r="B9" s="10" t="s">
        <v>9</v>
      </c>
      <c r="C9" s="10">
        <v>1</v>
      </c>
      <c r="D9" s="10">
        <v>3</v>
      </c>
      <c r="E9" s="10">
        <v>756</v>
      </c>
      <c r="F9" s="10">
        <v>13</v>
      </c>
      <c r="G9" s="10" t="s">
        <v>19</v>
      </c>
      <c r="I9" s="55">
        <f>AVERAGEIFS(DropAnalityka[Mana drop],DropAnalityka[Location],'Location features'!A9,DropAnalityka[LVL],'Location features'!B9,DropAnalityka[Stage],'Location features'!C9)+AVERAGEIFS(DropAnalityka[Drop Worth],DropAnalityka[Location],'Location features'!A9,DropAnalityka[LVL],'Location features'!B9,DropAnalityka[Stage],'Location features'!C9)+AVERAGEIFS(DropAnalityka[Fod Worth],DropAnalityka[Location],'Location features'!A9,DropAnalityka[LVL],'Location features'!B9,DropAnalityka[Stage],'Location features'!C9)</f>
        <v>3224.358024691358</v>
      </c>
      <c r="J9" s="56">
        <f>AVERAGEIFS(DropAnalityka[Energy Drop],DropAnalityka[Location],'Location features'!$A9,DropAnalityka[LVL],'Location features'!$B9,DropAnalityka[Stage],'Location features'!$C9)</f>
        <v>0.87654320987654322</v>
      </c>
      <c r="K9" s="10">
        <f>4*LocFeatures[[#This Row],[XP Gain per member]]</f>
        <v>3024</v>
      </c>
      <c r="L9" s="10">
        <f>3*E9</f>
        <v>2268</v>
      </c>
      <c r="M9" s="58">
        <f>AVERAGEIFS(DropAnalityka[Exp Gain],DropAnalityka[Location],'Location features'!$A9,DropAnalityka[LVL],'Location features'!$B9,DropAnalityka[Stage],'Location features'!$C9)</f>
        <v>560</v>
      </c>
      <c r="N9" s="57">
        <f>LocFeatures[[#This Row],[Drop worth gain]]/(LocFeatures[[#This Row],[E. Cost]]-LocFeatures[[#This Row],[Energy gain]])</f>
        <v>1518.4476744186045</v>
      </c>
      <c r="O9" s="57">
        <f>LocFeatures[[#This Row],[XP Train Gain]]/(LocFeatures[[#This Row],[E. Cost]]-LocFeatures[[#This Row],[Energy gain]])</f>
        <v>1068.0697674418604</v>
      </c>
      <c r="P9" s="57">
        <f>(LocFeatures[[#This Row],[XP Train Gain]]+LocFeatures[[#This Row],[XP drop]])/(LocFeatures[[#This Row],[E. Cost]]-LocFeatures[[#This Row],[Energy gain]])</f>
        <v>1331.7906976744187</v>
      </c>
      <c r="Q9" s="10">
        <f>LocFeatures[[#This Row],[DropWorthGain/Energy]]/N8-1</f>
        <v>0.13789170907223403</v>
      </c>
      <c r="R9" s="10">
        <f>LocFeatures[[#This Row],[XP/Energy]]/P8-1</f>
        <v>-0.26582651726878803</v>
      </c>
      <c r="S9">
        <v>62</v>
      </c>
      <c r="T9" s="10" t="s">
        <v>213</v>
      </c>
      <c r="U9" s="10">
        <v>125</v>
      </c>
      <c r="V9" s="10" t="s">
        <v>157</v>
      </c>
    </row>
    <row r="10" spans="1:22" s="10" customFormat="1" hidden="1">
      <c r="A10" s="10" t="s">
        <v>8</v>
      </c>
      <c r="B10" s="10" t="s">
        <v>32</v>
      </c>
      <c r="C10" s="10">
        <v>5</v>
      </c>
      <c r="D10" s="10">
        <v>4</v>
      </c>
      <c r="E10" s="10">
        <v>1119</v>
      </c>
      <c r="F10" s="10">
        <v>12</v>
      </c>
      <c r="I10" s="53" t="e">
        <f>AVERAGEIFS(DropAnalityka[Mana drop],DropAnalityka[Location],'Location features'!A10,DropAnalityka[LVL],'Location features'!B10,DropAnalityka[Stage],'Location features'!C10)+AVERAGEIFS(DropAnalityka[Drop Worth],DropAnalityka[Location],'Location features'!A10,DropAnalityka[LVL],'Location features'!B10,DropAnalityka[Stage],'Location features'!C10)+AVERAGEIFS(DropAnalityka[Fod Worth],DropAnalityka[Location],'Location features'!A10,DropAnalityka[LVL],'Location features'!B10,DropAnalityka[Stage],'Location features'!C10)</f>
        <v>#DIV/0!</v>
      </c>
      <c r="J10" s="10" t="e">
        <f>AVERAGEIFS(DropAnalityka[Energy Drop],DropAnalityka[Location],'Location features'!$A10,DropAnalityka[LVL],'Location features'!$B10,DropAnalityka[Stage],'Location features'!$C10)</f>
        <v>#DIV/0!</v>
      </c>
      <c r="K10" s="10">
        <f>4*LocFeatures[[#This Row],[XP Gain per member]]</f>
        <v>4476</v>
      </c>
      <c r="M10" s="53"/>
      <c r="N10" t="e">
        <f>LocFeatures[[#This Row],[Drop worth gain]]/(LocFeatures[[#This Row],[E. Cost]]-LocFeatures[[#This Row],[Energy gain]])</f>
        <v>#DIV/0!</v>
      </c>
      <c r="O10" s="54" t="e">
        <f>LocFeatures[[#This Row],[XP Train Gain]]/(LocFeatures[[#This Row],[E. Cost]]-LocFeatures[[#This Row],[Energy gain]])</f>
        <v>#DIV/0!</v>
      </c>
      <c r="P10" t="e">
        <f>(LocFeatures[[#This Row],[XP Train Gain]]+LocFeatures[[#This Row],[XP drop]])/(LocFeatures[[#This Row],[E. Cost]]-LocFeatures[[#This Row],[Energy gain]])</f>
        <v>#DIV/0!</v>
      </c>
      <c r="S10"/>
    </row>
    <row r="11" spans="1:22" s="10" customFormat="1" hidden="1">
      <c r="A11" s="10" t="s">
        <v>8</v>
      </c>
      <c r="B11" s="10" t="s">
        <v>32</v>
      </c>
      <c r="C11" s="10">
        <v>6</v>
      </c>
      <c r="D11" s="10">
        <v>5</v>
      </c>
      <c r="E11" s="10">
        <v>1116</v>
      </c>
      <c r="F11" s="10">
        <v>12</v>
      </c>
      <c r="I11" s="53">
        <f>AVERAGEIFS(DropAnalityka[Mana drop],DropAnalityka[Location],'Location features'!A11,DropAnalityka[LVL],'Location features'!B11,DropAnalityka[Stage],'Location features'!C11)+AVERAGEIFS(DropAnalityka[Drop Worth],DropAnalityka[Location],'Location features'!A11,DropAnalityka[LVL],'Location features'!B11,DropAnalityka[Stage],'Location features'!C11)+AVERAGEIFS(DropAnalityka[Fod Worth],DropAnalityka[Location],'Location features'!A11,DropAnalityka[LVL],'Location features'!B11,DropAnalityka[Stage],'Location features'!C11)</f>
        <v>2652</v>
      </c>
      <c r="J11" s="10">
        <f>AVERAGEIFS(DropAnalityka[Energy Drop],DropAnalityka[Location],'Location features'!$A11,DropAnalityka[LVL],'Location features'!$B11,DropAnalityka[Stage],'Location features'!$C11)</f>
        <v>1</v>
      </c>
      <c r="K11" s="10">
        <f>4*LocFeatures[[#This Row],[XP Gain per member]]</f>
        <v>4464</v>
      </c>
      <c r="M11" s="53">
        <f>AVERAGEIFS(DropAnalityka[Exp Gain],DropAnalityka[Location],'Location features'!$A11,DropAnalityka[LVL],'Location features'!$B11,DropAnalityka[Stage],'Location features'!$C11)</f>
        <v>0</v>
      </c>
      <c r="N11" s="54">
        <f>LocFeatures[[#This Row],[Drop worth gain]]/(LocFeatures[[#This Row],[E. Cost]]-LocFeatures[[#This Row],[Energy gain]])</f>
        <v>663</v>
      </c>
      <c r="O11" s="54">
        <f>LocFeatures[[#This Row],[XP Train Gain]]/(LocFeatures[[#This Row],[E. Cost]]-LocFeatures[[#This Row],[Energy gain]])</f>
        <v>0</v>
      </c>
      <c r="P11" s="54">
        <f>(LocFeatures[[#This Row],[XP Train Gain]]+LocFeatures[[#This Row],[XP drop]])/(LocFeatures[[#This Row],[E. Cost]]-LocFeatures[[#This Row],[Energy gain]])</f>
        <v>0</v>
      </c>
      <c r="S11"/>
    </row>
    <row r="12" spans="1:22" s="10" customFormat="1" hidden="1">
      <c r="A12" s="10" t="s">
        <v>8</v>
      </c>
      <c r="B12" s="10" t="s">
        <v>34</v>
      </c>
      <c r="C12" s="10">
        <v>3</v>
      </c>
      <c r="D12" s="10">
        <v>5</v>
      </c>
      <c r="E12" s="10">
        <v>1800</v>
      </c>
      <c r="F12" s="10">
        <v>12</v>
      </c>
      <c r="I12" s="55">
        <f>AVERAGEIFS(DropAnalityka[Mana drop],DropAnalityka[Location],'Location features'!A12,DropAnalityka[LVL],'Location features'!B12,DropAnalityka[Stage],'Location features'!C12)+AVERAGEIFS(DropAnalityka[Drop Worth],DropAnalityka[Location],'Location features'!A12,DropAnalityka[LVL],'Location features'!B12,DropAnalityka[Stage],'Location features'!C12)+AVERAGEIFS(DropAnalityka[Fod Worth],DropAnalityka[Location],'Location features'!A12,DropAnalityka[LVL],'Location features'!B12,DropAnalityka[Stage],'Location features'!C12)</f>
        <v>4440.4901960784318</v>
      </c>
      <c r="J12" s="56">
        <f>AVERAGEIFS(DropAnalityka[Energy Drop],DropAnalityka[Location],'Location features'!$A12,DropAnalityka[LVL],'Location features'!$B12,DropAnalityka[Stage],'Location features'!$C12)</f>
        <v>0.97385620915032678</v>
      </c>
      <c r="K12" s="10">
        <f>4*LocFeatures[[#This Row],[XP Gain per member]]</f>
        <v>7200</v>
      </c>
      <c r="L12" s="10">
        <f t="shared" ref="L12:L17" si="0">3*E12</f>
        <v>5400</v>
      </c>
      <c r="M12" s="58">
        <f>AVERAGEIFS(DropAnalityka[Exp Gain],DropAnalityka[Location],'Location features'!$A12,DropAnalityka[LVL],'Location features'!$B12,DropAnalityka[Stage],'Location features'!$C12)</f>
        <v>2023.5816993464052</v>
      </c>
      <c r="N12" s="57">
        <f>LocFeatures[[#This Row],[Drop worth gain]]/(LocFeatures[[#This Row],[E. Cost]]-LocFeatures[[#This Row],[Energy gain]])</f>
        <v>1102.9139610389611</v>
      </c>
      <c r="O12" s="57">
        <f>LocFeatures[[#This Row],[XP Train Gain]]/(LocFeatures[[#This Row],[E. Cost]]-LocFeatures[[#This Row],[Energy gain]])</f>
        <v>1341.2337662337663</v>
      </c>
      <c r="P12" s="57">
        <f>(LocFeatures[[#This Row],[XP Train Gain]]+LocFeatures[[#This Row],[XP drop]])/(LocFeatures[[#This Row],[E. Cost]]-LocFeatures[[#This Row],[Energy gain]])</f>
        <v>1843.8441558441559</v>
      </c>
      <c r="Q12" s="10">
        <f>LocFeatures[[#This Row],[DropWorthGain/Energy]]/N9-1</f>
        <v>-0.27365691974782491</v>
      </c>
      <c r="R12" s="10">
        <f>LocFeatures[[#This Row],[XP/Energy]]/P9-1</f>
        <v>0.3844849337541465</v>
      </c>
      <c r="S12">
        <v>178</v>
      </c>
      <c r="T12" s="10" t="s">
        <v>157</v>
      </c>
      <c r="V12" s="10" t="s">
        <v>214</v>
      </c>
    </row>
    <row r="13" spans="1:22" s="10" customFormat="1" hidden="1">
      <c r="A13" s="10" t="s">
        <v>40</v>
      </c>
      <c r="B13" s="10" t="s">
        <v>9</v>
      </c>
      <c r="C13" s="10">
        <v>4</v>
      </c>
      <c r="D13" s="10">
        <v>5</v>
      </c>
      <c r="E13" s="10">
        <v>439</v>
      </c>
      <c r="F13" s="10">
        <v>10</v>
      </c>
      <c r="I13" s="55">
        <f>AVERAGEIFS(DropAnalityka[Mana drop],DropAnalityka[Location],'Location features'!A13,DropAnalityka[LVL],'Location features'!B13,DropAnalityka[Stage],'Location features'!C13)+AVERAGEIFS(DropAnalityka[Drop Worth],DropAnalityka[Location],'Location features'!A13,DropAnalityka[LVL],'Location features'!B13,DropAnalityka[Stage],'Location features'!C13)+AVERAGEIFS(DropAnalityka[Fod Worth],DropAnalityka[Location],'Location features'!A13,DropAnalityka[LVL],'Location features'!B13,DropAnalityka[Stage],'Location features'!C13)</f>
        <v>4124.8571428571431</v>
      </c>
      <c r="J13" s="56">
        <f>AVERAGEIFS(DropAnalityka[Energy Drop],DropAnalityka[Location],'Location features'!$A13,DropAnalityka[LVL],'Location features'!$B13,DropAnalityka[Stage],'Location features'!$C13)</f>
        <v>0.7142857142857143</v>
      </c>
      <c r="K13" s="10">
        <f>4*LocFeatures[[#This Row],[XP Gain per member]]</f>
        <v>1756</v>
      </c>
      <c r="L13" s="10">
        <f t="shared" si="0"/>
        <v>1317</v>
      </c>
      <c r="M13" s="58">
        <f>AVERAGEIFS(DropAnalityka[Exp Gain],DropAnalityka[Location],'Location features'!$A13,DropAnalityka[LVL],'Location features'!$B13,DropAnalityka[Stage],'Location features'!$C13)</f>
        <v>0</v>
      </c>
      <c r="N13" s="57">
        <f>LocFeatures[[#This Row],[Drop worth gain]]/(LocFeatures[[#This Row],[E. Cost]]-LocFeatures[[#This Row],[Energy gain]])</f>
        <v>962.46666666666681</v>
      </c>
      <c r="O13" s="57">
        <f>LocFeatures[[#This Row],[XP Train Gain]]/(LocFeatures[[#This Row],[E. Cost]]-LocFeatures[[#This Row],[Energy gain]])</f>
        <v>307.3</v>
      </c>
      <c r="P13" s="57">
        <f>(LocFeatures[[#This Row],[XP Train Gain]]+LocFeatures[[#This Row],[XP drop]])/(LocFeatures[[#This Row],[E. Cost]]-LocFeatures[[#This Row],[Energy gain]])</f>
        <v>307.3</v>
      </c>
      <c r="S13"/>
    </row>
    <row r="14" spans="1:22" s="10" customFormat="1" hidden="1">
      <c r="A14" s="10" t="s">
        <v>67</v>
      </c>
      <c r="B14" s="10" t="s">
        <v>34</v>
      </c>
      <c r="C14" s="10">
        <v>2</v>
      </c>
      <c r="D14" s="10">
        <v>5</v>
      </c>
      <c r="E14" s="10">
        <v>1500</v>
      </c>
      <c r="F14" s="10">
        <v>10</v>
      </c>
      <c r="I14" s="55">
        <f>AVERAGEIFS(DropAnalityka[Mana drop],DropAnalityka[Location],'Location features'!A14,DropAnalityka[LVL],'Location features'!B14,DropAnalityka[Stage],'Location features'!C14)+AVERAGEIFS(DropAnalityka[Drop Worth],DropAnalityka[Location],'Location features'!A14,DropAnalityka[LVL],'Location features'!B14,DropAnalityka[Stage],'Location features'!C14)+AVERAGEIFS(DropAnalityka[Fod Worth],DropAnalityka[Location],'Location features'!A14,DropAnalityka[LVL],'Location features'!B14,DropAnalityka[Stage],'Location features'!C14)</f>
        <v>12692</v>
      </c>
      <c r="J14" s="56">
        <v>0.65</v>
      </c>
      <c r="K14" s="10">
        <f>4*LocFeatures[[#This Row],[XP Gain per member]]</f>
        <v>6000</v>
      </c>
      <c r="L14" s="10">
        <f t="shared" si="0"/>
        <v>4500</v>
      </c>
      <c r="M14" s="58">
        <f>AVERAGEIFS(DropAnalityka[Exp Gain],DropAnalityka[Location],'Location features'!$A14,DropAnalityka[LVL],'Location features'!$B14,DropAnalityka[Stage],'Location features'!$C14)</f>
        <v>66062</v>
      </c>
      <c r="N14" s="57">
        <f>LocFeatures[[#This Row],[Drop worth gain]]/(LocFeatures[[#This Row],[E. Cost]]-LocFeatures[[#This Row],[Energy gain]])</f>
        <v>2917.7011494252874</v>
      </c>
      <c r="O14" s="57">
        <f>LocFeatures[[#This Row],[XP Train Gain]]/(LocFeatures[[#This Row],[E. Cost]]-LocFeatures[[#This Row],[Energy gain]])</f>
        <v>1034.4827586206898</v>
      </c>
      <c r="P14" s="57">
        <f>(LocFeatures[[#This Row],[XP Train Gain]]+LocFeatures[[#This Row],[XP drop]])/(LocFeatures[[#This Row],[E. Cost]]-LocFeatures[[#This Row],[Energy gain]])</f>
        <v>16221.149425287358</v>
      </c>
      <c r="S14"/>
    </row>
    <row r="15" spans="1:22" s="10" customFormat="1" hidden="1">
      <c r="A15" s="10" t="s">
        <v>68</v>
      </c>
      <c r="B15" s="10" t="s">
        <v>9</v>
      </c>
      <c r="C15" s="10">
        <v>1</v>
      </c>
      <c r="D15" s="10">
        <v>3</v>
      </c>
      <c r="E15" s="10">
        <v>799</v>
      </c>
      <c r="F15" s="10">
        <v>13</v>
      </c>
      <c r="I15" s="55">
        <f>AVERAGEIFS(DropAnalityka[Mana drop],DropAnalityka[Location],'Location features'!A15,DropAnalityka[LVL],'Location features'!B15,DropAnalityka[Stage],'Location features'!C15)+AVERAGEIFS(DropAnalityka[Drop Worth],DropAnalityka[Location],'Location features'!A15,DropAnalityka[LVL],'Location features'!B15,DropAnalityka[Stage],'Location features'!C15)+AVERAGEIFS(DropAnalityka[Fod Worth],DropAnalityka[Location],'Location features'!A15,DropAnalityka[LVL],'Location features'!B15,DropAnalityka[Stage],'Location features'!C15)</f>
        <v>3789.9479166666665</v>
      </c>
      <c r="J15" s="56">
        <f>AVERAGEIFS(DropAnalityka[Energy Drop],DropAnalityka[Location],'Location features'!$A15,DropAnalityka[LVL],'Location features'!$B15,DropAnalityka[Stage],'Location features'!$C15)</f>
        <v>0.88541666666666663</v>
      </c>
      <c r="K15" s="10">
        <f>4*LocFeatures[[#This Row],[XP Gain per member]]</f>
        <v>3196</v>
      </c>
      <c r="L15" s="10">
        <f t="shared" si="0"/>
        <v>2397</v>
      </c>
      <c r="M15" s="58">
        <f>AVERAGEIFS(DropAnalityka[Exp Gain],DropAnalityka[Location],'Location features'!$A15,DropAnalityka[LVL],'Location features'!$B15,DropAnalityka[Stage],'Location features'!$C15)</f>
        <v>1417.5</v>
      </c>
      <c r="N15" s="57">
        <f>LocFeatures[[#This Row],[Drop worth gain]]/(LocFeatures[[#This Row],[E. Cost]]-LocFeatures[[#This Row],[Energy gain]])</f>
        <v>1792.2906403940885</v>
      </c>
      <c r="O15" s="57">
        <f>LocFeatures[[#This Row],[XP Train Gain]]/(LocFeatures[[#This Row],[E. Cost]]-LocFeatures[[#This Row],[Energy gain]])</f>
        <v>1133.5566502463053</v>
      </c>
      <c r="P15" s="57">
        <f>(LocFeatures[[#This Row],[XP Train Gain]]+LocFeatures[[#This Row],[XP drop]])/(LocFeatures[[#This Row],[E. Cost]]-LocFeatures[[#This Row],[Energy gain]])</f>
        <v>1803.9014778325122</v>
      </c>
      <c r="Q15" s="10">
        <f>LocFeatures[[#This Row],[DropWorthGain/Energy]]/N9-1</f>
        <v>0.18034402540761585</v>
      </c>
      <c r="R15" s="10">
        <f>LocFeatures[[#This Row],[XP/Energy]]/P9-1</f>
        <v>0.35449322553648743</v>
      </c>
      <c r="S15"/>
    </row>
    <row r="16" spans="1:22" s="10" customFormat="1" hidden="1">
      <c r="A16" s="10" t="s">
        <v>68</v>
      </c>
      <c r="B16" s="10" t="s">
        <v>9</v>
      </c>
      <c r="C16" s="10">
        <v>2</v>
      </c>
      <c r="D16" s="10">
        <v>3</v>
      </c>
      <c r="E16" s="10">
        <v>804</v>
      </c>
      <c r="F16" s="10">
        <v>13</v>
      </c>
      <c r="I16" s="55">
        <f>AVERAGEIFS(DropAnalityka[Mana drop],DropAnalityka[Location],'Location features'!A16,DropAnalityka[LVL],'Location features'!B16,DropAnalityka[Stage],'Location features'!C16)+AVERAGEIFS(DropAnalityka[Drop Worth],DropAnalityka[Location],'Location features'!A16,DropAnalityka[LVL],'Location features'!B16,DropAnalityka[Stage],'Location features'!C16)+AVERAGEIFS(DropAnalityka[Fod Worth],DropAnalityka[Location],'Location features'!A16,DropAnalityka[LVL],'Location features'!B16,DropAnalityka[Stage],'Location features'!C16)</f>
        <v>3392</v>
      </c>
      <c r="J16" s="56">
        <f>AVERAGEIFS(DropAnalityka[Energy Drop],DropAnalityka[Location],'Location features'!$A16,DropAnalityka[LVL],'Location features'!$B16,DropAnalityka[Stage],'Location features'!$C16)</f>
        <v>0</v>
      </c>
      <c r="K16" s="10">
        <f>4*LocFeatures[[#This Row],[XP Gain per member]]</f>
        <v>3216</v>
      </c>
      <c r="L16" s="10">
        <f t="shared" si="0"/>
        <v>2412</v>
      </c>
      <c r="M16" s="58">
        <f>AVERAGEIFS(DropAnalityka[Exp Gain],DropAnalityka[Location],'Location features'!$A16,DropAnalityka[LVL],'Location features'!$B16,DropAnalityka[Stage],'Location features'!$C16)</f>
        <v>0</v>
      </c>
      <c r="N16" s="57">
        <f>LocFeatures[[#This Row],[Drop worth gain]]/(LocFeatures[[#This Row],[E. Cost]]-LocFeatures[[#This Row],[Energy gain]])</f>
        <v>1130.6666666666667</v>
      </c>
      <c r="O16" s="57">
        <f>LocFeatures[[#This Row],[XP Train Gain]]/(LocFeatures[[#This Row],[E. Cost]]-LocFeatures[[#This Row],[Energy gain]])</f>
        <v>804</v>
      </c>
      <c r="P16" s="57">
        <f>(LocFeatures[[#This Row],[XP Train Gain]]+LocFeatures[[#This Row],[XP drop]])/(LocFeatures[[#This Row],[E. Cost]]-LocFeatures[[#This Row],[Energy gain]])</f>
        <v>804</v>
      </c>
      <c r="S16"/>
    </row>
    <row r="17" spans="1:20" s="10" customFormat="1" hidden="1">
      <c r="A17" s="10" t="s">
        <v>68</v>
      </c>
      <c r="B17" s="10" t="s">
        <v>9</v>
      </c>
      <c r="C17" s="10">
        <v>3</v>
      </c>
      <c r="D17" s="10">
        <v>3</v>
      </c>
      <c r="E17" s="10">
        <v>804</v>
      </c>
      <c r="I17" s="55">
        <f>AVERAGEIFS(DropAnalityka[Mana drop],DropAnalityka[Location],'Location features'!A17,DropAnalityka[LVL],'Location features'!B17,DropAnalityka[Stage],'Location features'!C17)+AVERAGEIFS(DropAnalityka[Drop Worth],DropAnalityka[Location],'Location features'!A17,DropAnalityka[LVL],'Location features'!B17,DropAnalityka[Stage],'Location features'!C17)+AVERAGEIFS(DropAnalityka[Fod Worth],DropAnalityka[Location],'Location features'!A17,DropAnalityka[LVL],'Location features'!B17,DropAnalityka[Stage],'Location features'!C17)</f>
        <v>2964</v>
      </c>
      <c r="J17" s="56">
        <f>AVERAGEIFS(DropAnalityka[Energy Drop],DropAnalityka[Location],'Location features'!$A17,DropAnalityka[LVL],'Location features'!$B17,DropAnalityka[Stage],'Location features'!$C17)</f>
        <v>0</v>
      </c>
      <c r="K17" s="10">
        <f>4*LocFeatures[[#This Row],[XP Gain per member]]</f>
        <v>3216</v>
      </c>
      <c r="L17" s="10">
        <f t="shared" si="0"/>
        <v>2412</v>
      </c>
      <c r="M17" s="58">
        <f>AVERAGEIFS(DropAnalityka[Exp Gain],DropAnalityka[Location],'Location features'!$A17,DropAnalityka[LVL],'Location features'!$B17,DropAnalityka[Stage],'Location features'!$C17)</f>
        <v>0</v>
      </c>
      <c r="N17" s="57">
        <f>LocFeatures[[#This Row],[Drop worth gain]]/(LocFeatures[[#This Row],[E. Cost]]-LocFeatures[[#This Row],[Energy gain]])</f>
        <v>988</v>
      </c>
      <c r="O17" s="57">
        <f>LocFeatures[[#This Row],[XP Train Gain]]/(LocFeatures[[#This Row],[E. Cost]]-LocFeatures[[#This Row],[Energy gain]])</f>
        <v>804</v>
      </c>
      <c r="P17" s="57">
        <f>(LocFeatures[[#This Row],[XP Train Gain]]+LocFeatures[[#This Row],[XP drop]])/(LocFeatures[[#This Row],[E. Cost]]-LocFeatures[[#This Row],[Energy gain]])</f>
        <v>804</v>
      </c>
      <c r="S17"/>
    </row>
    <row r="18" spans="1:20" s="10" customFormat="1">
      <c r="A18" s="10" t="s">
        <v>33</v>
      </c>
      <c r="B18" s="10" t="s">
        <v>32</v>
      </c>
      <c r="C18" s="10">
        <v>1</v>
      </c>
      <c r="D18" s="10">
        <v>4</v>
      </c>
      <c r="E18" s="10">
        <v>1276</v>
      </c>
      <c r="I18" s="55">
        <f>AVERAGEIFS(DropAnalityka[Mana drop],DropAnalityka[Location],'Location features'!A18,DropAnalityka[LVL],'Location features'!B18,DropAnalityka[Stage],'Location features'!C18)+AVERAGEIFS(DropAnalityka[Drop Worth],DropAnalityka[Location],'Location features'!A18,DropAnalityka[LVL],'Location features'!B18,DropAnalityka[Stage],'Location features'!C18)+AVERAGEIFS(DropAnalityka[Fod Worth],DropAnalityka[Location],'Location features'!A18,DropAnalityka[LVL],'Location features'!B18,DropAnalityka[Stage],'Location features'!C18)</f>
        <v>5581.1860465116279</v>
      </c>
      <c r="J18" s="56">
        <f>AVERAGEIFS(DropAnalityka[Energy Drop],DropAnalityka[Location],'Location features'!$A18,DropAnalityka[LVL],'Location features'!$B18,DropAnalityka[Stage],'Location features'!$C18)</f>
        <v>0.79069767441860461</v>
      </c>
      <c r="K18" s="10">
        <f>4*LocFeatures[[#This Row],[XP Gain per member]]</f>
        <v>5104</v>
      </c>
      <c r="L18" s="10">
        <f t="shared" ref="L18:L24" si="1">3*E18</f>
        <v>3828</v>
      </c>
      <c r="M18" s="58">
        <f>AVERAGEIFS(DropAnalityka[Exp Gain],DropAnalityka[Location],'Location features'!$A18,DropAnalityka[LVL],'Location features'!$B18,DropAnalityka[Stage],'Location features'!$C18)</f>
        <v>4127.5348837209303</v>
      </c>
      <c r="N18" s="57">
        <f>LocFeatures[[#This Row],[Drop worth gain]]/(LocFeatures[[#This Row],[E. Cost]]-LocFeatures[[#This Row],[Energy gain]])</f>
        <v>1739.0652173913045</v>
      </c>
      <c r="O18" s="57">
        <f>LocFeatures[[#This Row],[XP Train Gain]]/(LocFeatures[[#This Row],[E. Cost]]-LocFeatures[[#This Row],[Energy gain]])</f>
        <v>1192.7826086956522</v>
      </c>
      <c r="P18" s="57">
        <f>(LocFeatures[[#This Row],[XP Train Gain]]+LocFeatures[[#This Row],[XP drop]])/(LocFeatures[[#This Row],[E. Cost]]-LocFeatures[[#This Row],[Energy gain]])</f>
        <v>2478.898550724638</v>
      </c>
      <c r="S18">
        <v>122</v>
      </c>
      <c r="T18" s="10" t="s">
        <v>154</v>
      </c>
    </row>
    <row r="19" spans="1:20">
      <c r="A19" s="10" t="s">
        <v>33</v>
      </c>
      <c r="B19" s="10" t="s">
        <v>34</v>
      </c>
      <c r="C19" s="10">
        <v>1</v>
      </c>
      <c r="D19" s="10">
        <v>5</v>
      </c>
      <c r="E19" s="10">
        <v>2025</v>
      </c>
      <c r="F19" s="10"/>
      <c r="G19" s="10"/>
      <c r="H19" s="10"/>
      <c r="I19" s="53" t="e">
        <f>AVERAGEIFS(DropAnalityka[Mana drop],DropAnalityka[Location],'Location features'!A19,DropAnalityka[LVL],'Location features'!B19,DropAnalityka[Stage],'Location features'!C19)+AVERAGEIFS(DropAnalityka[Drop Worth],DropAnalityka[Location],'Location features'!A19,DropAnalityka[LVL],'Location features'!B19,DropAnalityka[Stage],'Location features'!C19)+AVERAGEIFS(DropAnalityka[Fod Worth],DropAnalityka[Location],'Location features'!A19,DropAnalityka[LVL],'Location features'!B19,DropAnalityka[Stage],'Location features'!C19)</f>
        <v>#DIV/0!</v>
      </c>
      <c r="J19" s="10">
        <f>J9</f>
        <v>0.87654320987654322</v>
      </c>
      <c r="K19" s="10">
        <f>4*LocFeatures[[#This Row],[XP Gain per member]]</f>
        <v>8100</v>
      </c>
      <c r="L19" s="10">
        <f t="shared" si="1"/>
        <v>6075</v>
      </c>
      <c r="M19" s="53"/>
      <c r="N19" t="e">
        <f>LocFeatures[[#This Row],[Drop worth gain]]/(LocFeatures[[#This Row],[E. Cost]]-LocFeatures[[#This Row],[Energy gain]])</f>
        <v>#DIV/0!</v>
      </c>
      <c r="O19" s="54">
        <f>LocFeatures[[#This Row],[XP Train Gain]]/(LocFeatures[[#This Row],[E. Cost]]-LocFeatures[[#This Row],[Energy gain]])</f>
        <v>1473.2784431137725</v>
      </c>
      <c r="P19">
        <f>(LocFeatures[[#This Row],[XP Train Gain]]+LocFeatures[[#This Row],[XP drop]])/(LocFeatures[[#This Row],[E. Cost]]-LocFeatures[[#This Row],[Energy gain]])</f>
        <v>1473.2784431137725</v>
      </c>
      <c r="Q19" s="10"/>
      <c r="R19" s="10"/>
      <c r="T19" s="16"/>
    </row>
    <row r="20" spans="1:20" hidden="1">
      <c r="A20" s="10" t="s">
        <v>166</v>
      </c>
      <c r="B20" s="10" t="s">
        <v>9</v>
      </c>
      <c r="C20" s="10">
        <v>5</v>
      </c>
      <c r="D20" s="10">
        <v>6</v>
      </c>
      <c r="E20" s="10">
        <v>392</v>
      </c>
      <c r="F20" s="10"/>
      <c r="G20" s="10"/>
      <c r="H20" s="10"/>
      <c r="I20" s="55">
        <f>AVERAGEIFS(DropAnalityka[Mana drop],DropAnalityka[Location],'Location features'!A20,DropAnalityka[LVL],'Location features'!B20,DropAnalityka[Stage],'Location features'!C20)+AVERAGEIFS(DropAnalityka[Drop Worth],DropAnalityka[Location],'Location features'!A20,DropAnalityka[LVL],'Location features'!B20,DropAnalityka[Stage],'Location features'!C20)+AVERAGEIFS(DropAnalityka[Fod Worth],DropAnalityka[Location],'Location features'!A20,DropAnalityka[LVL],'Location features'!B20,DropAnalityka[Stage],'Location features'!C20)</f>
        <v>2788.25</v>
      </c>
      <c r="J20" s="56">
        <f>AVERAGEIFS(DropAnalityka[Energy Drop],DropAnalityka[Location],'Location features'!$A20,DropAnalityka[LVL],'Location features'!$B20,DropAnalityka[Stage],'Location features'!$C20)</f>
        <v>0.5</v>
      </c>
      <c r="K20" s="10">
        <f>5*LocFeatures[[#This Row],[XP Gain per member]]</f>
        <v>1960</v>
      </c>
      <c r="L20" s="10">
        <f t="shared" si="1"/>
        <v>1176</v>
      </c>
      <c r="M20" s="58">
        <f>AVERAGEIFS(DropAnalityka[Exp Gain],DropAnalityka[Location],'Location features'!$A20,DropAnalityka[LVL],'Location features'!$B20,DropAnalityka[Stage],'Location features'!$C20)</f>
        <v>0</v>
      </c>
      <c r="N20" s="57">
        <f>LocFeatures[[#This Row],[Drop worth gain]]/(LocFeatures[[#This Row],[E. Cost]]-LocFeatures[[#This Row],[Energy gain]])</f>
        <v>506.95454545454544</v>
      </c>
      <c r="O20" s="57">
        <f>LocFeatures[[#This Row],[XP Train Gain]]/(LocFeatures[[#This Row],[E. Cost]]-LocFeatures[[#This Row],[Energy gain]])</f>
        <v>213.81818181818181</v>
      </c>
      <c r="P20" s="57">
        <f>(LocFeatures[[#This Row],[XP Train Gain]]+LocFeatures[[#This Row],[XP drop]])/(LocFeatures[[#This Row],[E. Cost]]-LocFeatures[[#This Row],[Energy gain]])</f>
        <v>213.81818181818181</v>
      </c>
      <c r="Q20" s="10"/>
      <c r="R20" s="10"/>
    </row>
    <row r="21" spans="1:20" hidden="1">
      <c r="A21" s="10" t="s">
        <v>204</v>
      </c>
      <c r="B21" s="10" t="s">
        <v>9</v>
      </c>
      <c r="C21" s="10">
        <v>5</v>
      </c>
      <c r="D21" s="10">
        <v>7</v>
      </c>
      <c r="E21" s="10">
        <v>605</v>
      </c>
      <c r="F21" s="10"/>
      <c r="G21" s="10"/>
      <c r="H21" s="10"/>
      <c r="I21" s="55">
        <f>AVERAGEIFS(DropAnalityka[Mana drop],DropAnalityka[Location],'Location features'!A21,DropAnalityka[LVL],'Location features'!B21,DropAnalityka[Stage],'Location features'!C21)+AVERAGEIFS(DropAnalityka[Drop Worth],DropAnalityka[Location],'Location features'!A21,DropAnalityka[LVL],'Location features'!B21,DropAnalityka[Stage],'Location features'!C21)+AVERAGEIFS(DropAnalityka[Fod Worth],DropAnalityka[Location],'Location features'!A21,DropAnalityka[LVL],'Location features'!B21,DropAnalityka[Stage],'Location features'!C21)</f>
        <v>7394.5</v>
      </c>
      <c r="J21" s="56">
        <f>AVERAGEIFS(DropAnalityka[Energy Drop],DropAnalityka[Location],'Location features'!$A21,DropAnalityka[LVL],'Location features'!$B21,DropAnalityka[Stage],'Location features'!$C21)</f>
        <v>1.75</v>
      </c>
      <c r="K21" s="10">
        <f>5*LocFeatures[[#This Row],[XP Gain per member]]</f>
        <v>3025</v>
      </c>
      <c r="L21" s="10">
        <f t="shared" si="1"/>
        <v>1815</v>
      </c>
      <c r="M21" s="58">
        <f>AVERAGEIFS(DropAnalityka[Exp Gain],DropAnalityka[Location],'Location features'!$A21,DropAnalityka[LVL],'Location features'!$B21,DropAnalityka[Stage],'Location features'!$C21)</f>
        <v>0</v>
      </c>
      <c r="N21" s="57">
        <f>LocFeatures[[#This Row],[Drop worth gain]]/(LocFeatures[[#This Row],[E. Cost]]-LocFeatures[[#This Row],[Energy gain]])</f>
        <v>1408.4761904761904</v>
      </c>
      <c r="O21" s="57">
        <f>LocFeatures[[#This Row],[XP Train Gain]]/(LocFeatures[[#This Row],[E. Cost]]-LocFeatures[[#This Row],[Energy gain]])</f>
        <v>345.71428571428572</v>
      </c>
      <c r="P21" s="57">
        <f>(LocFeatures[[#This Row],[XP Train Gain]]+LocFeatures[[#This Row],[XP drop]])/(LocFeatures[[#This Row],[E. Cost]]-LocFeatures[[#This Row],[Energy gain]])</f>
        <v>345.71428571428572</v>
      </c>
      <c r="Q21" s="10"/>
      <c r="R21" s="10"/>
    </row>
    <row r="22" spans="1:20" hidden="1">
      <c r="A22" s="10" t="s">
        <v>204</v>
      </c>
      <c r="B22" s="10" t="s">
        <v>9</v>
      </c>
      <c r="C22" s="10">
        <v>6</v>
      </c>
      <c r="D22" s="10">
        <v>7</v>
      </c>
      <c r="E22" s="10">
        <v>760</v>
      </c>
      <c r="F22" s="10"/>
      <c r="G22" s="10"/>
      <c r="H22" s="10"/>
      <c r="I22" s="55">
        <f>AVERAGEIFS(DropAnalityka[Mana drop],DropAnalityka[Location],'Location features'!A22,DropAnalityka[LVL],'Location features'!B22,DropAnalityka[Stage],'Location features'!C22)+AVERAGEIFS(DropAnalityka[Drop Worth],DropAnalityka[Location],'Location features'!A22,DropAnalityka[LVL],'Location features'!B22,DropAnalityka[Stage],'Location features'!C22)+AVERAGEIFS(DropAnalityka[Fod Worth],DropAnalityka[Location],'Location features'!A22,DropAnalityka[LVL],'Location features'!B22,DropAnalityka[Stage],'Location features'!C22)</f>
        <v>7963.2727272727279</v>
      </c>
      <c r="J22" s="56">
        <f>AVERAGEIFS(DropAnalityka[Energy Drop],DropAnalityka[Location],'Location features'!$A22,DropAnalityka[LVL],'Location features'!$B22,DropAnalityka[Stage],'Location features'!$C22)</f>
        <v>0.90909090909090906</v>
      </c>
      <c r="K22" s="10">
        <f>5*LocFeatures[[#This Row],[XP Gain per member]]</f>
        <v>3800</v>
      </c>
      <c r="L22" s="10">
        <f t="shared" si="1"/>
        <v>2280</v>
      </c>
      <c r="M22" s="58">
        <f>AVERAGEIFS(DropAnalityka[Exp Gain],DropAnalityka[Location],'Location features'!$A22,DropAnalityka[LVL],'Location features'!$B22,DropAnalityka[Stage],'Location features'!$C22)</f>
        <v>6005.636363636364</v>
      </c>
      <c r="N22" s="57">
        <f>LocFeatures[[#This Row],[Drop worth gain]]/(LocFeatures[[#This Row],[E. Cost]]-LocFeatures[[#This Row],[Energy gain]])</f>
        <v>1307.4029850746269</v>
      </c>
      <c r="O22" s="57">
        <f>LocFeatures[[#This Row],[XP Train Gain]]/(LocFeatures[[#This Row],[E. Cost]]-LocFeatures[[#This Row],[Energy gain]])</f>
        <v>374.32835820895525</v>
      </c>
      <c r="P22" s="57">
        <f>(LocFeatures[[#This Row],[XP Train Gain]]+LocFeatures[[#This Row],[XP drop]])/(LocFeatures[[#This Row],[E. Cost]]-LocFeatures[[#This Row],[Energy gain]])</f>
        <v>1360.3283582089553</v>
      </c>
      <c r="Q22" s="10"/>
      <c r="R22" s="10"/>
    </row>
    <row r="23" spans="1:20" hidden="1">
      <c r="A23" s="10" t="s">
        <v>40</v>
      </c>
      <c r="B23" s="10" t="s">
        <v>9</v>
      </c>
      <c r="C23" s="10">
        <v>7</v>
      </c>
      <c r="D23" s="10">
        <v>7</v>
      </c>
      <c r="E23" s="10"/>
      <c r="F23" s="10"/>
      <c r="G23" s="10"/>
      <c r="H23" s="10"/>
      <c r="I23" s="55">
        <f>AVERAGEIFS(DropAnalityka[Mana drop],DropAnalityka[Location],'Location features'!A23,DropAnalityka[LVL],'Location features'!B23,DropAnalityka[Stage],'Location features'!C23)+AVERAGEIFS(DropAnalityka[Drop Worth],DropAnalityka[Location],'Location features'!A23,DropAnalityka[LVL],'Location features'!B23,DropAnalityka[Stage],'Location features'!C23)+AVERAGEIFS(DropAnalityka[Fod Worth],DropAnalityka[Location],'Location features'!A23,DropAnalityka[LVL],'Location features'!B23,DropAnalityka[Stage],'Location features'!C23)</f>
        <v>2767.4736842105262</v>
      </c>
      <c r="J23" s="56">
        <f>AVERAGEIFS(DropAnalityka[Energy Drop],DropAnalityka[Location],'Location features'!$A23,DropAnalityka[LVL],'Location features'!$B23,DropAnalityka[Stage],'Location features'!$C23)</f>
        <v>0.68421052631578949</v>
      </c>
      <c r="K23" s="10">
        <f>5*LocFeatures[[#This Row],[XP Gain per member]]</f>
        <v>0</v>
      </c>
      <c r="L23" s="10">
        <f t="shared" si="1"/>
        <v>0</v>
      </c>
      <c r="M23" s="58">
        <f>AVERAGEIFS(DropAnalityka[Exp Gain],DropAnalityka[Location],'Location features'!$A23,DropAnalityka[LVL],'Location features'!$B23,DropAnalityka[Stage],'Location features'!$C23)</f>
        <v>0</v>
      </c>
      <c r="N23" s="57">
        <f>LocFeatures[[#This Row],[Drop worth gain]]/(LocFeatures[[#This Row],[E. Cost]]-LocFeatures[[#This Row],[Energy gain]])</f>
        <v>438.18333333333334</v>
      </c>
      <c r="O23" s="57">
        <f>LocFeatures[[#This Row],[XP Train Gain]]/(LocFeatures[[#This Row],[E. Cost]]-LocFeatures[[#This Row],[Energy gain]])</f>
        <v>0</v>
      </c>
      <c r="P23" s="57">
        <f>(LocFeatures[[#This Row],[XP Train Gain]]+LocFeatures[[#This Row],[XP drop]])/(LocFeatures[[#This Row],[E. Cost]]-LocFeatures[[#This Row],[Energy gain]])</f>
        <v>0</v>
      </c>
      <c r="Q23" s="10"/>
      <c r="R23" s="10"/>
    </row>
    <row r="24" spans="1:20" hidden="1">
      <c r="A24" s="10" t="s">
        <v>40</v>
      </c>
      <c r="B24" s="10" t="s">
        <v>9</v>
      </c>
      <c r="C24">
        <v>8</v>
      </c>
      <c r="D24">
        <v>7</v>
      </c>
      <c r="I24" s="55" t="e">
        <f>AVERAGEIFS(DropAnalityka[Mana drop],DropAnalityka[Location],'Location features'!A24,DropAnalityka[LVL],'Location features'!B24,DropAnalityka[Stage],'Location features'!C24)+AVERAGEIFS(DropAnalityka[Drop Worth],DropAnalityka[Location],'Location features'!A24,DropAnalityka[LVL],'Location features'!B24,DropAnalityka[Stage],'Location features'!C24)+AVERAGEIFS(DropAnalityka[Fod Worth],DropAnalityka[Location],'Location features'!A24,DropAnalityka[LVL],'Location features'!B24,DropAnalityka[Stage],'Location features'!C24)</f>
        <v>#DIV/0!</v>
      </c>
      <c r="J24" s="56" t="e">
        <f>AVERAGEIFS(DropAnalityka[Energy Drop],DropAnalityka[Location],'Location features'!$A24,DropAnalityka[LVL],'Location features'!$B24,DropAnalityka[Stage],'Location features'!$C24)</f>
        <v>#DIV/0!</v>
      </c>
      <c r="K24" s="10">
        <f>5*LocFeatures[[#This Row],[XP Gain per member]]</f>
        <v>0</v>
      </c>
      <c r="L24" s="10">
        <f t="shared" si="1"/>
        <v>0</v>
      </c>
      <c r="M24" s="58" t="e">
        <f>AVERAGEIFS(DropAnalityka[Exp Gain],DropAnalityka[Location],'Location features'!$A24,DropAnalityka[LVL],'Location features'!$B24,DropAnalityka[Stage],'Location features'!$C24)</f>
        <v>#DIV/0!</v>
      </c>
      <c r="N24" s="57" t="e">
        <f>LocFeatures[[#This Row],[Drop worth gain]]/(LocFeatures[[#This Row],[E. Cost]]-LocFeatures[[#This Row],[Energy gain]])</f>
        <v>#DIV/0!</v>
      </c>
      <c r="O24" s="57" t="e">
        <f>LocFeatures[[#This Row],[XP Train Gain]]/(LocFeatures[[#This Row],[E. Cost]]-LocFeatures[[#This Row],[Energy gain]])</f>
        <v>#DIV/0!</v>
      </c>
      <c r="P24" s="57" t="e">
        <f>(LocFeatures[[#This Row],[XP Train Gain]]+LocFeatures[[#This Row],[XP drop]])/(LocFeatures[[#This Row],[E. Cost]]-LocFeatures[[#This Row],[Energy gain]])</f>
        <v>#DIV/0!</v>
      </c>
      <c r="Q24" s="10"/>
      <c r="R24" s="10"/>
    </row>
    <row r="25" spans="1:20">
      <c r="A25" s="10" t="s">
        <v>33</v>
      </c>
      <c r="B25" s="10" t="s">
        <v>32</v>
      </c>
      <c r="C25" s="10">
        <v>8</v>
      </c>
      <c r="D25" s="10">
        <v>4</v>
      </c>
      <c r="E25" s="10">
        <v>1276</v>
      </c>
      <c r="F25" s="10"/>
      <c r="G25" s="10"/>
      <c r="H25" s="10"/>
      <c r="I25" s="55">
        <f>AVERAGEIFS(DropAnalityka[Mana drop],DropAnalityka[Location],'Location features'!A25,DropAnalityka[LVL],'Location features'!B25,DropAnalityka[Stage],'Location features'!C25)+AVERAGEIFS(DropAnalityka[Drop Worth],DropAnalityka[Location],'Location features'!A25,DropAnalityka[LVL],'Location features'!B25,DropAnalityka[Stage],'Location features'!C25)+AVERAGEIFS(DropAnalityka[Fod Worth],DropAnalityka[Location],'Location features'!A25,DropAnalityka[LVL],'Location features'!B25,DropAnalityka[Stage],'Location features'!C25)</f>
        <v>5208.4385080645161</v>
      </c>
      <c r="J25" s="56">
        <f>AVERAGEIFS(DropAnalityka[Energy Drop],DropAnalityka[Location],'Location features'!$A25,DropAnalityka[LVL],'Location features'!$B25,DropAnalityka[Stage],'Location features'!$C25)</f>
        <v>0.967741935483871</v>
      </c>
      <c r="K25" s="10">
        <f>4*LocFeatures[[#This Row],[XP Gain per member]]</f>
        <v>5104</v>
      </c>
      <c r="L25" s="10">
        <f t="shared" ref="L25" si="2">3*E25</f>
        <v>3828</v>
      </c>
      <c r="M25" s="58">
        <f>AVERAGEIFS(DropAnalityka[Exp Gain],DropAnalityka[Location],'Location features'!$A25,DropAnalityka[LVL],'Location features'!$B25,DropAnalityka[Stage],'Location features'!$C25)</f>
        <v>1890</v>
      </c>
      <c r="N25" s="57">
        <f>LocFeatures[[#This Row],[Drop worth gain]]/(LocFeatures[[#This Row],[E. Cost]]-LocFeatures[[#This Row],[Energy gain]])</f>
        <v>1717.6765292553191</v>
      </c>
      <c r="O25" s="57">
        <f>LocFeatures[[#This Row],[XP Train Gain]]/(LocFeatures[[#This Row],[E. Cost]]-LocFeatures[[#This Row],[Energy gain]])</f>
        <v>1262.4255319148936</v>
      </c>
      <c r="P25" s="57">
        <f>(LocFeatures[[#This Row],[XP Train Gain]]+LocFeatures[[#This Row],[XP drop]])/(LocFeatures[[#This Row],[E. Cost]]-LocFeatures[[#This Row],[Energy gain]])</f>
        <v>1885.7234042553191</v>
      </c>
    </row>
    <row r="26" spans="1:20" hidden="1">
      <c r="I26" s="49"/>
      <c r="M26" s="49"/>
      <c r="O26" s="54" t="e">
        <f>LocFeatures[[#This Row],[XP Train Gain]]/(LocFeatures[[#This Row],[E. Cost]]-LocFeatures[[#This Row],[Energy gain]])</f>
        <v>#DIV/0!</v>
      </c>
    </row>
    <row r="27" spans="1:20" hidden="1">
      <c r="I27" s="49"/>
      <c r="M27" s="49"/>
      <c r="O27" s="54" t="e">
        <f>LocFeatures[[#This Row],[XP Train Gain]]/(LocFeatures[[#This Row],[E. Cost]]-LocFeatures[[#This Row],[Energy gain]])</f>
        <v>#DIV/0!</v>
      </c>
    </row>
    <row r="28" spans="1:20" hidden="1">
      <c r="I28" s="49"/>
      <c r="M28" s="49"/>
      <c r="O28" s="54" t="e">
        <f>LocFeatures[[#This Row],[XP Train Gain]]/(LocFeatures[[#This Row],[E. Cost]]-LocFeatures[[#This Row],[Energy gain]])</f>
        <v>#DIV/0!</v>
      </c>
    </row>
    <row r="29" spans="1:20" hidden="1">
      <c r="I29" s="49"/>
      <c r="M29" s="49"/>
      <c r="O29" s="54" t="e">
        <f>LocFeatures[[#This Row],[XP Train Gain]]/(LocFeatures[[#This Row],[E. Cost]]-LocFeatures[[#This Row],[Energy gain]])</f>
        <v>#DIV/0!</v>
      </c>
    </row>
    <row r="30" spans="1:20" hidden="1">
      <c r="I30" s="49"/>
      <c r="M30" s="49"/>
      <c r="O30" s="54" t="e">
        <f>LocFeatures[[#This Row],[XP Train Gain]]/(LocFeatures[[#This Row],[E. Cost]]-LocFeatures[[#This Row],[Energy gain]])</f>
        <v>#DIV/0!</v>
      </c>
    </row>
    <row r="31" spans="1:20" hidden="1">
      <c r="I31" s="49"/>
      <c r="M31" s="49"/>
      <c r="O31" s="54" t="e">
        <f>LocFeatures[[#This Row],[XP Train Gain]]/(LocFeatures[[#This Row],[E. Cost]]-LocFeatures[[#This Row],[Energy gain]])</f>
        <v>#DIV/0!</v>
      </c>
    </row>
    <row r="32" spans="1:20" hidden="1">
      <c r="I32" s="49"/>
      <c r="M32" s="49"/>
      <c r="O32" s="54" t="e">
        <f>LocFeatures[[#This Row],[XP Train Gain]]/(LocFeatures[[#This Row],[E. Cost]]-LocFeatures[[#This Row],[Energy gain]])</f>
        <v>#DIV/0!</v>
      </c>
    </row>
    <row r="33" spans="9:15" hidden="1">
      <c r="I33" s="49"/>
      <c r="M33" s="49"/>
      <c r="O33" s="54" t="e">
        <f>LocFeatures[[#This Row],[XP Train Gain]]/(LocFeatures[[#This Row],[E. Cost]]-LocFeatures[[#This Row],[Energy gain]])</f>
        <v>#DIV/0!</v>
      </c>
    </row>
    <row r="34" spans="9:15" hidden="1">
      <c r="I34" s="49"/>
      <c r="M34" s="49"/>
      <c r="O34" s="54" t="e">
        <f>LocFeatures[[#This Row],[XP Train Gain]]/(LocFeatures[[#This Row],[E. Cost]]-LocFeatures[[#This Row],[Energy gain]])</f>
        <v>#DIV/0!</v>
      </c>
    </row>
    <row r="35" spans="9:15" hidden="1">
      <c r="I35" s="49"/>
      <c r="M35" s="49"/>
      <c r="O35" s="54" t="e">
        <f>LocFeatures[[#This Row],[XP Train Gain]]/(LocFeatures[[#This Row],[E. Cost]]-LocFeatures[[#This Row],[Energy gain]])</f>
        <v>#DIV/0!</v>
      </c>
    </row>
    <row r="36" spans="9:15" hidden="1">
      <c r="I36" s="49"/>
      <c r="M36" s="49"/>
      <c r="O36" s="54" t="e">
        <f>LocFeatures[[#This Row],[XP Train Gain]]/(LocFeatures[[#This Row],[E. Cost]]-LocFeatures[[#This Row],[Energy gain]])</f>
        <v>#DIV/0!</v>
      </c>
    </row>
    <row r="37" spans="9:15" hidden="1">
      <c r="I37" s="49"/>
      <c r="M37" s="49"/>
      <c r="O37" s="54" t="e">
        <f>LocFeatures[[#This Row],[XP Train Gain]]/(LocFeatures[[#This Row],[E. Cost]]-LocFeatures[[#This Row],[Energy gain]])</f>
        <v>#DIV/0!</v>
      </c>
    </row>
    <row r="38" spans="9:15" hidden="1">
      <c r="I38" s="49"/>
      <c r="M38" s="49"/>
      <c r="O38" s="54" t="e">
        <f>LocFeatures[[#This Row],[XP Train Gain]]/(LocFeatures[[#This Row],[E. Cost]]-LocFeatures[[#This Row],[Energy gain]])</f>
        <v>#DIV/0!</v>
      </c>
    </row>
    <row r="39" spans="9:15" hidden="1">
      <c r="I39" s="49"/>
      <c r="M39" s="49"/>
      <c r="O39" s="54" t="e">
        <f>LocFeatures[[#This Row],[XP Train Gain]]/(LocFeatures[[#This Row],[E. Cost]]-LocFeatures[[#This Row],[Energy gain]])</f>
        <v>#DIV/0!</v>
      </c>
    </row>
    <row r="40" spans="9:15" hidden="1">
      <c r="I40" s="49"/>
      <c r="M40" s="49"/>
      <c r="O40" s="54" t="e">
        <f>LocFeatures[[#This Row],[XP Train Gain]]/(LocFeatures[[#This Row],[E. Cost]]-LocFeatures[[#This Row],[Energy gain]])</f>
        <v>#DIV/0!</v>
      </c>
    </row>
    <row r="41" spans="9:15" hidden="1">
      <c r="I41" s="49"/>
      <c r="M41" s="49"/>
      <c r="O41" s="54" t="e">
        <f>LocFeatures[[#This Row],[XP Train Gain]]/(LocFeatures[[#This Row],[E. Cost]]-LocFeatures[[#This Row],[Energy gain]])</f>
        <v>#DIV/0!</v>
      </c>
    </row>
    <row r="42" spans="9:15" hidden="1">
      <c r="I42" s="49"/>
      <c r="M42" s="49"/>
      <c r="O42" s="54" t="e">
        <f>LocFeatures[[#This Row],[XP Train Gain]]/(LocFeatures[[#This Row],[E. Cost]]-LocFeatures[[#This Row],[Energy gain]])</f>
        <v>#DIV/0!</v>
      </c>
    </row>
    <row r="43" spans="9:15" hidden="1">
      <c r="I43" s="49"/>
      <c r="M43" s="49"/>
      <c r="O43" s="54" t="e">
        <f>LocFeatures[[#This Row],[XP Train Gain]]/(LocFeatures[[#This Row],[E. Cost]]-LocFeatures[[#This Row],[Energy gain]])</f>
        <v>#DIV/0!</v>
      </c>
    </row>
    <row r="44" spans="9:15" hidden="1">
      <c r="I44" s="49"/>
      <c r="M44" s="49"/>
      <c r="O44" s="54" t="e">
        <f>LocFeatures[[#This Row],[XP Train Gain]]/(LocFeatures[[#This Row],[E. Cost]]-LocFeatures[[#This Row],[Energy gain]])</f>
        <v>#DIV/0!</v>
      </c>
    </row>
    <row r="45" spans="9:15" hidden="1">
      <c r="I45" s="49"/>
      <c r="M45" s="49"/>
      <c r="O45" s="54" t="e">
        <f>LocFeatures[[#This Row],[XP Train Gain]]/(LocFeatures[[#This Row],[E. Cost]]-LocFeatures[[#This Row],[Energy gain]])</f>
        <v>#DIV/0!</v>
      </c>
    </row>
    <row r="46" spans="9:15" hidden="1">
      <c r="I46" s="49"/>
      <c r="M46" s="49"/>
      <c r="O46" s="54" t="e">
        <f>LocFeatures[[#This Row],[XP Train Gain]]/(LocFeatures[[#This Row],[E. Cost]]-LocFeatures[[#This Row],[Energy gain]])</f>
        <v>#DIV/0!</v>
      </c>
    </row>
    <row r="47" spans="9:15" hidden="1">
      <c r="I47" s="49"/>
      <c r="M47" s="49"/>
      <c r="O47" s="54" t="e">
        <f>LocFeatures[[#This Row],[XP Train Gain]]/(LocFeatures[[#This Row],[E. Cost]]-LocFeatures[[#This Row],[Energy gain]])</f>
        <v>#DIV/0!</v>
      </c>
    </row>
    <row r="48" spans="9:15" hidden="1">
      <c r="I48" s="49"/>
      <c r="M48" s="49"/>
      <c r="O48" s="54" t="e">
        <f>LocFeatures[[#This Row],[XP Train Gain]]/(LocFeatures[[#This Row],[E. Cost]]-LocFeatures[[#This Row],[Energy gain]])</f>
        <v>#DIV/0!</v>
      </c>
    </row>
    <row r="49" spans="9:15" hidden="1">
      <c r="I49" s="49"/>
      <c r="M49" s="49"/>
      <c r="O49" s="54" t="e">
        <f>LocFeatures[[#This Row],[XP Train Gain]]/(LocFeatures[[#This Row],[E. Cost]]-LocFeatures[[#This Row],[Energy gain]])</f>
        <v>#DIV/0!</v>
      </c>
    </row>
    <row r="50" spans="9:15" hidden="1">
      <c r="I50" s="49"/>
      <c r="M50" s="49"/>
      <c r="O50" s="54" t="e">
        <f>LocFeatures[[#This Row],[XP Train Gain]]/(LocFeatures[[#This Row],[E. Cost]]-LocFeatures[[#This Row],[Energy gain]])</f>
        <v>#DIV/0!</v>
      </c>
    </row>
    <row r="51" spans="9:15" hidden="1">
      <c r="I51" s="49"/>
      <c r="M51" s="49"/>
      <c r="O51" s="54" t="e">
        <f>LocFeatures[[#This Row],[XP Train Gain]]/(LocFeatures[[#This Row],[E. Cost]]-LocFeatures[[#This Row],[Energy gain]])</f>
        <v>#DIV/0!</v>
      </c>
    </row>
    <row r="52" spans="9:15" hidden="1">
      <c r="I52" s="49"/>
      <c r="M52" s="49"/>
      <c r="O52" s="54" t="e">
        <f>LocFeatures[[#This Row],[XP Train Gain]]/(LocFeatures[[#This Row],[E. Cost]]-LocFeatures[[#This Row],[Energy gain]])</f>
        <v>#DIV/0!</v>
      </c>
    </row>
    <row r="53" spans="9:15" hidden="1">
      <c r="I53" s="49"/>
      <c r="M53" s="49"/>
      <c r="O53" s="54" t="e">
        <f>LocFeatures[[#This Row],[XP Train Gain]]/(LocFeatures[[#This Row],[E. Cost]]-LocFeatures[[#This Row],[Energy gain]])</f>
        <v>#DIV/0!</v>
      </c>
    </row>
    <row r="54" spans="9:15" hidden="1">
      <c r="I54" s="49"/>
      <c r="M54" s="49"/>
      <c r="O54" s="54" t="e">
        <f>LocFeatures[[#This Row],[XP Train Gain]]/(LocFeatures[[#This Row],[E. Cost]]-LocFeatures[[#This Row],[Energy gain]])</f>
        <v>#DIV/0!</v>
      </c>
    </row>
    <row r="55" spans="9:15" hidden="1">
      <c r="I55" s="49"/>
      <c r="M55" s="49"/>
      <c r="O55" s="54" t="e">
        <f>LocFeatures[[#This Row],[XP Train Gain]]/(LocFeatures[[#This Row],[E. Cost]]-LocFeatures[[#This Row],[Energy gain]])</f>
        <v>#DIV/0!</v>
      </c>
    </row>
    <row r="56" spans="9:15" hidden="1">
      <c r="I56" s="49"/>
      <c r="M56" s="49"/>
      <c r="O56" s="54" t="e">
        <f>LocFeatures[[#This Row],[XP Train Gain]]/(LocFeatures[[#This Row],[E. Cost]]-LocFeatures[[#This Row],[Energy gain]])</f>
        <v>#DIV/0!</v>
      </c>
    </row>
    <row r="57" spans="9:15" hidden="1">
      <c r="I57" s="49"/>
      <c r="M57" s="49"/>
      <c r="O57" s="54" t="e">
        <f>LocFeatures[[#This Row],[XP Train Gain]]/(LocFeatures[[#This Row],[E. Cost]]-LocFeatures[[#This Row],[Energy gain]])</f>
        <v>#DIV/0!</v>
      </c>
    </row>
    <row r="58" spans="9:15" hidden="1">
      <c r="I58" s="49"/>
      <c r="M58" s="49"/>
      <c r="O58" s="54" t="e">
        <f>LocFeatures[[#This Row],[XP Train Gain]]/(LocFeatures[[#This Row],[E. Cost]]-LocFeatures[[#This Row],[Energy gain]])</f>
        <v>#DIV/0!</v>
      </c>
    </row>
    <row r="59" spans="9:15" hidden="1">
      <c r="I59" s="49"/>
      <c r="M59" s="49"/>
      <c r="O59" s="54" t="e">
        <f>LocFeatures[[#This Row],[XP Train Gain]]/(LocFeatures[[#This Row],[E. Cost]]-LocFeatures[[#This Row],[Energy gain]])</f>
        <v>#DIV/0!</v>
      </c>
    </row>
    <row r="60" spans="9:15" hidden="1">
      <c r="I60" s="49"/>
      <c r="M60" s="49"/>
      <c r="O60" s="54" t="e">
        <f>LocFeatures[[#This Row],[XP Train Gain]]/(LocFeatures[[#This Row],[E. Cost]]-LocFeatures[[#This Row],[Energy gain]])</f>
        <v>#DIV/0!</v>
      </c>
    </row>
    <row r="61" spans="9:15" hidden="1">
      <c r="I61" s="49"/>
      <c r="M61" s="49"/>
      <c r="O61" s="54" t="e">
        <f>LocFeatures[[#This Row],[XP Train Gain]]/(LocFeatures[[#This Row],[E. Cost]]-LocFeatures[[#This Row],[Energy gain]])</f>
        <v>#DIV/0!</v>
      </c>
    </row>
    <row r="62" spans="9:15" hidden="1">
      <c r="I62" s="49"/>
      <c r="M62" s="49"/>
      <c r="O62" s="54" t="e">
        <f>LocFeatures[[#This Row],[XP Train Gain]]/(LocFeatures[[#This Row],[E. Cost]]-LocFeatures[[#This Row],[Energy gain]])</f>
        <v>#DIV/0!</v>
      </c>
    </row>
    <row r="63" spans="9:15" hidden="1">
      <c r="I63" s="49"/>
      <c r="M63" s="49"/>
      <c r="O63" s="54" t="e">
        <f>LocFeatures[[#This Row],[XP Train Gain]]/(LocFeatures[[#This Row],[E. Cost]]-LocFeatures[[#This Row],[Energy gain]])</f>
        <v>#DIV/0!</v>
      </c>
    </row>
    <row r="64" spans="9:15" hidden="1">
      <c r="I64" s="49"/>
      <c r="M64" s="49"/>
      <c r="O64" s="54" t="e">
        <f>LocFeatures[[#This Row],[XP Train Gain]]/(LocFeatures[[#This Row],[E. Cost]]-LocFeatures[[#This Row],[Energy gain]])</f>
        <v>#DIV/0!</v>
      </c>
    </row>
    <row r="65" spans="9:15" hidden="1">
      <c r="I65" s="49"/>
      <c r="M65" s="49"/>
      <c r="O65" s="54" t="e">
        <f>LocFeatures[[#This Row],[XP Train Gain]]/(LocFeatures[[#This Row],[E. Cost]]-LocFeatures[[#This Row],[Energy gain]])</f>
        <v>#DIV/0!</v>
      </c>
    </row>
    <row r="66" spans="9:15" hidden="1">
      <c r="I66" s="49"/>
      <c r="M66" s="49"/>
      <c r="O66" s="54" t="e">
        <f>LocFeatures[[#This Row],[XP Train Gain]]/(LocFeatures[[#This Row],[E. Cost]]-LocFeatures[[#This Row],[Energy gain]])</f>
        <v>#DIV/0!</v>
      </c>
    </row>
    <row r="67" spans="9:15" hidden="1">
      <c r="I67" s="49"/>
      <c r="M67" s="49"/>
      <c r="O67" s="54" t="e">
        <f>LocFeatures[[#This Row],[XP Train Gain]]/(LocFeatures[[#This Row],[E. Cost]]-LocFeatures[[#This Row],[Energy gain]])</f>
        <v>#DIV/0!</v>
      </c>
    </row>
    <row r="68" spans="9:15" hidden="1">
      <c r="I68" s="49"/>
      <c r="M68" s="49"/>
      <c r="O68" s="54" t="e">
        <f>LocFeatures[[#This Row],[XP Train Gain]]/(LocFeatures[[#This Row],[E. Cost]]-LocFeatures[[#This Row],[Energy gain]])</f>
        <v>#DIV/0!</v>
      </c>
    </row>
    <row r="69" spans="9:15" hidden="1">
      <c r="I69" s="49"/>
      <c r="M69" s="49"/>
      <c r="O69" s="54" t="e">
        <f>LocFeatures[[#This Row],[XP Train Gain]]/(LocFeatures[[#This Row],[E. Cost]]-LocFeatures[[#This Row],[Energy gain]])</f>
        <v>#DIV/0!</v>
      </c>
    </row>
    <row r="70" spans="9:15" hidden="1">
      <c r="I70" s="49"/>
      <c r="M70" s="49"/>
      <c r="O70" s="54" t="e">
        <f>LocFeatures[[#This Row],[XP Train Gain]]/(LocFeatures[[#This Row],[E. Cost]]-LocFeatures[[#This Row],[Energy gain]])</f>
        <v>#DIV/0!</v>
      </c>
    </row>
    <row r="71" spans="9:15" hidden="1">
      <c r="I71" s="49"/>
      <c r="M71" s="49"/>
      <c r="O71" s="54" t="e">
        <f>LocFeatures[[#This Row],[XP Train Gain]]/(LocFeatures[[#This Row],[E. Cost]]-LocFeatures[[#This Row],[Energy gain]])</f>
        <v>#DIV/0!</v>
      </c>
    </row>
    <row r="72" spans="9:15" hidden="1">
      <c r="I72" s="49"/>
      <c r="M72" s="49"/>
      <c r="O72" s="54" t="e">
        <f>LocFeatures[[#This Row],[XP Train Gain]]/(LocFeatures[[#This Row],[E. Cost]]-LocFeatures[[#This Row],[Energy gain]])</f>
        <v>#DIV/0!</v>
      </c>
    </row>
    <row r="73" spans="9:15" hidden="1">
      <c r="I73" s="49"/>
      <c r="M73" s="49"/>
      <c r="O73" s="54" t="e">
        <f>LocFeatures[[#This Row],[XP Train Gain]]/(LocFeatures[[#This Row],[E. Cost]]-LocFeatures[[#This Row],[Energy gain]])</f>
        <v>#DIV/0!</v>
      </c>
    </row>
    <row r="74" spans="9:15" hidden="1">
      <c r="I74" s="49"/>
      <c r="M74" s="49"/>
      <c r="O74" s="54" t="e">
        <f>LocFeatures[[#This Row],[XP Train Gain]]/(LocFeatures[[#This Row],[E. Cost]]-LocFeatures[[#This Row],[Energy gain]])</f>
        <v>#DIV/0!</v>
      </c>
    </row>
    <row r="75" spans="9:15" hidden="1">
      <c r="I75" s="49"/>
      <c r="M75" s="49"/>
      <c r="O75" s="54" t="e">
        <f>LocFeatures[[#This Row],[XP Train Gain]]/(LocFeatures[[#This Row],[E. Cost]]-LocFeatures[[#This Row],[Energy gain]])</f>
        <v>#DIV/0!</v>
      </c>
    </row>
    <row r="76" spans="9:15" hidden="1">
      <c r="I76" s="49"/>
      <c r="M76" s="49"/>
      <c r="O76" s="54" t="e">
        <f>LocFeatures[[#This Row],[XP Train Gain]]/(LocFeatures[[#This Row],[E. Cost]]-LocFeatures[[#This Row],[Energy gain]])</f>
        <v>#DIV/0!</v>
      </c>
    </row>
    <row r="77" spans="9:15" hidden="1">
      <c r="I77" s="49"/>
      <c r="M77" s="49"/>
      <c r="O77" s="54" t="e">
        <f>LocFeatures[[#This Row],[XP Train Gain]]/(LocFeatures[[#This Row],[E. Cost]]-LocFeatures[[#This Row],[Energy gain]])</f>
        <v>#DIV/0!</v>
      </c>
    </row>
    <row r="78" spans="9:15" hidden="1">
      <c r="I78" s="49"/>
      <c r="M78" s="49"/>
      <c r="O78" s="54" t="e">
        <f>LocFeatures[[#This Row],[XP Train Gain]]/(LocFeatures[[#This Row],[E. Cost]]-LocFeatures[[#This Row],[Energy gain]])</f>
        <v>#DIV/0!</v>
      </c>
    </row>
    <row r="79" spans="9:15" hidden="1">
      <c r="I79" s="49"/>
      <c r="M79" s="49"/>
      <c r="O79" s="54" t="e">
        <f>LocFeatures[[#This Row],[XP Train Gain]]/(LocFeatures[[#This Row],[E. Cost]]-LocFeatures[[#This Row],[Energy gain]])</f>
        <v>#DIV/0!</v>
      </c>
    </row>
    <row r="80" spans="9:15" hidden="1">
      <c r="I80" s="49"/>
      <c r="M80" s="49"/>
      <c r="O80" s="54" t="e">
        <f>LocFeatures[[#This Row],[XP Train Gain]]/(LocFeatures[[#This Row],[E. Cost]]-LocFeatures[[#This Row],[Energy gain]])</f>
        <v>#DIV/0!</v>
      </c>
    </row>
    <row r="81" spans="9:15" hidden="1">
      <c r="I81" s="49"/>
      <c r="M81" s="49"/>
      <c r="O81" s="54" t="e">
        <f>LocFeatures[[#This Row],[XP Train Gain]]/(LocFeatures[[#This Row],[E. Cost]]-LocFeatures[[#This Row],[Energy gain]])</f>
        <v>#DIV/0!</v>
      </c>
    </row>
    <row r="82" spans="9:15" hidden="1">
      <c r="I82" s="49"/>
      <c r="M82" s="49"/>
      <c r="O82" s="54" t="e">
        <f>LocFeatures[[#This Row],[XP Train Gain]]/(LocFeatures[[#This Row],[E. Cost]]-LocFeatures[[#This Row],[Energy gain]])</f>
        <v>#DIV/0!</v>
      </c>
    </row>
    <row r="83" spans="9:15" hidden="1">
      <c r="I83" s="49"/>
      <c r="M83" s="49"/>
      <c r="O83" s="54" t="e">
        <f>LocFeatures[[#This Row],[XP Train Gain]]/(LocFeatures[[#This Row],[E. Cost]]-LocFeatures[[#This Row],[Energy gain]])</f>
        <v>#DIV/0!</v>
      </c>
    </row>
    <row r="84" spans="9:15" hidden="1">
      <c r="I84" s="49"/>
      <c r="M84" s="49"/>
      <c r="O84" s="54" t="e">
        <f>LocFeatures[[#This Row],[XP Train Gain]]/(LocFeatures[[#This Row],[E. Cost]]-LocFeatures[[#This Row],[Energy gain]])</f>
        <v>#DIV/0!</v>
      </c>
    </row>
    <row r="85" spans="9:15" hidden="1">
      <c r="I85" s="49"/>
      <c r="M85" s="49"/>
      <c r="O85" s="54" t="e">
        <f>LocFeatures[[#This Row],[XP Train Gain]]/(LocFeatures[[#This Row],[E. Cost]]-LocFeatures[[#This Row],[Energy gain]])</f>
        <v>#DIV/0!</v>
      </c>
    </row>
    <row r="86" spans="9:15" hidden="1">
      <c r="I86" s="49"/>
      <c r="M86" s="49"/>
      <c r="O86" s="54" t="e">
        <f>LocFeatures[[#This Row],[XP Train Gain]]/(LocFeatures[[#This Row],[E. Cost]]-LocFeatures[[#This Row],[Energy gain]])</f>
        <v>#DIV/0!</v>
      </c>
    </row>
    <row r="87" spans="9:15" hidden="1">
      <c r="I87" s="49"/>
      <c r="M87" s="49"/>
      <c r="O87" s="54" t="e">
        <f>LocFeatures[[#This Row],[XP Train Gain]]/(LocFeatures[[#This Row],[E. Cost]]-LocFeatures[[#This Row],[Energy gain]])</f>
        <v>#DIV/0!</v>
      </c>
    </row>
    <row r="88" spans="9:15" hidden="1">
      <c r="I88" s="49"/>
      <c r="M88" s="49"/>
      <c r="O88" s="54" t="e">
        <f>LocFeatures[[#This Row],[XP Train Gain]]/(LocFeatures[[#This Row],[E. Cost]]-LocFeatures[[#This Row],[Energy gain]])</f>
        <v>#DIV/0!</v>
      </c>
    </row>
    <row r="89" spans="9:15" hidden="1">
      <c r="I89" s="49"/>
      <c r="M89" s="49"/>
      <c r="O89" s="54" t="e">
        <f>LocFeatures[[#This Row],[XP Train Gain]]/(LocFeatures[[#This Row],[E. Cost]]-LocFeatures[[#This Row],[Energy gain]])</f>
        <v>#DIV/0!</v>
      </c>
    </row>
    <row r="90" spans="9:15" hidden="1">
      <c r="I90" s="49"/>
      <c r="M90" s="49"/>
      <c r="O90" s="54" t="e">
        <f>LocFeatures[[#This Row],[XP Train Gain]]/(LocFeatures[[#This Row],[E. Cost]]-LocFeatures[[#This Row],[Energy gain]])</f>
        <v>#DIV/0!</v>
      </c>
    </row>
    <row r="91" spans="9:15" hidden="1">
      <c r="I91" s="49"/>
      <c r="M91" s="49"/>
      <c r="O91" s="54" t="e">
        <f>LocFeatures[[#This Row],[XP Train Gain]]/(LocFeatures[[#This Row],[E. Cost]]-LocFeatures[[#This Row],[Energy gain]])</f>
        <v>#DIV/0!</v>
      </c>
    </row>
    <row r="92" spans="9:15" hidden="1">
      <c r="I92" s="49"/>
      <c r="M92" s="49"/>
      <c r="O92" s="54" t="e">
        <f>LocFeatures[[#This Row],[XP Train Gain]]/(LocFeatures[[#This Row],[E. Cost]]-LocFeatures[[#This Row],[Energy gain]])</f>
        <v>#DIV/0!</v>
      </c>
    </row>
    <row r="93" spans="9:15" hidden="1">
      <c r="I93" s="49"/>
      <c r="M93" s="49"/>
      <c r="O93" s="54" t="e">
        <f>LocFeatures[[#This Row],[XP Train Gain]]/(LocFeatures[[#This Row],[E. Cost]]-LocFeatures[[#This Row],[Energy gain]])</f>
        <v>#DIV/0!</v>
      </c>
    </row>
    <row r="94" spans="9:15" hidden="1">
      <c r="I94" s="49"/>
      <c r="M94" s="49"/>
      <c r="O94" s="54" t="e">
        <f>LocFeatures[[#This Row],[XP Train Gain]]/(LocFeatures[[#This Row],[E. Cost]]-LocFeatures[[#This Row],[Energy gain]])</f>
        <v>#DIV/0!</v>
      </c>
    </row>
    <row r="95" spans="9:15" hidden="1">
      <c r="I95" s="49"/>
      <c r="M95" s="49"/>
      <c r="O95" s="54" t="e">
        <f>LocFeatures[[#This Row],[XP Train Gain]]/(LocFeatures[[#This Row],[E. Cost]]-LocFeatures[[#This Row],[Energy gain]])</f>
        <v>#DIV/0!</v>
      </c>
    </row>
    <row r="96" spans="9:15" hidden="1">
      <c r="I96" s="49"/>
      <c r="M96" s="49"/>
      <c r="O96" s="54" t="e">
        <f>LocFeatures[[#This Row],[XP Train Gain]]/(LocFeatures[[#This Row],[E. Cost]]-LocFeatures[[#This Row],[Energy gain]])</f>
        <v>#DIV/0!</v>
      </c>
    </row>
    <row r="97" spans="9:15" hidden="1">
      <c r="I97" s="49"/>
      <c r="M97" s="49"/>
      <c r="O97" s="54" t="e">
        <f>LocFeatures[[#This Row],[XP Train Gain]]/(LocFeatures[[#This Row],[E. Cost]]-LocFeatures[[#This Row],[Energy gain]])</f>
        <v>#DIV/0!</v>
      </c>
    </row>
    <row r="98" spans="9:15" hidden="1">
      <c r="I98" s="49"/>
      <c r="M98" s="49"/>
      <c r="O98" s="54" t="e">
        <f>LocFeatures[[#This Row],[XP Train Gain]]/(LocFeatures[[#This Row],[E. Cost]]-LocFeatures[[#This Row],[Energy gain]])</f>
        <v>#DIV/0!</v>
      </c>
    </row>
    <row r="99" spans="9:15" hidden="1">
      <c r="I99" s="49"/>
      <c r="M99" s="49"/>
      <c r="O99" s="54" t="e">
        <f>LocFeatures[[#This Row],[XP Train Gain]]/(LocFeatures[[#This Row],[E. Cost]]-LocFeatures[[#This Row],[Energy gain]])</f>
        <v>#DIV/0!</v>
      </c>
    </row>
    <row r="100" spans="9:15" hidden="1">
      <c r="I100" s="49"/>
      <c r="M100" s="49"/>
      <c r="O100" s="54" t="e">
        <f>LocFeatures[[#This Row],[XP Train Gain]]/(LocFeatures[[#This Row],[E. Cost]]-LocFeatures[[#This Row],[Energy gain]])</f>
        <v>#DIV/0!</v>
      </c>
    </row>
    <row r="101" spans="9:15" hidden="1">
      <c r="I101" s="49"/>
      <c r="M101" s="49"/>
      <c r="O101" s="54" t="e">
        <f>LocFeatures[[#This Row],[XP Train Gain]]/(LocFeatures[[#This Row],[E. Cost]]-LocFeatures[[#This Row],[Energy gain]])</f>
        <v>#DIV/0!</v>
      </c>
    </row>
    <row r="102" spans="9:15" hidden="1">
      <c r="I102" s="49"/>
      <c r="M102" s="49"/>
      <c r="O102" s="54" t="e">
        <f>LocFeatures[[#This Row],[XP Train Gain]]/(LocFeatures[[#This Row],[E. Cost]]-LocFeatures[[#This Row],[Energy gain]])</f>
        <v>#DIV/0!</v>
      </c>
    </row>
    <row r="103" spans="9:15" hidden="1">
      <c r="I103" s="49"/>
      <c r="M103" s="49"/>
      <c r="O103" s="54" t="e">
        <f>LocFeatures[[#This Row],[XP Train Gain]]/(LocFeatures[[#This Row],[E. Cost]]-LocFeatures[[#This Row],[Energy gain]])</f>
        <v>#DIV/0!</v>
      </c>
    </row>
    <row r="104" spans="9:15" hidden="1">
      <c r="I104" s="49"/>
      <c r="M104" s="49"/>
      <c r="O104" s="54" t="e">
        <f>LocFeatures[[#This Row],[XP Train Gain]]/(LocFeatures[[#This Row],[E. Cost]]-LocFeatures[[#This Row],[Energy gain]])</f>
        <v>#DIV/0!</v>
      </c>
    </row>
    <row r="105" spans="9:15" hidden="1">
      <c r="I105" s="49"/>
      <c r="M105" s="49"/>
      <c r="O105" s="54" t="e">
        <f>LocFeatures[[#This Row],[XP Train Gain]]/(LocFeatures[[#This Row],[E. Cost]]-LocFeatures[[#This Row],[Energy gain]])</f>
        <v>#DIV/0!</v>
      </c>
    </row>
    <row r="106" spans="9:15" hidden="1">
      <c r="I106" s="49"/>
      <c r="M106" s="49"/>
      <c r="O106" s="54" t="e">
        <f>LocFeatures[[#This Row],[XP Train Gain]]/(LocFeatures[[#This Row],[E. Cost]]-LocFeatures[[#This Row],[Energy gain]])</f>
        <v>#DIV/0!</v>
      </c>
    </row>
    <row r="107" spans="9:15" hidden="1">
      <c r="I107" s="49"/>
      <c r="M107" s="49"/>
      <c r="O107" s="54" t="e">
        <f>LocFeatures[[#This Row],[XP Train Gain]]/(LocFeatures[[#This Row],[E. Cost]]-LocFeatures[[#This Row],[Energy gain]])</f>
        <v>#DIV/0!</v>
      </c>
    </row>
    <row r="108" spans="9:15" hidden="1">
      <c r="I108" s="49"/>
      <c r="M108" s="49"/>
      <c r="O108" s="54" t="e">
        <f>LocFeatures[[#This Row],[XP Train Gain]]/(LocFeatures[[#This Row],[E. Cost]]-LocFeatures[[#This Row],[Energy gain]])</f>
        <v>#DIV/0!</v>
      </c>
    </row>
    <row r="109" spans="9:15" hidden="1">
      <c r="I109" s="49"/>
      <c r="M109" s="49"/>
      <c r="O109" s="54" t="e">
        <f>LocFeatures[[#This Row],[XP Train Gain]]/(LocFeatures[[#This Row],[E. Cost]]-LocFeatures[[#This Row],[Energy gain]])</f>
        <v>#DIV/0!</v>
      </c>
    </row>
    <row r="110" spans="9:15" hidden="1">
      <c r="I110" s="49"/>
      <c r="M110" s="49"/>
      <c r="O110" s="54" t="e">
        <f>LocFeatures[[#This Row],[XP Train Gain]]/(LocFeatures[[#This Row],[E. Cost]]-LocFeatures[[#This Row],[Energy gain]])</f>
        <v>#DIV/0!</v>
      </c>
    </row>
    <row r="111" spans="9:15" hidden="1">
      <c r="I111" s="49"/>
      <c r="M111" s="49"/>
      <c r="O111" s="54" t="e">
        <f>LocFeatures[[#This Row],[XP Train Gain]]/(LocFeatures[[#This Row],[E. Cost]]-LocFeatures[[#This Row],[Energy gain]])</f>
        <v>#DIV/0!</v>
      </c>
    </row>
    <row r="112" spans="9:15" hidden="1">
      <c r="I112" s="49"/>
      <c r="M112" s="49"/>
      <c r="O112" s="54" t="e">
        <f>LocFeatures[[#This Row],[XP Train Gain]]/(LocFeatures[[#This Row],[E. Cost]]-LocFeatures[[#This Row],[Energy gain]])</f>
        <v>#DIV/0!</v>
      </c>
    </row>
    <row r="113" spans="9:15" hidden="1">
      <c r="I113" s="49"/>
      <c r="M113" s="49"/>
      <c r="O113" s="54" t="e">
        <f>LocFeatures[[#This Row],[XP Train Gain]]/(LocFeatures[[#This Row],[E. Cost]]-LocFeatures[[#This Row],[Energy gain]])</f>
        <v>#DIV/0!</v>
      </c>
    </row>
    <row r="114" spans="9:15" hidden="1">
      <c r="I114" s="49"/>
      <c r="M114" s="49"/>
      <c r="O114" s="54" t="e">
        <f>LocFeatures[[#This Row],[XP Train Gain]]/(LocFeatures[[#This Row],[E. Cost]]-LocFeatures[[#This Row],[Energy gain]])</f>
        <v>#DIV/0!</v>
      </c>
    </row>
    <row r="115" spans="9:15" hidden="1">
      <c r="I115" s="49"/>
      <c r="M115" s="49"/>
      <c r="O115" s="54" t="e">
        <f>LocFeatures[[#This Row],[XP Train Gain]]/(LocFeatures[[#This Row],[E. Cost]]-LocFeatures[[#This Row],[Energy gain]])</f>
        <v>#DIV/0!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M739"/>
  <sheetViews>
    <sheetView zoomScale="85" zoomScaleNormal="85" workbookViewId="0">
      <pane ySplit="1" topLeftCell="A582" activePane="bottomLeft" state="frozen"/>
      <selection pane="bottomLeft" activeCell="A616" sqref="A616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</cols>
  <sheetData>
    <row r="1" spans="1:13">
      <c r="A1" t="s">
        <v>7</v>
      </c>
      <c r="B1" t="s">
        <v>5</v>
      </c>
      <c r="C1" t="s">
        <v>6</v>
      </c>
      <c r="D1" t="s">
        <v>14</v>
      </c>
      <c r="E1" t="s">
        <v>17</v>
      </c>
      <c r="F1" t="s">
        <v>12</v>
      </c>
      <c r="G1" t="s">
        <v>61</v>
      </c>
      <c r="H1" t="s">
        <v>239</v>
      </c>
      <c r="I1" t="s">
        <v>208</v>
      </c>
      <c r="J1" t="s">
        <v>207</v>
      </c>
      <c r="K1" t="s">
        <v>216</v>
      </c>
      <c r="L1" t="s">
        <v>212</v>
      </c>
      <c r="M1" t="s">
        <v>79</v>
      </c>
    </row>
    <row r="2" spans="1:13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Drop]]+IF(DropAnalityka[[#This Row],[Drop]]="Scroll", 2000*DropAnalityka[[#This Row],[Quality/Quantity]],0)</f>
        <v>912</v>
      </c>
      <c r="K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" spans="1:13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Drop]]+IF(DropAnalityka[[#This Row],[Drop]]="Scroll", 2000*DropAnalityka[[#This Row],[Quality/Quantity]],0)</f>
        <v>325</v>
      </c>
      <c r="K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" spans="1:13">
      <c r="A4" t="s">
        <v>8</v>
      </c>
      <c r="B4" t="s">
        <v>9</v>
      </c>
      <c r="C4">
        <v>3</v>
      </c>
      <c r="D4">
        <v>1668</v>
      </c>
      <c r="E4">
        <v>1</v>
      </c>
      <c r="F4" t="s">
        <v>62</v>
      </c>
      <c r="G4" t="s">
        <v>13</v>
      </c>
      <c r="I4">
        <v>0</v>
      </c>
      <c r="J4">
        <f>DropAnalityka[[#This Row],[Sell Drop]]+IF(DropAnalityka[[#This Row],[Drop]]="Scroll", 2000*DropAnalityka[[#This Row],[Quality/Quantity]],0)</f>
        <v>0</v>
      </c>
      <c r="K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5" spans="1:13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Drop]]+IF(DropAnalityka[[#This Row],[Drop]]="Scroll", 2000*DropAnalityka[[#This Row],[Quality/Quantity]],0)</f>
        <v>325</v>
      </c>
      <c r="K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" spans="1:13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Drop]]+IF(DropAnalityka[[#This Row],[Drop]]="Scroll", 2000*DropAnalityka[[#This Row],[Quality/Quantity]],0)</f>
        <v>325</v>
      </c>
      <c r="K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" spans="1:13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Drop]]+IF(DropAnalityka[[#This Row],[Drop]]="Scroll", 2000*DropAnalityka[[#This Row],[Quality/Quantity]],0)</f>
        <v>720</v>
      </c>
      <c r="K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" spans="1:13">
      <c r="A8" t="s">
        <v>8</v>
      </c>
      <c r="B8" t="s">
        <v>9</v>
      </c>
      <c r="C8">
        <v>3</v>
      </c>
      <c r="D8">
        <v>1007</v>
      </c>
      <c r="E8">
        <v>0</v>
      </c>
      <c r="F8" t="s">
        <v>36</v>
      </c>
      <c r="G8">
        <v>1</v>
      </c>
      <c r="I8">
        <v>0</v>
      </c>
      <c r="J8">
        <f>DropAnalityka[[#This Row],[Sell Drop]]+IF(DropAnalityka[[#This Row],[Drop]]="Scroll", 2000*DropAnalityka[[#This Row],[Quality/Quantity]],0)</f>
        <v>2000</v>
      </c>
      <c r="K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" spans="1:13">
      <c r="A9" t="s">
        <v>8</v>
      </c>
      <c r="B9" t="s">
        <v>9</v>
      </c>
      <c r="C9">
        <v>3</v>
      </c>
      <c r="D9">
        <v>1401</v>
      </c>
      <c r="E9">
        <v>0</v>
      </c>
      <c r="F9" t="s">
        <v>62</v>
      </c>
      <c r="G9" t="s">
        <v>13</v>
      </c>
      <c r="I9">
        <v>0</v>
      </c>
      <c r="J9">
        <f>DropAnalityka[[#This Row],[Sell Drop]]+IF(DropAnalityka[[#This Row],[Drop]]="Scroll", 2000*DropAnalityka[[#This Row],[Quality/Quantity]],0)</f>
        <v>0</v>
      </c>
      <c r="K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0" spans="1:13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36</v>
      </c>
      <c r="G10">
        <v>1</v>
      </c>
      <c r="I10">
        <v>0</v>
      </c>
      <c r="J10">
        <f>DropAnalityka[[#This Row],[Sell Drop]]+IF(DropAnalityka[[#This Row],[Drop]]="Scroll", 2000*DropAnalityka[[#This Row],[Quality/Quantity]],0)</f>
        <v>2000</v>
      </c>
      <c r="K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" spans="1:13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Drop]]+IF(DropAnalityka[[#This Row],[Drop]]="Scroll", 2000*DropAnalityka[[#This Row],[Quality/Quantity]],0)</f>
        <v>720</v>
      </c>
      <c r="K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" spans="1:13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62</v>
      </c>
      <c r="G12" t="s">
        <v>13</v>
      </c>
      <c r="I12">
        <v>0</v>
      </c>
      <c r="J12">
        <f>DropAnalityka[[#This Row],[Sell Drop]]+IF(DropAnalityka[[#This Row],[Drop]]="Scroll", 2000*DropAnalityka[[#This Row],[Quality/Quantity]],0)</f>
        <v>0</v>
      </c>
      <c r="K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" spans="1:13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Drop]]+IF(DropAnalityka[[#This Row],[Drop]]="Scroll", 2000*DropAnalityka[[#This Row],[Quality/Quantity]],0)</f>
        <v>325</v>
      </c>
      <c r="K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" spans="1:13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Drop]]+IF(DropAnalityka[[#This Row],[Drop]]="Scroll", 2000*DropAnalityka[[#This Row],[Quality/Quantity]],0)</f>
        <v>487</v>
      </c>
      <c r="K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" spans="1:13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Drop]]+IF(DropAnalityka[[#This Row],[Drop]]="Scroll", 2000*DropAnalityka[[#This Row],[Quality/Quantity]],0)</f>
        <v>325</v>
      </c>
      <c r="K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" spans="1:13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Drop]]+IF(DropAnalityka[[#This Row],[Drop]]="Scroll", 2000*DropAnalityka[[#This Row],[Quality/Quantity]],0)</f>
        <v>325</v>
      </c>
      <c r="K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62</v>
      </c>
      <c r="G17" t="s">
        <v>18</v>
      </c>
      <c r="I17">
        <v>0</v>
      </c>
      <c r="J17">
        <f>DropAnalityka[[#This Row],[Sell Drop]]+IF(DropAnalityka[[#This Row],[Drop]]="Scroll", 2000*DropAnalityka[[#This Row],[Quality/Quantity]],0)</f>
        <v>0</v>
      </c>
      <c r="K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36</v>
      </c>
      <c r="G18">
        <v>1</v>
      </c>
      <c r="I18">
        <v>0</v>
      </c>
      <c r="J18">
        <f>DropAnalityka[[#This Row],[Sell Drop]]+IF(DropAnalityka[[#This Row],[Drop]]="Scroll", 2000*DropAnalityka[[#This Row],[Quality/Quantity]],0)</f>
        <v>2000</v>
      </c>
      <c r="K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Drop]]+IF(DropAnalityka[[#This Row],[Drop]]="Scroll", 2000*DropAnalityka[[#This Row],[Quality/Quantity]],0)</f>
        <v>325</v>
      </c>
      <c r="K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Drop]]+IF(DropAnalityka[[#This Row],[Drop]]="Scroll", 2000*DropAnalityka[[#This Row],[Quality/Quantity]],0)</f>
        <v>433</v>
      </c>
      <c r="K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Drop]]+IF(DropAnalityka[[#This Row],[Drop]]="Scroll", 2000*DropAnalityka[[#This Row],[Quality/Quantity]],0)</f>
        <v>379</v>
      </c>
      <c r="K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62</v>
      </c>
      <c r="G22" t="s">
        <v>18</v>
      </c>
      <c r="I22">
        <v>0</v>
      </c>
      <c r="J22">
        <f>DropAnalityka[[#This Row],[Sell Drop]]+IF(DropAnalityka[[#This Row],[Drop]]="Scroll", 2000*DropAnalityka[[#This Row],[Quality/Quantity]],0)</f>
        <v>0</v>
      </c>
      <c r="K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Drop]]+IF(DropAnalityka[[#This Row],[Drop]]="Scroll", 2000*DropAnalityka[[#This Row],[Quality/Quantity]],0)</f>
        <v>325</v>
      </c>
      <c r="K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Drop]]+IF(DropAnalityka[[#This Row],[Drop]]="Scroll", 2000*DropAnalityka[[#This Row],[Quality/Quantity]],0)</f>
        <v>325</v>
      </c>
      <c r="K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36</v>
      </c>
      <c r="G25">
        <v>1</v>
      </c>
      <c r="I25">
        <v>0</v>
      </c>
      <c r="J25">
        <f>DropAnalityka[[#This Row],[Sell Drop]]+IF(DropAnalityka[[#This Row],[Drop]]="Scroll", 2000*DropAnalityka[[#This Row],[Quality/Quantity]],0)</f>
        <v>2000</v>
      </c>
      <c r="K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Drop]]+IF(DropAnalityka[[#This Row],[Drop]]="Scroll", 2000*DropAnalityka[[#This Row],[Quality/Quantity]],0)</f>
        <v>325</v>
      </c>
      <c r="K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36</v>
      </c>
      <c r="G27">
        <v>1</v>
      </c>
      <c r="I27">
        <v>0</v>
      </c>
      <c r="J27">
        <f>DropAnalityka[[#This Row],[Sell Drop]]+IF(DropAnalityka[[#This Row],[Drop]]="Scroll", 2000*DropAnalityka[[#This Row],[Quality/Quantity]],0)</f>
        <v>2000</v>
      </c>
      <c r="K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Drop]]+IF(DropAnalityka[[#This Row],[Drop]]="Scroll", 2000*DropAnalityka[[#This Row],[Quality/Quantity]],0)</f>
        <v>325</v>
      </c>
      <c r="K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Drop]]+IF(DropAnalityka[[#This Row],[Drop]]="Scroll", 2000*DropAnalityka[[#This Row],[Quality/Quantity]],0)</f>
        <v>379</v>
      </c>
      <c r="K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Drop]]+IF(DropAnalityka[[#This Row],[Drop]]="Scroll", 2000*DropAnalityka[[#This Row],[Quality/Quantity]],0)</f>
        <v>487</v>
      </c>
      <c r="K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36</v>
      </c>
      <c r="G31">
        <v>1</v>
      </c>
      <c r="I31">
        <v>0</v>
      </c>
      <c r="J31">
        <f>DropAnalityka[[#This Row],[Sell Drop]]+IF(DropAnalityka[[#This Row],[Drop]]="Scroll", 2000*DropAnalityka[[#This Row],[Quality/Quantity]],0)</f>
        <v>2000</v>
      </c>
      <c r="K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Drop]]+IF(DropAnalityka[[#This Row],[Drop]]="Scroll", 2000*DropAnalityka[[#This Row],[Quality/Quantity]],0)</f>
        <v>720</v>
      </c>
      <c r="K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Drop]]+IF(DropAnalityka[[#This Row],[Drop]]="Scroll", 2000*DropAnalityka[[#This Row],[Quality/Quantity]],0)</f>
        <v>325</v>
      </c>
      <c r="K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36</v>
      </c>
      <c r="G34">
        <v>1</v>
      </c>
      <c r="I34">
        <v>0</v>
      </c>
      <c r="J34">
        <f>DropAnalityka[[#This Row],[Sell Drop]]+IF(DropAnalityka[[#This Row],[Drop]]="Scroll", 2000*DropAnalityka[[#This Row],[Quality/Quantity]],0)</f>
        <v>2000</v>
      </c>
      <c r="K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36</v>
      </c>
      <c r="G35">
        <v>1</v>
      </c>
      <c r="I35">
        <v>0</v>
      </c>
      <c r="J35">
        <f>DropAnalityka[[#This Row],[Sell Drop]]+IF(DropAnalityka[[#This Row],[Drop]]="Scroll", 2000*DropAnalityka[[#This Row],[Quality/Quantity]],0)</f>
        <v>2000</v>
      </c>
      <c r="K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Drop]]+IF(DropAnalityka[[#This Row],[Drop]]="Scroll", 2000*DropAnalityka[[#This Row],[Quality/Quantity]],0)</f>
        <v>325</v>
      </c>
      <c r="K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Drop]]+IF(DropAnalityka[[#This Row],[Drop]]="Scroll", 2000*DropAnalityka[[#This Row],[Quality/Quantity]],0)</f>
        <v>325</v>
      </c>
      <c r="K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Drop]]+IF(DropAnalityka[[#This Row],[Drop]]="Scroll", 2000*DropAnalityka[[#This Row],[Quality/Quantity]],0)</f>
        <v>325</v>
      </c>
      <c r="K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Drop]]+IF(DropAnalityka[[#This Row],[Drop]]="Scroll", 2000*DropAnalityka[[#This Row],[Quality/Quantity]],0)</f>
        <v>433</v>
      </c>
      <c r="K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Drop]]+IF(DropAnalityka[[#This Row],[Drop]]="Scroll", 2000*DropAnalityka[[#This Row],[Quality/Quantity]],0)</f>
        <v>379</v>
      </c>
      <c r="K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Drop]]+IF(DropAnalityka[[#This Row],[Drop]]="Scroll", 2000*DropAnalityka[[#This Row],[Quality/Quantity]],0)</f>
        <v>720</v>
      </c>
      <c r="K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" spans="1:12">
      <c r="A42" t="s">
        <v>8</v>
      </c>
      <c r="B42" t="s">
        <v>32</v>
      </c>
      <c r="C42">
        <v>3</v>
      </c>
      <c r="D42">
        <v>1470</v>
      </c>
      <c r="E42">
        <v>0</v>
      </c>
      <c r="I42">
        <v>1080</v>
      </c>
      <c r="J42">
        <f>DropAnalityka[[#This Row],[Sell Drop]]+IF(DropAnalityka[[#This Row],[Drop]]="Scroll", 2000*DropAnalityka[[#This Row],[Quality/Quantity]],0)</f>
        <v>1080</v>
      </c>
      <c r="K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" spans="1:12">
      <c r="A43" t="s">
        <v>8</v>
      </c>
      <c r="B43" t="s">
        <v>32</v>
      </c>
      <c r="C43">
        <v>3</v>
      </c>
      <c r="D43">
        <v>1058</v>
      </c>
      <c r="E43">
        <v>1</v>
      </c>
      <c r="F43" t="s">
        <v>36</v>
      </c>
      <c r="G43">
        <v>2</v>
      </c>
      <c r="I43">
        <v>0</v>
      </c>
      <c r="J43">
        <f>DropAnalityka[[#This Row],[Sell Drop]]+IF(DropAnalityka[[#This Row],[Drop]]="Scroll", 2000*DropAnalityka[[#This Row],[Quality/Quantity]],0)</f>
        <v>4000</v>
      </c>
      <c r="K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" spans="1:12">
      <c r="A44" t="s">
        <v>33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Drop]]+IF(DropAnalityka[[#This Row],[Drop]]="Scroll", 2000*DropAnalityka[[#This Row],[Quality/Quantity]],0)</f>
        <v>2128</v>
      </c>
      <c r="K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" spans="1:12">
      <c r="A45" t="s">
        <v>33</v>
      </c>
      <c r="B45" t="s">
        <v>9</v>
      </c>
      <c r="C45">
        <v>1</v>
      </c>
      <c r="D45">
        <v>1468</v>
      </c>
      <c r="E45">
        <v>1</v>
      </c>
      <c r="F45" t="s">
        <v>36</v>
      </c>
      <c r="G45">
        <v>1</v>
      </c>
      <c r="I45">
        <v>0</v>
      </c>
      <c r="J45">
        <f>DropAnalityka[[#This Row],[Sell Drop]]+IF(DropAnalityka[[#This Row],[Drop]]="Scroll", 2000*DropAnalityka[[#This Row],[Quality/Quantity]],0)</f>
        <v>2000</v>
      </c>
      <c r="K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" spans="1:12">
      <c r="A46" t="s">
        <v>33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Drop]]+IF(DropAnalityka[[#This Row],[Drop]]="Scroll", 2000*DropAnalityka[[#This Row],[Quality/Quantity]],0)</f>
        <v>0</v>
      </c>
      <c r="K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" spans="1:12">
      <c r="A47" t="s">
        <v>33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Drop]]+IF(DropAnalityka[[#This Row],[Drop]]="Scroll", 2000*DropAnalityka[[#This Row],[Quality/Quantity]],0)</f>
        <v>1824</v>
      </c>
      <c r="K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" spans="1:12">
      <c r="A48" t="s">
        <v>33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Drop]]+IF(DropAnalityka[[#This Row],[Drop]]="Scroll", 2000*DropAnalityka[[#This Row],[Quality/Quantity]],0)</f>
        <v>0</v>
      </c>
      <c r="K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" spans="1:12">
      <c r="A49" t="s">
        <v>33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Drop]]+IF(DropAnalityka[[#This Row],[Drop]]="Scroll", 2000*DropAnalityka[[#This Row],[Quality/Quantity]],0)</f>
        <v>892</v>
      </c>
      <c r="K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" spans="1:12">
      <c r="A50" t="s">
        <v>33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Drop]]+IF(DropAnalityka[[#This Row],[Drop]]="Scroll", 2000*DropAnalityka[[#This Row],[Quality/Quantity]],0)</f>
        <v>2128</v>
      </c>
      <c r="K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" spans="1:12">
      <c r="A51" t="s">
        <v>33</v>
      </c>
      <c r="B51" t="s">
        <v>9</v>
      </c>
      <c r="C51">
        <v>1</v>
      </c>
      <c r="D51">
        <v>310</v>
      </c>
      <c r="E51">
        <v>1</v>
      </c>
      <c r="F51" t="s">
        <v>36</v>
      </c>
      <c r="G51">
        <v>1</v>
      </c>
      <c r="I51">
        <v>0</v>
      </c>
      <c r="J51">
        <f>DropAnalityka[[#This Row],[Sell Drop]]+IF(DropAnalityka[[#This Row],[Drop]]="Scroll", 2000*DropAnalityka[[#This Row],[Quality/Quantity]],0)</f>
        <v>2000</v>
      </c>
      <c r="K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" spans="1:12">
      <c r="A52" t="s">
        <v>33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Drop]]+IF(DropAnalityka[[#This Row],[Drop]]="Scroll", 2000*DropAnalityka[[#This Row],[Quality/Quantity]],0)</f>
        <v>823</v>
      </c>
      <c r="K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" spans="1:12">
      <c r="A53" t="s">
        <v>33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Drop]]+IF(DropAnalityka[[#This Row],[Drop]]="Scroll", 2000*DropAnalityka[[#This Row],[Quality/Quantity]],0)</f>
        <v>1824</v>
      </c>
      <c r="K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" spans="1:12">
      <c r="A54" t="s">
        <v>33</v>
      </c>
      <c r="B54" t="s">
        <v>9</v>
      </c>
      <c r="C54">
        <v>1</v>
      </c>
      <c r="D54">
        <v>1480</v>
      </c>
      <c r="E54">
        <v>1</v>
      </c>
      <c r="F54" t="s">
        <v>36</v>
      </c>
      <c r="G54">
        <v>1</v>
      </c>
      <c r="I54">
        <v>0</v>
      </c>
      <c r="J54">
        <f>DropAnalityka[[#This Row],[Sell Drop]]+IF(DropAnalityka[[#This Row],[Drop]]="Scroll", 2000*DropAnalityka[[#This Row],[Quality/Quantity]],0)</f>
        <v>2000</v>
      </c>
      <c r="K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" spans="1:12">
      <c r="A55" t="s">
        <v>33</v>
      </c>
      <c r="B55" t="s">
        <v>9</v>
      </c>
      <c r="C55">
        <v>1</v>
      </c>
      <c r="D55">
        <v>1618</v>
      </c>
      <c r="E55">
        <v>1</v>
      </c>
      <c r="F55" t="s">
        <v>36</v>
      </c>
      <c r="G55">
        <v>1</v>
      </c>
      <c r="I55">
        <v>0</v>
      </c>
      <c r="J55">
        <f>DropAnalityka[[#This Row],[Sell Drop]]+IF(DropAnalityka[[#This Row],[Drop]]="Scroll", 2000*DropAnalityka[[#This Row],[Quality/Quantity]],0)</f>
        <v>2000</v>
      </c>
      <c r="K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" spans="1:12">
      <c r="A56" t="s">
        <v>33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Drop]]+IF(DropAnalityka[[#This Row],[Drop]]="Scroll", 2000*DropAnalityka[[#This Row],[Quality/Quantity]],0)</f>
        <v>1824</v>
      </c>
      <c r="K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" spans="1:12">
      <c r="A57" t="s">
        <v>33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Drop]]+IF(DropAnalityka[[#This Row],[Drop]]="Scroll", 2000*DropAnalityka[[#This Row],[Quality/Quantity]],0)</f>
        <v>823</v>
      </c>
      <c r="K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" spans="1:12">
      <c r="A58" t="s">
        <v>8</v>
      </c>
      <c r="B58" t="s">
        <v>32</v>
      </c>
      <c r="C58">
        <v>6</v>
      </c>
      <c r="D58">
        <v>1500</v>
      </c>
      <c r="E58">
        <v>1</v>
      </c>
      <c r="I58">
        <v>1152</v>
      </c>
      <c r="J58">
        <f>DropAnalityka[[#This Row],[Sell Drop]]+IF(DropAnalityka[[#This Row],[Drop]]="Scroll", 2000*DropAnalityka[[#This Row],[Quality/Quantity]],0)</f>
        <v>1152</v>
      </c>
      <c r="K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" spans="1:12">
      <c r="A59" t="s">
        <v>33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Drop]]+IF(DropAnalityka[[#This Row],[Drop]]="Scroll", 2000*DropAnalityka[[#This Row],[Quality/Quantity]],0)</f>
        <v>823</v>
      </c>
      <c r="K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" spans="1:12">
      <c r="A60" t="s">
        <v>33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Drop]]+IF(DropAnalityka[[#This Row],[Drop]]="Scroll", 2000*DropAnalityka[[#This Row],[Quality/Quantity]],0)</f>
        <v>1824</v>
      </c>
      <c r="K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" spans="1:12">
      <c r="A61" t="s">
        <v>33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Drop]]+IF(DropAnalityka[[#This Row],[Drop]]="Scroll", 2000*DropAnalityka[[#This Row],[Quality/Quantity]],0)</f>
        <v>960</v>
      </c>
      <c r="K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" spans="1:12">
      <c r="A62" t="s">
        <v>33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Drop]]+IF(DropAnalityka[[#This Row],[Drop]]="Scroll", 2000*DropAnalityka[[#This Row],[Quality/Quantity]],0)</f>
        <v>1824</v>
      </c>
      <c r="K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" spans="1:12">
      <c r="A63" t="s">
        <v>33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Drop]]+IF(DropAnalityka[[#This Row],[Drop]]="Scroll", 2000*DropAnalityka[[#This Row],[Quality/Quantity]],0)</f>
        <v>823</v>
      </c>
      <c r="K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" spans="1:12">
      <c r="A64" t="s">
        <v>33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Drop]]+IF(DropAnalityka[[#This Row],[Drop]]="Scroll", 2000*DropAnalityka[[#This Row],[Quality/Quantity]],0)</f>
        <v>892</v>
      </c>
      <c r="K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" spans="1:12">
      <c r="A65" t="s">
        <v>33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Drop]]+IF(DropAnalityka[[#This Row],[Drop]]="Scroll", 2000*DropAnalityka[[#This Row],[Quality/Quantity]],0)</f>
        <v>823</v>
      </c>
      <c r="K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" spans="1:12">
      <c r="A66" t="s">
        <v>33</v>
      </c>
      <c r="B66" t="s">
        <v>9</v>
      </c>
      <c r="C66">
        <v>1</v>
      </c>
      <c r="D66">
        <v>1888</v>
      </c>
      <c r="E66">
        <v>2</v>
      </c>
      <c r="F66" t="s">
        <v>36</v>
      </c>
      <c r="G66">
        <v>1</v>
      </c>
      <c r="I66">
        <v>0</v>
      </c>
      <c r="J66">
        <f>DropAnalityka[[#This Row],[Sell Drop]]+IF(DropAnalityka[[#This Row],[Drop]]="Scroll", 2000*DropAnalityka[[#This Row],[Quality/Quantity]],0)</f>
        <v>2000</v>
      </c>
      <c r="K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" spans="1:12">
      <c r="A67" t="s">
        <v>33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Drop]]+IF(DropAnalityka[[#This Row],[Drop]]="Scroll", 2000*DropAnalityka[[#This Row],[Quality/Quantity]],0)</f>
        <v>960</v>
      </c>
      <c r="K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" spans="1:12">
      <c r="A68" t="s">
        <v>33</v>
      </c>
      <c r="B68" t="s">
        <v>9</v>
      </c>
      <c r="C68">
        <v>1</v>
      </c>
      <c r="D68">
        <v>1958</v>
      </c>
      <c r="E68">
        <v>2</v>
      </c>
      <c r="F68" t="s">
        <v>36</v>
      </c>
      <c r="G68">
        <v>1</v>
      </c>
      <c r="I68">
        <v>0</v>
      </c>
      <c r="J68">
        <f>DropAnalityka[[#This Row],[Sell Drop]]+IF(DropAnalityka[[#This Row],[Drop]]="Scroll", 2000*DropAnalityka[[#This Row],[Quality/Quantity]],0)</f>
        <v>2000</v>
      </c>
      <c r="K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" spans="1:12">
      <c r="A69" t="s">
        <v>33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Drop]]+IF(DropAnalityka[[#This Row],[Drop]]="Scroll", 2000*DropAnalityka[[#This Row],[Quality/Quantity]],0)</f>
        <v>823</v>
      </c>
      <c r="K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" spans="1:12">
      <c r="A70" t="s">
        <v>8</v>
      </c>
      <c r="B70" t="s">
        <v>32</v>
      </c>
      <c r="C70">
        <v>3</v>
      </c>
      <c r="D70">
        <v>1241</v>
      </c>
      <c r="E70">
        <v>0</v>
      </c>
      <c r="I70">
        <v>720</v>
      </c>
      <c r="J70">
        <f>DropAnalityka[[#This Row],[Sell Drop]]+IF(DropAnalityka[[#This Row],[Drop]]="Scroll", 2000*DropAnalityka[[#This Row],[Quality/Quantity]],0)</f>
        <v>720</v>
      </c>
      <c r="K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" spans="1:12">
      <c r="A71" t="s">
        <v>8</v>
      </c>
      <c r="B71" t="s">
        <v>32</v>
      </c>
      <c r="C71">
        <v>3</v>
      </c>
      <c r="D71">
        <v>2522</v>
      </c>
      <c r="E71">
        <v>2</v>
      </c>
      <c r="F71" t="s">
        <v>62</v>
      </c>
      <c r="G71" t="s">
        <v>13</v>
      </c>
      <c r="I71">
        <v>0</v>
      </c>
      <c r="J71">
        <f>DropAnalityka[[#This Row],[Sell Drop]]+IF(DropAnalityka[[#This Row],[Drop]]="Scroll", 2000*DropAnalityka[[#This Row],[Quality/Quantity]],0)</f>
        <v>0</v>
      </c>
      <c r="K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72" spans="1:12">
      <c r="A72" t="s">
        <v>8</v>
      </c>
      <c r="B72" t="s">
        <v>32</v>
      </c>
      <c r="C72">
        <v>3</v>
      </c>
      <c r="D72">
        <v>1714</v>
      </c>
      <c r="E72">
        <v>0</v>
      </c>
      <c r="I72">
        <v>720</v>
      </c>
      <c r="J72">
        <f>DropAnalityka[[#This Row],[Sell Drop]]+IF(DropAnalityka[[#This Row],[Drop]]="Scroll", 2000*DropAnalityka[[#This Row],[Quality/Quantity]],0)</f>
        <v>720</v>
      </c>
      <c r="K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" spans="1:12">
      <c r="A73" t="s">
        <v>8</v>
      </c>
      <c r="B73" t="s">
        <v>32</v>
      </c>
      <c r="C73">
        <v>3</v>
      </c>
      <c r="D73">
        <v>1068</v>
      </c>
      <c r="E73">
        <v>0</v>
      </c>
      <c r="I73">
        <v>720</v>
      </c>
      <c r="J73">
        <f>DropAnalityka[[#This Row],[Sell Drop]]+IF(DropAnalityka[[#This Row],[Drop]]="Scroll", 2000*DropAnalityka[[#This Row],[Quality/Quantity]],0)</f>
        <v>720</v>
      </c>
      <c r="K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" spans="1:12">
      <c r="A74" t="s">
        <v>8</v>
      </c>
      <c r="B74" t="s">
        <v>32</v>
      </c>
      <c r="C74">
        <v>3</v>
      </c>
      <c r="D74">
        <v>1616</v>
      </c>
      <c r="E74">
        <v>0</v>
      </c>
      <c r="I74">
        <v>720</v>
      </c>
      <c r="J74">
        <f>DropAnalityka[[#This Row],[Sell Drop]]+IF(DropAnalityka[[#This Row],[Drop]]="Scroll", 2000*DropAnalityka[[#This Row],[Quality/Quantity]],0)</f>
        <v>720</v>
      </c>
      <c r="K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" spans="1:12">
      <c r="A75" t="s">
        <v>8</v>
      </c>
      <c r="B75" t="s">
        <v>32</v>
      </c>
      <c r="C75">
        <v>3</v>
      </c>
      <c r="D75">
        <v>1019</v>
      </c>
      <c r="E75">
        <v>2</v>
      </c>
      <c r="F75" t="s">
        <v>62</v>
      </c>
      <c r="G75" t="s">
        <v>13</v>
      </c>
      <c r="I75">
        <v>0</v>
      </c>
      <c r="J75">
        <f>DropAnalityka[[#This Row],[Sell Drop]]+IF(DropAnalityka[[#This Row],[Drop]]="Scroll", 2000*DropAnalityka[[#This Row],[Quality/Quantity]],0)</f>
        <v>0</v>
      </c>
      <c r="K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76" spans="1:12">
      <c r="A76" t="s">
        <v>8</v>
      </c>
      <c r="B76" t="s">
        <v>32</v>
      </c>
      <c r="C76">
        <v>3</v>
      </c>
      <c r="D76">
        <v>1705</v>
      </c>
      <c r="E76">
        <v>1</v>
      </c>
      <c r="I76">
        <v>1159</v>
      </c>
      <c r="J76">
        <f>DropAnalityka[[#This Row],[Sell Drop]]+IF(DropAnalityka[[#This Row],[Drop]]="Scroll", 2000*DropAnalityka[[#This Row],[Quality/Quantity]],0)</f>
        <v>1159</v>
      </c>
      <c r="K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" spans="1:12">
      <c r="A77" t="s">
        <v>8</v>
      </c>
      <c r="B77" t="s">
        <v>32</v>
      </c>
      <c r="C77">
        <v>3</v>
      </c>
      <c r="D77">
        <v>1196</v>
      </c>
      <c r="E77">
        <v>1</v>
      </c>
      <c r="F77" t="s">
        <v>36</v>
      </c>
      <c r="G77">
        <v>2</v>
      </c>
      <c r="I77">
        <v>0</v>
      </c>
      <c r="J77">
        <f>DropAnalityka[[#This Row],[Sell Drop]]+IF(DropAnalityka[[#This Row],[Drop]]="Scroll", 2000*DropAnalityka[[#This Row],[Quality/Quantity]],0)</f>
        <v>4000</v>
      </c>
      <c r="K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" spans="1:12">
      <c r="A78" t="s">
        <v>8</v>
      </c>
      <c r="B78" t="s">
        <v>32</v>
      </c>
      <c r="C78">
        <v>3</v>
      </c>
      <c r="D78">
        <v>780</v>
      </c>
      <c r="E78">
        <v>1</v>
      </c>
      <c r="I78">
        <v>720</v>
      </c>
      <c r="J78">
        <f>DropAnalityka[[#This Row],[Sell Drop]]+IF(DropAnalityka[[#This Row],[Drop]]="Scroll", 2000*DropAnalityka[[#This Row],[Quality/Quantity]],0)</f>
        <v>720</v>
      </c>
      <c r="K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" spans="1:12">
      <c r="A79" t="s">
        <v>8</v>
      </c>
      <c r="B79" t="s">
        <v>32</v>
      </c>
      <c r="C79">
        <v>3</v>
      </c>
      <c r="D79">
        <v>1258</v>
      </c>
      <c r="E79">
        <v>0</v>
      </c>
      <c r="I79">
        <v>720</v>
      </c>
      <c r="J79">
        <f>DropAnalityka[[#This Row],[Sell Drop]]+IF(DropAnalityka[[#This Row],[Drop]]="Scroll", 2000*DropAnalityka[[#This Row],[Quality/Quantity]],0)</f>
        <v>720</v>
      </c>
      <c r="K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36</v>
      </c>
      <c r="G80">
        <v>1</v>
      </c>
      <c r="I80">
        <v>0</v>
      </c>
      <c r="J80">
        <f>DropAnalityka[[#This Row],[Sell Drop]]+IF(DropAnalityka[[#This Row],[Drop]]="Scroll", 2000*DropAnalityka[[#This Row],[Quality/Quantity]],0)</f>
        <v>2000</v>
      </c>
      <c r="K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Drop]]+IF(DropAnalityka[[#This Row],[Drop]]="Scroll", 2000*DropAnalityka[[#This Row],[Quality/Quantity]],0)</f>
        <v>720</v>
      </c>
      <c r="K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" spans="1:12">
      <c r="A82" t="s">
        <v>8</v>
      </c>
      <c r="B82" t="s">
        <v>32</v>
      </c>
      <c r="C82">
        <v>3</v>
      </c>
      <c r="D82">
        <v>1518</v>
      </c>
      <c r="E82">
        <v>0</v>
      </c>
      <c r="I82">
        <v>960</v>
      </c>
      <c r="J82">
        <f>DropAnalityka[[#This Row],[Sell Drop]]+IF(DropAnalityka[[#This Row],[Drop]]="Scroll", 2000*DropAnalityka[[#This Row],[Quality/Quantity]],0)</f>
        <v>960</v>
      </c>
      <c r="K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" spans="1:12">
      <c r="A83" t="s">
        <v>8</v>
      </c>
      <c r="B83" t="s">
        <v>32</v>
      </c>
      <c r="C83">
        <v>3</v>
      </c>
      <c r="D83">
        <v>1785</v>
      </c>
      <c r="E83">
        <v>3</v>
      </c>
      <c r="I83">
        <v>1159</v>
      </c>
      <c r="J83">
        <f>DropAnalityka[[#This Row],[Sell Drop]]+IF(DropAnalityka[[#This Row],[Drop]]="Scroll", 2000*DropAnalityka[[#This Row],[Quality/Quantity]],0)</f>
        <v>1159</v>
      </c>
      <c r="K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" spans="1:12">
      <c r="A84" t="s">
        <v>8</v>
      </c>
      <c r="B84" t="s">
        <v>32</v>
      </c>
      <c r="C84">
        <v>3</v>
      </c>
      <c r="D84">
        <v>1866</v>
      </c>
      <c r="E84">
        <v>3</v>
      </c>
      <c r="F84" t="s">
        <v>36</v>
      </c>
      <c r="G84">
        <v>2</v>
      </c>
      <c r="I84">
        <v>0</v>
      </c>
      <c r="J84">
        <f>DropAnalityka[[#This Row],[Sell Drop]]+IF(DropAnalityka[[#This Row],[Drop]]="Scroll", 2000*DropAnalityka[[#This Row],[Quality/Quantity]],0)</f>
        <v>4000</v>
      </c>
      <c r="K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" spans="1:12">
      <c r="A85" t="s">
        <v>8</v>
      </c>
      <c r="B85" t="s">
        <v>32</v>
      </c>
      <c r="C85">
        <v>3</v>
      </c>
      <c r="D85">
        <v>1249</v>
      </c>
      <c r="E85">
        <v>1</v>
      </c>
      <c r="I85">
        <v>1546</v>
      </c>
      <c r="J85">
        <f>DropAnalityka[[#This Row],[Sell Drop]]+IF(DropAnalityka[[#This Row],[Drop]]="Scroll", 2000*DropAnalityka[[#This Row],[Quality/Quantity]],0)</f>
        <v>1546</v>
      </c>
      <c r="K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" spans="1:12">
      <c r="A86" t="s">
        <v>8</v>
      </c>
      <c r="B86" t="s">
        <v>32</v>
      </c>
      <c r="C86">
        <v>3</v>
      </c>
      <c r="D86">
        <v>904</v>
      </c>
      <c r="E86">
        <v>0</v>
      </c>
      <c r="I86">
        <v>1159</v>
      </c>
      <c r="J86">
        <f>DropAnalityka[[#This Row],[Sell Drop]]+IF(DropAnalityka[[#This Row],[Drop]]="Scroll", 2000*DropAnalityka[[#This Row],[Quality/Quantity]],0)</f>
        <v>1159</v>
      </c>
      <c r="K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" spans="1:12">
      <c r="A87" t="s">
        <v>8</v>
      </c>
      <c r="B87" t="s">
        <v>32</v>
      </c>
      <c r="C87">
        <v>3</v>
      </c>
      <c r="D87">
        <v>1447</v>
      </c>
      <c r="E87">
        <v>0</v>
      </c>
      <c r="F87" t="s">
        <v>36</v>
      </c>
      <c r="G87">
        <v>2</v>
      </c>
      <c r="I87">
        <v>0</v>
      </c>
      <c r="J87">
        <f>DropAnalityka[[#This Row],[Sell Drop]]+IF(DropAnalityka[[#This Row],[Drop]]="Scroll", 2000*DropAnalityka[[#This Row],[Quality/Quantity]],0)</f>
        <v>4000</v>
      </c>
      <c r="K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" spans="1:12">
      <c r="A88" t="s">
        <v>8</v>
      </c>
      <c r="B88" t="s">
        <v>32</v>
      </c>
      <c r="C88">
        <v>3</v>
      </c>
      <c r="D88">
        <v>1756</v>
      </c>
      <c r="E88">
        <v>2</v>
      </c>
      <c r="I88">
        <v>720</v>
      </c>
      <c r="J88">
        <f>DropAnalityka[[#This Row],[Sell Drop]]+IF(DropAnalityka[[#This Row],[Drop]]="Scroll", 2000*DropAnalityka[[#This Row],[Quality/Quantity]],0)</f>
        <v>720</v>
      </c>
      <c r="K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" spans="1:12">
      <c r="A89" t="s">
        <v>8</v>
      </c>
      <c r="B89" t="s">
        <v>32</v>
      </c>
      <c r="C89">
        <v>3</v>
      </c>
      <c r="D89">
        <v>1070</v>
      </c>
      <c r="E89">
        <v>0</v>
      </c>
      <c r="I89">
        <v>840</v>
      </c>
      <c r="J89">
        <f>DropAnalityka[[#This Row],[Sell Drop]]+IF(DropAnalityka[[#This Row],[Drop]]="Scroll", 2000*DropAnalityka[[#This Row],[Quality/Quantity]],0)</f>
        <v>840</v>
      </c>
      <c r="K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" spans="1:12">
      <c r="A90" t="s">
        <v>8</v>
      </c>
      <c r="B90" t="s">
        <v>32</v>
      </c>
      <c r="C90">
        <v>3</v>
      </c>
      <c r="D90">
        <v>1710</v>
      </c>
      <c r="E90">
        <v>0</v>
      </c>
      <c r="F90" t="s">
        <v>36</v>
      </c>
      <c r="G90">
        <v>2</v>
      </c>
      <c r="I90">
        <v>0</v>
      </c>
      <c r="J90">
        <f>DropAnalityka[[#This Row],[Sell Drop]]+IF(DropAnalityka[[#This Row],[Drop]]="Scroll", 2000*DropAnalityka[[#This Row],[Quality/Quantity]],0)</f>
        <v>4000</v>
      </c>
      <c r="K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" spans="1:12">
      <c r="A91" t="s">
        <v>8</v>
      </c>
      <c r="B91" t="s">
        <v>32</v>
      </c>
      <c r="C91">
        <v>3</v>
      </c>
      <c r="D91">
        <v>1226</v>
      </c>
      <c r="E91">
        <v>0</v>
      </c>
      <c r="I91">
        <v>1159</v>
      </c>
      <c r="J91">
        <f>DropAnalityka[[#This Row],[Sell Drop]]+IF(DropAnalityka[[#This Row],[Drop]]="Scroll", 2000*DropAnalityka[[#This Row],[Quality/Quantity]],0)</f>
        <v>1159</v>
      </c>
      <c r="K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" spans="1:12">
      <c r="A92" t="s">
        <v>8</v>
      </c>
      <c r="B92" t="s">
        <v>32</v>
      </c>
      <c r="C92">
        <v>3</v>
      </c>
      <c r="D92">
        <v>1124</v>
      </c>
      <c r="E92">
        <v>0</v>
      </c>
      <c r="I92">
        <v>1159</v>
      </c>
      <c r="J92">
        <f>DropAnalityka[[#This Row],[Sell Drop]]+IF(DropAnalityka[[#This Row],[Drop]]="Scroll", 2000*DropAnalityka[[#This Row],[Quality/Quantity]],0)</f>
        <v>1159</v>
      </c>
      <c r="K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" spans="1:12">
      <c r="A93" t="s">
        <v>8</v>
      </c>
      <c r="B93" t="s">
        <v>32</v>
      </c>
      <c r="C93">
        <v>3</v>
      </c>
      <c r="D93">
        <v>1725</v>
      </c>
      <c r="E93">
        <v>2</v>
      </c>
      <c r="F93" t="s">
        <v>36</v>
      </c>
      <c r="G93">
        <v>2</v>
      </c>
      <c r="I93">
        <v>0</v>
      </c>
      <c r="J93">
        <f>DropAnalityka[[#This Row],[Sell Drop]]+IF(DropAnalityka[[#This Row],[Drop]]="Scroll", 2000*DropAnalityka[[#This Row],[Quality/Quantity]],0)</f>
        <v>4000</v>
      </c>
      <c r="K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" spans="1:12">
      <c r="A94" t="s">
        <v>8</v>
      </c>
      <c r="B94" t="s">
        <v>32</v>
      </c>
      <c r="C94">
        <v>3</v>
      </c>
      <c r="D94">
        <v>1933</v>
      </c>
      <c r="E94">
        <v>1</v>
      </c>
      <c r="I94">
        <v>720</v>
      </c>
      <c r="J94">
        <f>DropAnalityka[[#This Row],[Sell Drop]]+IF(DropAnalityka[[#This Row],[Drop]]="Scroll", 2000*DropAnalityka[[#This Row],[Quality/Quantity]],0)</f>
        <v>720</v>
      </c>
      <c r="K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" spans="1:12">
      <c r="A95" t="s">
        <v>8</v>
      </c>
      <c r="B95" t="s">
        <v>32</v>
      </c>
      <c r="C95">
        <v>3</v>
      </c>
      <c r="D95">
        <v>1398</v>
      </c>
      <c r="E95">
        <v>2</v>
      </c>
      <c r="F95" t="s">
        <v>36</v>
      </c>
      <c r="G95">
        <v>2</v>
      </c>
      <c r="I95">
        <v>0</v>
      </c>
      <c r="J95">
        <f>DropAnalityka[[#This Row],[Sell Drop]]+IF(DropAnalityka[[#This Row],[Drop]]="Scroll", 2000*DropAnalityka[[#This Row],[Quality/Quantity]],0)</f>
        <v>4000</v>
      </c>
      <c r="K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" spans="1:12">
      <c r="A96" t="s">
        <v>8</v>
      </c>
      <c r="B96" t="s">
        <v>32</v>
      </c>
      <c r="C96">
        <v>3</v>
      </c>
      <c r="D96">
        <v>1984</v>
      </c>
      <c r="E96">
        <v>1</v>
      </c>
      <c r="I96">
        <v>720</v>
      </c>
      <c r="J96">
        <f>DropAnalityka[[#This Row],[Sell Drop]]+IF(DropAnalityka[[#This Row],[Drop]]="Scroll", 2000*DropAnalityka[[#This Row],[Quality/Quantity]],0)</f>
        <v>720</v>
      </c>
      <c r="K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" spans="1:12">
      <c r="A97" t="s">
        <v>8</v>
      </c>
      <c r="B97" t="s">
        <v>32</v>
      </c>
      <c r="C97">
        <v>3</v>
      </c>
      <c r="D97">
        <v>1093</v>
      </c>
      <c r="E97">
        <v>0</v>
      </c>
      <c r="I97">
        <v>720</v>
      </c>
      <c r="J97">
        <f>DropAnalityka[[#This Row],[Sell Drop]]+IF(DropAnalityka[[#This Row],[Drop]]="Scroll", 2000*DropAnalityka[[#This Row],[Quality/Quantity]],0)</f>
        <v>720</v>
      </c>
      <c r="K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" spans="1:12">
      <c r="A98" t="s">
        <v>8</v>
      </c>
      <c r="B98" t="s">
        <v>32</v>
      </c>
      <c r="C98">
        <v>3</v>
      </c>
      <c r="D98">
        <v>1133</v>
      </c>
      <c r="E98">
        <v>2</v>
      </c>
      <c r="I98">
        <v>1159</v>
      </c>
      <c r="J98">
        <f>DropAnalityka[[#This Row],[Sell Drop]]+IF(DropAnalityka[[#This Row],[Drop]]="Scroll", 2000*DropAnalityka[[#This Row],[Quality/Quantity]],0)</f>
        <v>1159</v>
      </c>
      <c r="K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" spans="1:12">
      <c r="A99" t="s">
        <v>8</v>
      </c>
      <c r="B99" t="s">
        <v>32</v>
      </c>
      <c r="C99">
        <v>3</v>
      </c>
      <c r="D99">
        <v>1193</v>
      </c>
      <c r="E99">
        <v>2</v>
      </c>
      <c r="I99">
        <v>1546</v>
      </c>
      <c r="J99">
        <f>DropAnalityka[[#This Row],[Sell Drop]]+IF(DropAnalityka[[#This Row],[Drop]]="Scroll", 2000*DropAnalityka[[#This Row],[Quality/Quantity]],0)</f>
        <v>1546</v>
      </c>
      <c r="K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" spans="1:12">
      <c r="A100" t="s">
        <v>8</v>
      </c>
      <c r="B100" t="s">
        <v>32</v>
      </c>
      <c r="C100">
        <v>3</v>
      </c>
      <c r="D100">
        <v>1346</v>
      </c>
      <c r="E100">
        <v>1</v>
      </c>
      <c r="F100" t="s">
        <v>36</v>
      </c>
      <c r="G100">
        <v>2</v>
      </c>
      <c r="I100">
        <v>0</v>
      </c>
      <c r="J100">
        <f>DropAnalityka[[#This Row],[Sell Drop]]+IF(DropAnalityka[[#This Row],[Drop]]="Scroll", 2000*DropAnalityka[[#This Row],[Quality/Quantity]],0)</f>
        <v>4000</v>
      </c>
      <c r="K1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" spans="1:12">
      <c r="A101" t="s">
        <v>33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Drop]]+IF(DropAnalityka[[#This Row],[Drop]]="Scroll", 2000*DropAnalityka[[#This Row],[Quality/Quantity]],0)</f>
        <v>2128</v>
      </c>
      <c r="K1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" spans="1:12">
      <c r="A102" t="s">
        <v>33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Drop]]+IF(DropAnalityka[[#This Row],[Drop]]="Scroll", 2000*DropAnalityka[[#This Row],[Quality/Quantity]],0)</f>
        <v>1976</v>
      </c>
      <c r="K1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" spans="1:12">
      <c r="A103" t="s">
        <v>33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Drop]]+IF(DropAnalityka[[#This Row],[Drop]]="Scroll", 2000*DropAnalityka[[#This Row],[Quality/Quantity]],0)</f>
        <v>1824</v>
      </c>
      <c r="K1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" spans="1:12">
      <c r="A104" t="s">
        <v>33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Drop]]+IF(DropAnalityka[[#This Row],[Drop]]="Scroll", 2000*DropAnalityka[[#This Row],[Quality/Quantity]],0)</f>
        <v>823</v>
      </c>
      <c r="K1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" spans="1:12">
      <c r="A105" t="s">
        <v>33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Drop]]+IF(DropAnalityka[[#This Row],[Drop]]="Scroll", 2000*DropAnalityka[[#This Row],[Quality/Quantity]],0)</f>
        <v>1824</v>
      </c>
      <c r="K1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" spans="1:12">
      <c r="A106" t="s">
        <v>33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Drop]]+IF(DropAnalityka[[#This Row],[Drop]]="Scroll", 2000*DropAnalityka[[#This Row],[Quality/Quantity]],0)</f>
        <v>2128</v>
      </c>
      <c r="K1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" spans="1:12">
      <c r="A107" t="s">
        <v>33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Drop]]+IF(DropAnalityka[[#This Row],[Drop]]="Scroll", 2000*DropAnalityka[[#This Row],[Quality/Quantity]],0)</f>
        <v>823</v>
      </c>
      <c r="K1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" spans="1:12">
      <c r="A108" t="s">
        <v>33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Drop]]+IF(DropAnalityka[[#This Row],[Drop]]="Scroll", 2000*DropAnalityka[[#This Row],[Quality/Quantity]],0)</f>
        <v>1824</v>
      </c>
      <c r="K1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" spans="1:12">
      <c r="A109" t="s">
        <v>33</v>
      </c>
      <c r="B109" t="s">
        <v>9</v>
      </c>
      <c r="C109">
        <v>1</v>
      </c>
      <c r="D109">
        <v>1981</v>
      </c>
      <c r="E109">
        <v>1</v>
      </c>
      <c r="F109" t="s">
        <v>36</v>
      </c>
      <c r="G109">
        <v>1</v>
      </c>
      <c r="I109">
        <v>0</v>
      </c>
      <c r="J109">
        <f>DropAnalityka[[#This Row],[Sell Drop]]+IF(DropAnalityka[[#This Row],[Drop]]="Scroll", 2000*DropAnalityka[[#This Row],[Quality/Quantity]],0)</f>
        <v>2000</v>
      </c>
      <c r="K1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" spans="1:12">
      <c r="A110" t="s">
        <v>33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Drop]]+IF(DropAnalityka[[#This Row],[Drop]]="Scroll", 2000*DropAnalityka[[#This Row],[Quality/Quantity]],0)</f>
        <v>1824</v>
      </c>
      <c r="K1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" spans="1:12">
      <c r="A111" t="s">
        <v>33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Drop]]+IF(DropAnalityka[[#This Row],[Drop]]="Scroll", 2000*DropAnalityka[[#This Row],[Quality/Quantity]],0)</f>
        <v>1824</v>
      </c>
      <c r="K1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" spans="1:12">
      <c r="A112" t="s">
        <v>33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Drop]]+IF(DropAnalityka[[#This Row],[Drop]]="Scroll", 2000*DropAnalityka[[#This Row],[Quality/Quantity]],0)</f>
        <v>960</v>
      </c>
      <c r="K1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" spans="1:12">
      <c r="A113" t="s">
        <v>33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Drop]]+IF(DropAnalityka[[#This Row],[Drop]]="Scroll", 2000*DropAnalityka[[#This Row],[Quality/Quantity]],0)</f>
        <v>823</v>
      </c>
      <c r="K1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" spans="1:12">
      <c r="A114" t="s">
        <v>33</v>
      </c>
      <c r="B114" t="s">
        <v>9</v>
      </c>
      <c r="C114">
        <v>1</v>
      </c>
      <c r="D114">
        <v>991</v>
      </c>
      <c r="E114">
        <v>0</v>
      </c>
      <c r="F114" t="s">
        <v>36</v>
      </c>
      <c r="G114">
        <v>1</v>
      </c>
      <c r="I114">
        <v>0</v>
      </c>
      <c r="J114">
        <f>DropAnalityka[[#This Row],[Sell Drop]]+IF(DropAnalityka[[#This Row],[Drop]]="Scroll", 2000*DropAnalityka[[#This Row],[Quality/Quantity]],0)</f>
        <v>2000</v>
      </c>
      <c r="K1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" spans="1:12">
      <c r="A115" t="s">
        <v>33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Drop]]+IF(DropAnalityka[[#This Row],[Drop]]="Scroll", 2000*DropAnalityka[[#This Row],[Quality/Quantity]],0)</f>
        <v>1824</v>
      </c>
      <c r="K1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" spans="1:12">
      <c r="A116" t="s">
        <v>33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Drop]]+IF(DropAnalityka[[#This Row],[Drop]]="Scroll", 2000*DropAnalityka[[#This Row],[Quality/Quantity]],0)</f>
        <v>892</v>
      </c>
      <c r="K1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" spans="1:12">
      <c r="A117" t="s">
        <v>33</v>
      </c>
      <c r="B117" t="s">
        <v>9</v>
      </c>
      <c r="C117">
        <v>1</v>
      </c>
      <c r="D117">
        <v>1010</v>
      </c>
      <c r="E117">
        <v>0</v>
      </c>
      <c r="F117" t="s">
        <v>36</v>
      </c>
      <c r="G117">
        <v>1</v>
      </c>
      <c r="I117">
        <v>0</v>
      </c>
      <c r="J117">
        <f>DropAnalityka[[#This Row],[Sell Drop]]+IF(DropAnalityka[[#This Row],[Drop]]="Scroll", 2000*DropAnalityka[[#This Row],[Quality/Quantity]],0)</f>
        <v>2000</v>
      </c>
      <c r="K1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" spans="1:12">
      <c r="A118" t="s">
        <v>8</v>
      </c>
      <c r="B118" t="s">
        <v>32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Drop]]+IF(DropAnalityka[[#This Row],[Drop]]="Scroll", 2000*DropAnalityka[[#This Row],[Quality/Quantity]],0)</f>
        <v>1159</v>
      </c>
      <c r="K1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" spans="1:12">
      <c r="A119" t="s">
        <v>39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Drop]]+IF(DropAnalityka[[#This Row],[Drop]]="Scroll", 2000*DropAnalityka[[#This Row],[Quality/Quantity]],0)</f>
        <v>1752</v>
      </c>
      <c r="K1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" spans="1:12">
      <c r="A120" t="s">
        <v>40</v>
      </c>
      <c r="C120">
        <v>5</v>
      </c>
      <c r="D120">
        <v>1712</v>
      </c>
      <c r="E120">
        <v>2</v>
      </c>
      <c r="F120" t="s">
        <v>66</v>
      </c>
      <c r="G120">
        <v>2</v>
      </c>
      <c r="I120">
        <v>0</v>
      </c>
      <c r="J120">
        <f>DropAnalityka[[#This Row],[Sell Drop]]+IF(DropAnalityka[[#This Row],[Drop]]="Scroll", 2000*DropAnalityka[[#This Row],[Quality/Quantity]],0)</f>
        <v>0</v>
      </c>
      <c r="K1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" spans="1:12">
      <c r="A121" t="s">
        <v>8</v>
      </c>
      <c r="B121" t="s">
        <v>32</v>
      </c>
      <c r="C121">
        <v>3</v>
      </c>
      <c r="D121">
        <v>532</v>
      </c>
      <c r="E121">
        <v>2</v>
      </c>
      <c r="I121">
        <v>720</v>
      </c>
      <c r="J121">
        <f>DropAnalityka[[#This Row],[Sell Drop]]+IF(DropAnalityka[[#This Row],[Drop]]="Scroll", 2000*DropAnalityka[[#This Row],[Quality/Quantity]],0)</f>
        <v>720</v>
      </c>
      <c r="K1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" spans="1:12">
      <c r="A122" t="s">
        <v>8</v>
      </c>
      <c r="B122" t="s">
        <v>32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Drop]]+IF(DropAnalityka[[#This Row],[Drop]]="Scroll", 2000*DropAnalityka[[#This Row],[Quality/Quantity]],0)</f>
        <v>1739</v>
      </c>
      <c r="K1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" spans="1:12">
      <c r="A123" t="s">
        <v>8</v>
      </c>
      <c r="B123" t="s">
        <v>32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Drop]]+IF(DropAnalityka[[#This Row],[Drop]]="Scroll", 2000*DropAnalityka[[#This Row],[Quality/Quantity]],0)</f>
        <v>840</v>
      </c>
      <c r="K1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" spans="1:12">
      <c r="A124" t="s">
        <v>8</v>
      </c>
      <c r="B124" t="s">
        <v>32</v>
      </c>
      <c r="C124">
        <v>3</v>
      </c>
      <c r="D124">
        <v>1900</v>
      </c>
      <c r="E124">
        <v>0</v>
      </c>
      <c r="F124" t="s">
        <v>36</v>
      </c>
      <c r="G124">
        <v>2</v>
      </c>
      <c r="I124">
        <v>0</v>
      </c>
      <c r="J124">
        <f>DropAnalityka[[#This Row],[Sell Drop]]+IF(DropAnalityka[[#This Row],[Drop]]="Scroll", 2000*DropAnalityka[[#This Row],[Quality/Quantity]],0)</f>
        <v>4000</v>
      </c>
      <c r="K1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" spans="1:12">
      <c r="A125" t="s">
        <v>8</v>
      </c>
      <c r="B125" t="s">
        <v>32</v>
      </c>
      <c r="C125">
        <v>3</v>
      </c>
      <c r="D125">
        <v>621</v>
      </c>
      <c r="E125">
        <v>1</v>
      </c>
      <c r="F125" t="s">
        <v>36</v>
      </c>
      <c r="G125">
        <v>2</v>
      </c>
      <c r="I125">
        <v>0</v>
      </c>
      <c r="J125">
        <f>DropAnalityka[[#This Row],[Sell Drop]]+IF(DropAnalityka[[#This Row],[Drop]]="Scroll", 2000*DropAnalityka[[#This Row],[Quality/Quantity]],0)</f>
        <v>4000</v>
      </c>
      <c r="K1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" spans="1:12">
      <c r="A126" t="s">
        <v>8</v>
      </c>
      <c r="B126" t="s">
        <v>32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Drop]]+IF(DropAnalityka[[#This Row],[Drop]]="Scroll", 2000*DropAnalityka[[#This Row],[Quality/Quantity]],0)</f>
        <v>1159</v>
      </c>
      <c r="K1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" spans="1:12">
      <c r="A127" t="s">
        <v>8</v>
      </c>
      <c r="B127" t="s">
        <v>32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Drop]]+IF(DropAnalityka[[#This Row],[Drop]]="Scroll", 2000*DropAnalityka[[#This Row],[Quality/Quantity]],0)</f>
        <v>1159</v>
      </c>
      <c r="K1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" spans="1:12">
      <c r="A128" t="s">
        <v>8</v>
      </c>
      <c r="B128" t="s">
        <v>32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Drop]]+IF(DropAnalityka[[#This Row],[Drop]]="Scroll", 2000*DropAnalityka[[#This Row],[Quality/Quantity]],0)</f>
        <v>1352</v>
      </c>
      <c r="K1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" spans="1:12">
      <c r="A129" t="s">
        <v>8</v>
      </c>
      <c r="B129" t="s">
        <v>32</v>
      </c>
      <c r="C129">
        <v>3</v>
      </c>
      <c r="D129">
        <v>1797</v>
      </c>
      <c r="E129">
        <v>2</v>
      </c>
      <c r="F129" t="s">
        <v>62</v>
      </c>
      <c r="G129" t="s">
        <v>13</v>
      </c>
      <c r="I129">
        <v>0</v>
      </c>
      <c r="J129">
        <f>DropAnalityka[[#This Row],[Sell Drop]]+IF(DropAnalityka[[#This Row],[Drop]]="Scroll", 2000*DropAnalityka[[#This Row],[Quality/Quantity]],0)</f>
        <v>0</v>
      </c>
      <c r="K1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0" spans="1:12">
      <c r="A130" t="s">
        <v>8</v>
      </c>
      <c r="B130" t="s">
        <v>32</v>
      </c>
      <c r="C130">
        <v>3</v>
      </c>
      <c r="D130">
        <v>1295</v>
      </c>
      <c r="E130">
        <v>0</v>
      </c>
      <c r="F130" t="s">
        <v>36</v>
      </c>
      <c r="G130">
        <v>2</v>
      </c>
      <c r="I130">
        <v>0</v>
      </c>
      <c r="J130">
        <f>DropAnalityka[[#This Row],[Sell Drop]]+IF(DropAnalityka[[#This Row],[Drop]]="Scroll", 2000*DropAnalityka[[#This Row],[Quality/Quantity]],0)</f>
        <v>4000</v>
      </c>
      <c r="K1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" spans="1:12">
      <c r="A131" t="s">
        <v>8</v>
      </c>
      <c r="B131" t="s">
        <v>32</v>
      </c>
      <c r="C131">
        <v>3</v>
      </c>
      <c r="D131">
        <v>2244</v>
      </c>
      <c r="E131">
        <v>2</v>
      </c>
      <c r="F131" t="s">
        <v>63</v>
      </c>
      <c r="G131" t="s">
        <v>13</v>
      </c>
      <c r="I131">
        <v>0</v>
      </c>
      <c r="J131">
        <f>DropAnalityka[[#This Row],[Sell Drop]]+IF(DropAnalityka[[#This Row],[Drop]]="Scroll", 2000*DropAnalityka[[#This Row],[Quality/Quantity]],0)</f>
        <v>0</v>
      </c>
      <c r="K1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132" spans="1:12">
      <c r="A132" t="s">
        <v>8</v>
      </c>
      <c r="B132" t="s">
        <v>32</v>
      </c>
      <c r="C132">
        <v>3</v>
      </c>
      <c r="D132">
        <v>1719</v>
      </c>
      <c r="E132">
        <v>1</v>
      </c>
      <c r="F132" t="s">
        <v>62</v>
      </c>
      <c r="G132" t="s">
        <v>18</v>
      </c>
      <c r="I132">
        <v>0</v>
      </c>
      <c r="J132">
        <f>DropAnalityka[[#This Row],[Sell Drop]]+IF(DropAnalityka[[#This Row],[Drop]]="Scroll", 2000*DropAnalityka[[#This Row],[Quality/Quantity]],0)</f>
        <v>0</v>
      </c>
      <c r="K1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" spans="1:12">
      <c r="A133" t="s">
        <v>33</v>
      </c>
      <c r="B133" t="s">
        <v>9</v>
      </c>
      <c r="C133">
        <v>1</v>
      </c>
      <c r="D133">
        <v>677</v>
      </c>
      <c r="E133">
        <v>0</v>
      </c>
      <c r="F133" t="s">
        <v>62</v>
      </c>
      <c r="G133" t="s">
        <v>13</v>
      </c>
      <c r="I133">
        <v>0</v>
      </c>
      <c r="J133">
        <f>DropAnalityka[[#This Row],[Sell Drop]]+IF(DropAnalityka[[#This Row],[Drop]]="Scroll", 2000*DropAnalityka[[#This Row],[Quality/Quantity]],0)</f>
        <v>0</v>
      </c>
      <c r="K1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4" spans="1:12">
      <c r="A134" t="s">
        <v>33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Drop]]+IF(DropAnalityka[[#This Row],[Drop]]="Scroll", 2000*DropAnalityka[[#This Row],[Quality/Quantity]],0)</f>
        <v>823</v>
      </c>
      <c r="K1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" spans="1:12">
      <c r="A135" t="s">
        <v>33</v>
      </c>
      <c r="B135" t="s">
        <v>9</v>
      </c>
      <c r="C135">
        <v>1</v>
      </c>
      <c r="D135">
        <v>1357</v>
      </c>
      <c r="E135">
        <v>1</v>
      </c>
      <c r="F135" t="s">
        <v>36</v>
      </c>
      <c r="G135">
        <v>1</v>
      </c>
      <c r="I135">
        <v>0</v>
      </c>
      <c r="J135">
        <f>DropAnalityka[[#This Row],[Sell Drop]]+IF(DropAnalityka[[#This Row],[Drop]]="Scroll", 2000*DropAnalityka[[#This Row],[Quality/Quantity]],0)</f>
        <v>2000</v>
      </c>
      <c r="K1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" spans="1:12">
      <c r="A136" t="s">
        <v>33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Drop]]+IF(DropAnalityka[[#This Row],[Drop]]="Scroll", 2000*DropAnalityka[[#This Row],[Quality/Quantity]],0)</f>
        <v>823</v>
      </c>
      <c r="K1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" spans="1:12">
      <c r="A137" t="s">
        <v>33</v>
      </c>
      <c r="B137" t="s">
        <v>9</v>
      </c>
      <c r="C137">
        <v>1</v>
      </c>
      <c r="D137">
        <v>1258</v>
      </c>
      <c r="E137">
        <v>0</v>
      </c>
      <c r="F137" t="s">
        <v>62</v>
      </c>
      <c r="G137" t="s">
        <v>13</v>
      </c>
      <c r="I137">
        <v>0</v>
      </c>
      <c r="J137">
        <f>DropAnalityka[[#This Row],[Sell Drop]]+IF(DropAnalityka[[#This Row],[Drop]]="Scroll", 2000*DropAnalityka[[#This Row],[Quality/Quantity]],0)</f>
        <v>0</v>
      </c>
      <c r="K1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8" spans="1:12">
      <c r="A138" t="s">
        <v>33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Drop]]+IF(DropAnalityka[[#This Row],[Drop]]="Scroll", 2000*DropAnalityka[[#This Row],[Quality/Quantity]],0)</f>
        <v>823</v>
      </c>
      <c r="K1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" spans="1:12">
      <c r="A139" t="s">
        <v>33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Drop]]+IF(DropAnalityka[[#This Row],[Drop]]="Scroll", 2000*DropAnalityka[[#This Row],[Quality/Quantity]],0)</f>
        <v>823</v>
      </c>
      <c r="K1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" spans="1:12">
      <c r="A140" t="s">
        <v>33</v>
      </c>
      <c r="B140" t="s">
        <v>9</v>
      </c>
      <c r="C140">
        <v>1</v>
      </c>
      <c r="D140">
        <v>2122</v>
      </c>
      <c r="E140">
        <v>3</v>
      </c>
      <c r="F140" t="s">
        <v>36</v>
      </c>
      <c r="G140">
        <v>1</v>
      </c>
      <c r="I140">
        <v>0</v>
      </c>
      <c r="J140">
        <f>DropAnalityka[[#This Row],[Sell Drop]]+IF(DropAnalityka[[#This Row],[Drop]]="Scroll", 2000*DropAnalityka[[#This Row],[Quality/Quantity]],0)</f>
        <v>2000</v>
      </c>
      <c r="K1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" spans="1:12">
      <c r="A141" t="s">
        <v>33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Drop]]+IF(DropAnalityka[[#This Row],[Drop]]="Scroll", 2000*DropAnalityka[[#This Row],[Quality/Quantity]],0)</f>
        <v>1824</v>
      </c>
      <c r="K1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" spans="1:12">
      <c r="A142" t="s">
        <v>33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Drop]]+IF(DropAnalityka[[#This Row],[Drop]]="Scroll", 2000*DropAnalityka[[#This Row],[Quality/Quantity]],0)</f>
        <v>960</v>
      </c>
      <c r="K1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" spans="1:12">
      <c r="A143" t="s">
        <v>33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Drop]]+IF(DropAnalityka[[#This Row],[Drop]]="Scroll", 2000*DropAnalityka[[#This Row],[Quality/Quantity]],0)</f>
        <v>823</v>
      </c>
      <c r="K1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" spans="1:12">
      <c r="A144" t="s">
        <v>33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Drop]]+IF(DropAnalityka[[#This Row],[Drop]]="Scroll", 2000*DropAnalityka[[#This Row],[Quality/Quantity]],0)</f>
        <v>892</v>
      </c>
      <c r="K1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" spans="1:12">
      <c r="A145" t="s">
        <v>33</v>
      </c>
      <c r="B145" t="s">
        <v>9</v>
      </c>
      <c r="C145">
        <v>1</v>
      </c>
      <c r="D145">
        <v>908</v>
      </c>
      <c r="E145">
        <v>3</v>
      </c>
      <c r="F145" t="s">
        <v>36</v>
      </c>
      <c r="G145">
        <v>1</v>
      </c>
      <c r="I145">
        <v>0</v>
      </c>
      <c r="J145">
        <f>DropAnalityka[[#This Row],[Sell Drop]]+IF(DropAnalityka[[#This Row],[Drop]]="Scroll", 2000*DropAnalityka[[#This Row],[Quality/Quantity]],0)</f>
        <v>2000</v>
      </c>
      <c r="K1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" spans="1:12">
      <c r="A146" t="s">
        <v>33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Drop]]+IF(DropAnalityka[[#This Row],[Drop]]="Scroll", 2000*DropAnalityka[[#This Row],[Quality/Quantity]],0)</f>
        <v>823</v>
      </c>
      <c r="K1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" spans="1:12">
      <c r="A147" t="s">
        <v>33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Drop]]+IF(DropAnalityka[[#This Row],[Drop]]="Scroll", 2000*DropAnalityka[[#This Row],[Quality/Quantity]],0)</f>
        <v>1824</v>
      </c>
      <c r="K1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" spans="1:12">
      <c r="A148" t="s">
        <v>33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Drop]]+IF(DropAnalityka[[#This Row],[Drop]]="Scroll", 2000*DropAnalityka[[#This Row],[Quality/Quantity]],0)</f>
        <v>823</v>
      </c>
      <c r="K1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" spans="1:12">
      <c r="A149" t="s">
        <v>33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Drop]]+IF(DropAnalityka[[#This Row],[Drop]]="Scroll", 2000*DropAnalityka[[#This Row],[Quality/Quantity]],0)</f>
        <v>823</v>
      </c>
      <c r="K1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" spans="1:12">
      <c r="A150" t="s">
        <v>33</v>
      </c>
      <c r="B150" t="s">
        <v>9</v>
      </c>
      <c r="C150">
        <v>1</v>
      </c>
      <c r="D150">
        <v>1605</v>
      </c>
      <c r="E150">
        <v>0</v>
      </c>
      <c r="F150" t="s">
        <v>36</v>
      </c>
      <c r="G150">
        <v>1</v>
      </c>
      <c r="I150">
        <v>0</v>
      </c>
      <c r="J150">
        <f>DropAnalityka[[#This Row],[Sell Drop]]+IF(DropAnalityka[[#This Row],[Drop]]="Scroll", 2000*DropAnalityka[[#This Row],[Quality/Quantity]],0)</f>
        <v>2000</v>
      </c>
      <c r="K1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" spans="1:12">
      <c r="A151" t="s">
        <v>33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v>1824</v>
      </c>
      <c r="K1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" spans="1:12">
      <c r="A152" t="s">
        <v>33</v>
      </c>
      <c r="B152" t="s">
        <v>9</v>
      </c>
      <c r="C152">
        <v>1</v>
      </c>
      <c r="D152">
        <v>1846</v>
      </c>
      <c r="E152">
        <v>1</v>
      </c>
      <c r="F152" t="s">
        <v>36</v>
      </c>
      <c r="G152">
        <v>1</v>
      </c>
      <c r="I152">
        <v>0</v>
      </c>
      <c r="J152">
        <f>DropAnalityka[[#This Row],[Sell Drop]]+IF(DropAnalityka[[#This Row],[Drop]]="Scroll", 2000*DropAnalityka[[#This Row],[Quality/Quantity]],0)</f>
        <v>2000</v>
      </c>
      <c r="K1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" spans="1:12">
      <c r="A153" t="s">
        <v>33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v>823</v>
      </c>
      <c r="K1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" spans="1:12">
      <c r="A154" t="s">
        <v>33</v>
      </c>
      <c r="B154" t="s">
        <v>9</v>
      </c>
      <c r="C154">
        <v>1</v>
      </c>
      <c r="D154">
        <v>1519</v>
      </c>
      <c r="E154">
        <v>3</v>
      </c>
      <c r="F154" t="s">
        <v>36</v>
      </c>
      <c r="G154">
        <v>1</v>
      </c>
      <c r="I154">
        <v>0</v>
      </c>
      <c r="J154">
        <f>DropAnalityka[[#This Row],[Sell Drop]]+IF(DropAnalityka[[#This Row],[Drop]]="Scroll", 2000*DropAnalityka[[#This Row],[Quality/Quantity]],0)</f>
        <v>2000</v>
      </c>
      <c r="K1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" spans="1:12">
      <c r="A155" t="s">
        <v>33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v>960</v>
      </c>
      <c r="K1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" spans="1:12">
      <c r="A156" t="s">
        <v>33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v>2128</v>
      </c>
      <c r="K1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" spans="1:12">
      <c r="A157" t="s">
        <v>33</v>
      </c>
      <c r="B157" t="s">
        <v>9</v>
      </c>
      <c r="C157">
        <v>1</v>
      </c>
      <c r="D157">
        <v>1441</v>
      </c>
      <c r="E157">
        <v>1</v>
      </c>
      <c r="F157" t="s">
        <v>36</v>
      </c>
      <c r="G157">
        <v>1</v>
      </c>
      <c r="I157">
        <v>0</v>
      </c>
      <c r="J157">
        <f>DropAnalityka[[#This Row],[Sell Drop]]+IF(DropAnalityka[[#This Row],[Drop]]="Scroll", 2000*DropAnalityka[[#This Row],[Quality/Quantity]],0)</f>
        <v>2000</v>
      </c>
      <c r="K1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" spans="1:12">
      <c r="A158" t="s">
        <v>33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v>823</v>
      </c>
      <c r="K1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" spans="1:12">
      <c r="A159" t="s">
        <v>33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v>1824</v>
      </c>
      <c r="K1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" spans="1:12">
      <c r="A160" t="s">
        <v>33</v>
      </c>
      <c r="B160" t="s">
        <v>9</v>
      </c>
      <c r="C160">
        <v>1</v>
      </c>
      <c r="D160">
        <v>1900</v>
      </c>
      <c r="E160">
        <v>1</v>
      </c>
      <c r="F160" t="s">
        <v>36</v>
      </c>
      <c r="G160">
        <v>1</v>
      </c>
      <c r="I160">
        <v>0</v>
      </c>
      <c r="J160">
        <f>DropAnalityka[[#This Row],[Sell Drop]]+IF(DropAnalityka[[#This Row],[Drop]]="Scroll", 2000*DropAnalityka[[#This Row],[Quality/Quantity]],0)</f>
        <v>2000</v>
      </c>
      <c r="K1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" spans="1:12">
      <c r="A161" t="s">
        <v>33</v>
      </c>
      <c r="B161" t="s">
        <v>9</v>
      </c>
      <c r="C161">
        <v>1</v>
      </c>
      <c r="D161">
        <v>1954</v>
      </c>
      <c r="E161">
        <v>1</v>
      </c>
      <c r="F161" t="s">
        <v>36</v>
      </c>
      <c r="G161">
        <v>1</v>
      </c>
      <c r="I161">
        <v>0</v>
      </c>
      <c r="J161">
        <f>DropAnalityka[[#This Row],[Sell Drop]]+IF(DropAnalityka[[#This Row],[Drop]]="Scroll", 2000*DropAnalityka[[#This Row],[Quality/Quantity]],0)</f>
        <v>2000</v>
      </c>
      <c r="K1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" spans="1:12">
      <c r="A162" t="s">
        <v>33</v>
      </c>
      <c r="B162" t="s">
        <v>9</v>
      </c>
      <c r="C162">
        <v>1</v>
      </c>
      <c r="D162">
        <v>1261</v>
      </c>
      <c r="E162">
        <v>1</v>
      </c>
      <c r="F162" t="s">
        <v>36</v>
      </c>
      <c r="G162">
        <v>1</v>
      </c>
      <c r="I162">
        <v>0</v>
      </c>
      <c r="J162">
        <f>DropAnalityka[[#This Row],[Sell Drop]]+IF(DropAnalityka[[#This Row],[Drop]]="Scroll", 2000*DropAnalityka[[#This Row],[Quality/Quantity]],0)</f>
        <v>2000</v>
      </c>
      <c r="K1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" spans="1:12">
      <c r="A163" t="s">
        <v>33</v>
      </c>
      <c r="B163" t="s">
        <v>9</v>
      </c>
      <c r="C163">
        <v>1</v>
      </c>
      <c r="D163">
        <v>1559</v>
      </c>
      <c r="E163">
        <v>1</v>
      </c>
      <c r="F163" t="s">
        <v>62</v>
      </c>
      <c r="G163" t="s">
        <v>13</v>
      </c>
      <c r="I163">
        <v>0</v>
      </c>
      <c r="J163">
        <v>0</v>
      </c>
      <c r="K1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64" spans="1:12">
      <c r="A164" t="s">
        <v>33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v>892</v>
      </c>
      <c r="K1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" spans="1:12">
      <c r="A165" t="s">
        <v>33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v>823</v>
      </c>
      <c r="K1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" spans="1:12">
      <c r="A166" t="s">
        <v>33</v>
      </c>
      <c r="B166" t="s">
        <v>9</v>
      </c>
      <c r="C166">
        <v>1</v>
      </c>
      <c r="D166">
        <v>1648</v>
      </c>
      <c r="E166">
        <v>2</v>
      </c>
      <c r="F166" t="s">
        <v>36</v>
      </c>
      <c r="G166">
        <v>1</v>
      </c>
      <c r="I166">
        <v>0</v>
      </c>
      <c r="J166">
        <f>DropAnalityka[[#This Row],[Sell Drop]]+IF(DropAnalityka[[#This Row],[Drop]]="Scroll", 2000*DropAnalityka[[#This Row],[Quality/Quantity]],0)</f>
        <v>2000</v>
      </c>
      <c r="K1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" spans="1:12">
      <c r="A167" t="s">
        <v>33</v>
      </c>
      <c r="B167" t="s">
        <v>9</v>
      </c>
      <c r="C167">
        <v>1</v>
      </c>
      <c r="D167">
        <v>1770</v>
      </c>
      <c r="E167">
        <v>2</v>
      </c>
      <c r="F167" t="s">
        <v>36</v>
      </c>
      <c r="G167">
        <v>1</v>
      </c>
      <c r="I167">
        <v>0</v>
      </c>
      <c r="J167">
        <f>DropAnalityka[[#This Row],[Sell Drop]]+IF(DropAnalityka[[#This Row],[Drop]]="Scroll", 2000*DropAnalityka[[#This Row],[Quality/Quantity]],0)</f>
        <v>2000</v>
      </c>
      <c r="K1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" spans="1:12">
      <c r="A168" t="s">
        <v>33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v>823</v>
      </c>
      <c r="K1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" spans="1:12">
      <c r="A169" t="s">
        <v>33</v>
      </c>
      <c r="B169" t="s">
        <v>9</v>
      </c>
      <c r="C169">
        <v>1</v>
      </c>
      <c r="D169">
        <v>1192</v>
      </c>
      <c r="E169">
        <v>0</v>
      </c>
      <c r="F169" t="s">
        <v>36</v>
      </c>
      <c r="G169">
        <v>1</v>
      </c>
      <c r="I169">
        <v>0</v>
      </c>
      <c r="J169">
        <f>DropAnalityka[[#This Row],[Sell Drop]]+IF(DropAnalityka[[#This Row],[Drop]]="Scroll", 2000*DropAnalityka[[#This Row],[Quality/Quantity]],0)</f>
        <v>2000</v>
      </c>
      <c r="K1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" spans="1:12">
      <c r="A170" t="s">
        <v>40</v>
      </c>
      <c r="B170" t="s">
        <v>9</v>
      </c>
      <c r="C170">
        <v>4</v>
      </c>
      <c r="D170">
        <v>1346</v>
      </c>
      <c r="E170">
        <v>1</v>
      </c>
      <c r="F170" t="s">
        <v>66</v>
      </c>
      <c r="G170">
        <v>2</v>
      </c>
      <c r="I170">
        <v>0</v>
      </c>
      <c r="J170">
        <v>0</v>
      </c>
      <c r="K1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" spans="1:12">
      <c r="A171" t="s">
        <v>40</v>
      </c>
      <c r="B171" t="s">
        <v>9</v>
      </c>
      <c r="C171">
        <v>4</v>
      </c>
      <c r="D171">
        <v>1240</v>
      </c>
      <c r="E171">
        <v>0</v>
      </c>
      <c r="F171" t="s">
        <v>36</v>
      </c>
      <c r="G171">
        <v>2</v>
      </c>
      <c r="I171">
        <v>0</v>
      </c>
      <c r="J171">
        <f>DropAnalityka[[#This Row],[Sell Drop]]+IF(DropAnalityka[[#This Row],[Drop]]="Scroll", 2000*DropAnalityka[[#This Row],[Quality/Quantity]],0)</f>
        <v>4000</v>
      </c>
      <c r="K1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" spans="1:12">
      <c r="A172" t="s">
        <v>40</v>
      </c>
      <c r="B172" t="s">
        <v>9</v>
      </c>
      <c r="C172">
        <v>4</v>
      </c>
      <c r="D172">
        <v>1238</v>
      </c>
      <c r="E172">
        <v>0</v>
      </c>
      <c r="F172" t="s">
        <v>36</v>
      </c>
      <c r="G172">
        <v>3</v>
      </c>
      <c r="I172">
        <v>0</v>
      </c>
      <c r="J172">
        <f>DropAnalityka[[#This Row],[Sell Drop]]+IF(DropAnalityka[[#This Row],[Drop]]="Scroll", 2000*DropAnalityka[[#This Row],[Quality/Quantity]],0)</f>
        <v>6000</v>
      </c>
      <c r="K1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" spans="1:12">
      <c r="A173" t="s">
        <v>40</v>
      </c>
      <c r="B173" t="s">
        <v>9</v>
      </c>
      <c r="C173">
        <v>4</v>
      </c>
      <c r="D173">
        <v>1236</v>
      </c>
      <c r="E173">
        <v>1</v>
      </c>
      <c r="F173" t="s">
        <v>36</v>
      </c>
      <c r="G173">
        <v>2</v>
      </c>
      <c r="I173">
        <v>0</v>
      </c>
      <c r="J173">
        <f>DropAnalityka[[#This Row],[Sell Drop]]+IF(DropAnalityka[[#This Row],[Drop]]="Scroll", 2000*DropAnalityka[[#This Row],[Quality/Quantity]],0)</f>
        <v>4000</v>
      </c>
      <c r="K1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" spans="1:12">
      <c r="A174" t="s">
        <v>40</v>
      </c>
      <c r="B174" t="s">
        <v>9</v>
      </c>
      <c r="C174">
        <v>4</v>
      </c>
      <c r="D174">
        <v>1365</v>
      </c>
      <c r="E174">
        <v>1</v>
      </c>
      <c r="F174" t="s">
        <v>65</v>
      </c>
      <c r="G174">
        <v>1</v>
      </c>
      <c r="I174">
        <v>0</v>
      </c>
      <c r="J174">
        <v>0</v>
      </c>
      <c r="K1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" spans="1:12">
      <c r="A175" t="s">
        <v>40</v>
      </c>
      <c r="B175" t="s">
        <v>9</v>
      </c>
      <c r="C175">
        <v>4</v>
      </c>
      <c r="D175">
        <v>1240</v>
      </c>
      <c r="E175">
        <v>1</v>
      </c>
      <c r="F175" t="s">
        <v>36</v>
      </c>
      <c r="G175">
        <v>3</v>
      </c>
      <c r="I175">
        <v>0</v>
      </c>
      <c r="J175">
        <f>DropAnalityka[[#This Row],[Sell Drop]]+IF(DropAnalityka[[#This Row],[Drop]]="Scroll", 2000*DropAnalityka[[#This Row],[Quality/Quantity]],0)</f>
        <v>6000</v>
      </c>
      <c r="K1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" spans="1:12">
      <c r="A176" t="s">
        <v>40</v>
      </c>
      <c r="B176" t="s">
        <v>9</v>
      </c>
      <c r="C176">
        <v>4</v>
      </c>
      <c r="D176">
        <v>1209</v>
      </c>
      <c r="E176">
        <v>1</v>
      </c>
      <c r="F176" t="s">
        <v>64</v>
      </c>
      <c r="G176">
        <v>2</v>
      </c>
      <c r="I176">
        <v>0</v>
      </c>
      <c r="J176">
        <v>0</v>
      </c>
      <c r="K1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" spans="1:12">
      <c r="A177" t="s">
        <v>8</v>
      </c>
      <c r="B177" t="s">
        <v>32</v>
      </c>
      <c r="C177">
        <v>3</v>
      </c>
      <c r="D177">
        <v>1206</v>
      </c>
      <c r="E177">
        <v>0</v>
      </c>
      <c r="K1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" spans="1:12">
      <c r="A178" t="s">
        <v>67</v>
      </c>
      <c r="B178" t="s">
        <v>34</v>
      </c>
      <c r="C178">
        <v>2</v>
      </c>
      <c r="D178">
        <v>1192</v>
      </c>
      <c r="E178">
        <v>1</v>
      </c>
      <c r="F178" t="s">
        <v>63</v>
      </c>
      <c r="G178" t="s">
        <v>13</v>
      </c>
      <c r="I178">
        <v>0</v>
      </c>
      <c r="J178">
        <v>0</v>
      </c>
      <c r="K1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179" spans="1:12">
      <c r="A179" t="s">
        <v>8</v>
      </c>
      <c r="B179" t="s">
        <v>32</v>
      </c>
      <c r="C179">
        <v>3</v>
      </c>
      <c r="D179">
        <v>1212</v>
      </c>
      <c r="E179">
        <v>2</v>
      </c>
      <c r="I179">
        <v>1352</v>
      </c>
      <c r="J179">
        <v>1352</v>
      </c>
      <c r="K1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" spans="1:12">
      <c r="A180" t="s">
        <v>8</v>
      </c>
      <c r="B180" t="s">
        <v>32</v>
      </c>
      <c r="C180">
        <v>3</v>
      </c>
      <c r="D180">
        <v>564</v>
      </c>
      <c r="E180">
        <v>0</v>
      </c>
      <c r="F180" t="s">
        <v>62</v>
      </c>
      <c r="G180" t="s">
        <v>13</v>
      </c>
      <c r="I180">
        <v>0</v>
      </c>
      <c r="J180">
        <v>0</v>
      </c>
      <c r="K1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81" spans="1:12">
      <c r="A181" t="s">
        <v>8</v>
      </c>
      <c r="B181" t="s">
        <v>32</v>
      </c>
      <c r="C181">
        <v>3</v>
      </c>
      <c r="D181">
        <v>2224</v>
      </c>
      <c r="E181">
        <v>2</v>
      </c>
      <c r="F181" t="s">
        <v>36</v>
      </c>
      <c r="G181">
        <v>2</v>
      </c>
      <c r="I181">
        <v>0</v>
      </c>
      <c r="J181">
        <f>DropAnalityka[[#This Row],[Sell Drop]]+IF(DropAnalityka[[#This Row],[Drop]]="Scroll", 2000*DropAnalityka[[#This Row],[Quality/Quantity]],0)</f>
        <v>4000</v>
      </c>
      <c r="K1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" spans="1:12">
      <c r="A182" t="s">
        <v>8</v>
      </c>
      <c r="B182" t="s">
        <v>32</v>
      </c>
      <c r="C182">
        <v>3</v>
      </c>
      <c r="D182">
        <v>1341</v>
      </c>
      <c r="E182">
        <v>1</v>
      </c>
      <c r="F182" t="s">
        <v>62</v>
      </c>
      <c r="G182" t="s">
        <v>18</v>
      </c>
      <c r="I182">
        <v>0</v>
      </c>
      <c r="J182">
        <v>0</v>
      </c>
      <c r="K1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" spans="1:12">
      <c r="A183" t="s">
        <v>8</v>
      </c>
      <c r="B183" t="s">
        <v>32</v>
      </c>
      <c r="C183">
        <v>3</v>
      </c>
      <c r="D183">
        <v>1482</v>
      </c>
      <c r="E183">
        <v>0</v>
      </c>
      <c r="I183">
        <v>720</v>
      </c>
      <c r="J183">
        <v>720</v>
      </c>
      <c r="K1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" spans="1:12">
      <c r="A184" t="s">
        <v>8</v>
      </c>
      <c r="B184" t="s">
        <v>32</v>
      </c>
      <c r="C184">
        <v>3</v>
      </c>
      <c r="D184">
        <v>1565</v>
      </c>
      <c r="E184">
        <v>0</v>
      </c>
      <c r="I184">
        <v>720</v>
      </c>
      <c r="J184">
        <v>720</v>
      </c>
      <c r="K1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" spans="1:12">
      <c r="A185" t="s">
        <v>8</v>
      </c>
      <c r="B185" t="s">
        <v>32</v>
      </c>
      <c r="C185">
        <v>3</v>
      </c>
      <c r="D185">
        <v>1627</v>
      </c>
      <c r="E185">
        <v>0</v>
      </c>
      <c r="F185" t="s">
        <v>36</v>
      </c>
      <c r="G185">
        <v>2</v>
      </c>
      <c r="I185">
        <v>0</v>
      </c>
      <c r="J185">
        <f>DropAnalityka[[#This Row],[Sell Drop]]+IF(DropAnalityka[[#This Row],[Drop]]="Scroll", 2000*DropAnalityka[[#This Row],[Quality/Quantity]],0)</f>
        <v>4000</v>
      </c>
      <c r="K1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" spans="1:12">
      <c r="A186" t="s">
        <v>8</v>
      </c>
      <c r="B186" t="s">
        <v>34</v>
      </c>
      <c r="C186">
        <v>3</v>
      </c>
      <c r="D186">
        <v>1597</v>
      </c>
      <c r="E186">
        <v>1</v>
      </c>
      <c r="I186">
        <v>2067</v>
      </c>
      <c r="J186">
        <v>2067</v>
      </c>
      <c r="K1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" spans="1:12">
      <c r="A187" t="s">
        <v>8</v>
      </c>
      <c r="B187" t="s">
        <v>34</v>
      </c>
      <c r="C187">
        <v>3</v>
      </c>
      <c r="D187">
        <v>1772</v>
      </c>
      <c r="E187">
        <v>1</v>
      </c>
      <c r="I187">
        <v>1159</v>
      </c>
      <c r="J187">
        <v>1159</v>
      </c>
      <c r="K1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" spans="1:12">
      <c r="A188" t="s">
        <v>68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v>1824</v>
      </c>
      <c r="K1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" spans="1:12">
      <c r="A189" t="s">
        <v>68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v>866</v>
      </c>
      <c r="K1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" spans="1:12">
      <c r="A190" t="s">
        <v>68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v>1440</v>
      </c>
      <c r="K1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" spans="1:12">
      <c r="A191" t="s">
        <v>68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v>1440</v>
      </c>
      <c r="K1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" spans="1:12">
      <c r="A192" t="s">
        <v>68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v>823</v>
      </c>
      <c r="K1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" spans="1:12">
      <c r="A193" t="s">
        <v>68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v>1976</v>
      </c>
      <c r="K1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" spans="1:12">
      <c r="A194" t="s">
        <v>68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v>823</v>
      </c>
      <c r="K1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" spans="1:12">
      <c r="A195" t="s">
        <v>68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v>823</v>
      </c>
      <c r="K1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" spans="1:12">
      <c r="A196" t="s">
        <v>68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v>2128</v>
      </c>
      <c r="K1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" spans="1:12">
      <c r="A197" t="s">
        <v>68</v>
      </c>
      <c r="B197" t="s">
        <v>9</v>
      </c>
      <c r="C197">
        <v>1</v>
      </c>
      <c r="D197">
        <v>1281</v>
      </c>
      <c r="E197">
        <v>1</v>
      </c>
      <c r="F197" t="s">
        <v>36</v>
      </c>
      <c r="G197">
        <v>1</v>
      </c>
      <c r="I197">
        <v>0</v>
      </c>
      <c r="J197">
        <f>DropAnalityka[[#This Row],[Sell Drop]]+IF(DropAnalityka[[#This Row],[Drop]]="Scroll", 2000*DropAnalityka[[#This Row],[Quality/Quantity]],0)</f>
        <v>2000</v>
      </c>
      <c r="K1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" spans="1:12">
      <c r="A198" t="s">
        <v>68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v>823</v>
      </c>
      <c r="K1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" spans="1:12">
      <c r="A199" t="s">
        <v>68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v>892</v>
      </c>
      <c r="K1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0" spans="1:12">
      <c r="A200" t="s">
        <v>68</v>
      </c>
      <c r="B200" t="s">
        <v>9</v>
      </c>
      <c r="C200">
        <v>1</v>
      </c>
      <c r="D200">
        <v>1214</v>
      </c>
      <c r="E200">
        <v>0</v>
      </c>
      <c r="F200" t="s">
        <v>36</v>
      </c>
      <c r="G200">
        <v>1</v>
      </c>
      <c r="I200">
        <v>0</v>
      </c>
      <c r="J200">
        <f>DropAnalityka[[#This Row],[Sell Drop]]+IF(DropAnalityka[[#This Row],[Drop]]="Scroll", 2000*DropAnalityka[[#This Row],[Quality/Quantity]],0)</f>
        <v>2000</v>
      </c>
      <c r="K2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1" spans="1:12">
      <c r="A201" t="s">
        <v>68</v>
      </c>
      <c r="B201" t="s">
        <v>9</v>
      </c>
      <c r="C201">
        <v>1</v>
      </c>
      <c r="D201">
        <v>1156</v>
      </c>
      <c r="E201">
        <v>0</v>
      </c>
      <c r="F201" t="s">
        <v>36</v>
      </c>
      <c r="G201">
        <v>1</v>
      </c>
      <c r="I201">
        <v>0</v>
      </c>
      <c r="J201">
        <f>DropAnalityka[[#This Row],[Sell Drop]]+IF(DropAnalityka[[#This Row],[Drop]]="Scroll", 2000*DropAnalityka[[#This Row],[Quality/Quantity]],0)</f>
        <v>2000</v>
      </c>
      <c r="K2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2" spans="1:12">
      <c r="A202" t="s">
        <v>68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v>823</v>
      </c>
      <c r="K2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3" spans="1:12">
      <c r="A203" t="s">
        <v>68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v>960</v>
      </c>
      <c r="K2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4" spans="1:12">
      <c r="A204" t="s">
        <v>68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v>2128</v>
      </c>
      <c r="K2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5" spans="1:12">
      <c r="A205" t="s">
        <v>68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v>892</v>
      </c>
      <c r="K2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6" spans="1:12">
      <c r="A206" t="s">
        <v>68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v>960</v>
      </c>
      <c r="K2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7" spans="1:12">
      <c r="A207" t="s">
        <v>68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v>2280</v>
      </c>
      <c r="K2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8" spans="1:12">
      <c r="A208" t="s">
        <v>68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v>823</v>
      </c>
      <c r="K2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9" spans="1:12">
      <c r="A209" t="s">
        <v>68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v>823</v>
      </c>
      <c r="K2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0" spans="1:12">
      <c r="A210" t="s">
        <v>68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v>892</v>
      </c>
      <c r="K2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1" spans="1:12">
      <c r="A211" t="s">
        <v>68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v>823</v>
      </c>
      <c r="K2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2" spans="1:12">
      <c r="A212" t="s">
        <v>68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v>823</v>
      </c>
      <c r="K2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3" spans="1:12">
      <c r="A213" t="s">
        <v>68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v>2280</v>
      </c>
      <c r="K2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4" spans="1:12">
      <c r="A214" t="s">
        <v>68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v>2128</v>
      </c>
      <c r="K2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5" spans="1:12">
      <c r="A215" t="s">
        <v>68</v>
      </c>
      <c r="B215" t="s">
        <v>9</v>
      </c>
      <c r="C215">
        <v>1</v>
      </c>
      <c r="D215">
        <v>1404</v>
      </c>
      <c r="E215">
        <v>0</v>
      </c>
      <c r="F215" t="s">
        <v>62</v>
      </c>
      <c r="G215" t="s">
        <v>13</v>
      </c>
      <c r="I215">
        <v>0</v>
      </c>
      <c r="J215">
        <v>0</v>
      </c>
      <c r="K2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16" spans="1:12">
      <c r="A216" t="s">
        <v>68</v>
      </c>
      <c r="B216" t="s">
        <v>9</v>
      </c>
      <c r="C216">
        <v>1</v>
      </c>
      <c r="D216">
        <v>1291</v>
      </c>
      <c r="E216">
        <v>1</v>
      </c>
      <c r="F216" t="s">
        <v>36</v>
      </c>
      <c r="G216">
        <v>1</v>
      </c>
      <c r="I216">
        <v>0</v>
      </c>
      <c r="J216">
        <f>DropAnalityka[[#This Row],[Sell Drop]]+IF(DropAnalityka[[#This Row],[Drop]]="Scroll", 2000*DropAnalityka[[#This Row],[Quality/Quantity]],0)</f>
        <v>2000</v>
      </c>
      <c r="K2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7" spans="1:12">
      <c r="A217" t="s">
        <v>68</v>
      </c>
      <c r="B217" t="s">
        <v>9</v>
      </c>
      <c r="C217">
        <v>1</v>
      </c>
      <c r="D217">
        <v>1391</v>
      </c>
      <c r="E217">
        <v>2</v>
      </c>
      <c r="F217" t="s">
        <v>62</v>
      </c>
      <c r="G217" t="s">
        <v>13</v>
      </c>
      <c r="I217">
        <v>0</v>
      </c>
      <c r="J217">
        <v>0</v>
      </c>
      <c r="K2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18" spans="1:12">
      <c r="A218" t="s">
        <v>68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v>892</v>
      </c>
      <c r="K2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9" spans="1:12">
      <c r="A219" t="s">
        <v>68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v>823</v>
      </c>
      <c r="K2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0" spans="1:12">
      <c r="A220" t="s">
        <v>68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v>823</v>
      </c>
      <c r="K2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1" spans="1:12">
      <c r="A221" t="s">
        <v>68</v>
      </c>
      <c r="B221" t="s">
        <v>9</v>
      </c>
      <c r="C221">
        <v>1</v>
      </c>
      <c r="D221">
        <v>1437</v>
      </c>
      <c r="E221">
        <v>1</v>
      </c>
      <c r="F221" t="s">
        <v>36</v>
      </c>
      <c r="G221">
        <v>1</v>
      </c>
      <c r="I221">
        <v>0</v>
      </c>
      <c r="J221">
        <f>DropAnalityka[[#This Row],[Sell Drop]]+IF(DropAnalityka[[#This Row],[Drop]]="Scroll", 2000*DropAnalityka[[#This Row],[Quality/Quantity]],0)</f>
        <v>2000</v>
      </c>
      <c r="K2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2" spans="1:12">
      <c r="A222" t="s">
        <v>68</v>
      </c>
      <c r="B222" t="s">
        <v>9</v>
      </c>
      <c r="C222">
        <v>1</v>
      </c>
      <c r="D222">
        <v>1376</v>
      </c>
      <c r="E222">
        <v>1</v>
      </c>
      <c r="F222" t="s">
        <v>62</v>
      </c>
      <c r="G222" t="s">
        <v>13</v>
      </c>
      <c r="I222">
        <v>0</v>
      </c>
      <c r="J222">
        <v>0</v>
      </c>
      <c r="K2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3" spans="1:12">
      <c r="A223" t="s">
        <v>68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v>823</v>
      </c>
      <c r="K2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4" spans="1:12">
      <c r="A224" t="s">
        <v>68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v>823</v>
      </c>
      <c r="K2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5" spans="1:12">
      <c r="A225" t="s">
        <v>68</v>
      </c>
      <c r="B225" t="s">
        <v>9</v>
      </c>
      <c r="C225">
        <v>1</v>
      </c>
      <c r="D225">
        <v>1130</v>
      </c>
      <c r="E225">
        <v>2</v>
      </c>
      <c r="F225" t="s">
        <v>62</v>
      </c>
      <c r="G225" t="s">
        <v>13</v>
      </c>
      <c r="I225">
        <v>0</v>
      </c>
      <c r="J225">
        <v>0</v>
      </c>
      <c r="K2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6" spans="1:12">
      <c r="A226" t="s">
        <v>68</v>
      </c>
      <c r="B226" t="s">
        <v>9</v>
      </c>
      <c r="C226">
        <v>1</v>
      </c>
      <c r="D226">
        <v>2414</v>
      </c>
      <c r="E226">
        <v>0</v>
      </c>
      <c r="F226" t="s">
        <v>62</v>
      </c>
      <c r="G226" t="s">
        <v>13</v>
      </c>
      <c r="I226">
        <v>0</v>
      </c>
      <c r="J226">
        <v>0</v>
      </c>
      <c r="K2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7" spans="1:12">
      <c r="A227" t="s">
        <v>68</v>
      </c>
      <c r="B227" t="s">
        <v>9</v>
      </c>
      <c r="C227">
        <v>1</v>
      </c>
      <c r="D227">
        <v>1779</v>
      </c>
      <c r="E227">
        <v>1</v>
      </c>
      <c r="F227" t="s">
        <v>62</v>
      </c>
      <c r="G227" t="s">
        <v>13</v>
      </c>
      <c r="I227">
        <v>0</v>
      </c>
      <c r="J227">
        <v>0</v>
      </c>
      <c r="K2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8" spans="1:12">
      <c r="A228" t="s">
        <v>68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v>823</v>
      </c>
      <c r="K2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9" spans="1:12">
      <c r="A229" t="s">
        <v>68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v>1824</v>
      </c>
      <c r="K2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0" spans="1:12">
      <c r="A230" t="s">
        <v>68</v>
      </c>
      <c r="B230" t="s">
        <v>9</v>
      </c>
      <c r="C230">
        <v>1</v>
      </c>
      <c r="D230">
        <v>2068</v>
      </c>
      <c r="E230">
        <v>2</v>
      </c>
      <c r="F230" t="s">
        <v>62</v>
      </c>
      <c r="G230" t="s">
        <v>13</v>
      </c>
      <c r="I230">
        <v>0</v>
      </c>
      <c r="J230">
        <v>0</v>
      </c>
      <c r="K2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31" spans="1:12">
      <c r="A231" t="s">
        <v>68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v>823</v>
      </c>
      <c r="K2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2" spans="1:12">
      <c r="A232" t="s">
        <v>68</v>
      </c>
      <c r="B232" t="s">
        <v>9</v>
      </c>
      <c r="C232">
        <v>1</v>
      </c>
      <c r="D232">
        <v>2104</v>
      </c>
      <c r="E232">
        <v>4</v>
      </c>
      <c r="F232" t="s">
        <v>36</v>
      </c>
      <c r="G232">
        <v>1</v>
      </c>
      <c r="I232">
        <v>0</v>
      </c>
      <c r="J232">
        <f>DropAnalityka[[#This Row],[Sell Drop]]+IF(DropAnalityka[[#This Row],[Drop]]="Scroll", 2000*DropAnalityka[[#This Row],[Quality/Quantity]],0)</f>
        <v>2000</v>
      </c>
      <c r="K2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3" spans="1:12">
      <c r="A233" t="s">
        <v>68</v>
      </c>
      <c r="B233" t="s">
        <v>9</v>
      </c>
      <c r="C233">
        <v>1</v>
      </c>
      <c r="D233">
        <v>1385</v>
      </c>
      <c r="E233">
        <v>0</v>
      </c>
      <c r="F233" t="s">
        <v>36</v>
      </c>
      <c r="G233">
        <v>1</v>
      </c>
      <c r="I233">
        <v>0</v>
      </c>
      <c r="J233">
        <f>DropAnalityka[[#This Row],[Sell Drop]]+IF(DropAnalityka[[#This Row],[Drop]]="Scroll", 2000*DropAnalityka[[#This Row],[Quality/Quantity]],0)</f>
        <v>2000</v>
      </c>
      <c r="K2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4" spans="1:12">
      <c r="A234" t="s">
        <v>68</v>
      </c>
      <c r="B234" t="s">
        <v>9</v>
      </c>
      <c r="C234">
        <v>1</v>
      </c>
      <c r="D234">
        <v>1562</v>
      </c>
      <c r="E234">
        <v>1</v>
      </c>
      <c r="F234" t="s">
        <v>36</v>
      </c>
      <c r="G234">
        <v>1</v>
      </c>
      <c r="I234">
        <v>0</v>
      </c>
      <c r="J234">
        <f>DropAnalityka[[#This Row],[Sell Drop]]+IF(DropAnalityka[[#This Row],[Drop]]="Scroll", 2000*DropAnalityka[[#This Row],[Quality/Quantity]],0)</f>
        <v>2000</v>
      </c>
      <c r="K2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5" spans="1:12">
      <c r="A235" t="s">
        <v>68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v>823</v>
      </c>
      <c r="K2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6" spans="1:12">
      <c r="A236" t="s">
        <v>68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v>0</v>
      </c>
      <c r="K2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7" spans="1:12">
      <c r="A237" t="s">
        <v>68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v>823</v>
      </c>
      <c r="K2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8" spans="1:12">
      <c r="A238" t="s">
        <v>68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v>823</v>
      </c>
      <c r="K2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9" spans="1:12">
      <c r="A239" t="s">
        <v>68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v>1824</v>
      </c>
      <c r="K2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0" spans="1:12">
      <c r="A240" t="s">
        <v>68</v>
      </c>
      <c r="B240" t="s">
        <v>9</v>
      </c>
      <c r="C240">
        <v>1</v>
      </c>
      <c r="D240">
        <v>805</v>
      </c>
      <c r="E240">
        <v>2</v>
      </c>
      <c r="F240" t="s">
        <v>36</v>
      </c>
      <c r="G240">
        <v>1</v>
      </c>
      <c r="I240">
        <v>0</v>
      </c>
      <c r="J240">
        <f>DropAnalityka[[#This Row],[Sell Drop]]+IF(DropAnalityka[[#This Row],[Drop]]="Scroll", 2000*DropAnalityka[[#This Row],[Quality/Quantity]],0)</f>
        <v>2000</v>
      </c>
      <c r="K2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1" spans="1:12">
      <c r="A241" t="s">
        <v>68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v>0</v>
      </c>
      <c r="K2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2" spans="1:12">
      <c r="A242" t="s">
        <v>68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v>1824</v>
      </c>
      <c r="K2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3" spans="1:12">
      <c r="A243" t="s">
        <v>68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v>960</v>
      </c>
      <c r="K2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4" spans="1:12">
      <c r="A244" t="s">
        <v>68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v>823</v>
      </c>
      <c r="K2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5" spans="1:12">
      <c r="A245" t="s">
        <v>68</v>
      </c>
      <c r="B245" t="s">
        <v>9</v>
      </c>
      <c r="C245">
        <v>1</v>
      </c>
      <c r="D245">
        <v>1455</v>
      </c>
      <c r="E245">
        <v>0</v>
      </c>
      <c r="F245" t="s">
        <v>62</v>
      </c>
      <c r="G245" t="s">
        <v>13</v>
      </c>
      <c r="I245">
        <v>0</v>
      </c>
      <c r="J245">
        <v>0</v>
      </c>
      <c r="K2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46" spans="1:12">
      <c r="A246" t="s">
        <v>68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v>823</v>
      </c>
      <c r="K2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7" spans="1:12">
      <c r="A247" t="s">
        <v>68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v>823</v>
      </c>
      <c r="K2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8" spans="1:12">
      <c r="A248" t="s">
        <v>68</v>
      </c>
      <c r="B248" t="s">
        <v>9</v>
      </c>
      <c r="C248">
        <v>1</v>
      </c>
      <c r="D248">
        <v>1799</v>
      </c>
      <c r="E248">
        <v>1</v>
      </c>
      <c r="F248" t="s">
        <v>36</v>
      </c>
      <c r="G248">
        <v>1</v>
      </c>
      <c r="I248">
        <v>0</v>
      </c>
      <c r="J248">
        <f>DropAnalityka[[#This Row],[Sell Drop]]+IF(DropAnalityka[[#This Row],[Drop]]="Scroll", 2000*DropAnalityka[[#This Row],[Quality/Quantity]],0)</f>
        <v>2000</v>
      </c>
      <c r="K2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9" spans="1:12">
      <c r="A249" t="s">
        <v>68</v>
      </c>
      <c r="B249" t="s">
        <v>9</v>
      </c>
      <c r="C249">
        <v>1</v>
      </c>
      <c r="D249">
        <v>1437</v>
      </c>
      <c r="E249">
        <v>0</v>
      </c>
      <c r="F249" t="s">
        <v>36</v>
      </c>
      <c r="G249">
        <v>1</v>
      </c>
      <c r="I249">
        <v>0</v>
      </c>
      <c r="J249">
        <f>DropAnalityka[[#This Row],[Sell Drop]]+IF(DropAnalityka[[#This Row],[Drop]]="Scroll", 2000*DropAnalityka[[#This Row],[Quality/Quantity]],0)</f>
        <v>2000</v>
      </c>
      <c r="K2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0" spans="1:12">
      <c r="A250" t="s">
        <v>68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v>1824</v>
      </c>
      <c r="K2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1" spans="1:12">
      <c r="A251" t="s">
        <v>68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v>823</v>
      </c>
      <c r="K2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2" spans="1:12">
      <c r="A252" t="s">
        <v>68</v>
      </c>
      <c r="B252" t="s">
        <v>9</v>
      </c>
      <c r="C252">
        <v>1</v>
      </c>
      <c r="D252">
        <v>1535</v>
      </c>
      <c r="E252">
        <v>0</v>
      </c>
      <c r="F252" t="s">
        <v>36</v>
      </c>
      <c r="G252">
        <v>1</v>
      </c>
      <c r="I252">
        <v>0</v>
      </c>
      <c r="J252">
        <f>DropAnalityka[[#This Row],[Sell Drop]]+IF(DropAnalityka[[#This Row],[Drop]]="Scroll", 2000*DropAnalityka[[#This Row],[Quality/Quantity]],0)</f>
        <v>2000</v>
      </c>
      <c r="K2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3" spans="1:12">
      <c r="A253" t="s">
        <v>68</v>
      </c>
      <c r="B253" t="s">
        <v>9</v>
      </c>
      <c r="C253">
        <v>1</v>
      </c>
      <c r="D253">
        <v>1913</v>
      </c>
      <c r="E253">
        <v>1</v>
      </c>
      <c r="F253" t="s">
        <v>36</v>
      </c>
      <c r="G253">
        <v>1</v>
      </c>
      <c r="I253">
        <v>0</v>
      </c>
      <c r="J253">
        <f>DropAnalityka[[#This Row],[Sell Drop]]+IF(DropAnalityka[[#This Row],[Drop]]="Scroll", 2000*DropAnalityka[[#This Row],[Quality/Quantity]],0)</f>
        <v>2000</v>
      </c>
      <c r="K2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4" spans="1:12">
      <c r="A254" t="s">
        <v>68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v>823</v>
      </c>
      <c r="K2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5" spans="1:12">
      <c r="A255" t="s">
        <v>68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v>823</v>
      </c>
      <c r="K2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6" spans="1:12">
      <c r="A256" t="s">
        <v>68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v>2128</v>
      </c>
      <c r="K2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7" spans="1:13">
      <c r="A257" t="s">
        <v>68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v>892</v>
      </c>
      <c r="K2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8" spans="1:13">
      <c r="A258" t="s">
        <v>68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v>823</v>
      </c>
      <c r="K2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9" spans="1:13">
      <c r="A259" t="s">
        <v>68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v>823</v>
      </c>
      <c r="K2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0" spans="1:13">
      <c r="A260" t="s">
        <v>68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v>1976</v>
      </c>
      <c r="K2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1" spans="1:13">
      <c r="A261" t="s">
        <v>68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v>823</v>
      </c>
      <c r="K2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2" spans="1:13">
      <c r="A262" t="s">
        <v>68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v>1824</v>
      </c>
      <c r="K2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3" spans="1:13">
      <c r="A263" t="s">
        <v>8</v>
      </c>
      <c r="B263" t="s">
        <v>34</v>
      </c>
      <c r="C263">
        <v>3</v>
      </c>
      <c r="D263">
        <v>1484</v>
      </c>
      <c r="E263">
        <v>2</v>
      </c>
      <c r="I263">
        <v>1159</v>
      </c>
      <c r="J263">
        <v>1159</v>
      </c>
      <c r="K2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4" spans="1:13">
      <c r="A264" t="s">
        <v>8</v>
      </c>
      <c r="B264" t="s">
        <v>34</v>
      </c>
      <c r="C264">
        <v>3</v>
      </c>
      <c r="D264">
        <v>1202</v>
      </c>
      <c r="E264">
        <v>2</v>
      </c>
      <c r="I264">
        <v>1159</v>
      </c>
      <c r="J264">
        <v>1159</v>
      </c>
      <c r="K2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5" spans="1:13">
      <c r="A265" t="s">
        <v>68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v>1824</v>
      </c>
      <c r="K2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6" spans="1:13">
      <c r="A266" t="s">
        <v>68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v>823</v>
      </c>
      <c r="K2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7" spans="1:13">
      <c r="A267" t="s">
        <v>68</v>
      </c>
      <c r="B267" t="s">
        <v>9</v>
      </c>
      <c r="C267">
        <v>1</v>
      </c>
      <c r="D267">
        <v>1241</v>
      </c>
      <c r="E267">
        <v>1</v>
      </c>
      <c r="F267" t="s">
        <v>36</v>
      </c>
      <c r="G267">
        <v>1</v>
      </c>
      <c r="I267">
        <v>0</v>
      </c>
      <c r="J267">
        <f>DropAnalityka[[#This Row],[Sell Drop]]+IF(DropAnalityka[[#This Row],[Drop]]="Scroll", 2000*DropAnalityka[[#This Row],[Quality/Quantity]],0)</f>
        <v>2000</v>
      </c>
      <c r="K2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8" spans="1:13">
      <c r="A268" t="s">
        <v>68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v>823</v>
      </c>
      <c r="K2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68" s="16">
        <v>0.33078703703703705</v>
      </c>
    </row>
    <row r="269" spans="1:13">
      <c r="A269" t="s">
        <v>68</v>
      </c>
      <c r="B269" t="s">
        <v>9</v>
      </c>
      <c r="C269">
        <v>1</v>
      </c>
      <c r="D269">
        <v>1231</v>
      </c>
      <c r="E269">
        <v>1</v>
      </c>
      <c r="F269" t="s">
        <v>36</v>
      </c>
      <c r="G269">
        <v>1</v>
      </c>
      <c r="I269">
        <v>0</v>
      </c>
      <c r="J269">
        <f>DropAnalityka[[#This Row],[Sell Drop]]+IF(DropAnalityka[[#This Row],[Drop]]="Scroll", 2000*DropAnalityka[[#This Row],[Quality/Quantity]],0)</f>
        <v>2000</v>
      </c>
      <c r="K2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69" s="16">
        <v>0.33269675925925929</v>
      </c>
    </row>
    <row r="270" spans="1:13">
      <c r="A270" t="s">
        <v>68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v>823</v>
      </c>
      <c r="K2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1" spans="1:13">
      <c r="A271" t="s">
        <v>68</v>
      </c>
      <c r="B271" t="s">
        <v>9</v>
      </c>
      <c r="C271">
        <v>1</v>
      </c>
      <c r="D271">
        <v>723</v>
      </c>
      <c r="E271">
        <v>1</v>
      </c>
      <c r="F271" t="s">
        <v>36</v>
      </c>
      <c r="G271">
        <v>1</v>
      </c>
      <c r="I271">
        <v>0</v>
      </c>
      <c r="J271">
        <f>DropAnalityka[[#This Row],[Sell Drop]]+IF(DropAnalityka[[#This Row],[Drop]]="Scroll", 2000*DropAnalityka[[#This Row],[Quality/Quantity]],0)</f>
        <v>2000</v>
      </c>
      <c r="K2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2" spans="1:13">
      <c r="A272" t="s">
        <v>68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v>1824</v>
      </c>
      <c r="K2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3" spans="1:13">
      <c r="A273" t="s">
        <v>68</v>
      </c>
      <c r="B273" t="s">
        <v>9</v>
      </c>
      <c r="C273">
        <v>1</v>
      </c>
      <c r="D273">
        <v>2033</v>
      </c>
      <c r="E273">
        <v>2</v>
      </c>
      <c r="F273" t="s">
        <v>36</v>
      </c>
      <c r="G273">
        <v>1</v>
      </c>
      <c r="I273">
        <v>0</v>
      </c>
      <c r="J273">
        <f>DropAnalityka[[#This Row],[Sell Drop]]+IF(DropAnalityka[[#This Row],[Drop]]="Scroll", 2000*DropAnalityka[[#This Row],[Quality/Quantity]],0)</f>
        <v>2000</v>
      </c>
      <c r="K2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4" spans="1:13">
      <c r="A274" t="s">
        <v>68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v>1824</v>
      </c>
      <c r="K2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74" s="16">
        <v>0.34259259259259256</v>
      </c>
    </row>
    <row r="275" spans="1:13">
      <c r="A275" t="s">
        <v>68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v>1824</v>
      </c>
      <c r="K2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6" spans="1:13">
      <c r="A276" t="s">
        <v>68</v>
      </c>
      <c r="B276" t="s">
        <v>9</v>
      </c>
      <c r="C276">
        <v>1</v>
      </c>
      <c r="D276">
        <v>1330</v>
      </c>
      <c r="E276">
        <v>0</v>
      </c>
      <c r="F276" t="s">
        <v>36</v>
      </c>
      <c r="G276">
        <v>1</v>
      </c>
      <c r="I276">
        <v>0</v>
      </c>
      <c r="J276">
        <f>DropAnalityka[[#This Row],[Sell Drop]]+IF(DropAnalityka[[#This Row],[Drop]]="Scroll", 2000*DropAnalityka[[#This Row],[Quality/Quantity]],0)</f>
        <v>2000</v>
      </c>
      <c r="K2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7" spans="1:13">
      <c r="A277" t="s">
        <v>68</v>
      </c>
      <c r="B277" t="s">
        <v>9</v>
      </c>
      <c r="C277">
        <v>1</v>
      </c>
      <c r="D277">
        <v>1054</v>
      </c>
      <c r="E277">
        <v>0</v>
      </c>
      <c r="F277" t="s">
        <v>62</v>
      </c>
      <c r="G277" t="s">
        <v>13</v>
      </c>
      <c r="I277">
        <v>0</v>
      </c>
      <c r="J277">
        <v>0</v>
      </c>
      <c r="K2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78" spans="1:13">
      <c r="A278" t="s">
        <v>68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v>1824</v>
      </c>
      <c r="K2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9" spans="1:13">
      <c r="A279" t="s">
        <v>68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v>1824</v>
      </c>
      <c r="K2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0" spans="1:13">
      <c r="A280" t="s">
        <v>68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v>960</v>
      </c>
      <c r="K2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1" spans="1:13">
      <c r="A281" t="s">
        <v>68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v>823</v>
      </c>
      <c r="K2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81" s="16">
        <v>0.35532407407407413</v>
      </c>
    </row>
    <row r="282" spans="1:13">
      <c r="A282" t="s">
        <v>33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v>823</v>
      </c>
      <c r="K2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82" s="16">
        <v>0.35555555555555557</v>
      </c>
    </row>
    <row r="283" spans="1:13">
      <c r="A283" t="s">
        <v>33</v>
      </c>
      <c r="B283" t="s">
        <v>9</v>
      </c>
      <c r="C283">
        <v>1</v>
      </c>
      <c r="D283">
        <v>1042</v>
      </c>
      <c r="E283">
        <v>0</v>
      </c>
      <c r="F283" t="s">
        <v>36</v>
      </c>
      <c r="G283">
        <v>1</v>
      </c>
      <c r="I283">
        <v>0</v>
      </c>
      <c r="J283">
        <f>DropAnalityka[[#This Row],[Sell Drop]]+IF(DropAnalityka[[#This Row],[Drop]]="Scroll", 2000*DropAnalityka[[#This Row],[Quality/Quantity]],0)</f>
        <v>2000</v>
      </c>
      <c r="K2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4" spans="1:13">
      <c r="A284" t="s">
        <v>40</v>
      </c>
      <c r="B284" t="s">
        <v>9</v>
      </c>
      <c r="C284">
        <v>5</v>
      </c>
      <c r="D284">
        <v>1500</v>
      </c>
      <c r="E284">
        <v>0</v>
      </c>
      <c r="F284" t="s">
        <v>163</v>
      </c>
      <c r="G284">
        <v>4</v>
      </c>
      <c r="I284">
        <v>0</v>
      </c>
      <c r="J284">
        <v>0</v>
      </c>
      <c r="K2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5" spans="1:13">
      <c r="A285" t="s">
        <v>166</v>
      </c>
      <c r="B285" t="s">
        <v>9</v>
      </c>
      <c r="C285">
        <v>5</v>
      </c>
      <c r="D285">
        <v>1500</v>
      </c>
      <c r="E285">
        <v>0</v>
      </c>
      <c r="F285" t="s">
        <v>167</v>
      </c>
      <c r="G285">
        <v>3</v>
      </c>
      <c r="I285">
        <v>0</v>
      </c>
      <c r="J285">
        <v>0</v>
      </c>
      <c r="K2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6" spans="1:13">
      <c r="A286" t="s">
        <v>166</v>
      </c>
      <c r="B286" t="s">
        <v>9</v>
      </c>
      <c r="C286">
        <v>5</v>
      </c>
      <c r="D286">
        <v>1782</v>
      </c>
      <c r="E286">
        <v>0</v>
      </c>
      <c r="F286" t="s">
        <v>167</v>
      </c>
      <c r="G286">
        <v>2</v>
      </c>
      <c r="I286">
        <v>0</v>
      </c>
      <c r="J286">
        <v>0</v>
      </c>
      <c r="K2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7" spans="1:13">
      <c r="A287" t="s">
        <v>166</v>
      </c>
      <c r="B287" t="s">
        <v>9</v>
      </c>
      <c r="C287">
        <v>5</v>
      </c>
      <c r="D287">
        <v>1666</v>
      </c>
      <c r="E287">
        <v>1</v>
      </c>
      <c r="F287" t="s">
        <v>168</v>
      </c>
      <c r="G287">
        <v>1</v>
      </c>
      <c r="I287">
        <v>0</v>
      </c>
      <c r="J287">
        <v>0</v>
      </c>
      <c r="K2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8" spans="1:13">
      <c r="A288" t="s">
        <v>166</v>
      </c>
      <c r="B288" t="s">
        <v>9</v>
      </c>
      <c r="C288">
        <v>5</v>
      </c>
      <c r="D288">
        <v>1556</v>
      </c>
      <c r="E288">
        <v>0</v>
      </c>
      <c r="F288" t="s">
        <v>167</v>
      </c>
      <c r="G288">
        <v>2</v>
      </c>
      <c r="I288">
        <v>0</v>
      </c>
      <c r="J288">
        <v>0</v>
      </c>
      <c r="K2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9" spans="1:12">
      <c r="A289" t="s">
        <v>166</v>
      </c>
      <c r="B289" t="s">
        <v>9</v>
      </c>
      <c r="C289">
        <v>5</v>
      </c>
      <c r="D289">
        <v>2860</v>
      </c>
      <c r="E289">
        <v>0</v>
      </c>
      <c r="F289" t="s">
        <v>168</v>
      </c>
      <c r="G289">
        <v>1</v>
      </c>
      <c r="I289">
        <v>0</v>
      </c>
      <c r="J289">
        <v>0</v>
      </c>
      <c r="K2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0" spans="1:12">
      <c r="A290" t="s">
        <v>166</v>
      </c>
      <c r="B290" t="s">
        <v>9</v>
      </c>
      <c r="C290">
        <v>5</v>
      </c>
      <c r="D290">
        <v>2986</v>
      </c>
      <c r="E290">
        <v>0</v>
      </c>
      <c r="F290" t="s">
        <v>167</v>
      </c>
      <c r="G290">
        <v>2</v>
      </c>
      <c r="I290">
        <v>0</v>
      </c>
      <c r="J290">
        <v>0</v>
      </c>
      <c r="K2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1" spans="1:12">
      <c r="A291" t="s">
        <v>166</v>
      </c>
      <c r="B291" t="s">
        <v>9</v>
      </c>
      <c r="C291">
        <v>5</v>
      </c>
      <c r="D291">
        <v>3172</v>
      </c>
      <c r="E291">
        <v>1</v>
      </c>
      <c r="F291" t="s">
        <v>169</v>
      </c>
      <c r="G291" t="s">
        <v>13</v>
      </c>
      <c r="I291">
        <v>0</v>
      </c>
      <c r="J291">
        <v>0</v>
      </c>
      <c r="K2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2" spans="1:12">
      <c r="A292" t="s">
        <v>166</v>
      </c>
      <c r="B292" t="s">
        <v>9</v>
      </c>
      <c r="C292">
        <v>5</v>
      </c>
      <c r="D292">
        <v>1420</v>
      </c>
      <c r="E292">
        <v>0</v>
      </c>
      <c r="F292" t="s">
        <v>168</v>
      </c>
      <c r="G292">
        <v>2</v>
      </c>
      <c r="I292">
        <v>0</v>
      </c>
      <c r="J292">
        <v>0</v>
      </c>
      <c r="K2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3" spans="1:12">
      <c r="A293" t="s">
        <v>166</v>
      </c>
      <c r="B293" t="s">
        <v>9</v>
      </c>
      <c r="C293">
        <v>5</v>
      </c>
      <c r="D293">
        <v>1352</v>
      </c>
      <c r="E293">
        <v>0</v>
      </c>
      <c r="F293" t="s">
        <v>168</v>
      </c>
      <c r="G293">
        <v>1</v>
      </c>
      <c r="I293">
        <v>0</v>
      </c>
      <c r="J293">
        <v>0</v>
      </c>
      <c r="K2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4" spans="1:12">
      <c r="A294" t="s">
        <v>166</v>
      </c>
      <c r="B294" t="s">
        <v>9</v>
      </c>
      <c r="C294">
        <v>5</v>
      </c>
      <c r="D294">
        <v>1362</v>
      </c>
      <c r="E294">
        <v>0</v>
      </c>
      <c r="F294" t="s">
        <v>36</v>
      </c>
      <c r="G294">
        <v>4</v>
      </c>
      <c r="I294">
        <v>0</v>
      </c>
      <c r="J294">
        <f>DropAnalityka[[#This Row],[Sell Drop]]+IF(DropAnalityka[[#This Row],[Drop]]="Scroll", 2000*DropAnalityka[[#This Row],[Quality/Quantity]],0)</f>
        <v>8000</v>
      </c>
      <c r="K2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5" spans="1:12">
      <c r="A295" t="s">
        <v>166</v>
      </c>
      <c r="B295" t="s">
        <v>9</v>
      </c>
      <c r="C295">
        <v>5</v>
      </c>
      <c r="D295">
        <v>1428</v>
      </c>
      <c r="E295">
        <v>1</v>
      </c>
      <c r="F295" t="s">
        <v>171</v>
      </c>
      <c r="G295">
        <v>3</v>
      </c>
      <c r="I295">
        <v>0</v>
      </c>
      <c r="J295">
        <v>0</v>
      </c>
      <c r="K2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6" spans="1:12">
      <c r="A296" t="s">
        <v>166</v>
      </c>
      <c r="B296" t="s">
        <v>9</v>
      </c>
      <c r="C296">
        <v>5</v>
      </c>
      <c r="D296">
        <v>1500</v>
      </c>
      <c r="E296">
        <v>4</v>
      </c>
      <c r="F296" t="s">
        <v>36</v>
      </c>
      <c r="G296">
        <v>2</v>
      </c>
      <c r="I296">
        <v>0</v>
      </c>
      <c r="J296">
        <f>DropAnalityka[[#This Row],[Sell Drop]]+IF(DropAnalityka[[#This Row],[Drop]]="Scroll", 2000*DropAnalityka[[#This Row],[Quality/Quantity]],0)</f>
        <v>4000</v>
      </c>
      <c r="K2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7" spans="1:12">
      <c r="A297" t="s">
        <v>166</v>
      </c>
      <c r="B297" t="s">
        <v>9</v>
      </c>
      <c r="C297">
        <v>5</v>
      </c>
      <c r="D297">
        <v>1559</v>
      </c>
      <c r="E297">
        <v>0</v>
      </c>
      <c r="F297" t="s">
        <v>168</v>
      </c>
      <c r="G297">
        <v>1</v>
      </c>
      <c r="I297">
        <v>0</v>
      </c>
      <c r="J297">
        <v>0</v>
      </c>
      <c r="K2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8" spans="1:12">
      <c r="A298" t="s">
        <v>166</v>
      </c>
      <c r="B298" t="s">
        <v>9</v>
      </c>
      <c r="C298">
        <v>5</v>
      </c>
      <c r="D298">
        <v>1600</v>
      </c>
      <c r="E298">
        <v>0</v>
      </c>
      <c r="F298" t="s">
        <v>168</v>
      </c>
      <c r="G298">
        <v>3</v>
      </c>
      <c r="I298">
        <v>0</v>
      </c>
      <c r="J298">
        <v>0</v>
      </c>
      <c r="K2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9" spans="1:12">
      <c r="A299" t="s">
        <v>166</v>
      </c>
      <c r="B299" t="s">
        <v>9</v>
      </c>
      <c r="C299">
        <v>5</v>
      </c>
      <c r="D299">
        <v>1480</v>
      </c>
      <c r="E299">
        <v>1</v>
      </c>
      <c r="F299" t="s">
        <v>36</v>
      </c>
      <c r="G299">
        <v>2</v>
      </c>
      <c r="I299">
        <v>0</v>
      </c>
      <c r="J299">
        <f>DropAnalityka[[#This Row],[Sell Drop]]+IF(DropAnalityka[[#This Row],[Drop]]="Scroll", 2000*DropAnalityka[[#This Row],[Quality/Quantity]],0)</f>
        <v>4000</v>
      </c>
      <c r="K2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0" spans="1:12">
      <c r="A300" t="s">
        <v>166</v>
      </c>
      <c r="B300" t="s">
        <v>9</v>
      </c>
      <c r="C300">
        <v>5</v>
      </c>
      <c r="D300">
        <v>1389</v>
      </c>
      <c r="E300">
        <v>0</v>
      </c>
      <c r="F300" t="s">
        <v>167</v>
      </c>
      <c r="G300">
        <v>4</v>
      </c>
      <c r="I300">
        <v>0</v>
      </c>
      <c r="J300">
        <v>0</v>
      </c>
      <c r="K3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1" spans="1:12">
      <c r="A301" t="s">
        <v>33</v>
      </c>
      <c r="B301" t="s">
        <v>32</v>
      </c>
      <c r="C301">
        <v>1</v>
      </c>
      <c r="D301">
        <v>1617</v>
      </c>
      <c r="E301">
        <v>1</v>
      </c>
      <c r="I301">
        <v>1824</v>
      </c>
      <c r="J301">
        <v>1824</v>
      </c>
      <c r="K3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2" spans="1:12">
      <c r="A302" t="s">
        <v>33</v>
      </c>
      <c r="B302" t="s">
        <v>32</v>
      </c>
      <c r="C302">
        <v>1</v>
      </c>
      <c r="D302">
        <v>1347</v>
      </c>
      <c r="E302">
        <v>1</v>
      </c>
      <c r="F302" t="s">
        <v>62</v>
      </c>
      <c r="G302" t="s">
        <v>13</v>
      </c>
      <c r="I302">
        <v>0</v>
      </c>
      <c r="J302">
        <v>0</v>
      </c>
      <c r="K3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3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03" spans="1:12">
      <c r="A303" t="s">
        <v>33</v>
      </c>
      <c r="B303" t="s">
        <v>32</v>
      </c>
      <c r="C303">
        <v>1</v>
      </c>
      <c r="D303">
        <v>2050</v>
      </c>
      <c r="E303">
        <v>0</v>
      </c>
      <c r="I303">
        <v>3182</v>
      </c>
      <c r="J303">
        <v>3182</v>
      </c>
      <c r="K3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4" spans="1:12">
      <c r="A304" t="s">
        <v>33</v>
      </c>
      <c r="B304" t="s">
        <v>32</v>
      </c>
      <c r="C304">
        <v>1</v>
      </c>
      <c r="D304">
        <v>999</v>
      </c>
      <c r="E304">
        <v>2</v>
      </c>
      <c r="I304">
        <v>2937</v>
      </c>
      <c r="J304">
        <v>2937</v>
      </c>
      <c r="K3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5" spans="1:12">
      <c r="A305" t="s">
        <v>33</v>
      </c>
      <c r="B305" t="s">
        <v>32</v>
      </c>
      <c r="C305">
        <v>1</v>
      </c>
      <c r="D305">
        <v>1097</v>
      </c>
      <c r="E305">
        <v>1</v>
      </c>
      <c r="I305">
        <v>2937</v>
      </c>
      <c r="J305">
        <v>2937</v>
      </c>
      <c r="K3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6" spans="1:12">
      <c r="A306" t="s">
        <v>33</v>
      </c>
      <c r="B306" t="s">
        <v>32</v>
      </c>
      <c r="C306">
        <v>1</v>
      </c>
      <c r="D306">
        <v>1283</v>
      </c>
      <c r="E306">
        <v>1</v>
      </c>
      <c r="I306">
        <v>1824</v>
      </c>
      <c r="J306">
        <v>1824</v>
      </c>
      <c r="K3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7" spans="1:12">
      <c r="A307" t="s">
        <v>33</v>
      </c>
      <c r="B307" t="s">
        <v>32</v>
      </c>
      <c r="C307">
        <v>1</v>
      </c>
      <c r="D307">
        <v>1407</v>
      </c>
      <c r="E307">
        <v>0</v>
      </c>
      <c r="F307" t="s">
        <v>36</v>
      </c>
      <c r="G307">
        <v>2</v>
      </c>
      <c r="I307">
        <v>0</v>
      </c>
      <c r="J307">
        <f>DropAnalityka[[#This Row],[Sell Drop]]+IF(DropAnalityka[[#This Row],[Drop]]="Scroll", 2000*DropAnalityka[[#This Row],[Quality/Quantity]],0)</f>
        <v>4000</v>
      </c>
      <c r="K3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8" spans="1:12">
      <c r="A308" t="s">
        <v>33</v>
      </c>
      <c r="B308" t="s">
        <v>32</v>
      </c>
      <c r="C308">
        <v>1</v>
      </c>
      <c r="D308">
        <v>1280</v>
      </c>
      <c r="E308">
        <v>0</v>
      </c>
      <c r="I308">
        <v>3182</v>
      </c>
      <c r="J308">
        <v>3182</v>
      </c>
      <c r="K3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9" spans="1:12">
      <c r="A309" t="s">
        <v>33</v>
      </c>
      <c r="B309" t="s">
        <v>32</v>
      </c>
      <c r="C309">
        <v>1</v>
      </c>
      <c r="D309">
        <v>1506</v>
      </c>
      <c r="E309">
        <v>1</v>
      </c>
      <c r="F309" t="s">
        <v>175</v>
      </c>
      <c r="G309">
        <v>1</v>
      </c>
      <c r="I309">
        <v>0</v>
      </c>
      <c r="J309">
        <v>0</v>
      </c>
      <c r="K3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0" spans="1:12">
      <c r="A310" t="s">
        <v>33</v>
      </c>
      <c r="B310" t="s">
        <v>32</v>
      </c>
      <c r="C310">
        <v>1</v>
      </c>
      <c r="D310">
        <v>1513</v>
      </c>
      <c r="E310">
        <v>0</v>
      </c>
      <c r="F310" t="s">
        <v>62</v>
      </c>
      <c r="G310" t="s">
        <v>28</v>
      </c>
      <c r="I310">
        <v>0</v>
      </c>
      <c r="J310">
        <v>0</v>
      </c>
      <c r="K3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L3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311" spans="1:12">
      <c r="A311" t="s">
        <v>33</v>
      </c>
      <c r="B311" t="s">
        <v>32</v>
      </c>
      <c r="C311">
        <v>1</v>
      </c>
      <c r="D311">
        <v>1334</v>
      </c>
      <c r="E311">
        <v>0</v>
      </c>
      <c r="I311">
        <v>1824</v>
      </c>
      <c r="J311">
        <v>1824</v>
      </c>
      <c r="K3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2" spans="1:12">
      <c r="A312" t="s">
        <v>33</v>
      </c>
      <c r="B312" t="s">
        <v>32</v>
      </c>
      <c r="C312">
        <v>1</v>
      </c>
      <c r="D312">
        <v>1572</v>
      </c>
      <c r="E312">
        <v>0</v>
      </c>
      <c r="F312" t="s">
        <v>63</v>
      </c>
      <c r="G312" t="s">
        <v>13</v>
      </c>
      <c r="I312">
        <v>0</v>
      </c>
      <c r="J312">
        <v>0</v>
      </c>
      <c r="K3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3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313" spans="1:12">
      <c r="A313" t="s">
        <v>33</v>
      </c>
      <c r="B313" t="s">
        <v>32</v>
      </c>
      <c r="C313">
        <v>1</v>
      </c>
      <c r="D313">
        <v>1645</v>
      </c>
      <c r="E313">
        <v>1</v>
      </c>
      <c r="I313">
        <v>1824</v>
      </c>
      <c r="J313">
        <v>1824</v>
      </c>
      <c r="K3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4" spans="1:12">
      <c r="A314" t="s">
        <v>33</v>
      </c>
      <c r="B314" t="s">
        <v>32</v>
      </c>
      <c r="C314">
        <v>1</v>
      </c>
      <c r="D314">
        <v>2042</v>
      </c>
      <c r="E314">
        <v>0</v>
      </c>
      <c r="F314" t="s">
        <v>36</v>
      </c>
      <c r="G314">
        <v>2</v>
      </c>
      <c r="I314">
        <v>0</v>
      </c>
      <c r="J314">
        <f>DropAnalityka[[#This Row],[Sell Drop]]+IF(DropAnalityka[[#This Row],[Drop]]="Scroll", 2000*DropAnalityka[[#This Row],[Quality/Quantity]],0)</f>
        <v>4000</v>
      </c>
      <c r="K3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5" spans="1:12">
      <c r="A315" t="s">
        <v>33</v>
      </c>
      <c r="B315" t="s">
        <v>32</v>
      </c>
      <c r="C315">
        <v>1</v>
      </c>
      <c r="D315">
        <v>1221</v>
      </c>
      <c r="E315">
        <v>1</v>
      </c>
      <c r="I315">
        <v>2937</v>
      </c>
      <c r="J315">
        <v>2937</v>
      </c>
      <c r="K3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6" spans="1:12">
      <c r="A316" t="s">
        <v>33</v>
      </c>
      <c r="B316" t="s">
        <v>32</v>
      </c>
      <c r="C316">
        <v>1</v>
      </c>
      <c r="D316">
        <v>1320</v>
      </c>
      <c r="E316">
        <v>1</v>
      </c>
      <c r="I316">
        <v>1824</v>
      </c>
      <c r="J316">
        <v>1824</v>
      </c>
      <c r="K3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7" spans="1:12">
      <c r="A317" t="s">
        <v>33</v>
      </c>
      <c r="B317" t="s">
        <v>32</v>
      </c>
      <c r="C317">
        <v>1</v>
      </c>
      <c r="D317">
        <v>1157</v>
      </c>
      <c r="E317">
        <v>1</v>
      </c>
      <c r="I317">
        <v>1824</v>
      </c>
      <c r="J317">
        <v>1824</v>
      </c>
      <c r="K3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8" spans="1:12">
      <c r="A318" t="s">
        <v>33</v>
      </c>
      <c r="B318" t="s">
        <v>32</v>
      </c>
      <c r="C318">
        <v>1</v>
      </c>
      <c r="D318">
        <v>1815</v>
      </c>
      <c r="E318">
        <v>0</v>
      </c>
      <c r="I318">
        <v>2937</v>
      </c>
      <c r="J318">
        <v>2937</v>
      </c>
      <c r="K3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9" spans="1:12">
      <c r="A319" t="s">
        <v>33</v>
      </c>
      <c r="B319" t="s">
        <v>32</v>
      </c>
      <c r="C319">
        <v>1</v>
      </c>
      <c r="D319">
        <v>1800</v>
      </c>
      <c r="E319">
        <v>0</v>
      </c>
      <c r="F319" t="s">
        <v>36</v>
      </c>
      <c r="G319">
        <v>2</v>
      </c>
      <c r="I319">
        <v>0</v>
      </c>
      <c r="J319">
        <f>DropAnalityka[[#This Row],[Sell Drop]]+IF(DropAnalityka[[#This Row],[Drop]]="Scroll", 2000*DropAnalityka[[#This Row],[Quality/Quantity]],0)</f>
        <v>4000</v>
      </c>
      <c r="K3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0" spans="1:12">
      <c r="A320" t="s">
        <v>33</v>
      </c>
      <c r="B320" t="s">
        <v>32</v>
      </c>
      <c r="C320">
        <v>1</v>
      </c>
      <c r="D320">
        <v>2178</v>
      </c>
      <c r="E320">
        <v>4</v>
      </c>
      <c r="I320">
        <v>2128</v>
      </c>
      <c r="J320">
        <v>2128</v>
      </c>
      <c r="K3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1" spans="1:12">
      <c r="A321" t="s">
        <v>33</v>
      </c>
      <c r="B321" t="s">
        <v>32</v>
      </c>
      <c r="C321">
        <v>1</v>
      </c>
      <c r="D321">
        <v>1708</v>
      </c>
      <c r="E321">
        <v>1</v>
      </c>
      <c r="I321">
        <v>1824</v>
      </c>
      <c r="J321">
        <v>1824</v>
      </c>
      <c r="K3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2" spans="1:12">
      <c r="A322" t="s">
        <v>33</v>
      </c>
      <c r="B322" t="s">
        <v>32</v>
      </c>
      <c r="C322">
        <v>1</v>
      </c>
      <c r="D322">
        <v>1277</v>
      </c>
      <c r="E322">
        <v>2</v>
      </c>
      <c r="I322">
        <v>1824</v>
      </c>
      <c r="J322">
        <v>1824</v>
      </c>
      <c r="K3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3" spans="1:12">
      <c r="A323" t="s">
        <v>33</v>
      </c>
      <c r="B323" t="s">
        <v>32</v>
      </c>
      <c r="C323">
        <v>1</v>
      </c>
      <c r="D323">
        <v>2156</v>
      </c>
      <c r="E323">
        <v>1</v>
      </c>
      <c r="I323">
        <v>2937</v>
      </c>
      <c r="J323">
        <v>2937</v>
      </c>
      <c r="K3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4" spans="1:12">
      <c r="A324" t="s">
        <v>33</v>
      </c>
      <c r="B324" t="s">
        <v>32</v>
      </c>
      <c r="C324">
        <v>1</v>
      </c>
      <c r="D324">
        <v>1698</v>
      </c>
      <c r="E324">
        <v>0</v>
      </c>
      <c r="F324" t="s">
        <v>36</v>
      </c>
      <c r="G324">
        <v>2</v>
      </c>
      <c r="I324">
        <v>0</v>
      </c>
      <c r="J324">
        <f>DropAnalityka[[#This Row],[Sell Drop]]+IF(DropAnalityka[[#This Row],[Drop]]="Scroll", 2000*DropAnalityka[[#This Row],[Quality/Quantity]],0)</f>
        <v>4000</v>
      </c>
      <c r="K3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5" spans="1:12">
      <c r="A325" t="s">
        <v>33</v>
      </c>
      <c r="B325" t="s">
        <v>32</v>
      </c>
      <c r="C325">
        <v>1</v>
      </c>
      <c r="D325">
        <v>783</v>
      </c>
      <c r="E325">
        <v>0</v>
      </c>
      <c r="I325">
        <v>1834</v>
      </c>
      <c r="J325">
        <v>1834</v>
      </c>
      <c r="K3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6" spans="1:12">
      <c r="A326" t="s">
        <v>33</v>
      </c>
      <c r="B326" t="s">
        <v>32</v>
      </c>
      <c r="C326">
        <v>1</v>
      </c>
      <c r="D326">
        <v>1255</v>
      </c>
      <c r="E326">
        <v>0</v>
      </c>
      <c r="I326">
        <v>1834</v>
      </c>
      <c r="J326">
        <v>1834</v>
      </c>
      <c r="K3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7" spans="1:12">
      <c r="A327" t="s">
        <v>33</v>
      </c>
      <c r="B327" t="s">
        <v>32</v>
      </c>
      <c r="C327">
        <v>1</v>
      </c>
      <c r="D327">
        <v>1504</v>
      </c>
      <c r="E327">
        <v>1</v>
      </c>
      <c r="I327">
        <v>2937</v>
      </c>
      <c r="J327">
        <v>2937</v>
      </c>
      <c r="K3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8" spans="1:12">
      <c r="A328" t="s">
        <v>33</v>
      </c>
      <c r="B328" t="s">
        <v>32</v>
      </c>
      <c r="C328">
        <v>1</v>
      </c>
      <c r="D328">
        <v>1439</v>
      </c>
      <c r="E328">
        <v>0</v>
      </c>
      <c r="I328">
        <v>1834</v>
      </c>
      <c r="J328">
        <v>1834</v>
      </c>
      <c r="K3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9" spans="1:12">
      <c r="A329" t="s">
        <v>33</v>
      </c>
      <c r="B329" t="s">
        <v>32</v>
      </c>
      <c r="C329">
        <v>1</v>
      </c>
      <c r="D329">
        <v>1508</v>
      </c>
      <c r="E329">
        <v>1</v>
      </c>
      <c r="F329" t="s">
        <v>62</v>
      </c>
      <c r="G329" t="s">
        <v>13</v>
      </c>
      <c r="I329">
        <v>0</v>
      </c>
      <c r="J329">
        <v>0</v>
      </c>
      <c r="K3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3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30" spans="1:12">
      <c r="A330" t="s">
        <v>33</v>
      </c>
      <c r="B330" t="s">
        <v>32</v>
      </c>
      <c r="C330">
        <v>1</v>
      </c>
      <c r="D330">
        <v>2502</v>
      </c>
      <c r="E330">
        <v>2</v>
      </c>
      <c r="F330" t="s">
        <v>62</v>
      </c>
      <c r="G330" t="s">
        <v>13</v>
      </c>
      <c r="I330">
        <v>0</v>
      </c>
      <c r="J330">
        <v>0</v>
      </c>
      <c r="K3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3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31" spans="1:12">
      <c r="A331" t="s">
        <v>33</v>
      </c>
      <c r="B331" t="s">
        <v>32</v>
      </c>
      <c r="C331">
        <v>1</v>
      </c>
      <c r="D331">
        <v>1786</v>
      </c>
      <c r="E331">
        <v>1</v>
      </c>
      <c r="I331">
        <v>1834</v>
      </c>
      <c r="J331">
        <v>1834</v>
      </c>
      <c r="K3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2" spans="1:12">
      <c r="A332" t="s">
        <v>33</v>
      </c>
      <c r="B332" t="s">
        <v>32</v>
      </c>
      <c r="C332">
        <v>1</v>
      </c>
      <c r="D332">
        <v>1673</v>
      </c>
      <c r="E332">
        <v>3</v>
      </c>
      <c r="I332">
        <v>2280</v>
      </c>
      <c r="J332">
        <v>2280</v>
      </c>
      <c r="K3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3" spans="1:12">
      <c r="A333" t="s">
        <v>33</v>
      </c>
      <c r="B333" t="s">
        <v>32</v>
      </c>
      <c r="C333">
        <v>2</v>
      </c>
      <c r="D333">
        <v>1387</v>
      </c>
      <c r="E333">
        <v>1</v>
      </c>
      <c r="I333">
        <v>2080</v>
      </c>
      <c r="J333">
        <v>2080</v>
      </c>
      <c r="K3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4" spans="1:12">
      <c r="A334" t="s">
        <v>204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v>3168</v>
      </c>
      <c r="K3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5" spans="1:12">
      <c r="A335" t="s">
        <v>40</v>
      </c>
      <c r="B335" t="s">
        <v>9</v>
      </c>
      <c r="C335">
        <v>5</v>
      </c>
      <c r="D335">
        <v>1000</v>
      </c>
      <c r="E335">
        <v>0</v>
      </c>
      <c r="F335" t="s">
        <v>65</v>
      </c>
      <c r="G335">
        <v>1</v>
      </c>
      <c r="K3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6" spans="1:12">
      <c r="A336" t="s">
        <v>206</v>
      </c>
      <c r="B336" t="s">
        <v>9</v>
      </c>
      <c r="C336">
        <v>5</v>
      </c>
      <c r="D336">
        <v>1000</v>
      </c>
      <c r="E336">
        <v>0</v>
      </c>
      <c r="F336" t="s">
        <v>205</v>
      </c>
      <c r="G336">
        <v>5</v>
      </c>
      <c r="K3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7" spans="1:12">
      <c r="A337" t="s">
        <v>8</v>
      </c>
      <c r="B337" t="s">
        <v>34</v>
      </c>
      <c r="C337">
        <v>3</v>
      </c>
      <c r="D337">
        <v>1659</v>
      </c>
      <c r="E337">
        <v>4</v>
      </c>
      <c r="I337">
        <v>2067</v>
      </c>
      <c r="J337">
        <v>2067</v>
      </c>
      <c r="K3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8" spans="1:12">
      <c r="A338" t="s">
        <v>8</v>
      </c>
      <c r="B338" t="s">
        <v>34</v>
      </c>
      <c r="C338">
        <v>3</v>
      </c>
      <c r="D338">
        <v>1881</v>
      </c>
      <c r="E338">
        <v>1</v>
      </c>
      <c r="I338">
        <v>1159</v>
      </c>
      <c r="J338">
        <v>1159</v>
      </c>
      <c r="K3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9" spans="1:12">
      <c r="A339" t="s">
        <v>8</v>
      </c>
      <c r="B339" t="s">
        <v>34</v>
      </c>
      <c r="C339">
        <v>3</v>
      </c>
      <c r="D339">
        <v>2446</v>
      </c>
      <c r="E339">
        <v>1</v>
      </c>
      <c r="I339">
        <v>1159</v>
      </c>
      <c r="J339">
        <v>1159</v>
      </c>
      <c r="K3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0" spans="1:12">
      <c r="A340" t="s">
        <v>8</v>
      </c>
      <c r="B340" t="s">
        <v>34</v>
      </c>
      <c r="C340">
        <v>3</v>
      </c>
      <c r="D340">
        <v>1899</v>
      </c>
      <c r="E340">
        <v>0</v>
      </c>
      <c r="I340">
        <v>1352</v>
      </c>
      <c r="J340">
        <v>1352</v>
      </c>
      <c r="K3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1" spans="1:12">
      <c r="A341" t="s">
        <v>8</v>
      </c>
      <c r="B341" t="s">
        <v>34</v>
      </c>
      <c r="C341">
        <v>3</v>
      </c>
      <c r="D341">
        <v>1480</v>
      </c>
      <c r="E341">
        <v>1</v>
      </c>
      <c r="I341">
        <v>1159</v>
      </c>
      <c r="J341">
        <v>1159</v>
      </c>
      <c r="K3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2" spans="1:12">
      <c r="A342" t="s">
        <v>8</v>
      </c>
      <c r="B342" t="s">
        <v>34</v>
      </c>
      <c r="C342">
        <v>3</v>
      </c>
      <c r="D342">
        <v>1725</v>
      </c>
      <c r="E342">
        <v>2</v>
      </c>
      <c r="I342">
        <v>1159</v>
      </c>
      <c r="J342">
        <v>1159</v>
      </c>
      <c r="K3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3" spans="1:12">
      <c r="A343" t="s">
        <v>8</v>
      </c>
      <c r="B343" t="s">
        <v>34</v>
      </c>
      <c r="C343">
        <v>3</v>
      </c>
      <c r="D343">
        <v>1343</v>
      </c>
      <c r="E343">
        <v>0</v>
      </c>
      <c r="F343" t="s">
        <v>36</v>
      </c>
      <c r="G343">
        <v>3</v>
      </c>
      <c r="I343">
        <v>0</v>
      </c>
      <c r="J343">
        <f>DropAnalityka[[#This Row],[Sell Drop]]+IF(DropAnalityka[[#This Row],[Drop]]="Scroll", 2000*DropAnalityka[[#This Row],[Quality/Quantity]],0)</f>
        <v>6000</v>
      </c>
      <c r="K3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4" spans="1:12">
      <c r="A344" t="s">
        <v>8</v>
      </c>
      <c r="B344" t="s">
        <v>34</v>
      </c>
      <c r="C344">
        <v>3</v>
      </c>
      <c r="D344">
        <v>2733</v>
      </c>
      <c r="E344">
        <v>0</v>
      </c>
      <c r="I344">
        <v>1159</v>
      </c>
      <c r="J344">
        <v>1159</v>
      </c>
      <c r="K3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5" spans="1:12">
      <c r="A345" t="s">
        <v>8</v>
      </c>
      <c r="B345" t="s">
        <v>34</v>
      </c>
      <c r="C345">
        <v>3</v>
      </c>
      <c r="D345">
        <v>2196</v>
      </c>
      <c r="E345">
        <v>0</v>
      </c>
      <c r="I345">
        <v>1159</v>
      </c>
      <c r="J345">
        <v>1159</v>
      </c>
      <c r="K3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6" spans="1:12">
      <c r="A346" t="s">
        <v>8</v>
      </c>
      <c r="B346" t="s">
        <v>34</v>
      </c>
      <c r="C346">
        <v>3</v>
      </c>
      <c r="D346">
        <v>1326</v>
      </c>
      <c r="E346">
        <v>0</v>
      </c>
      <c r="I346">
        <v>1159</v>
      </c>
      <c r="J346">
        <v>1159</v>
      </c>
      <c r="K3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7" spans="1:12">
      <c r="A347" t="s">
        <v>8</v>
      </c>
      <c r="B347" t="s">
        <v>34</v>
      </c>
      <c r="C347">
        <v>3</v>
      </c>
      <c r="D347">
        <v>2012</v>
      </c>
      <c r="E347">
        <v>0</v>
      </c>
      <c r="F347" t="s">
        <v>175</v>
      </c>
      <c r="I347">
        <v>0</v>
      </c>
      <c r="J347">
        <v>0</v>
      </c>
      <c r="K3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8" spans="1:12">
      <c r="A348" t="s">
        <v>8</v>
      </c>
      <c r="B348" t="s">
        <v>34</v>
      </c>
      <c r="C348">
        <v>3</v>
      </c>
      <c r="D348">
        <v>1970</v>
      </c>
      <c r="E348">
        <v>1</v>
      </c>
      <c r="I348">
        <v>1546</v>
      </c>
      <c r="J348">
        <v>1546</v>
      </c>
      <c r="K3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9" spans="1:12">
      <c r="A349" t="s">
        <v>8</v>
      </c>
      <c r="B349" t="s">
        <v>34</v>
      </c>
      <c r="C349">
        <v>3</v>
      </c>
      <c r="D349">
        <v>779</v>
      </c>
      <c r="E349">
        <v>1</v>
      </c>
      <c r="F349" t="s">
        <v>36</v>
      </c>
      <c r="G349">
        <v>3</v>
      </c>
      <c r="I349">
        <v>0</v>
      </c>
      <c r="J349">
        <f>DropAnalityka[[#This Row],[Sell Drop]]+IF(DropAnalityka[[#This Row],[Drop]]="Scroll", 2000*DropAnalityka[[#This Row],[Quality/Quantity]],0)</f>
        <v>6000</v>
      </c>
      <c r="K3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0" spans="1:12">
      <c r="A350" t="s">
        <v>8</v>
      </c>
      <c r="B350" t="s">
        <v>34</v>
      </c>
      <c r="C350">
        <v>3</v>
      </c>
      <c r="D350">
        <v>2074</v>
      </c>
      <c r="E350">
        <v>1</v>
      </c>
      <c r="I350">
        <v>1159</v>
      </c>
      <c r="J350">
        <v>1159</v>
      </c>
      <c r="K3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1" spans="1:12">
      <c r="A351" t="s">
        <v>8</v>
      </c>
      <c r="B351" t="s">
        <v>34</v>
      </c>
      <c r="C351">
        <v>3</v>
      </c>
      <c r="D351">
        <v>1672</v>
      </c>
      <c r="E351">
        <v>0</v>
      </c>
      <c r="I351">
        <v>1159</v>
      </c>
      <c r="J351">
        <v>1159</v>
      </c>
      <c r="K3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2" spans="1:12">
      <c r="A352" t="s">
        <v>8</v>
      </c>
      <c r="B352" t="s">
        <v>34</v>
      </c>
      <c r="C352">
        <v>3</v>
      </c>
      <c r="D352">
        <v>823</v>
      </c>
      <c r="E352">
        <v>0</v>
      </c>
      <c r="I352">
        <v>1159</v>
      </c>
      <c r="J352">
        <v>1159</v>
      </c>
      <c r="K3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3" spans="1:12">
      <c r="A353" t="s">
        <v>8</v>
      </c>
      <c r="B353" t="s">
        <v>34</v>
      </c>
      <c r="C353">
        <v>3</v>
      </c>
      <c r="D353">
        <v>1454</v>
      </c>
      <c r="E353">
        <v>3</v>
      </c>
      <c r="I353">
        <v>1159</v>
      </c>
      <c r="J353">
        <v>1159</v>
      </c>
      <c r="K3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4" spans="1:12">
      <c r="A354" t="s">
        <v>8</v>
      </c>
      <c r="B354" t="s">
        <v>34</v>
      </c>
      <c r="C354">
        <v>3</v>
      </c>
      <c r="D354">
        <v>1264</v>
      </c>
      <c r="E354">
        <v>2</v>
      </c>
      <c r="F354" t="s">
        <v>36</v>
      </c>
      <c r="G354">
        <v>3</v>
      </c>
      <c r="I354">
        <v>0</v>
      </c>
      <c r="J354">
        <f>DropAnalityka[[#This Row],[Sell Drop]]+IF(DropAnalityka[[#This Row],[Drop]]="Scroll", 2000*DropAnalityka[[#This Row],[Quality/Quantity]],0)</f>
        <v>6000</v>
      </c>
      <c r="K3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5" spans="1:12">
      <c r="A355" t="s">
        <v>8</v>
      </c>
      <c r="B355" t="s">
        <v>34</v>
      </c>
      <c r="C355">
        <v>3</v>
      </c>
      <c r="D355">
        <v>1755</v>
      </c>
      <c r="E355">
        <v>0</v>
      </c>
      <c r="I355">
        <v>2757</v>
      </c>
      <c r="J355">
        <v>2757</v>
      </c>
      <c r="K3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6" spans="1:12">
      <c r="A356" t="s">
        <v>33</v>
      </c>
      <c r="B356" t="s">
        <v>32</v>
      </c>
      <c r="C356">
        <v>1</v>
      </c>
      <c r="D356">
        <v>1277</v>
      </c>
      <c r="E356">
        <v>1</v>
      </c>
      <c r="I356">
        <v>1824</v>
      </c>
      <c r="J356">
        <v>1824</v>
      </c>
      <c r="K3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7" spans="1:12">
      <c r="A357" t="s">
        <v>33</v>
      </c>
      <c r="B357" t="s">
        <v>32</v>
      </c>
      <c r="C357">
        <v>1</v>
      </c>
      <c r="D357">
        <v>2049</v>
      </c>
      <c r="E357">
        <v>0</v>
      </c>
      <c r="I357">
        <v>2937</v>
      </c>
      <c r="J357">
        <v>2937</v>
      </c>
      <c r="K3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8" spans="1:12">
      <c r="A358" t="s">
        <v>33</v>
      </c>
      <c r="B358" t="s">
        <v>32</v>
      </c>
      <c r="C358">
        <v>1</v>
      </c>
      <c r="D358">
        <v>1892</v>
      </c>
      <c r="E358">
        <v>1</v>
      </c>
      <c r="I358">
        <v>3400</v>
      </c>
      <c r="J358">
        <v>3400</v>
      </c>
      <c r="K3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9" spans="1:12">
      <c r="A359" t="s">
        <v>33</v>
      </c>
      <c r="B359" t="s">
        <v>32</v>
      </c>
      <c r="C359">
        <v>1</v>
      </c>
      <c r="D359">
        <v>2348</v>
      </c>
      <c r="E359">
        <v>0</v>
      </c>
      <c r="I359">
        <v>1824</v>
      </c>
      <c r="J359">
        <v>1824</v>
      </c>
      <c r="K3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0" spans="1:12">
      <c r="A360" t="s">
        <v>33</v>
      </c>
      <c r="B360" t="s">
        <v>32</v>
      </c>
      <c r="C360">
        <v>1</v>
      </c>
      <c r="D360">
        <v>1998</v>
      </c>
      <c r="E360">
        <v>1</v>
      </c>
      <c r="F360" t="s">
        <v>36</v>
      </c>
      <c r="G360">
        <v>2</v>
      </c>
      <c r="I360">
        <v>0</v>
      </c>
      <c r="J360">
        <f>DropAnalityka[[#This Row],[Sell Drop]]+IF(DropAnalityka[[#This Row],[Drop]]="Scroll", 2000*DropAnalityka[[#This Row],[Quality/Quantity]],0)</f>
        <v>4000</v>
      </c>
      <c r="K3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1" spans="1:12">
      <c r="A361" t="s">
        <v>33</v>
      </c>
      <c r="B361" t="s">
        <v>32</v>
      </c>
      <c r="C361">
        <v>1</v>
      </c>
      <c r="D361">
        <v>1962</v>
      </c>
      <c r="E361">
        <v>1</v>
      </c>
      <c r="I361">
        <v>1824</v>
      </c>
      <c r="J361">
        <v>1824</v>
      </c>
      <c r="K3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2" spans="1:12">
      <c r="A362" t="s">
        <v>33</v>
      </c>
      <c r="B362" t="s">
        <v>32</v>
      </c>
      <c r="C362">
        <v>1</v>
      </c>
      <c r="D362">
        <v>2010</v>
      </c>
      <c r="E362">
        <v>1</v>
      </c>
      <c r="I362">
        <v>1824</v>
      </c>
      <c r="J362">
        <v>1824</v>
      </c>
      <c r="K3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3" spans="1:12">
      <c r="A363" t="s">
        <v>33</v>
      </c>
      <c r="B363" t="s">
        <v>32</v>
      </c>
      <c r="C363">
        <v>1</v>
      </c>
      <c r="D363">
        <v>1676</v>
      </c>
      <c r="E363">
        <v>1</v>
      </c>
      <c r="I363">
        <v>1976</v>
      </c>
      <c r="J363">
        <v>1976</v>
      </c>
      <c r="K3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4" spans="1:12">
      <c r="A364" t="s">
        <v>33</v>
      </c>
      <c r="B364" t="s">
        <v>32</v>
      </c>
      <c r="C364">
        <v>1</v>
      </c>
      <c r="D364">
        <v>709</v>
      </c>
      <c r="E364">
        <v>0</v>
      </c>
      <c r="F364" t="s">
        <v>36</v>
      </c>
      <c r="I364">
        <v>0</v>
      </c>
      <c r="J364">
        <f>DropAnalityka[[#This Row],[Sell Drop]]+IF(DropAnalityka[[#This Row],[Drop]]="Scroll", 2000*DropAnalityka[[#This Row],[Quality/Quantity]],0)</f>
        <v>0</v>
      </c>
      <c r="K3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5" spans="1:12">
      <c r="A365" t="s">
        <v>33</v>
      </c>
      <c r="B365" t="s">
        <v>32</v>
      </c>
      <c r="C365">
        <v>1</v>
      </c>
      <c r="D365">
        <v>2619</v>
      </c>
      <c r="E365">
        <v>1</v>
      </c>
      <c r="I365">
        <v>1834</v>
      </c>
      <c r="J365">
        <v>1834</v>
      </c>
      <c r="K3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6" spans="1:12">
      <c r="A366" t="s">
        <v>33</v>
      </c>
      <c r="B366" t="s">
        <v>32</v>
      </c>
      <c r="C366">
        <v>1</v>
      </c>
      <c r="D366">
        <v>1880</v>
      </c>
      <c r="E366">
        <v>0</v>
      </c>
      <c r="I366">
        <v>1834</v>
      </c>
      <c r="J366">
        <v>1834</v>
      </c>
      <c r="K3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7" spans="1:12">
      <c r="A367" t="s">
        <v>204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v>3100</v>
      </c>
      <c r="K3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8" spans="1:12">
      <c r="A368" t="s">
        <v>204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v>1300</v>
      </c>
      <c r="K3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9" spans="1:12">
      <c r="A369" t="s">
        <v>204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v>1649</v>
      </c>
      <c r="K3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0" spans="1:12">
      <c r="A370" t="s">
        <v>204</v>
      </c>
      <c r="B370" t="s">
        <v>9</v>
      </c>
      <c r="C370">
        <v>5</v>
      </c>
      <c r="D370">
        <v>2547</v>
      </c>
      <c r="E370">
        <v>2</v>
      </c>
      <c r="F370" t="s">
        <v>175</v>
      </c>
      <c r="I370">
        <v>0</v>
      </c>
      <c r="J370">
        <v>0</v>
      </c>
      <c r="K3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1" spans="1:12">
      <c r="A371" t="s">
        <v>204</v>
      </c>
      <c r="B371" t="s">
        <v>9</v>
      </c>
      <c r="C371">
        <v>5</v>
      </c>
      <c r="D371">
        <v>2230</v>
      </c>
      <c r="E371">
        <v>2</v>
      </c>
      <c r="F371" t="s">
        <v>36</v>
      </c>
      <c r="G371">
        <v>2</v>
      </c>
      <c r="I371">
        <v>0</v>
      </c>
      <c r="J371">
        <f>DropAnalityka[[#This Row],[Sell Drop]]+IF(DropAnalityka[[#This Row],[Drop]]="Scroll", 2000*DropAnalityka[[#This Row],[Quality/Quantity]],0)</f>
        <v>4000</v>
      </c>
      <c r="K3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2" spans="1:12">
      <c r="A372" t="s">
        <v>204</v>
      </c>
      <c r="B372" t="s">
        <v>9</v>
      </c>
      <c r="C372">
        <v>5</v>
      </c>
      <c r="D372">
        <v>2500</v>
      </c>
      <c r="E372">
        <v>2</v>
      </c>
      <c r="F372" t="s">
        <v>36</v>
      </c>
      <c r="G372">
        <v>3</v>
      </c>
      <c r="I372">
        <v>0</v>
      </c>
      <c r="J372">
        <f>DropAnalityka[[#This Row],[Sell Drop]]+IF(DropAnalityka[[#This Row],[Drop]]="Scroll", 2000*DropAnalityka[[#This Row],[Quality/Quantity]],0)</f>
        <v>6000</v>
      </c>
      <c r="K3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3" spans="1:12">
      <c r="A373" t="s">
        <v>204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v>8882</v>
      </c>
      <c r="K3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4" spans="1:12">
      <c r="A374" t="s">
        <v>204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v>4134</v>
      </c>
      <c r="K3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5" spans="1:12">
      <c r="A375" t="s">
        <v>204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v>6615</v>
      </c>
      <c r="K3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6" spans="1:12">
      <c r="A376" t="s">
        <v>204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v>13770</v>
      </c>
      <c r="K3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7" spans="1:12">
      <c r="A377" t="s">
        <v>204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v>4134</v>
      </c>
      <c r="K3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8" spans="1:12">
      <c r="A378" t="s">
        <v>204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v>3720</v>
      </c>
      <c r="K3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9" spans="1:12">
      <c r="A379" t="s">
        <v>204</v>
      </c>
      <c r="B379" t="s">
        <v>9</v>
      </c>
      <c r="C379">
        <v>5</v>
      </c>
      <c r="D379">
        <v>2105</v>
      </c>
      <c r="E379">
        <v>0</v>
      </c>
      <c r="F379" t="s">
        <v>36</v>
      </c>
      <c r="G379">
        <v>3</v>
      </c>
      <c r="I379">
        <v>0</v>
      </c>
      <c r="J379">
        <f>DropAnalityka[[#This Row],[Sell Drop]]+IF(DropAnalityka[[#This Row],[Drop]]="Scroll", 2000*DropAnalityka[[#This Row],[Quality/Quantity]],0)</f>
        <v>6000</v>
      </c>
      <c r="K3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0" spans="1:12">
      <c r="A380" t="s">
        <v>204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v>2067</v>
      </c>
      <c r="K3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1" spans="1:12">
      <c r="A381" t="s">
        <v>204</v>
      </c>
      <c r="B381" t="s">
        <v>9</v>
      </c>
      <c r="C381">
        <v>5</v>
      </c>
      <c r="D381">
        <v>2236</v>
      </c>
      <c r="E381">
        <v>1</v>
      </c>
      <c r="F381" t="s">
        <v>36</v>
      </c>
      <c r="G381">
        <v>4</v>
      </c>
      <c r="I381">
        <v>0</v>
      </c>
      <c r="J381">
        <f>DropAnalityka[[#This Row],[Sell Drop]]+IF(DropAnalityka[[#This Row],[Drop]]="Scroll", 2000*DropAnalityka[[#This Row],[Quality/Quantity]],0)</f>
        <v>8000</v>
      </c>
      <c r="K3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2" spans="1:12">
      <c r="A382" t="s">
        <v>204</v>
      </c>
      <c r="B382" t="s">
        <v>9</v>
      </c>
      <c r="C382">
        <v>5</v>
      </c>
      <c r="D382">
        <v>2339</v>
      </c>
      <c r="E382">
        <v>3</v>
      </c>
      <c r="F382" t="s">
        <v>36</v>
      </c>
      <c r="G382">
        <v>4</v>
      </c>
      <c r="I382">
        <v>0</v>
      </c>
      <c r="J382">
        <f>DropAnalityka[[#This Row],[Sell Drop]]+IF(DropAnalityka[[#This Row],[Drop]]="Scroll", 2000*DropAnalityka[[#This Row],[Quality/Quantity]],0)</f>
        <v>8000</v>
      </c>
      <c r="K3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3" spans="1:12">
      <c r="A383" t="s">
        <v>8</v>
      </c>
      <c r="B383" t="s">
        <v>34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Drop]]+IF(DropAnalityka[[#This Row],[Drop]]="Scroll", 2000*DropAnalityka[[#This Row],[Quality/Quantity]],0)</f>
        <v>1159</v>
      </c>
      <c r="K3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4" spans="1:12">
      <c r="A384" t="s">
        <v>8</v>
      </c>
      <c r="B384" t="s">
        <v>34</v>
      </c>
      <c r="C384">
        <v>3</v>
      </c>
      <c r="D384">
        <v>1382</v>
      </c>
      <c r="E384">
        <v>1</v>
      </c>
      <c r="F384" t="s">
        <v>36</v>
      </c>
      <c r="G384">
        <v>3</v>
      </c>
      <c r="I384">
        <v>0</v>
      </c>
      <c r="J384">
        <f>DropAnalityka[[#This Row],[Sell Drop]]+IF(DropAnalityka[[#This Row],[Drop]]="Scroll", 2000*DropAnalityka[[#This Row],[Quality/Quantity]],0)</f>
        <v>6000</v>
      </c>
      <c r="K3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5" spans="1:12">
      <c r="A385" t="s">
        <v>8</v>
      </c>
      <c r="B385" t="s">
        <v>34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Drop]]+IF(DropAnalityka[[#This Row],[Drop]]="Scroll", 2000*DropAnalityka[[#This Row],[Quality/Quantity]],0)</f>
        <v>1159</v>
      </c>
      <c r="K3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6" spans="1:12">
      <c r="A386" t="s">
        <v>8</v>
      </c>
      <c r="B386" t="s">
        <v>34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Drop]]+IF(DropAnalityka[[#This Row],[Drop]]="Scroll", 2000*DropAnalityka[[#This Row],[Quality/Quantity]],0)</f>
        <v>1159</v>
      </c>
      <c r="K3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7" spans="1:12">
      <c r="A387" t="s">
        <v>8</v>
      </c>
      <c r="B387" t="s">
        <v>34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Drop]]+IF(DropAnalityka[[#This Row],[Drop]]="Scroll", 2000*DropAnalityka[[#This Row],[Quality/Quantity]],0)</f>
        <v>1159</v>
      </c>
      <c r="K3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8" spans="1:12">
      <c r="A388" t="s">
        <v>8</v>
      </c>
      <c r="B388" t="s">
        <v>34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Drop]]+IF(DropAnalityka[[#This Row],[Drop]]="Scroll", 2000*DropAnalityka[[#This Row],[Quality/Quantity]],0)</f>
        <v>2067</v>
      </c>
      <c r="K3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9" spans="1:12">
      <c r="A389" t="s">
        <v>8</v>
      </c>
      <c r="B389" t="s">
        <v>34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Drop]]+IF(DropAnalityka[[#This Row],[Drop]]="Scroll", 2000*DropAnalityka[[#This Row],[Quality/Quantity]],0)</f>
        <v>2067</v>
      </c>
      <c r="K3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0" spans="1:12">
      <c r="A390" t="s">
        <v>8</v>
      </c>
      <c r="B390" t="s">
        <v>34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Drop]]+IF(DropAnalityka[[#This Row],[Drop]]="Scroll", 2000*DropAnalityka[[#This Row],[Quality/Quantity]],0)</f>
        <v>1159</v>
      </c>
      <c r="K3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1" spans="1:12">
      <c r="A391" t="s">
        <v>8</v>
      </c>
      <c r="B391" t="s">
        <v>34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Drop]]+IF(DropAnalityka[[#This Row],[Drop]]="Scroll", 2000*DropAnalityka[[#This Row],[Quality/Quantity]],0)</f>
        <v>1159</v>
      </c>
      <c r="K3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2" spans="1:12">
      <c r="A392" t="s">
        <v>8</v>
      </c>
      <c r="B392" t="s">
        <v>34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Drop]]+IF(DropAnalityka[[#This Row],[Drop]]="Scroll", 2000*DropAnalityka[[#This Row],[Quality/Quantity]],0)</f>
        <v>1546</v>
      </c>
      <c r="K3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3" spans="1:12">
      <c r="A393" t="s">
        <v>8</v>
      </c>
      <c r="B393" t="s">
        <v>34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Drop]]+IF(DropAnalityka[[#This Row],[Drop]]="Scroll", 2000*DropAnalityka[[#This Row],[Quality/Quantity]],0)</f>
        <v>1159</v>
      </c>
      <c r="K3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4" spans="1:12">
      <c r="A394" t="s">
        <v>8</v>
      </c>
      <c r="B394" t="s">
        <v>34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Drop]]+IF(DropAnalityka[[#This Row],[Drop]]="Scroll", 2000*DropAnalityka[[#This Row],[Quality/Quantity]],0)</f>
        <v>1352</v>
      </c>
      <c r="K3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5" spans="1:12">
      <c r="A395" t="s">
        <v>8</v>
      </c>
      <c r="B395" t="s">
        <v>34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Drop]]+IF(DropAnalityka[[#This Row],[Drop]]="Scroll", 2000*DropAnalityka[[#This Row],[Quality/Quantity]],0)</f>
        <v>2067</v>
      </c>
      <c r="K3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6" spans="1:12">
      <c r="A396" t="s">
        <v>8</v>
      </c>
      <c r="B396" t="s">
        <v>34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Drop]]+IF(DropAnalityka[[#This Row],[Drop]]="Scroll", 2000*DropAnalityka[[#This Row],[Quality/Quantity]],0)</f>
        <v>1546</v>
      </c>
      <c r="K3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7" spans="1:12">
      <c r="A397" t="s">
        <v>8</v>
      </c>
      <c r="B397" t="s">
        <v>34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Drop]]+IF(DropAnalityka[[#This Row],[Drop]]="Scroll", 2000*DropAnalityka[[#This Row],[Quality/Quantity]],0)</f>
        <v>2067</v>
      </c>
      <c r="K3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8" spans="1:12">
      <c r="A398" t="s">
        <v>8</v>
      </c>
      <c r="B398" t="s">
        <v>34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Drop]]+IF(DropAnalityka[[#This Row],[Drop]]="Scroll", 2000*DropAnalityka[[#This Row],[Quality/Quantity]],0)</f>
        <v>1159</v>
      </c>
      <c r="K3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9" spans="1:12">
      <c r="A399" t="s">
        <v>8</v>
      </c>
      <c r="B399" t="s">
        <v>34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Drop]]+IF(DropAnalityka[[#This Row],[Drop]]="Scroll", 2000*DropAnalityka[[#This Row],[Quality/Quantity]],0)</f>
        <v>1352</v>
      </c>
      <c r="K3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0" spans="1:12">
      <c r="A400" t="s">
        <v>8</v>
      </c>
      <c r="B400" t="s">
        <v>34</v>
      </c>
      <c r="C400">
        <v>3</v>
      </c>
      <c r="D400">
        <v>1853</v>
      </c>
      <c r="E400">
        <v>0</v>
      </c>
      <c r="F400" t="s">
        <v>36</v>
      </c>
      <c r="G400">
        <v>3</v>
      </c>
      <c r="I400">
        <v>0</v>
      </c>
      <c r="J400">
        <f>DropAnalityka[[#This Row],[Sell Drop]]+IF(DropAnalityka[[#This Row],[Drop]]="Scroll", 2000*DropAnalityka[[#This Row],[Quality/Quantity]],0)</f>
        <v>6000</v>
      </c>
      <c r="K4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1" spans="1:12">
      <c r="A401" t="s">
        <v>8</v>
      </c>
      <c r="B401" t="s">
        <v>34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Drop]]+IF(DropAnalityka[[#This Row],[Drop]]="Scroll", 2000*DropAnalityka[[#This Row],[Quality/Quantity]],0)</f>
        <v>1159</v>
      </c>
      <c r="K4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2" spans="1:12">
      <c r="A402" t="s">
        <v>8</v>
      </c>
      <c r="B402" t="s">
        <v>34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Drop]]+IF(DropAnalityka[[#This Row],[Drop]]="Scroll", 2000*DropAnalityka[[#This Row],[Quality/Quantity]],0)</f>
        <v>1546</v>
      </c>
      <c r="K4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3" spans="1:12">
      <c r="A403" t="s">
        <v>8</v>
      </c>
      <c r="B403" t="s">
        <v>34</v>
      </c>
      <c r="C403">
        <v>3</v>
      </c>
      <c r="D403">
        <v>824</v>
      </c>
      <c r="E403">
        <v>0</v>
      </c>
      <c r="F403" t="s">
        <v>36</v>
      </c>
      <c r="G403">
        <v>3</v>
      </c>
      <c r="I403">
        <v>0</v>
      </c>
      <c r="J403">
        <f>DropAnalityka[[#This Row],[Sell Drop]]+IF(DropAnalityka[[#This Row],[Drop]]="Scroll", 2000*DropAnalityka[[#This Row],[Quality/Quantity]],0)</f>
        <v>6000</v>
      </c>
      <c r="K4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4" spans="1:12">
      <c r="A404" t="s">
        <v>8</v>
      </c>
      <c r="B404" t="s">
        <v>34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Drop]]+IF(DropAnalityka[[#This Row],[Drop]]="Scroll", 2000*DropAnalityka[[#This Row],[Quality/Quantity]],0)</f>
        <v>1159</v>
      </c>
      <c r="K4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5" spans="1:12">
      <c r="A405" t="s">
        <v>8</v>
      </c>
      <c r="B405" t="s">
        <v>34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Drop]]+IF(DropAnalityka[[#This Row],[Drop]]="Scroll", 2000*DropAnalityka[[#This Row],[Quality/Quantity]],0)</f>
        <v>1159</v>
      </c>
      <c r="K4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6" spans="1:12">
      <c r="A406" t="s">
        <v>8</v>
      </c>
      <c r="B406" t="s">
        <v>34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Drop]]+IF(DropAnalityka[[#This Row],[Drop]]="Scroll", 2000*DropAnalityka[[#This Row],[Quality/Quantity]],0)</f>
        <v>2067</v>
      </c>
      <c r="K4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7" spans="1:12">
      <c r="A407" t="s">
        <v>8</v>
      </c>
      <c r="B407" t="s">
        <v>34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Drop]]+IF(DropAnalityka[[#This Row],[Drop]]="Scroll", 2000*DropAnalityka[[#This Row],[Quality/Quantity]],0)</f>
        <v>1159</v>
      </c>
      <c r="K4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8" spans="1:12">
      <c r="A408" t="s">
        <v>8</v>
      </c>
      <c r="B408" t="s">
        <v>34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Drop]]+IF(DropAnalityka[[#This Row],[Drop]]="Scroll", 2000*DropAnalityka[[#This Row],[Quality/Quantity]],0)</f>
        <v>1159</v>
      </c>
      <c r="K4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9" spans="1:12">
      <c r="A409" t="s">
        <v>8</v>
      </c>
      <c r="B409" t="s">
        <v>34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Drop]]+IF(DropAnalityka[[#This Row],[Drop]]="Scroll", 2000*DropAnalityka[[#This Row],[Quality/Quantity]],0)</f>
        <v>1352</v>
      </c>
      <c r="K4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0" spans="1:12">
      <c r="A410" t="s">
        <v>8</v>
      </c>
      <c r="B410" t="s">
        <v>34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Drop]]+IF(DropAnalityka[[#This Row],[Drop]]="Scroll", 2000*DropAnalityka[[#This Row],[Quality/Quantity]],0)</f>
        <v>1739</v>
      </c>
      <c r="K4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1" spans="1:12">
      <c r="A411" t="s">
        <v>8</v>
      </c>
      <c r="B411" t="s">
        <v>34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Drop]]+IF(DropAnalityka[[#This Row],[Drop]]="Scroll", 2000*DropAnalityka[[#This Row],[Quality/Quantity]],0)</f>
        <v>1159</v>
      </c>
      <c r="K4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2" spans="1:12">
      <c r="A412" t="s">
        <v>8</v>
      </c>
      <c r="B412" t="s">
        <v>34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Drop]]+IF(DropAnalityka[[#This Row],[Drop]]="Scroll", 2000*DropAnalityka[[#This Row],[Quality/Quantity]],0)</f>
        <v>1159</v>
      </c>
      <c r="K4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3" spans="1:12">
      <c r="A413" t="s">
        <v>8</v>
      </c>
      <c r="B413" t="s">
        <v>34</v>
      </c>
      <c r="C413">
        <v>3</v>
      </c>
      <c r="D413">
        <v>2474</v>
      </c>
      <c r="E413">
        <v>0</v>
      </c>
      <c r="F413" t="s">
        <v>36</v>
      </c>
      <c r="G413">
        <v>3</v>
      </c>
      <c r="I413">
        <v>0</v>
      </c>
      <c r="J413">
        <f>DropAnalityka[[#This Row],[Sell Drop]]+IF(DropAnalityka[[#This Row],[Drop]]="Scroll", 2000*DropAnalityka[[#This Row],[Quality/Quantity]],0)</f>
        <v>6000</v>
      </c>
      <c r="K4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4" spans="1:12">
      <c r="A414" t="s">
        <v>8</v>
      </c>
      <c r="B414" t="s">
        <v>34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Drop]]+IF(DropAnalityka[[#This Row],[Drop]]="Scroll", 2000*DropAnalityka[[#This Row],[Quality/Quantity]],0)</f>
        <v>1352</v>
      </c>
      <c r="K4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5" spans="1:12">
      <c r="A415" t="s">
        <v>8</v>
      </c>
      <c r="B415" t="s">
        <v>34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Drop]]+IF(DropAnalityka[[#This Row],[Drop]]="Scroll", 2000*DropAnalityka[[#This Row],[Quality/Quantity]],0)</f>
        <v>1159</v>
      </c>
      <c r="K4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6" spans="1:12">
      <c r="A416" t="s">
        <v>8</v>
      </c>
      <c r="B416" t="s">
        <v>34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Drop]]+IF(DropAnalityka[[#This Row],[Drop]]="Scroll", 2000*DropAnalityka[[#This Row],[Quality/Quantity]],0)</f>
        <v>1159</v>
      </c>
      <c r="K4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7" spans="1:12">
      <c r="A417" t="s">
        <v>8</v>
      </c>
      <c r="B417" t="s">
        <v>34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Drop]]+IF(DropAnalityka[[#This Row],[Drop]]="Scroll", 2000*DropAnalityka[[#This Row],[Quality/Quantity]],0)</f>
        <v>2750</v>
      </c>
      <c r="K4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8" spans="1:12">
      <c r="A418" t="s">
        <v>8</v>
      </c>
      <c r="B418" t="s">
        <v>34</v>
      </c>
      <c r="C418">
        <v>3</v>
      </c>
      <c r="D418">
        <v>1374</v>
      </c>
      <c r="E418">
        <v>1</v>
      </c>
      <c r="F418" t="s">
        <v>36</v>
      </c>
      <c r="G418">
        <v>3</v>
      </c>
      <c r="I418">
        <v>0</v>
      </c>
      <c r="J418">
        <f>DropAnalityka[[#This Row],[Sell Drop]]+IF(DropAnalityka[[#This Row],[Drop]]="Scroll", 2000*DropAnalityka[[#This Row],[Quality/Quantity]],0)</f>
        <v>6000</v>
      </c>
      <c r="K4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9" spans="1:12">
      <c r="A419" t="s">
        <v>8</v>
      </c>
      <c r="B419" t="s">
        <v>34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Drop]]+IF(DropAnalityka[[#This Row],[Drop]]="Scroll", 2000*DropAnalityka[[#This Row],[Quality/Quantity]],0)</f>
        <v>1352</v>
      </c>
      <c r="K4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0" spans="1:12">
      <c r="A420" t="s">
        <v>8</v>
      </c>
      <c r="B420" t="s">
        <v>34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Drop]]+IF(DropAnalityka[[#This Row],[Drop]]="Scroll", 2000*DropAnalityka[[#This Row],[Quality/Quantity]],0)</f>
        <v>1159</v>
      </c>
      <c r="K4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1" spans="1:12">
      <c r="A421" t="s">
        <v>8</v>
      </c>
      <c r="B421" t="s">
        <v>34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Drop]]+IF(DropAnalityka[[#This Row],[Drop]]="Scroll", 2000*DropAnalityka[[#This Row],[Quality/Quantity]],0)</f>
        <v>2756</v>
      </c>
      <c r="K4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2" spans="1:12">
      <c r="A422" t="s">
        <v>8</v>
      </c>
      <c r="B422" t="s">
        <v>34</v>
      </c>
      <c r="C422">
        <v>3</v>
      </c>
      <c r="D422">
        <v>1585</v>
      </c>
      <c r="E422">
        <v>0</v>
      </c>
      <c r="F422" t="s">
        <v>36</v>
      </c>
      <c r="G422">
        <v>3</v>
      </c>
      <c r="I422">
        <v>0</v>
      </c>
      <c r="J422">
        <f>DropAnalityka[[#This Row],[Sell Drop]]+IF(DropAnalityka[[#This Row],[Drop]]="Scroll", 2000*DropAnalityka[[#This Row],[Quality/Quantity]],0)</f>
        <v>6000</v>
      </c>
      <c r="K4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3" spans="1:12">
      <c r="A423" t="s">
        <v>8</v>
      </c>
      <c r="B423" t="s">
        <v>34</v>
      </c>
      <c r="C423">
        <v>3</v>
      </c>
      <c r="D423">
        <v>1585</v>
      </c>
      <c r="E423">
        <v>0</v>
      </c>
      <c r="F423" t="s">
        <v>36</v>
      </c>
      <c r="G423">
        <v>3</v>
      </c>
      <c r="I423">
        <v>0</v>
      </c>
      <c r="J423">
        <f>DropAnalityka[[#This Row],[Sell Drop]]+IF(DropAnalityka[[#This Row],[Drop]]="Scroll", 2000*DropAnalityka[[#This Row],[Quality/Quantity]],0)</f>
        <v>6000</v>
      </c>
      <c r="K4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4" spans="1:12">
      <c r="A424" t="s">
        <v>8</v>
      </c>
      <c r="B424" t="s">
        <v>34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Drop]]+IF(DropAnalityka[[#This Row],[Drop]]="Scroll", 2000*DropAnalityka[[#This Row],[Quality/Quantity]],0)</f>
        <v>1159</v>
      </c>
      <c r="K4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5" spans="1:12">
      <c r="A425" t="s">
        <v>8</v>
      </c>
      <c r="B425" t="s">
        <v>34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Drop]]+IF(DropAnalityka[[#This Row],[Drop]]="Scroll", 2000*DropAnalityka[[#This Row],[Quality/Quantity]],0)</f>
        <v>2756</v>
      </c>
      <c r="K4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6" spans="1:12">
      <c r="A426" t="s">
        <v>8</v>
      </c>
      <c r="B426" t="s">
        <v>34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Drop]]+IF(DropAnalityka[[#This Row],[Drop]]="Scroll", 2000*DropAnalityka[[#This Row],[Quality/Quantity]],0)</f>
        <v>1159</v>
      </c>
      <c r="K4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7" spans="1:12">
      <c r="A427" t="s">
        <v>8</v>
      </c>
      <c r="B427" t="s">
        <v>34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Drop]]+IF(DropAnalityka[[#This Row],[Drop]]="Scroll", 2000*DropAnalityka[[#This Row],[Quality/Quantity]],0)</f>
        <v>2067</v>
      </c>
      <c r="K4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8" spans="1:12">
      <c r="A428" t="s">
        <v>8</v>
      </c>
      <c r="B428" t="s">
        <v>34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Drop]]+IF(DropAnalityka[[#This Row],[Drop]]="Scroll", 2000*DropAnalityka[[#This Row],[Quality/Quantity]],0)</f>
        <v>2067</v>
      </c>
      <c r="K4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9" spans="1:12">
      <c r="A429" t="s">
        <v>8</v>
      </c>
      <c r="B429" t="s">
        <v>34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Drop]]+IF(DropAnalityka[[#This Row],[Drop]]="Scroll", 2000*DropAnalityka[[#This Row],[Quality/Quantity]],0)</f>
        <v>2067</v>
      </c>
      <c r="K4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0" spans="1:12">
      <c r="A430" t="s">
        <v>8</v>
      </c>
      <c r="B430" t="s">
        <v>34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Drop]]+IF(DropAnalityka[[#This Row],[Drop]]="Scroll", 2000*DropAnalityka[[#This Row],[Quality/Quantity]],0)</f>
        <v>2067</v>
      </c>
      <c r="K4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1" spans="1:12">
      <c r="A431" t="s">
        <v>8</v>
      </c>
      <c r="B431" t="s">
        <v>34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Drop]]+IF(DropAnalityka[[#This Row],[Drop]]="Scroll", 2000*DropAnalityka[[#This Row],[Quality/Quantity]],0)</f>
        <v>1159</v>
      </c>
      <c r="K4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2" spans="1:12">
      <c r="A432" t="s">
        <v>8</v>
      </c>
      <c r="B432" t="s">
        <v>34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Drop]]+IF(DropAnalityka[[#This Row],[Drop]]="Scroll", 2000*DropAnalityka[[#This Row],[Quality/Quantity]],0)</f>
        <v>1159</v>
      </c>
      <c r="K4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3" spans="1:12">
      <c r="A433" t="s">
        <v>8</v>
      </c>
      <c r="B433" t="s">
        <v>34</v>
      </c>
      <c r="C433">
        <v>3</v>
      </c>
      <c r="D433">
        <v>1469</v>
      </c>
      <c r="E433">
        <v>1</v>
      </c>
      <c r="F433" t="s">
        <v>62</v>
      </c>
      <c r="G433" t="s">
        <v>13</v>
      </c>
      <c r="I433">
        <v>0</v>
      </c>
      <c r="J433">
        <f>DropAnalityka[[#This Row],[Sell Drop]]+IF(DropAnalityka[[#This Row],[Drop]]="Scroll", 2000*DropAnalityka[[#This Row],[Quality/Quantity]],0)</f>
        <v>0</v>
      </c>
      <c r="K4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34" spans="1:12">
      <c r="A434" t="s">
        <v>8</v>
      </c>
      <c r="B434" t="s">
        <v>34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Drop]]+IF(DropAnalityka[[#This Row],[Drop]]="Scroll", 2000*DropAnalityka[[#This Row],[Quality/Quantity]],0)</f>
        <v>2067</v>
      </c>
      <c r="K4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5" spans="1:12">
      <c r="A435" t="s">
        <v>8</v>
      </c>
      <c r="B435" t="s">
        <v>34</v>
      </c>
      <c r="C435">
        <v>3</v>
      </c>
      <c r="D435">
        <v>1877</v>
      </c>
      <c r="E435">
        <v>1</v>
      </c>
      <c r="F435" t="s">
        <v>36</v>
      </c>
      <c r="G435">
        <v>3</v>
      </c>
      <c r="I435">
        <v>0</v>
      </c>
      <c r="J435">
        <f>DropAnalityka[[#This Row],[Sell Drop]]+IF(DropAnalityka[[#This Row],[Drop]]="Scroll", 2000*DropAnalityka[[#This Row],[Quality/Quantity]],0)</f>
        <v>6000</v>
      </c>
      <c r="K4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6" spans="1:12">
      <c r="A436" t="s">
        <v>8</v>
      </c>
      <c r="B436" t="s">
        <v>34</v>
      </c>
      <c r="C436">
        <v>3</v>
      </c>
      <c r="D436">
        <v>849</v>
      </c>
      <c r="E436">
        <v>1</v>
      </c>
      <c r="F436" t="s">
        <v>36</v>
      </c>
      <c r="G436">
        <v>3</v>
      </c>
      <c r="I436">
        <v>0</v>
      </c>
      <c r="J436">
        <f>DropAnalityka[[#This Row],[Sell Drop]]+IF(DropAnalityka[[#This Row],[Drop]]="Scroll", 2000*DropAnalityka[[#This Row],[Quality/Quantity]],0)</f>
        <v>6000</v>
      </c>
      <c r="K4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7" spans="1:12">
      <c r="A437" t="s">
        <v>8</v>
      </c>
      <c r="B437" t="s">
        <v>34</v>
      </c>
      <c r="C437">
        <v>3</v>
      </c>
      <c r="D437">
        <v>1261</v>
      </c>
      <c r="E437">
        <v>1</v>
      </c>
      <c r="F437" t="s">
        <v>36</v>
      </c>
      <c r="G437">
        <v>3</v>
      </c>
      <c r="J437">
        <f>DropAnalityka[[#This Row],[Sell Drop]]+IF(DropAnalityka[[#This Row],[Drop]]="Scroll", 2000*DropAnalityka[[#This Row],[Quality/Quantity]],0)</f>
        <v>6000</v>
      </c>
      <c r="K4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8" spans="1:12">
      <c r="A438" t="s">
        <v>211</v>
      </c>
      <c r="B438" t="s">
        <v>9</v>
      </c>
      <c r="C438">
        <v>3</v>
      </c>
      <c r="D438">
        <v>1940</v>
      </c>
      <c r="E438">
        <v>0</v>
      </c>
      <c r="F438" t="s">
        <v>36</v>
      </c>
      <c r="G438">
        <v>3</v>
      </c>
      <c r="I438">
        <v>0</v>
      </c>
      <c r="J438">
        <f>DropAnalityka[[#This Row],[Sell Drop]]+IF(DropAnalityka[[#This Row],[Drop]]="Scroll", 2000*DropAnalityka[[#This Row],[Quality/Quantity]],0)</f>
        <v>6000</v>
      </c>
      <c r="K4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9" spans="1:12">
      <c r="A439" t="s">
        <v>8</v>
      </c>
      <c r="B439" t="s">
        <v>34</v>
      </c>
      <c r="C439">
        <v>3</v>
      </c>
      <c r="D439">
        <v>2271</v>
      </c>
      <c r="E439">
        <v>1</v>
      </c>
      <c r="F439" t="s">
        <v>36</v>
      </c>
      <c r="G439">
        <v>3</v>
      </c>
      <c r="I439">
        <v>0</v>
      </c>
      <c r="J439">
        <f>DropAnalityka[[#This Row],[Sell Drop]]+IF(DropAnalityka[[#This Row],[Drop]]="Scroll", 2000*DropAnalityka[[#This Row],[Quality/Quantity]],0)</f>
        <v>6000</v>
      </c>
      <c r="K4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0" spans="1:12">
      <c r="A440" t="s">
        <v>8</v>
      </c>
      <c r="B440" t="s">
        <v>34</v>
      </c>
      <c r="C440">
        <v>3</v>
      </c>
      <c r="D440">
        <v>1066</v>
      </c>
      <c r="E440">
        <v>0</v>
      </c>
      <c r="F440" t="s">
        <v>63</v>
      </c>
      <c r="G440" t="s">
        <v>13</v>
      </c>
      <c r="I440">
        <v>0</v>
      </c>
      <c r="J440">
        <f>DropAnalityka[[#This Row],[Sell Drop]]+IF(DropAnalityka[[#This Row],[Drop]]="Scroll", 2000*DropAnalityka[[#This Row],[Quality/Quantity]],0)</f>
        <v>0</v>
      </c>
      <c r="K4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441" spans="1:12">
      <c r="A441" t="s">
        <v>8</v>
      </c>
      <c r="B441" t="s">
        <v>34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Drop]]+IF(DropAnalityka[[#This Row],[Drop]]="Scroll", 2000*DropAnalityka[[#This Row],[Quality/Quantity]],0)</f>
        <v>1159</v>
      </c>
      <c r="K4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2" spans="1:12">
      <c r="A442" t="s">
        <v>8</v>
      </c>
      <c r="B442" t="s">
        <v>34</v>
      </c>
      <c r="C442">
        <v>3</v>
      </c>
      <c r="D442">
        <v>1369</v>
      </c>
      <c r="E442">
        <v>0</v>
      </c>
      <c r="F442" t="s">
        <v>62</v>
      </c>
      <c r="G442" t="s">
        <v>28</v>
      </c>
      <c r="J442">
        <f>DropAnalityka[[#This Row],[Sell Drop]]+IF(DropAnalityka[[#This Row],[Drop]]="Scroll", 2000*DropAnalityka[[#This Row],[Quality/Quantity]],0)</f>
        <v>0</v>
      </c>
      <c r="K4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L4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443" spans="1:12">
      <c r="A443" t="s">
        <v>8</v>
      </c>
      <c r="B443" t="s">
        <v>34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Drop]]+IF(DropAnalityka[[#This Row],[Drop]]="Scroll", 2000*DropAnalityka[[#This Row],[Quality/Quantity]],0)</f>
        <v>1546</v>
      </c>
      <c r="K4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4" spans="1:12">
      <c r="A444" t="s">
        <v>8</v>
      </c>
      <c r="B444" t="s">
        <v>34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Drop]]+IF(DropAnalityka[[#This Row],[Drop]]="Scroll", 2000*DropAnalityka[[#This Row],[Quality/Quantity]],0)</f>
        <v>1159</v>
      </c>
      <c r="K4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5" spans="1:12">
      <c r="A445" t="s">
        <v>8</v>
      </c>
      <c r="B445" t="s">
        <v>34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Drop]]+IF(DropAnalityka[[#This Row],[Drop]]="Scroll", 2000*DropAnalityka[[#This Row],[Quality/Quantity]],0)</f>
        <v>1159</v>
      </c>
      <c r="K4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6" spans="1:12">
      <c r="A446" t="s">
        <v>8</v>
      </c>
      <c r="B446" t="s">
        <v>34</v>
      </c>
      <c r="C446">
        <v>3</v>
      </c>
      <c r="D446">
        <v>1173</v>
      </c>
      <c r="E446">
        <v>0</v>
      </c>
      <c r="F446" t="s">
        <v>36</v>
      </c>
      <c r="G446">
        <v>3</v>
      </c>
      <c r="I446">
        <v>0</v>
      </c>
      <c r="J446">
        <f>DropAnalityka[[#This Row],[Sell Drop]]+IF(DropAnalityka[[#This Row],[Drop]]="Scroll", 2000*DropAnalityka[[#This Row],[Quality/Quantity]],0)</f>
        <v>6000</v>
      </c>
      <c r="K4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7" spans="1:12">
      <c r="A447" t="s">
        <v>8</v>
      </c>
      <c r="B447" t="s">
        <v>34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Drop]]+IF(DropAnalityka[[#This Row],[Drop]]="Scroll", 2000*DropAnalityka[[#This Row],[Quality/Quantity]],0)</f>
        <v>1159</v>
      </c>
      <c r="K4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8" spans="1:12">
      <c r="A448" t="s">
        <v>8</v>
      </c>
      <c r="B448" t="s">
        <v>34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Drop]]+IF(DropAnalityka[[#This Row],[Drop]]="Scroll", 2000*DropAnalityka[[#This Row],[Quality/Quantity]],0)</f>
        <v>1159</v>
      </c>
      <c r="K4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9" spans="1:12">
      <c r="A449" t="s">
        <v>8</v>
      </c>
      <c r="B449" t="s">
        <v>34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Drop]]+IF(DropAnalityka[[#This Row],[Drop]]="Scroll", 2000*DropAnalityka[[#This Row],[Quality/Quantity]],0)</f>
        <v>1159</v>
      </c>
      <c r="K4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0" spans="1:12">
      <c r="A450" t="s">
        <v>8</v>
      </c>
      <c r="B450" t="s">
        <v>34</v>
      </c>
      <c r="C450">
        <v>3</v>
      </c>
      <c r="D450">
        <v>967</v>
      </c>
      <c r="E450">
        <v>1</v>
      </c>
      <c r="F450" t="s">
        <v>62</v>
      </c>
      <c r="G450" t="s">
        <v>18</v>
      </c>
      <c r="I450">
        <v>0</v>
      </c>
      <c r="J450">
        <f>DropAnalityka[[#This Row],[Sell Drop]]+IF(DropAnalityka[[#This Row],[Drop]]="Scroll", 2000*DropAnalityka[[#This Row],[Quality/Quantity]],0)</f>
        <v>0</v>
      </c>
      <c r="K4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1" spans="1:12">
      <c r="A451" t="s">
        <v>8</v>
      </c>
      <c r="B451" t="s">
        <v>34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Drop]]+IF(DropAnalityka[[#This Row],[Drop]]="Scroll", 2000*DropAnalityka[[#This Row],[Quality/Quantity]],0)</f>
        <v>2067</v>
      </c>
      <c r="K4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2" spans="1:12">
      <c r="A452" t="s">
        <v>8</v>
      </c>
      <c r="B452" t="s">
        <v>34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Drop]]+IF(DropAnalityka[[#This Row],[Drop]]="Scroll", 2000*DropAnalityka[[#This Row],[Quality/Quantity]],0)</f>
        <v>1159</v>
      </c>
      <c r="K4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3" spans="1:12">
      <c r="A453" t="s">
        <v>8</v>
      </c>
      <c r="B453" t="s">
        <v>34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Drop]]+IF(DropAnalityka[[#This Row],[Drop]]="Scroll", 2000*DropAnalityka[[#This Row],[Quality/Quantity]],0)</f>
        <v>2067</v>
      </c>
      <c r="K4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4" spans="1:12">
      <c r="A454" t="s">
        <v>8</v>
      </c>
      <c r="B454" t="s">
        <v>34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Drop]]+IF(DropAnalityka[[#This Row],[Drop]]="Scroll", 2000*DropAnalityka[[#This Row],[Quality/Quantity]],0)</f>
        <v>1546</v>
      </c>
      <c r="K4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5" spans="1:12">
      <c r="A455" t="s">
        <v>8</v>
      </c>
      <c r="B455" t="s">
        <v>34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Drop]]+IF(DropAnalityka[[#This Row],[Drop]]="Scroll", 2000*DropAnalityka[[#This Row],[Quality/Quantity]],0)</f>
        <v>1159</v>
      </c>
      <c r="K4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6" spans="1:12">
      <c r="A456" t="s">
        <v>8</v>
      </c>
      <c r="B456" t="s">
        <v>34</v>
      </c>
      <c r="C456">
        <v>3</v>
      </c>
      <c r="D456">
        <v>2001</v>
      </c>
      <c r="E456">
        <v>1</v>
      </c>
      <c r="F456" t="s">
        <v>62</v>
      </c>
      <c r="G456" t="s">
        <v>18</v>
      </c>
      <c r="I456">
        <v>0</v>
      </c>
      <c r="J456">
        <f>DropAnalityka[[#This Row],[Sell Drop]]+IF(DropAnalityka[[#This Row],[Drop]]="Scroll", 2000*DropAnalityka[[#This Row],[Quality/Quantity]],0)</f>
        <v>0</v>
      </c>
      <c r="K4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7" spans="1:12">
      <c r="A457" t="s">
        <v>8</v>
      </c>
      <c r="B457" t="s">
        <v>34</v>
      </c>
      <c r="C457">
        <v>3</v>
      </c>
      <c r="D457">
        <v>1540</v>
      </c>
      <c r="E457">
        <v>0</v>
      </c>
      <c r="F457" t="s">
        <v>62</v>
      </c>
      <c r="G457" t="s">
        <v>18</v>
      </c>
      <c r="I457">
        <v>0</v>
      </c>
      <c r="J457">
        <f>DropAnalityka[[#This Row],[Sell Drop]]+IF(DropAnalityka[[#This Row],[Drop]]="Scroll", 2000*DropAnalityka[[#This Row],[Quality/Quantity]],0)</f>
        <v>0</v>
      </c>
      <c r="K4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8" spans="1:12">
      <c r="A458" t="s">
        <v>8</v>
      </c>
      <c r="B458" t="s">
        <v>34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Drop]]+IF(DropAnalityka[[#This Row],[Drop]]="Scroll", 2000*DropAnalityka[[#This Row],[Quality/Quantity]],0)</f>
        <v>2067</v>
      </c>
      <c r="K4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9" spans="1:12">
      <c r="A459" t="s">
        <v>8</v>
      </c>
      <c r="B459" t="s">
        <v>34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Drop]]+IF(DropAnalityka[[#This Row],[Drop]]="Scroll", 2000*DropAnalityka[[#This Row],[Quality/Quantity]],0)</f>
        <v>1159</v>
      </c>
      <c r="K4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0" spans="1:12">
      <c r="A460" t="s">
        <v>8</v>
      </c>
      <c r="B460" t="s">
        <v>34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Drop]]+IF(DropAnalityka[[#This Row],[Drop]]="Scroll", 2000*DropAnalityka[[#This Row],[Quality/Quantity]],0)</f>
        <v>2067</v>
      </c>
      <c r="K4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1" spans="1:12">
      <c r="A461" t="s">
        <v>8</v>
      </c>
      <c r="B461" t="s">
        <v>34</v>
      </c>
      <c r="C461">
        <v>3</v>
      </c>
      <c r="D461">
        <v>1812</v>
      </c>
      <c r="E461">
        <v>1</v>
      </c>
      <c r="F461" t="s">
        <v>36</v>
      </c>
      <c r="G461">
        <v>3</v>
      </c>
      <c r="J461">
        <f>DropAnalityka[[#This Row],[Sell Drop]]+IF(DropAnalityka[[#This Row],[Drop]]="Scroll", 2000*DropAnalityka[[#This Row],[Quality/Quantity]],0)</f>
        <v>6000</v>
      </c>
      <c r="K4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2" spans="1:12">
      <c r="A462" t="s">
        <v>8</v>
      </c>
      <c r="B462" t="s">
        <v>34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Drop]]+IF(DropAnalityka[[#This Row],[Drop]]="Scroll", 2000*DropAnalityka[[#This Row],[Quality/Quantity]],0)</f>
        <v>1159</v>
      </c>
      <c r="K4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3" spans="1:12">
      <c r="A463" t="s">
        <v>8</v>
      </c>
      <c r="B463" t="s">
        <v>34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Drop]]+IF(DropAnalityka[[#This Row],[Drop]]="Scroll", 2000*DropAnalityka[[#This Row],[Quality/Quantity]],0)</f>
        <v>2756</v>
      </c>
      <c r="K4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4" spans="1:12">
      <c r="A464" t="s">
        <v>8</v>
      </c>
      <c r="B464" t="s">
        <v>34</v>
      </c>
      <c r="C464">
        <v>3</v>
      </c>
      <c r="D464">
        <v>1105</v>
      </c>
      <c r="E464">
        <v>0</v>
      </c>
      <c r="F464" t="s">
        <v>62</v>
      </c>
      <c r="G464" t="s">
        <v>13</v>
      </c>
      <c r="I464">
        <v>0</v>
      </c>
      <c r="J464">
        <f>DropAnalityka[[#This Row],[Sell Drop]]+IF(DropAnalityka[[#This Row],[Drop]]="Scroll", 2000*DropAnalityka[[#This Row],[Quality/Quantity]],0)</f>
        <v>0</v>
      </c>
      <c r="K4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65" spans="1:12">
      <c r="A465" t="s">
        <v>8</v>
      </c>
      <c r="B465" t="s">
        <v>34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Drop]]+IF(DropAnalityka[[#This Row],[Drop]]="Scroll", 2000*DropAnalityka[[#This Row],[Quality/Quantity]],0)</f>
        <v>1159</v>
      </c>
      <c r="K4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6" spans="1:12">
      <c r="A466" t="s">
        <v>8</v>
      </c>
      <c r="B466" t="s">
        <v>34</v>
      </c>
      <c r="C466">
        <v>3</v>
      </c>
      <c r="D466">
        <v>1748</v>
      </c>
      <c r="E466">
        <v>1</v>
      </c>
      <c r="F466" t="s">
        <v>175</v>
      </c>
      <c r="I466">
        <v>0</v>
      </c>
      <c r="J466">
        <f>DropAnalityka[[#This Row],[Sell Drop]]+IF(DropAnalityka[[#This Row],[Drop]]="Scroll", 2000*DropAnalityka[[#This Row],[Quality/Quantity]],0)</f>
        <v>0</v>
      </c>
      <c r="K4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7" spans="1:12">
      <c r="A467" t="s">
        <v>8</v>
      </c>
      <c r="B467" t="s">
        <v>34</v>
      </c>
      <c r="C467">
        <v>3</v>
      </c>
      <c r="D467">
        <v>1840</v>
      </c>
      <c r="E467">
        <v>0</v>
      </c>
      <c r="F467" t="s">
        <v>175</v>
      </c>
      <c r="I467">
        <v>0</v>
      </c>
      <c r="J467">
        <f>DropAnalityka[[#This Row],[Sell Drop]]+IF(DropAnalityka[[#This Row],[Drop]]="Scroll", 2000*DropAnalityka[[#This Row],[Quality/Quantity]],0)</f>
        <v>0</v>
      </c>
      <c r="K4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8" spans="1:12">
      <c r="A468" t="s">
        <v>8</v>
      </c>
      <c r="B468" t="s">
        <v>34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Drop]]+IF(DropAnalityka[[#This Row],[Drop]]="Scroll", 2000*DropAnalityka[[#This Row],[Quality/Quantity]],0)</f>
        <v>1159</v>
      </c>
      <c r="K4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9" spans="1:12">
      <c r="A469" t="s">
        <v>8</v>
      </c>
      <c r="B469" t="s">
        <v>34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Drop]]+IF(DropAnalityka[[#This Row],[Drop]]="Scroll", 2000*DropAnalityka[[#This Row],[Quality/Quantity]],0)</f>
        <v>1159</v>
      </c>
      <c r="K4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0" spans="1:12">
      <c r="A470" t="s">
        <v>8</v>
      </c>
      <c r="B470" t="s">
        <v>34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Drop]]+IF(DropAnalityka[[#This Row],[Drop]]="Scroll", 2000*DropAnalityka[[#This Row],[Quality/Quantity]],0)</f>
        <v>1159</v>
      </c>
      <c r="K4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1" spans="1:12">
      <c r="A471" t="s">
        <v>8</v>
      </c>
      <c r="B471" t="s">
        <v>34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Drop]]+IF(DropAnalityka[[#This Row],[Drop]]="Scroll", 2000*DropAnalityka[[#This Row],[Quality/Quantity]],0)</f>
        <v>1159</v>
      </c>
      <c r="K4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2" spans="1:12">
      <c r="A472" t="s">
        <v>8</v>
      </c>
      <c r="B472" t="s">
        <v>34</v>
      </c>
      <c r="C472">
        <v>3</v>
      </c>
      <c r="D472">
        <v>3326</v>
      </c>
      <c r="E472">
        <v>0</v>
      </c>
      <c r="F472" t="s">
        <v>36</v>
      </c>
      <c r="G472">
        <v>3</v>
      </c>
      <c r="I472">
        <v>0</v>
      </c>
      <c r="J472">
        <f>DropAnalityka[[#This Row],[Sell Drop]]+IF(DropAnalityka[[#This Row],[Drop]]="Scroll", 2000*DropAnalityka[[#This Row],[Quality/Quantity]],0)</f>
        <v>6000</v>
      </c>
      <c r="K4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3" spans="1:12">
      <c r="A473" t="s">
        <v>8</v>
      </c>
      <c r="B473" t="s">
        <v>34</v>
      </c>
      <c r="C473">
        <v>3</v>
      </c>
      <c r="D473">
        <v>999</v>
      </c>
      <c r="E473">
        <v>1</v>
      </c>
      <c r="F473" t="s">
        <v>175</v>
      </c>
      <c r="I473">
        <v>0</v>
      </c>
      <c r="J473">
        <f>DropAnalityka[[#This Row],[Sell Drop]]+IF(DropAnalityka[[#This Row],[Drop]]="Scroll", 2000*DropAnalityka[[#This Row],[Quality/Quantity]],0)</f>
        <v>0</v>
      </c>
      <c r="K4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4" spans="1:12">
      <c r="A474" t="s">
        <v>8</v>
      </c>
      <c r="B474" t="s">
        <v>34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Drop]]+IF(DropAnalityka[[#This Row],[Drop]]="Scroll", 2000*DropAnalityka[[#This Row],[Quality/Quantity]],0)</f>
        <v>2411</v>
      </c>
      <c r="K4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5" spans="1:12">
      <c r="A475" t="s">
        <v>8</v>
      </c>
      <c r="B475" t="s">
        <v>34</v>
      </c>
      <c r="C475">
        <v>3</v>
      </c>
      <c r="D475">
        <v>1362</v>
      </c>
      <c r="E475">
        <v>2</v>
      </c>
      <c r="F475" t="s">
        <v>62</v>
      </c>
      <c r="G475" t="s">
        <v>18</v>
      </c>
      <c r="J475">
        <f>DropAnalityka[[#This Row],[Sell Drop]]+IF(DropAnalityka[[#This Row],[Drop]]="Scroll", 2000*DropAnalityka[[#This Row],[Quality/Quantity]],0)</f>
        <v>0</v>
      </c>
      <c r="K4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6" spans="1:12">
      <c r="A476" t="s">
        <v>8</v>
      </c>
      <c r="B476" t="s">
        <v>34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Drop]]+IF(DropAnalityka[[#This Row],[Drop]]="Scroll", 2000*DropAnalityka[[#This Row],[Quality/Quantity]],0)</f>
        <v>1159</v>
      </c>
      <c r="K4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7" spans="1:12">
      <c r="A477" t="s">
        <v>8</v>
      </c>
      <c r="B477" t="s">
        <v>34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Drop]]+IF(DropAnalityka[[#This Row],[Drop]]="Scroll", 2000*DropAnalityka[[#This Row],[Quality/Quantity]],0)</f>
        <v>2067</v>
      </c>
      <c r="K4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8" spans="1:12">
      <c r="A478" t="s">
        <v>8</v>
      </c>
      <c r="B478" t="s">
        <v>34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Drop]]+IF(DropAnalityka[[#This Row],[Drop]]="Scroll", 2000*DropAnalityka[[#This Row],[Quality/Quantity]],0)</f>
        <v>2411</v>
      </c>
      <c r="K4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9" spans="1:12">
      <c r="A479" t="s">
        <v>8</v>
      </c>
      <c r="B479" t="s">
        <v>34</v>
      </c>
      <c r="C479">
        <v>3</v>
      </c>
      <c r="D479">
        <v>2407</v>
      </c>
      <c r="E479">
        <v>4</v>
      </c>
      <c r="F479" t="s">
        <v>62</v>
      </c>
      <c r="G479" t="s">
        <v>13</v>
      </c>
      <c r="I479">
        <v>0</v>
      </c>
      <c r="J479">
        <f>DropAnalityka[[#This Row],[Sell Drop]]+IF(DropAnalityka[[#This Row],[Drop]]="Scroll", 2000*DropAnalityka[[#This Row],[Quality/Quantity]],0)</f>
        <v>0</v>
      </c>
      <c r="K4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80" spans="1:12">
      <c r="A480" t="s">
        <v>8</v>
      </c>
      <c r="B480" t="s">
        <v>34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Drop]]+IF(DropAnalityka[[#This Row],[Drop]]="Scroll", 2000*DropAnalityka[[#This Row],[Quality/Quantity]],0)</f>
        <v>2067</v>
      </c>
      <c r="K4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1" spans="1:12">
      <c r="A481" t="s">
        <v>8</v>
      </c>
      <c r="B481" t="s">
        <v>34</v>
      </c>
      <c r="C481">
        <v>3</v>
      </c>
      <c r="D481">
        <v>2063</v>
      </c>
      <c r="E481">
        <v>1</v>
      </c>
      <c r="F481" t="s">
        <v>62</v>
      </c>
      <c r="G481" t="s">
        <v>18</v>
      </c>
      <c r="J481">
        <f>DropAnalityka[[#This Row],[Sell Drop]]+IF(DropAnalityka[[#This Row],[Drop]]="Scroll", 2000*DropAnalityka[[#This Row],[Quality/Quantity]],0)</f>
        <v>0</v>
      </c>
      <c r="K4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2" spans="1:12">
      <c r="A482" t="s">
        <v>8</v>
      </c>
      <c r="B482" t="s">
        <v>34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Drop]]+IF(DropAnalityka[[#This Row],[Drop]]="Scroll", 2000*DropAnalityka[[#This Row],[Quality/Quantity]],0)</f>
        <v>1546</v>
      </c>
      <c r="K4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3" spans="1:12">
      <c r="A483" t="s">
        <v>8</v>
      </c>
      <c r="B483" t="s">
        <v>34</v>
      </c>
      <c r="C483">
        <v>3</v>
      </c>
      <c r="D483">
        <v>1248</v>
      </c>
      <c r="E483">
        <v>2</v>
      </c>
      <c r="F483" t="s">
        <v>36</v>
      </c>
      <c r="G483">
        <v>3</v>
      </c>
      <c r="I483">
        <v>0</v>
      </c>
      <c r="J483">
        <f>DropAnalityka[[#This Row],[Sell Drop]]+IF(DropAnalityka[[#This Row],[Drop]]="Scroll", 2000*DropAnalityka[[#This Row],[Quality/Quantity]],0)</f>
        <v>6000</v>
      </c>
      <c r="K4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4" spans="1:12">
      <c r="A484" t="s">
        <v>8</v>
      </c>
      <c r="B484" t="s">
        <v>34</v>
      </c>
      <c r="C484">
        <v>3</v>
      </c>
      <c r="D484">
        <v>1342</v>
      </c>
      <c r="E484">
        <v>1</v>
      </c>
      <c r="F484" t="s">
        <v>175</v>
      </c>
      <c r="I484">
        <v>0</v>
      </c>
      <c r="J484">
        <f>DropAnalityka[[#This Row],[Sell Drop]]+IF(DropAnalityka[[#This Row],[Drop]]="Scroll", 2000*DropAnalityka[[#This Row],[Quality/Quantity]],0)</f>
        <v>0</v>
      </c>
      <c r="K4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5" spans="1:12">
      <c r="A485" t="s">
        <v>8</v>
      </c>
      <c r="B485" t="s">
        <v>34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Drop]]+IF(DropAnalityka[[#This Row],[Drop]]="Scroll", 2000*DropAnalityka[[#This Row],[Quality/Quantity]],0)</f>
        <v>1159</v>
      </c>
      <c r="K4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6" spans="1:12">
      <c r="A486" t="s">
        <v>8</v>
      </c>
      <c r="B486" t="s">
        <v>34</v>
      </c>
      <c r="C486">
        <v>3</v>
      </c>
      <c r="D486">
        <v>2152</v>
      </c>
      <c r="E486">
        <v>2</v>
      </c>
      <c r="F486" t="s">
        <v>62</v>
      </c>
      <c r="G486" t="s">
        <v>18</v>
      </c>
      <c r="I486">
        <v>0</v>
      </c>
      <c r="J486">
        <f>DropAnalityka[[#This Row],[Sell Drop]]+IF(DropAnalityka[[#This Row],[Drop]]="Scroll", 2000*DropAnalityka[[#This Row],[Quality/Quantity]],0)</f>
        <v>0</v>
      </c>
      <c r="K4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7" spans="1:12">
      <c r="A487" t="s">
        <v>8</v>
      </c>
      <c r="B487" t="s">
        <v>34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Drop]]+IF(DropAnalityka[[#This Row],[Drop]]="Scroll", 2000*DropAnalityka[[#This Row],[Quality/Quantity]],0)</f>
        <v>2067</v>
      </c>
      <c r="K4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8" spans="1:12">
      <c r="A488" t="s">
        <v>8</v>
      </c>
      <c r="B488" t="s">
        <v>34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Drop]]+IF(DropAnalityka[[#This Row],[Drop]]="Scroll", 2000*DropAnalityka[[#This Row],[Quality/Quantity]],0)</f>
        <v>2411</v>
      </c>
      <c r="K4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9" spans="1:12">
      <c r="A489" t="s">
        <v>8</v>
      </c>
      <c r="B489" t="s">
        <v>34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Drop]]+IF(DropAnalityka[[#This Row],[Drop]]="Scroll", 2000*DropAnalityka[[#This Row],[Quality/Quantity]],0)</f>
        <v>1159</v>
      </c>
      <c r="K4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0" spans="1:12">
      <c r="A490" t="s">
        <v>8</v>
      </c>
      <c r="B490" t="s">
        <v>34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Drop]]+IF(DropAnalityka[[#This Row],[Drop]]="Scroll", 2000*DropAnalityka[[#This Row],[Quality/Quantity]],0)</f>
        <v>1546</v>
      </c>
      <c r="K4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1" spans="1:12">
      <c r="A491" t="s">
        <v>8</v>
      </c>
      <c r="B491" t="s">
        <v>34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Drop]]+IF(DropAnalityka[[#This Row],[Drop]]="Scroll", 2000*DropAnalityka[[#This Row],[Quality/Quantity]],0)</f>
        <v>2067</v>
      </c>
      <c r="K4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2" spans="1:12">
      <c r="A492" t="s">
        <v>8</v>
      </c>
      <c r="B492" t="s">
        <v>34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Drop]]+IF(DropAnalityka[[#This Row],[Drop]]="Scroll", 2000*DropAnalityka[[#This Row],[Quality/Quantity]],0)</f>
        <v>1159</v>
      </c>
      <c r="K4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3" spans="1:12">
      <c r="A493" t="s">
        <v>8</v>
      </c>
      <c r="B493" t="s">
        <v>34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Drop]]+IF(DropAnalityka[[#This Row],[Drop]]="Scroll", 2000*DropAnalityka[[#This Row],[Quality/Quantity]],0)</f>
        <v>1159</v>
      </c>
      <c r="K4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4" spans="1:12">
      <c r="A494" t="s">
        <v>8</v>
      </c>
      <c r="B494" t="s">
        <v>34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Drop]]+IF(DropAnalityka[[#This Row],[Drop]]="Scroll", 2000*DropAnalityka[[#This Row],[Quality/Quantity]],0)</f>
        <v>2411</v>
      </c>
      <c r="K4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5" spans="1:12">
      <c r="A495" t="s">
        <v>8</v>
      </c>
      <c r="B495" t="s">
        <v>34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Drop]]+IF(DropAnalityka[[#This Row],[Drop]]="Scroll", 2000*DropAnalityka[[#This Row],[Quality/Quantity]],0)</f>
        <v>1159</v>
      </c>
      <c r="K4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6" spans="1:12">
      <c r="A496" t="s">
        <v>8</v>
      </c>
      <c r="B496" t="s">
        <v>34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Drop]]+IF(DropAnalityka[[#This Row],[Drop]]="Scroll", 2000*DropAnalityka[[#This Row],[Quality/Quantity]],0)</f>
        <v>1159</v>
      </c>
      <c r="K4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7" spans="1:12">
      <c r="A497" t="s">
        <v>8</v>
      </c>
      <c r="B497" t="s">
        <v>34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Drop]]+IF(DropAnalityka[[#This Row],[Drop]]="Scroll", 2000*DropAnalityka[[#This Row],[Quality/Quantity]],0)</f>
        <v>2067</v>
      </c>
      <c r="K4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8" spans="1:12">
      <c r="A498" t="s">
        <v>8</v>
      </c>
      <c r="B498" t="s">
        <v>34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Drop]]+IF(DropAnalityka[[#This Row],[Drop]]="Scroll", 2000*DropAnalityka[[#This Row],[Quality/Quantity]],0)</f>
        <v>1352</v>
      </c>
      <c r="K4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9" spans="1:12">
      <c r="A499" t="s">
        <v>8</v>
      </c>
      <c r="B499" t="s">
        <v>34</v>
      </c>
      <c r="C499">
        <v>3</v>
      </c>
      <c r="D499">
        <v>1404</v>
      </c>
      <c r="E499">
        <v>0</v>
      </c>
      <c r="F499" t="s">
        <v>62</v>
      </c>
      <c r="G499" t="s">
        <v>28</v>
      </c>
      <c r="I499">
        <v>0</v>
      </c>
      <c r="J499">
        <f>DropAnalityka[[#This Row],[Sell Drop]]+IF(DropAnalityka[[#This Row],[Drop]]="Scroll", 2000*DropAnalityka[[#This Row],[Quality/Quantity]],0)</f>
        <v>0</v>
      </c>
      <c r="K4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L4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00" spans="1:12">
      <c r="A500" t="s">
        <v>8</v>
      </c>
      <c r="B500" t="s">
        <v>34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Drop]]+IF(DropAnalityka[[#This Row],[Drop]]="Scroll", 2000*DropAnalityka[[#This Row],[Quality/Quantity]],0)</f>
        <v>1159</v>
      </c>
      <c r="K5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1" spans="1:12">
      <c r="A501" t="s">
        <v>8</v>
      </c>
      <c r="B501" t="s">
        <v>34</v>
      </c>
      <c r="C501">
        <v>3</v>
      </c>
      <c r="D501">
        <v>1957</v>
      </c>
      <c r="E501">
        <v>2</v>
      </c>
      <c r="F501" t="s">
        <v>175</v>
      </c>
      <c r="I501">
        <v>0</v>
      </c>
      <c r="J501">
        <f>DropAnalityka[[#This Row],[Sell Drop]]+IF(DropAnalityka[[#This Row],[Drop]]="Scroll", 2000*DropAnalityka[[#This Row],[Quality/Quantity]],0)</f>
        <v>0</v>
      </c>
      <c r="K5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2" spans="1:12">
      <c r="A502" t="s">
        <v>8</v>
      </c>
      <c r="B502" t="s">
        <v>34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Drop]]+IF(DropAnalityka[[#This Row],[Drop]]="Scroll", 2000*DropAnalityka[[#This Row],[Quality/Quantity]],0)</f>
        <v>2411</v>
      </c>
      <c r="K5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3" spans="1:12">
      <c r="A503" t="s">
        <v>8</v>
      </c>
      <c r="B503" t="s">
        <v>34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Drop]]+IF(DropAnalityka[[#This Row],[Drop]]="Scroll", 2000*DropAnalityka[[#This Row],[Quality/Quantity]],0)</f>
        <v>1159</v>
      </c>
      <c r="K5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4" spans="1:12">
      <c r="A504" t="s">
        <v>8</v>
      </c>
      <c r="B504" t="s">
        <v>34</v>
      </c>
      <c r="C504">
        <v>3</v>
      </c>
      <c r="D504">
        <v>1798</v>
      </c>
      <c r="E504">
        <v>2</v>
      </c>
      <c r="F504" t="s">
        <v>36</v>
      </c>
      <c r="G504">
        <v>3</v>
      </c>
      <c r="J504">
        <f>DropAnalityka[[#This Row],[Sell Drop]]+IF(DropAnalityka[[#This Row],[Drop]]="Scroll", 2000*DropAnalityka[[#This Row],[Quality/Quantity]],0)</f>
        <v>6000</v>
      </c>
      <c r="K5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5" spans="1:12">
      <c r="A505" t="s">
        <v>8</v>
      </c>
      <c r="B505" t="s">
        <v>34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Drop]]+IF(DropAnalityka[[#This Row],[Drop]]="Scroll", 2000*DropAnalityka[[#This Row],[Quality/Quantity]],0)</f>
        <v>1159</v>
      </c>
      <c r="K5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6" spans="1:12">
      <c r="A506" t="s">
        <v>8</v>
      </c>
      <c r="B506" t="s">
        <v>34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Drop]]+IF(DropAnalityka[[#This Row],[Drop]]="Scroll", 2000*DropAnalityka[[#This Row],[Quality/Quantity]],0)</f>
        <v>1159</v>
      </c>
      <c r="K5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7" spans="1:12">
      <c r="A507" t="s">
        <v>8</v>
      </c>
      <c r="B507" t="s">
        <v>34</v>
      </c>
      <c r="C507">
        <v>3</v>
      </c>
      <c r="D507">
        <v>1201</v>
      </c>
      <c r="E507">
        <v>2</v>
      </c>
      <c r="F507" t="s">
        <v>36</v>
      </c>
      <c r="G507">
        <v>3</v>
      </c>
      <c r="I507">
        <v>0</v>
      </c>
      <c r="J507">
        <f>DropAnalityka[[#This Row],[Sell Drop]]+IF(DropAnalityka[[#This Row],[Drop]]="Scroll", 2000*DropAnalityka[[#This Row],[Quality/Quantity]],0)</f>
        <v>6000</v>
      </c>
      <c r="K5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8" spans="1:12">
      <c r="A508" t="s">
        <v>8</v>
      </c>
      <c r="B508" t="s">
        <v>34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Drop]]+IF(DropAnalityka[[#This Row],[Drop]]="Scroll", 2000*DropAnalityka[[#This Row],[Quality/Quantity]],0)</f>
        <v>1159</v>
      </c>
      <c r="K5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9" spans="1:12">
      <c r="A509" t="s">
        <v>8</v>
      </c>
      <c r="B509" t="s">
        <v>34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Drop]]+IF(DropAnalityka[[#This Row],[Drop]]="Scroll", 2000*DropAnalityka[[#This Row],[Quality/Quantity]],0)</f>
        <v>1739</v>
      </c>
      <c r="K5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0" spans="1:12">
      <c r="A510" t="s">
        <v>68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Drop]]+IF(DropAnalityka[[#This Row],[Drop]]="Scroll", 2000*DropAnalityka[[#This Row],[Quality/Quantity]],0)</f>
        <v>823</v>
      </c>
      <c r="K5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1" spans="1:12">
      <c r="A511" t="s">
        <v>68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Drop]]+IF(DropAnalityka[[#This Row],[Drop]]="Scroll", 2000*DropAnalityka[[#This Row],[Quality/Quantity]],0)</f>
        <v>1976</v>
      </c>
      <c r="K5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2" spans="1:12">
      <c r="A512" t="s">
        <v>68</v>
      </c>
      <c r="B512" t="s">
        <v>9</v>
      </c>
      <c r="C512">
        <v>1</v>
      </c>
      <c r="D512">
        <v>1902</v>
      </c>
      <c r="E512">
        <v>2</v>
      </c>
      <c r="F512" t="s">
        <v>36</v>
      </c>
      <c r="G512">
        <v>1</v>
      </c>
      <c r="I512">
        <v>0</v>
      </c>
      <c r="J512">
        <f>DropAnalityka[[#This Row],[Sell Drop]]+IF(DropAnalityka[[#This Row],[Drop]]="Scroll", 2000*DropAnalityka[[#This Row],[Quality/Quantity]],0)</f>
        <v>2000</v>
      </c>
      <c r="K5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3" spans="1:12">
      <c r="A513" t="s">
        <v>68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Drop]]+IF(DropAnalityka[[#This Row],[Drop]]="Scroll", 2000*DropAnalityka[[#This Row],[Quality/Quantity]],0)</f>
        <v>1976</v>
      </c>
      <c r="K5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4" spans="1:12">
      <c r="A514" t="s">
        <v>68</v>
      </c>
      <c r="B514" t="s">
        <v>9</v>
      </c>
      <c r="C514">
        <v>1</v>
      </c>
      <c r="D514">
        <v>993</v>
      </c>
      <c r="E514">
        <v>0</v>
      </c>
      <c r="F514" t="s">
        <v>36</v>
      </c>
      <c r="G514">
        <v>1</v>
      </c>
      <c r="I514">
        <v>0</v>
      </c>
      <c r="J514">
        <f>DropAnalityka[[#This Row],[Sell Drop]]+IF(DropAnalityka[[#This Row],[Drop]]="Scroll", 2000*DropAnalityka[[#This Row],[Quality/Quantity]],0)</f>
        <v>2000</v>
      </c>
      <c r="K5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5" spans="1:12">
      <c r="A515" t="s">
        <v>68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Drop]]+IF(DropAnalityka[[#This Row],[Drop]]="Scroll", 2000*DropAnalityka[[#This Row],[Quality/Quantity]],0)</f>
        <v>892</v>
      </c>
      <c r="K5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6" spans="1:12">
      <c r="A516" t="s">
        <v>68</v>
      </c>
      <c r="B516" t="s">
        <v>9</v>
      </c>
      <c r="C516">
        <v>1</v>
      </c>
      <c r="D516">
        <v>1277</v>
      </c>
      <c r="E516">
        <v>0</v>
      </c>
      <c r="F516" t="s">
        <v>36</v>
      </c>
      <c r="G516">
        <v>1</v>
      </c>
      <c r="I516">
        <v>0</v>
      </c>
      <c r="J516">
        <f>DropAnalityka[[#This Row],[Sell Drop]]+IF(DropAnalityka[[#This Row],[Drop]]="Scroll", 2000*DropAnalityka[[#This Row],[Quality/Quantity]],0)</f>
        <v>2000</v>
      </c>
      <c r="K5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7" spans="1:12">
      <c r="A517" t="s">
        <v>8</v>
      </c>
      <c r="B517" t="s">
        <v>32</v>
      </c>
      <c r="C517">
        <v>3</v>
      </c>
      <c r="D517">
        <v>2474</v>
      </c>
      <c r="E517">
        <v>3</v>
      </c>
      <c r="F517" t="s">
        <v>36</v>
      </c>
      <c r="G517">
        <v>2</v>
      </c>
      <c r="I517">
        <v>0</v>
      </c>
      <c r="J517">
        <f>DropAnalityka[[#This Row],[Sell Drop]]+IF(DropAnalityka[[#This Row],[Drop]]="Scroll", 2000*DropAnalityka[[#This Row],[Quality/Quantity]],0)</f>
        <v>4000</v>
      </c>
      <c r="K5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8" spans="1:12">
      <c r="A518" t="s">
        <v>8</v>
      </c>
      <c r="B518" t="s">
        <v>34</v>
      </c>
      <c r="C518">
        <v>3</v>
      </c>
      <c r="D518">
        <v>920</v>
      </c>
      <c r="E518">
        <v>2</v>
      </c>
      <c r="F518" t="s">
        <v>36</v>
      </c>
      <c r="G518">
        <v>3</v>
      </c>
      <c r="I518">
        <v>0</v>
      </c>
      <c r="J518">
        <f>DropAnalityka[[#This Row],[Sell Drop]]+IF(DropAnalityka[[#This Row],[Drop]]="Scroll", 2000*DropAnalityka[[#This Row],[Quality/Quantity]],0)</f>
        <v>6000</v>
      </c>
      <c r="K5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9" spans="1:12">
      <c r="A519" t="s">
        <v>8</v>
      </c>
      <c r="B519" t="s">
        <v>34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Drop]]+IF(DropAnalityka[[#This Row],[Drop]]="Scroll", 2000*DropAnalityka[[#This Row],[Quality/Quantity]],0)</f>
        <v>2756</v>
      </c>
      <c r="K5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0" spans="1:12">
      <c r="A520" t="s">
        <v>8</v>
      </c>
      <c r="B520" t="s">
        <v>34</v>
      </c>
      <c r="C520">
        <v>3</v>
      </c>
      <c r="D520">
        <v>1500</v>
      </c>
      <c r="E520">
        <v>3</v>
      </c>
      <c r="F520" t="s">
        <v>62</v>
      </c>
      <c r="G520" t="s">
        <v>28</v>
      </c>
      <c r="I520">
        <v>0</v>
      </c>
      <c r="J520">
        <f>DropAnalityka[[#This Row],[Sell Drop]]+IF(DropAnalityka[[#This Row],[Drop]]="Scroll", 2000*DropAnalityka[[#This Row],[Quality/Quantity]],0)</f>
        <v>0</v>
      </c>
      <c r="K5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L5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21" spans="1:12">
      <c r="A521" t="s">
        <v>8</v>
      </c>
      <c r="B521" t="s">
        <v>34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Drop]]+IF(DropAnalityka[[#This Row],[Drop]]="Scroll", 2000*DropAnalityka[[#This Row],[Quality/Quantity]],0)</f>
        <v>2067</v>
      </c>
      <c r="K5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2" spans="1:12">
      <c r="A522" t="s">
        <v>40</v>
      </c>
      <c r="B522" t="s">
        <v>9</v>
      </c>
      <c r="C522">
        <v>7</v>
      </c>
      <c r="D522">
        <v>2340</v>
      </c>
      <c r="E522">
        <v>0</v>
      </c>
      <c r="F522" t="s">
        <v>65</v>
      </c>
      <c r="G522">
        <v>1</v>
      </c>
      <c r="I522">
        <v>0</v>
      </c>
      <c r="J522">
        <f>DropAnalityka[[#This Row],[Sell Drop]]+IF(DropAnalityka[[#This Row],[Drop]]="Scroll", 2000*DropAnalityka[[#This Row],[Quality/Quantity]],0)</f>
        <v>0</v>
      </c>
      <c r="K5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3" spans="1:12">
      <c r="A523" t="s">
        <v>40</v>
      </c>
      <c r="B523" t="s">
        <v>9</v>
      </c>
      <c r="C523">
        <v>7</v>
      </c>
      <c r="D523">
        <v>2340</v>
      </c>
      <c r="E523">
        <v>0</v>
      </c>
      <c r="F523" t="s">
        <v>65</v>
      </c>
      <c r="G523">
        <v>1</v>
      </c>
      <c r="I523">
        <v>0</v>
      </c>
      <c r="J523">
        <f>DropAnalityka[[#This Row],[Sell Drop]]+IF(DropAnalityka[[#This Row],[Drop]]="Scroll", 2000*DropAnalityka[[#This Row],[Quality/Quantity]],0)</f>
        <v>0</v>
      </c>
      <c r="K5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4" spans="1:12">
      <c r="A524" t="s">
        <v>40</v>
      </c>
      <c r="B524" t="s">
        <v>9</v>
      </c>
      <c r="C524">
        <v>7</v>
      </c>
      <c r="D524">
        <v>2182</v>
      </c>
      <c r="E524">
        <v>0</v>
      </c>
      <c r="F524" t="s">
        <v>66</v>
      </c>
      <c r="G524">
        <v>4</v>
      </c>
      <c r="I524">
        <v>0</v>
      </c>
      <c r="J524">
        <f>DropAnalityka[[#This Row],[Sell Drop]]+IF(DropAnalityka[[#This Row],[Drop]]="Scroll", 2000*DropAnalityka[[#This Row],[Quality/Quantity]],0)</f>
        <v>0</v>
      </c>
      <c r="K5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5" spans="1:12">
      <c r="A525" s="10" t="s">
        <v>204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Drop]]+IF(DropAnalityka[[#This Row],[Drop]]="Scroll", 2000*DropAnalityka[[#This Row],[Quality/Quantity]],0)</f>
        <v>1971</v>
      </c>
      <c r="K5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6" spans="1:12">
      <c r="A526" s="10" t="s">
        <v>204</v>
      </c>
      <c r="B526" t="s">
        <v>9</v>
      </c>
      <c r="C526">
        <v>6</v>
      </c>
      <c r="D526">
        <v>2783</v>
      </c>
      <c r="E526">
        <v>2</v>
      </c>
      <c r="F526" t="s">
        <v>36</v>
      </c>
      <c r="G526">
        <v>3</v>
      </c>
      <c r="I526">
        <v>0</v>
      </c>
      <c r="J526">
        <f>DropAnalityka[[#This Row],[Sell Drop]]+IF(DropAnalityka[[#This Row],[Drop]]="Scroll", 2000*DropAnalityka[[#This Row],[Quality/Quantity]],0)</f>
        <v>6000</v>
      </c>
      <c r="K5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7" spans="1:12">
      <c r="A527" s="10" t="s">
        <v>204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Drop]]+IF(DropAnalityka[[#This Row],[Drop]]="Scroll", 2000*DropAnalityka[[#This Row],[Quality/Quantity]],0)</f>
        <v>12000</v>
      </c>
      <c r="K5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8" spans="1:12">
      <c r="A528" s="10" t="s">
        <v>204</v>
      </c>
      <c r="B528" t="s">
        <v>9</v>
      </c>
      <c r="C528">
        <v>6</v>
      </c>
      <c r="D528">
        <v>2367</v>
      </c>
      <c r="E528">
        <v>0</v>
      </c>
      <c r="F528" t="s">
        <v>63</v>
      </c>
      <c r="G528" t="s">
        <v>13</v>
      </c>
      <c r="I528">
        <v>0</v>
      </c>
      <c r="J528">
        <f>DropAnalityka[[#This Row],[Sell Drop]]+IF(DropAnalityka[[#This Row],[Drop]]="Scroll", 2000*DropAnalityka[[#This Row],[Quality/Quantity]],0)</f>
        <v>0</v>
      </c>
      <c r="K5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5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29" spans="1:12">
      <c r="A529" s="10" t="s">
        <v>204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Drop]]+IF(DropAnalityka[[#This Row],[Drop]]="Scroll", 2000*DropAnalityka[[#This Row],[Quality/Quantity]],0)</f>
        <v>1236</v>
      </c>
      <c r="K5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0" spans="1:12">
      <c r="A530" s="10" t="s">
        <v>204</v>
      </c>
      <c r="B530" t="s">
        <v>9</v>
      </c>
      <c r="C530">
        <v>6</v>
      </c>
      <c r="D530">
        <v>2638</v>
      </c>
      <c r="E530">
        <v>0</v>
      </c>
      <c r="F530" t="s">
        <v>175</v>
      </c>
      <c r="I530">
        <v>0</v>
      </c>
      <c r="J530">
        <f>DropAnalityka[[#This Row],[Sell Drop]]+IF(DropAnalityka[[#This Row],[Drop]]="Scroll", 2000*DropAnalityka[[#This Row],[Quality/Quantity]],0)</f>
        <v>0</v>
      </c>
      <c r="K5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1" spans="1:12">
      <c r="A531" s="10" t="s">
        <v>204</v>
      </c>
      <c r="B531" t="s">
        <v>9</v>
      </c>
      <c r="C531">
        <v>6</v>
      </c>
      <c r="D531">
        <v>2603</v>
      </c>
      <c r="E531">
        <v>0</v>
      </c>
      <c r="F531" t="s">
        <v>36</v>
      </c>
      <c r="G531">
        <v>4</v>
      </c>
      <c r="I531">
        <v>0</v>
      </c>
      <c r="J531">
        <f>DropAnalityka[[#This Row],[Sell Drop]]+IF(DropAnalityka[[#This Row],[Drop]]="Scroll", 2000*DropAnalityka[[#This Row],[Quality/Quantity]],0)</f>
        <v>8000</v>
      </c>
      <c r="K5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2" spans="1:12">
      <c r="A532" s="10" t="s">
        <v>204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Drop]]+IF(DropAnalityka[[#This Row],[Drop]]="Scroll", 2000*DropAnalityka[[#This Row],[Quality/Quantity]],0)</f>
        <v>3916</v>
      </c>
      <c r="K5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3" spans="1:12">
      <c r="A533" s="10" t="s">
        <v>204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Drop]]+IF(DropAnalityka[[#This Row],[Drop]]="Scroll", 2000*DropAnalityka[[#This Row],[Quality/Quantity]],0)</f>
        <v>3789</v>
      </c>
      <c r="K5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4" spans="1:12">
      <c r="A534" s="10" t="s">
        <v>204</v>
      </c>
      <c r="B534" t="s">
        <v>9</v>
      </c>
      <c r="C534">
        <v>6</v>
      </c>
      <c r="D534">
        <v>2460</v>
      </c>
      <c r="E534">
        <v>1</v>
      </c>
      <c r="F534" t="s">
        <v>36</v>
      </c>
      <c r="G534">
        <v>4</v>
      </c>
      <c r="I534">
        <v>0</v>
      </c>
      <c r="J534">
        <f>DropAnalityka[[#This Row],[Sell Drop]]+IF(DropAnalityka[[#This Row],[Drop]]="Scroll", 2000*DropAnalityka[[#This Row],[Quality/Quantity]],0)</f>
        <v>8000</v>
      </c>
      <c r="K5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5" spans="1:12">
      <c r="A535" s="10" t="s">
        <v>248</v>
      </c>
      <c r="B535" t="s">
        <v>9</v>
      </c>
      <c r="C535">
        <v>8</v>
      </c>
      <c r="D535">
        <v>2498</v>
      </c>
      <c r="E535">
        <v>2</v>
      </c>
      <c r="F535" t="s">
        <v>64</v>
      </c>
      <c r="G535">
        <v>3</v>
      </c>
      <c r="I535">
        <v>0</v>
      </c>
      <c r="J535">
        <f>DropAnalityka[[#This Row],[Sell Drop]]+IF(DropAnalityka[[#This Row],[Drop]]="Scroll", 2000*DropAnalityka[[#This Row],[Quality/Quantity]],0)</f>
        <v>0</v>
      </c>
      <c r="K5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6" spans="1:12">
      <c r="A536" s="10" t="s">
        <v>248</v>
      </c>
      <c r="B536" t="s">
        <v>9</v>
      </c>
      <c r="C536">
        <v>7</v>
      </c>
      <c r="D536">
        <v>2073</v>
      </c>
      <c r="E536">
        <v>0</v>
      </c>
      <c r="F536" t="s">
        <v>243</v>
      </c>
      <c r="G536">
        <v>1</v>
      </c>
      <c r="I536">
        <v>0</v>
      </c>
      <c r="J536">
        <f>DropAnalityka[[#This Row],[Sell Drop]]+IF(DropAnalityka[[#This Row],[Drop]]="Scroll", 2000*DropAnalityka[[#This Row],[Quality/Quantity]],0)</f>
        <v>0</v>
      </c>
      <c r="K5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7" spans="1:12">
      <c r="A537" s="10" t="s">
        <v>248</v>
      </c>
      <c r="B537" t="s">
        <v>9</v>
      </c>
      <c r="C537">
        <v>7</v>
      </c>
      <c r="D537">
        <v>2143</v>
      </c>
      <c r="E537">
        <v>0</v>
      </c>
      <c r="F537" t="s">
        <v>64</v>
      </c>
      <c r="G537">
        <v>3</v>
      </c>
      <c r="I537">
        <v>0</v>
      </c>
      <c r="J537">
        <f>DropAnalityka[[#This Row],[Sell Drop]]+IF(DropAnalityka[[#This Row],[Drop]]="Scroll", 2000*DropAnalityka[[#This Row],[Quality/Quantity]],0)</f>
        <v>0</v>
      </c>
      <c r="K5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8" spans="1:12">
      <c r="A538" s="10" t="s">
        <v>248</v>
      </c>
      <c r="B538" t="s">
        <v>9</v>
      </c>
      <c r="C538">
        <v>7</v>
      </c>
      <c r="D538">
        <v>1852</v>
      </c>
      <c r="E538">
        <v>1</v>
      </c>
      <c r="F538" t="s">
        <v>243</v>
      </c>
      <c r="G538">
        <v>1</v>
      </c>
      <c r="I538">
        <v>0</v>
      </c>
      <c r="J538">
        <f>DropAnalityka[[#This Row],[Sell Drop]]+IF(DropAnalityka[[#This Row],[Drop]]="Scroll", 2000*DropAnalityka[[#This Row],[Quality/Quantity]],0)</f>
        <v>0</v>
      </c>
      <c r="K5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9" spans="1:12">
      <c r="A539" s="10" t="s">
        <v>248</v>
      </c>
      <c r="B539" t="s">
        <v>9</v>
      </c>
      <c r="C539">
        <v>7</v>
      </c>
      <c r="D539">
        <v>2417</v>
      </c>
      <c r="E539">
        <v>0</v>
      </c>
      <c r="F539" t="s">
        <v>244</v>
      </c>
      <c r="G539">
        <v>1</v>
      </c>
      <c r="I539">
        <v>0</v>
      </c>
      <c r="J539">
        <f>DropAnalityka[[#This Row],[Sell Drop]]+IF(DropAnalityka[[#This Row],[Drop]]="Scroll", 2000*DropAnalityka[[#This Row],[Quality/Quantity]],0)</f>
        <v>0</v>
      </c>
      <c r="K5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0" spans="1:12">
      <c r="A540" s="10" t="s">
        <v>248</v>
      </c>
      <c r="B540" t="s">
        <v>9</v>
      </c>
      <c r="C540">
        <v>8</v>
      </c>
      <c r="D540">
        <v>2146</v>
      </c>
      <c r="E540">
        <v>0</v>
      </c>
      <c r="F540" t="s">
        <v>243</v>
      </c>
      <c r="G540">
        <v>2</v>
      </c>
      <c r="I540">
        <v>0</v>
      </c>
      <c r="J540">
        <f>DropAnalityka[[#This Row],[Sell Drop]]+IF(DropAnalityka[[#This Row],[Drop]]="Scroll", 2000*DropAnalityka[[#This Row],[Quality/Quantity]],0)</f>
        <v>0</v>
      </c>
      <c r="K5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1" spans="1:12">
      <c r="A541" s="10" t="s">
        <v>248</v>
      </c>
      <c r="B541" t="s">
        <v>9</v>
      </c>
      <c r="C541">
        <v>8</v>
      </c>
      <c r="D541">
        <v>2968</v>
      </c>
      <c r="E541">
        <v>0</v>
      </c>
      <c r="F541" t="s">
        <v>36</v>
      </c>
      <c r="G541">
        <v>4</v>
      </c>
      <c r="I541">
        <v>0</v>
      </c>
      <c r="J541">
        <f>DropAnalityka[[#This Row],[Sell Drop]]+IF(DropAnalityka[[#This Row],[Drop]]="Scroll", 2000*DropAnalityka[[#This Row],[Quality/Quantity]],0)</f>
        <v>8000</v>
      </c>
      <c r="K5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2" spans="1:12">
      <c r="A542" s="10" t="s">
        <v>248</v>
      </c>
      <c r="B542" t="s">
        <v>9</v>
      </c>
      <c r="C542">
        <v>8</v>
      </c>
      <c r="D542">
        <v>2237</v>
      </c>
      <c r="E542">
        <v>0</v>
      </c>
      <c r="F542" t="s">
        <v>36</v>
      </c>
      <c r="G542">
        <v>4</v>
      </c>
      <c r="I542">
        <v>0</v>
      </c>
      <c r="J542">
        <f>DropAnalityka[[#This Row],[Sell Drop]]+IF(DropAnalityka[[#This Row],[Drop]]="Scroll", 2000*DropAnalityka[[#This Row],[Quality/Quantity]],0)</f>
        <v>8000</v>
      </c>
      <c r="K5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3" spans="1:12">
      <c r="A543" s="10" t="s">
        <v>248</v>
      </c>
      <c r="B543" t="s">
        <v>9</v>
      </c>
      <c r="C543">
        <v>8</v>
      </c>
      <c r="D543">
        <v>2223</v>
      </c>
      <c r="E543">
        <v>1</v>
      </c>
      <c r="F543" t="s">
        <v>64</v>
      </c>
      <c r="G543">
        <v>5</v>
      </c>
      <c r="I543">
        <v>0</v>
      </c>
      <c r="J543">
        <f>DropAnalityka[[#This Row],[Sell Drop]]+IF(DropAnalityka[[#This Row],[Drop]]="Scroll", 2000*DropAnalityka[[#This Row],[Quality/Quantity]],0)</f>
        <v>0</v>
      </c>
      <c r="K5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4" spans="1:12">
      <c r="A544" s="10" t="s">
        <v>248</v>
      </c>
      <c r="B544" t="s">
        <v>9</v>
      </c>
      <c r="C544">
        <v>8</v>
      </c>
      <c r="D544">
        <v>2246</v>
      </c>
      <c r="E544">
        <v>2</v>
      </c>
      <c r="F544" t="s">
        <v>36</v>
      </c>
      <c r="G544">
        <v>4</v>
      </c>
      <c r="I544">
        <v>0</v>
      </c>
      <c r="J544">
        <f>DropAnalityka[[#This Row],[Sell Drop]]+IF(DropAnalityka[[#This Row],[Drop]]="Scroll", 2000*DropAnalityka[[#This Row],[Quality/Quantity]],0)</f>
        <v>8000</v>
      </c>
      <c r="K5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5" spans="1:12">
      <c r="A545" s="10" t="s">
        <v>248</v>
      </c>
      <c r="B545" t="s">
        <v>9</v>
      </c>
      <c r="C545">
        <v>8</v>
      </c>
      <c r="D545">
        <v>1945</v>
      </c>
      <c r="E545">
        <v>0</v>
      </c>
      <c r="F545" t="s">
        <v>36</v>
      </c>
      <c r="G545">
        <v>4</v>
      </c>
      <c r="I545">
        <v>0</v>
      </c>
      <c r="J545">
        <f>DropAnalityka[[#This Row],[Sell Drop]]+IF(DropAnalityka[[#This Row],[Drop]]="Scroll", 2000*DropAnalityka[[#This Row],[Quality/Quantity]],0)</f>
        <v>8000</v>
      </c>
      <c r="K5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6" spans="1:12">
      <c r="A546" s="10" t="s">
        <v>248</v>
      </c>
      <c r="B546" t="s">
        <v>9</v>
      </c>
      <c r="C546">
        <v>8</v>
      </c>
      <c r="D546">
        <v>2404</v>
      </c>
      <c r="E546">
        <v>1</v>
      </c>
      <c r="F546" t="s">
        <v>64</v>
      </c>
      <c r="G546">
        <v>4</v>
      </c>
      <c r="I546">
        <v>0</v>
      </c>
      <c r="J546">
        <f>DropAnalityka[[#This Row],[Sell Drop]]+IF(DropAnalityka[[#This Row],[Drop]]="Scroll", 2000*DropAnalityka[[#This Row],[Quality/Quantity]],0)</f>
        <v>0</v>
      </c>
      <c r="K5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7" spans="1:12">
      <c r="A547" s="10" t="s">
        <v>248</v>
      </c>
      <c r="B547" t="s">
        <v>9</v>
      </c>
      <c r="C547">
        <v>8</v>
      </c>
      <c r="D547">
        <v>3017</v>
      </c>
      <c r="E547">
        <v>1</v>
      </c>
      <c r="F547" t="s">
        <v>64</v>
      </c>
      <c r="G547">
        <v>4</v>
      </c>
      <c r="I547">
        <v>0</v>
      </c>
      <c r="J547">
        <f>DropAnalityka[[#This Row],[Sell Drop]]+IF(DropAnalityka[[#This Row],[Drop]]="Scroll", 2000*DropAnalityka[[#This Row],[Quality/Quantity]],0)</f>
        <v>0</v>
      </c>
      <c r="K5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8" spans="1:12">
      <c r="A548" s="10" t="s">
        <v>248</v>
      </c>
      <c r="B548" t="s">
        <v>9</v>
      </c>
      <c r="C548">
        <v>8</v>
      </c>
      <c r="D548">
        <v>2175</v>
      </c>
      <c r="E548">
        <v>0</v>
      </c>
      <c r="F548" t="s">
        <v>175</v>
      </c>
      <c r="G548">
        <v>1</v>
      </c>
      <c r="I548">
        <v>0</v>
      </c>
      <c r="J548">
        <f>DropAnalityka[[#This Row],[Sell Drop]]+IF(DropAnalityka[[#This Row],[Drop]]="Scroll", 2000*DropAnalityka[[#This Row],[Quality/Quantity]],0)</f>
        <v>0</v>
      </c>
      <c r="K5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9" spans="1:12">
      <c r="A549" s="10" t="s">
        <v>248</v>
      </c>
      <c r="B549" t="s">
        <v>9</v>
      </c>
      <c r="C549">
        <v>8</v>
      </c>
      <c r="D549">
        <v>2276</v>
      </c>
      <c r="E549">
        <v>0</v>
      </c>
      <c r="F549" t="s">
        <v>64</v>
      </c>
      <c r="G549">
        <v>4</v>
      </c>
      <c r="I549">
        <v>0</v>
      </c>
      <c r="J549">
        <f>DropAnalityka[[#This Row],[Sell Drop]]+IF(DropAnalityka[[#This Row],[Drop]]="Scroll", 2000*DropAnalityka[[#This Row],[Quality/Quantity]],0)</f>
        <v>0</v>
      </c>
      <c r="K5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0" spans="1:12">
      <c r="A550" s="10" t="s">
        <v>248</v>
      </c>
      <c r="B550" t="s">
        <v>9</v>
      </c>
      <c r="C550">
        <v>8</v>
      </c>
      <c r="D550">
        <v>2576</v>
      </c>
      <c r="E550">
        <v>3</v>
      </c>
      <c r="F550" t="s">
        <v>64</v>
      </c>
      <c r="G550">
        <v>4</v>
      </c>
      <c r="I550">
        <v>0</v>
      </c>
      <c r="J550">
        <f>DropAnalityka[[#This Row],[Sell Drop]]+IF(DropAnalityka[[#This Row],[Drop]]="Scroll", 2000*DropAnalityka[[#This Row],[Quality/Quantity]],0)</f>
        <v>0</v>
      </c>
      <c r="K5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1" spans="1:12">
      <c r="A551" s="10" t="s">
        <v>248</v>
      </c>
      <c r="B551" t="s">
        <v>9</v>
      </c>
      <c r="C551">
        <v>8</v>
      </c>
      <c r="D551">
        <v>2058</v>
      </c>
      <c r="E551">
        <v>1</v>
      </c>
      <c r="F551" t="s">
        <v>64</v>
      </c>
      <c r="G551">
        <v>5</v>
      </c>
      <c r="I551">
        <v>0</v>
      </c>
      <c r="J551">
        <f>DropAnalityka[[#This Row],[Sell Drop]]+IF(DropAnalityka[[#This Row],[Drop]]="Scroll", 2000*DropAnalityka[[#This Row],[Quality/Quantity]],0)</f>
        <v>0</v>
      </c>
      <c r="K5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2" spans="1:12">
      <c r="A552" s="10" t="s">
        <v>248</v>
      </c>
      <c r="B552" t="s">
        <v>9</v>
      </c>
      <c r="C552">
        <v>8</v>
      </c>
      <c r="D552">
        <v>2086</v>
      </c>
      <c r="E552">
        <v>1</v>
      </c>
      <c r="F552" t="s">
        <v>36</v>
      </c>
      <c r="G552">
        <v>4</v>
      </c>
      <c r="I552">
        <v>0</v>
      </c>
      <c r="J552">
        <f>DropAnalityka[[#This Row],[Sell Drop]]+IF(DropAnalityka[[#This Row],[Drop]]="Scroll", 2000*DropAnalityka[[#This Row],[Quality/Quantity]],0)</f>
        <v>8000</v>
      </c>
      <c r="K5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3" spans="1:12">
      <c r="A553" s="10" t="s">
        <v>248</v>
      </c>
      <c r="B553" t="s">
        <v>9</v>
      </c>
      <c r="C553">
        <v>8</v>
      </c>
      <c r="D553">
        <v>2586</v>
      </c>
      <c r="E553">
        <v>3</v>
      </c>
      <c r="F553" t="s">
        <v>36</v>
      </c>
      <c r="G553">
        <v>4</v>
      </c>
      <c r="I553">
        <v>0</v>
      </c>
      <c r="J553">
        <f>DropAnalityka[[#This Row],[Sell Drop]]+IF(DropAnalityka[[#This Row],[Drop]]="Scroll", 2000*DropAnalityka[[#This Row],[Quality/Quantity]],0)</f>
        <v>8000</v>
      </c>
      <c r="K5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4" spans="1:12">
      <c r="A554" s="10" t="s">
        <v>248</v>
      </c>
      <c r="B554" t="s">
        <v>9</v>
      </c>
      <c r="C554">
        <v>8</v>
      </c>
      <c r="D554">
        <v>2500</v>
      </c>
      <c r="E554">
        <v>1</v>
      </c>
      <c r="F554" t="s">
        <v>36</v>
      </c>
      <c r="G554">
        <v>5</v>
      </c>
      <c r="I554">
        <v>0</v>
      </c>
      <c r="J554">
        <f>DropAnalityka[[#This Row],[Sell Drop]]+IF(DropAnalityka[[#This Row],[Drop]]="Scroll", 2000*DropAnalityka[[#This Row],[Quality/Quantity]],0)</f>
        <v>10000</v>
      </c>
      <c r="K5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5" spans="1:12">
      <c r="A555" s="10" t="s">
        <v>248</v>
      </c>
      <c r="B555" t="s">
        <v>9</v>
      </c>
      <c r="C555">
        <v>8</v>
      </c>
      <c r="D555">
        <v>2526</v>
      </c>
      <c r="E555">
        <v>0</v>
      </c>
      <c r="F555" t="s">
        <v>245</v>
      </c>
      <c r="G555">
        <v>1</v>
      </c>
      <c r="I555">
        <v>0</v>
      </c>
      <c r="J555">
        <f>DropAnalityka[[#This Row],[Sell Drop]]+IF(DropAnalityka[[#This Row],[Drop]]="Scroll", 2000*DropAnalityka[[#This Row],[Quality/Quantity]],0)</f>
        <v>0</v>
      </c>
      <c r="K5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6" spans="1:12">
      <c r="A556" s="10" t="s">
        <v>248</v>
      </c>
      <c r="B556" t="s">
        <v>9</v>
      </c>
      <c r="C556">
        <v>8</v>
      </c>
      <c r="D556">
        <v>2483</v>
      </c>
      <c r="E556">
        <v>3</v>
      </c>
      <c r="F556" t="s">
        <v>245</v>
      </c>
      <c r="G556">
        <v>1</v>
      </c>
      <c r="I556">
        <v>0</v>
      </c>
      <c r="J556">
        <f>DropAnalityka[[#This Row],[Sell Drop]]+IF(DropAnalityka[[#This Row],[Drop]]="Scroll", 2000*DropAnalityka[[#This Row],[Quality/Quantity]],0)</f>
        <v>0</v>
      </c>
      <c r="K5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7" spans="1:12">
      <c r="A557" s="10" t="s">
        <v>248</v>
      </c>
      <c r="B557" t="s">
        <v>9</v>
      </c>
      <c r="C557">
        <v>8</v>
      </c>
      <c r="D557">
        <v>2491</v>
      </c>
      <c r="E557">
        <v>0</v>
      </c>
      <c r="F557" t="s">
        <v>246</v>
      </c>
      <c r="G557">
        <v>0</v>
      </c>
      <c r="I557">
        <v>0</v>
      </c>
      <c r="J557">
        <f>DropAnalityka[[#This Row],[Sell Drop]]+IF(DropAnalityka[[#This Row],[Drop]]="Scroll", 2000*DropAnalityka[[#This Row],[Quality/Quantity]],0)</f>
        <v>0</v>
      </c>
      <c r="K5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8" spans="1:12">
      <c r="A558" s="10" t="s">
        <v>248</v>
      </c>
      <c r="B558" t="s">
        <v>9</v>
      </c>
      <c r="C558">
        <v>8</v>
      </c>
      <c r="D558">
        <v>2730</v>
      </c>
      <c r="E558">
        <v>0</v>
      </c>
      <c r="F558" t="s">
        <v>36</v>
      </c>
      <c r="G558">
        <v>4</v>
      </c>
      <c r="I558">
        <v>0</v>
      </c>
      <c r="J558">
        <f>DropAnalityka[[#This Row],[Sell Drop]]+IF(DropAnalityka[[#This Row],[Drop]]="Scroll", 2000*DropAnalityka[[#This Row],[Quality/Quantity]],0)</f>
        <v>8000</v>
      </c>
      <c r="K5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9" spans="1:12">
      <c r="A559" s="10" t="s">
        <v>248</v>
      </c>
      <c r="B559" t="s">
        <v>9</v>
      </c>
      <c r="C559">
        <v>8</v>
      </c>
      <c r="D559">
        <v>2671</v>
      </c>
      <c r="E559">
        <v>2</v>
      </c>
      <c r="F559" t="s">
        <v>64</v>
      </c>
      <c r="G559">
        <v>4</v>
      </c>
      <c r="I559">
        <v>0</v>
      </c>
      <c r="J559">
        <f>DropAnalityka[[#This Row],[Sell Drop]]+IF(DropAnalityka[[#This Row],[Drop]]="Scroll", 2000*DropAnalityka[[#This Row],[Quality/Quantity]],0)</f>
        <v>0</v>
      </c>
      <c r="K5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0" spans="1:12">
      <c r="A560" s="10" t="s">
        <v>248</v>
      </c>
      <c r="B560" t="s">
        <v>9</v>
      </c>
      <c r="C560">
        <v>8</v>
      </c>
      <c r="D560">
        <v>2186</v>
      </c>
      <c r="E560">
        <v>1</v>
      </c>
      <c r="F560" t="s">
        <v>247</v>
      </c>
      <c r="G560" t="s">
        <v>18</v>
      </c>
      <c r="I560">
        <v>0</v>
      </c>
      <c r="J560">
        <f>DropAnalityka[[#This Row],[Sell Drop]]+IF(DropAnalityka[[#This Row],[Drop]]="Scroll", 2000*DropAnalityka[[#This Row],[Quality/Quantity]],0)</f>
        <v>0</v>
      </c>
      <c r="K5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1" spans="1:12">
      <c r="A561" s="10" t="s">
        <v>248</v>
      </c>
      <c r="B561" t="s">
        <v>9</v>
      </c>
      <c r="C561">
        <v>8</v>
      </c>
      <c r="D561">
        <v>2316</v>
      </c>
      <c r="E561">
        <v>0</v>
      </c>
      <c r="F561" t="s">
        <v>64</v>
      </c>
      <c r="G561">
        <v>3</v>
      </c>
      <c r="I561">
        <v>0</v>
      </c>
      <c r="J561">
        <f>DropAnalityka[[#This Row],[Sell Drop]]+IF(DropAnalityka[[#This Row],[Drop]]="Scroll", 2000*DropAnalityka[[#This Row],[Quality/Quantity]],0)</f>
        <v>0</v>
      </c>
      <c r="K5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2" spans="1:12">
      <c r="A562" s="10" t="s">
        <v>248</v>
      </c>
      <c r="B562" t="s">
        <v>9</v>
      </c>
      <c r="C562">
        <v>8</v>
      </c>
      <c r="D562">
        <v>2046</v>
      </c>
      <c r="E562">
        <v>1</v>
      </c>
      <c r="F562" t="s">
        <v>64</v>
      </c>
      <c r="G562">
        <v>4</v>
      </c>
      <c r="I562">
        <v>0</v>
      </c>
      <c r="J562">
        <f>DropAnalityka[[#This Row],[Sell Drop]]+IF(DropAnalityka[[#This Row],[Drop]]="Scroll", 2000*DropAnalityka[[#This Row],[Quality/Quantity]],0)</f>
        <v>0</v>
      </c>
      <c r="K5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3" spans="1:12">
      <c r="A563" s="10" t="s">
        <v>248</v>
      </c>
      <c r="B563" t="s">
        <v>9</v>
      </c>
      <c r="C563">
        <v>8</v>
      </c>
      <c r="D563">
        <v>2303</v>
      </c>
      <c r="E563">
        <v>3</v>
      </c>
      <c r="F563" t="s">
        <v>243</v>
      </c>
      <c r="G563">
        <v>1</v>
      </c>
      <c r="I563">
        <v>0</v>
      </c>
      <c r="J563">
        <f>DropAnalityka[[#This Row],[Sell Drop]]+IF(DropAnalityka[[#This Row],[Drop]]="Scroll", 2000*DropAnalityka[[#This Row],[Quality/Quantity]],0)</f>
        <v>0</v>
      </c>
      <c r="K5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4" spans="1:12">
      <c r="A564" s="10" t="s">
        <v>248</v>
      </c>
      <c r="B564" t="s">
        <v>9</v>
      </c>
      <c r="C564">
        <v>8</v>
      </c>
      <c r="D564">
        <v>2396</v>
      </c>
      <c r="E564">
        <v>1</v>
      </c>
      <c r="F564" t="s">
        <v>243</v>
      </c>
      <c r="G564">
        <v>1</v>
      </c>
      <c r="I564">
        <v>0</v>
      </c>
      <c r="J564">
        <f>DropAnalityka[[#This Row],[Sell Drop]]+IF(DropAnalityka[[#This Row],[Drop]]="Scroll", 2000*DropAnalityka[[#This Row],[Quality/Quantity]],0)</f>
        <v>0</v>
      </c>
      <c r="K5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5" spans="1:12">
      <c r="A565" s="10" t="s">
        <v>248</v>
      </c>
      <c r="B565" t="s">
        <v>9</v>
      </c>
      <c r="C565">
        <v>8</v>
      </c>
      <c r="D565">
        <v>2325</v>
      </c>
      <c r="E565">
        <v>1</v>
      </c>
      <c r="F565" t="s">
        <v>245</v>
      </c>
      <c r="G565">
        <v>2</v>
      </c>
      <c r="I565">
        <v>0</v>
      </c>
      <c r="J565">
        <f>DropAnalityka[[#This Row],[Sell Drop]]+IF(DropAnalityka[[#This Row],[Drop]]="Scroll", 2000*DropAnalityka[[#This Row],[Quality/Quantity]],0)</f>
        <v>0</v>
      </c>
      <c r="K5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6" spans="1:12">
      <c r="A566" s="10" t="s">
        <v>248</v>
      </c>
      <c r="B566" t="s">
        <v>9</v>
      </c>
      <c r="C566">
        <v>8</v>
      </c>
      <c r="D566">
        <v>2398</v>
      </c>
      <c r="E566">
        <v>1</v>
      </c>
      <c r="F566" t="s">
        <v>64</v>
      </c>
      <c r="G566">
        <v>3</v>
      </c>
      <c r="I566">
        <v>0</v>
      </c>
      <c r="J566">
        <f>DropAnalityka[[#This Row],[Sell Drop]]+IF(DropAnalityka[[#This Row],[Drop]]="Scroll", 2000*DropAnalityka[[#This Row],[Quality/Quantity]],0)</f>
        <v>0</v>
      </c>
      <c r="K5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7" spans="1:12">
      <c r="A567" s="10" t="s">
        <v>248</v>
      </c>
      <c r="B567" t="s">
        <v>9</v>
      </c>
      <c r="C567">
        <v>8</v>
      </c>
      <c r="D567">
        <v>2668</v>
      </c>
      <c r="E567">
        <v>0</v>
      </c>
      <c r="F567" t="s">
        <v>245</v>
      </c>
      <c r="G567">
        <v>3</v>
      </c>
      <c r="I567">
        <v>0</v>
      </c>
      <c r="J567">
        <f>DropAnalityka[[#This Row],[Sell Drop]]+IF(DropAnalityka[[#This Row],[Drop]]="Scroll", 2000*DropAnalityka[[#This Row],[Quality/Quantity]],0)</f>
        <v>0</v>
      </c>
      <c r="K5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8" spans="1:12">
      <c r="A568" s="10" t="s">
        <v>40</v>
      </c>
      <c r="B568" t="s">
        <v>9</v>
      </c>
      <c r="C568">
        <v>7</v>
      </c>
      <c r="D568">
        <v>3002</v>
      </c>
      <c r="E568">
        <v>2</v>
      </c>
      <c r="F568" t="s">
        <v>65</v>
      </c>
      <c r="G568">
        <v>2</v>
      </c>
      <c r="I568">
        <v>0</v>
      </c>
      <c r="J568">
        <f>DropAnalityka[[#This Row],[Sell Drop]]+IF(DropAnalityka[[#This Row],[Drop]]="Scroll", 2000*DropAnalityka[[#This Row],[Quality/Quantity]],0)</f>
        <v>0</v>
      </c>
      <c r="K5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9" spans="1:12">
      <c r="A569" s="10" t="s">
        <v>40</v>
      </c>
      <c r="B569" t="s">
        <v>9</v>
      </c>
      <c r="C569">
        <v>7</v>
      </c>
      <c r="D569">
        <v>2021</v>
      </c>
      <c r="E569">
        <v>1</v>
      </c>
      <c r="F569" t="s">
        <v>65</v>
      </c>
      <c r="G569">
        <v>1</v>
      </c>
      <c r="I569">
        <v>0</v>
      </c>
      <c r="J569">
        <f>DropAnalityka[[#This Row],[Sell Drop]]+IF(DropAnalityka[[#This Row],[Drop]]="Scroll", 2000*DropAnalityka[[#This Row],[Quality/Quantity]],0)</f>
        <v>0</v>
      </c>
      <c r="K5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0" spans="1:12">
      <c r="A570" s="10" t="s">
        <v>40</v>
      </c>
      <c r="B570" t="s">
        <v>9</v>
      </c>
      <c r="C570">
        <v>7</v>
      </c>
      <c r="D570">
        <v>2168</v>
      </c>
      <c r="E570">
        <v>0</v>
      </c>
      <c r="F570" t="s">
        <v>66</v>
      </c>
      <c r="G570">
        <v>4</v>
      </c>
      <c r="I570">
        <v>0</v>
      </c>
      <c r="J570">
        <f>DropAnalityka[[#This Row],[Sell Drop]]+IF(DropAnalityka[[#This Row],[Drop]]="Scroll", 2000*DropAnalityka[[#This Row],[Quality/Quantity]],0)</f>
        <v>0</v>
      </c>
      <c r="K5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1" spans="1:12">
      <c r="A571" s="10" t="s">
        <v>40</v>
      </c>
      <c r="B571" t="s">
        <v>9</v>
      </c>
      <c r="C571">
        <v>7</v>
      </c>
      <c r="D571">
        <v>2540</v>
      </c>
      <c r="E571">
        <v>3</v>
      </c>
      <c r="F571" t="s">
        <v>65</v>
      </c>
      <c r="G571">
        <v>1</v>
      </c>
      <c r="I571">
        <v>0</v>
      </c>
      <c r="J571">
        <f>DropAnalityka[[#This Row],[Sell Drop]]+IF(DropAnalityka[[#This Row],[Drop]]="Scroll", 2000*DropAnalityka[[#This Row],[Quality/Quantity]],0)</f>
        <v>0</v>
      </c>
      <c r="K5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2" spans="1:12">
      <c r="A572" s="10" t="s">
        <v>40</v>
      </c>
      <c r="B572" t="s">
        <v>9</v>
      </c>
      <c r="C572">
        <v>7</v>
      </c>
      <c r="D572">
        <v>2251</v>
      </c>
      <c r="E572">
        <v>1</v>
      </c>
      <c r="F572" t="s">
        <v>65</v>
      </c>
      <c r="G572">
        <v>1</v>
      </c>
      <c r="I572">
        <v>0</v>
      </c>
      <c r="J572">
        <f>DropAnalityka[[#This Row],[Sell Drop]]+IF(DropAnalityka[[#This Row],[Drop]]="Scroll", 2000*DropAnalityka[[#This Row],[Quality/Quantity]],0)</f>
        <v>0</v>
      </c>
      <c r="K5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3" spans="1:12">
      <c r="A573" s="10" t="s">
        <v>40</v>
      </c>
      <c r="B573" t="s">
        <v>9</v>
      </c>
      <c r="C573">
        <v>7</v>
      </c>
      <c r="D573">
        <v>2591</v>
      </c>
      <c r="E573">
        <v>1</v>
      </c>
      <c r="F573" t="s">
        <v>66</v>
      </c>
      <c r="G573">
        <v>4</v>
      </c>
      <c r="I573">
        <v>0</v>
      </c>
      <c r="J573">
        <f>DropAnalityka[[#This Row],[Sell Drop]]+IF(DropAnalityka[[#This Row],[Drop]]="Scroll", 2000*DropAnalityka[[#This Row],[Quality/Quantity]],0)</f>
        <v>0</v>
      </c>
      <c r="K5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4" spans="1:12">
      <c r="A574" s="10" t="s">
        <v>40</v>
      </c>
      <c r="B574" t="s">
        <v>9</v>
      </c>
      <c r="C574">
        <v>7</v>
      </c>
      <c r="D574">
        <v>2238</v>
      </c>
      <c r="E574">
        <v>1</v>
      </c>
      <c r="F574" t="s">
        <v>65</v>
      </c>
      <c r="G574">
        <v>3</v>
      </c>
      <c r="I574">
        <v>0</v>
      </c>
      <c r="J574">
        <f>DropAnalityka[[#This Row],[Sell Drop]]+IF(DropAnalityka[[#This Row],[Drop]]="Scroll", 2000*DropAnalityka[[#This Row],[Quality/Quantity]],0)</f>
        <v>0</v>
      </c>
      <c r="K5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5" spans="1:12">
      <c r="A575" s="10" t="s">
        <v>40</v>
      </c>
      <c r="B575" t="s">
        <v>9</v>
      </c>
      <c r="C575">
        <v>7</v>
      </c>
      <c r="D575">
        <v>2506</v>
      </c>
      <c r="E575">
        <v>0</v>
      </c>
      <c r="F575" t="s">
        <v>65</v>
      </c>
      <c r="G575">
        <v>3</v>
      </c>
      <c r="I575">
        <v>0</v>
      </c>
      <c r="J575">
        <f>DropAnalityka[[#This Row],[Sell Drop]]+IF(DropAnalityka[[#This Row],[Drop]]="Scroll", 2000*DropAnalityka[[#This Row],[Quality/Quantity]],0)</f>
        <v>0</v>
      </c>
      <c r="K5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6" spans="1:12">
      <c r="A576" s="10" t="s">
        <v>40</v>
      </c>
      <c r="B576" t="s">
        <v>9</v>
      </c>
      <c r="C576">
        <v>7</v>
      </c>
      <c r="D576">
        <v>2339</v>
      </c>
      <c r="E576">
        <v>0</v>
      </c>
      <c r="F576" t="s">
        <v>66</v>
      </c>
      <c r="G576">
        <v>4</v>
      </c>
      <c r="I576">
        <v>0</v>
      </c>
      <c r="J576">
        <f>DropAnalityka[[#This Row],[Sell Drop]]+IF(DropAnalityka[[#This Row],[Drop]]="Scroll", 2000*DropAnalityka[[#This Row],[Quality/Quantity]],0)</f>
        <v>0</v>
      </c>
      <c r="K5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7" spans="1:12">
      <c r="A577" s="10" t="s">
        <v>40</v>
      </c>
      <c r="B577" t="s">
        <v>9</v>
      </c>
      <c r="C577">
        <v>7</v>
      </c>
      <c r="D577">
        <v>2207</v>
      </c>
      <c r="E577">
        <v>1</v>
      </c>
      <c r="F577" t="s">
        <v>66</v>
      </c>
      <c r="G577">
        <v>3</v>
      </c>
      <c r="I577">
        <v>0</v>
      </c>
      <c r="J577">
        <f>DropAnalityka[[#This Row],[Sell Drop]]+IF(DropAnalityka[[#This Row],[Drop]]="Scroll", 2000*DropAnalityka[[#This Row],[Quality/Quantity]],0)</f>
        <v>0</v>
      </c>
      <c r="K5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8" spans="1:12">
      <c r="A578" s="10" t="s">
        <v>40</v>
      </c>
      <c r="B578" t="s">
        <v>9</v>
      </c>
      <c r="C578">
        <v>7</v>
      </c>
      <c r="D578">
        <v>1988</v>
      </c>
      <c r="E578">
        <v>0</v>
      </c>
      <c r="F578" t="s">
        <v>64</v>
      </c>
      <c r="G578">
        <v>3</v>
      </c>
      <c r="I578">
        <v>0</v>
      </c>
      <c r="J578">
        <f>DropAnalityka[[#This Row],[Sell Drop]]+IF(DropAnalityka[[#This Row],[Drop]]="Scroll", 2000*DropAnalityka[[#This Row],[Quality/Quantity]],0)</f>
        <v>0</v>
      </c>
      <c r="K5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9" spans="1:12">
      <c r="A579" s="10" t="s">
        <v>40</v>
      </c>
      <c r="B579" t="s">
        <v>9</v>
      </c>
      <c r="C579">
        <v>7</v>
      </c>
      <c r="D579">
        <v>2659</v>
      </c>
      <c r="E579">
        <v>0</v>
      </c>
      <c r="F579" t="s">
        <v>66</v>
      </c>
      <c r="G579">
        <v>5</v>
      </c>
      <c r="I579">
        <v>0</v>
      </c>
      <c r="J579">
        <f>DropAnalityka[[#This Row],[Sell Drop]]+IF(DropAnalityka[[#This Row],[Drop]]="Scroll", 2000*DropAnalityka[[#This Row],[Quality/Quantity]],0)</f>
        <v>0</v>
      </c>
      <c r="K5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0" spans="1:12">
      <c r="A580" s="10" t="s">
        <v>40</v>
      </c>
      <c r="B580" t="s">
        <v>9</v>
      </c>
      <c r="C580">
        <v>7</v>
      </c>
      <c r="D580">
        <v>2237</v>
      </c>
      <c r="E580">
        <v>0</v>
      </c>
      <c r="F580" t="s">
        <v>36</v>
      </c>
      <c r="G580">
        <v>4</v>
      </c>
      <c r="I580">
        <v>0</v>
      </c>
      <c r="J580">
        <f>DropAnalityka[[#This Row],[Sell Drop]]+IF(DropAnalityka[[#This Row],[Drop]]="Scroll", 2000*DropAnalityka[[#This Row],[Quality/Quantity]],0)</f>
        <v>8000</v>
      </c>
      <c r="K5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1" spans="1:12">
      <c r="A581" s="10" t="s">
        <v>40</v>
      </c>
      <c r="B581" t="s">
        <v>9</v>
      </c>
      <c r="C581">
        <v>7</v>
      </c>
      <c r="D581">
        <v>2137</v>
      </c>
      <c r="E581">
        <v>1</v>
      </c>
      <c r="F581" t="s">
        <v>175</v>
      </c>
      <c r="G581">
        <v>1</v>
      </c>
      <c r="I581">
        <v>0</v>
      </c>
      <c r="J581">
        <f>DropAnalityka[[#This Row],[Sell Drop]]+IF(DropAnalityka[[#This Row],[Drop]]="Scroll", 2000*DropAnalityka[[#This Row],[Quality/Quantity]],0)</f>
        <v>0</v>
      </c>
      <c r="K5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2" spans="1:12">
      <c r="A582" s="10" t="s">
        <v>40</v>
      </c>
      <c r="B582" t="s">
        <v>9</v>
      </c>
      <c r="C582">
        <v>7</v>
      </c>
      <c r="D582">
        <v>2588</v>
      </c>
      <c r="E582">
        <v>1</v>
      </c>
      <c r="F582" t="s">
        <v>66</v>
      </c>
      <c r="G582">
        <v>3</v>
      </c>
      <c r="I582">
        <v>0</v>
      </c>
      <c r="J582">
        <f>DropAnalityka[[#This Row],[Sell Drop]]+IF(DropAnalityka[[#This Row],[Drop]]="Scroll", 2000*DropAnalityka[[#This Row],[Quality/Quantity]],0)</f>
        <v>0</v>
      </c>
      <c r="K5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3" spans="1:12">
      <c r="A583" s="10" t="s">
        <v>40</v>
      </c>
      <c r="B583" t="s">
        <v>9</v>
      </c>
      <c r="C583">
        <v>7</v>
      </c>
      <c r="D583">
        <v>2248</v>
      </c>
      <c r="E583">
        <v>1</v>
      </c>
      <c r="F583" t="s">
        <v>249</v>
      </c>
      <c r="G583">
        <v>2</v>
      </c>
      <c r="I583">
        <v>0</v>
      </c>
      <c r="J583">
        <f>DropAnalityka[[#This Row],[Sell Drop]]+IF(DropAnalityka[[#This Row],[Drop]]="Scroll", 2000*DropAnalityka[[#This Row],[Quality/Quantity]],0)</f>
        <v>0</v>
      </c>
      <c r="K5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4" spans="1:12">
      <c r="A584" s="10" t="s">
        <v>204</v>
      </c>
      <c r="B584" t="s">
        <v>9</v>
      </c>
      <c r="C584">
        <v>6</v>
      </c>
      <c r="D584">
        <v>2097</v>
      </c>
      <c r="E584">
        <v>2</v>
      </c>
      <c r="F584" t="s">
        <v>100</v>
      </c>
      <c r="G584" t="s">
        <v>29</v>
      </c>
      <c r="H584" t="s">
        <v>252</v>
      </c>
      <c r="I584">
        <v>3307</v>
      </c>
      <c r="J584">
        <f>DropAnalityka[[#This Row],[Sell Drop]]+IF(DropAnalityka[[#This Row],[Drop]]="Scroll", 2000*DropAnalityka[[#This Row],[Quality/Quantity]],0)</f>
        <v>3307</v>
      </c>
      <c r="K5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5" spans="1:12">
      <c r="A585" s="10" t="s">
        <v>33</v>
      </c>
      <c r="B585" t="s">
        <v>32</v>
      </c>
      <c r="C585">
        <v>8</v>
      </c>
      <c r="D585">
        <v>707</v>
      </c>
      <c r="E585">
        <v>1</v>
      </c>
      <c r="I585">
        <v>1824</v>
      </c>
      <c r="J585">
        <f>DropAnalityka[[#This Row],[Sell Drop]]+IF(DropAnalityka[[#This Row],[Drop]]="Scroll", 2000*DropAnalityka[[#This Row],[Quality/Quantity]],0)</f>
        <v>1824</v>
      </c>
      <c r="K5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6" spans="1:12">
      <c r="A586" s="10" t="s">
        <v>33</v>
      </c>
      <c r="B586" t="s">
        <v>32</v>
      </c>
      <c r="C586">
        <v>8</v>
      </c>
      <c r="D586">
        <v>1504</v>
      </c>
      <c r="E586">
        <v>1</v>
      </c>
      <c r="F586" t="s">
        <v>62</v>
      </c>
      <c r="G586" t="s">
        <v>13</v>
      </c>
      <c r="J586">
        <f>DropAnalityka[[#This Row],[Sell Drop]]+IF(DropAnalityka[[#This Row],[Drop]]="Scroll", 2000*DropAnalityka[[#This Row],[Quality/Quantity]],0)</f>
        <v>0</v>
      </c>
      <c r="K5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5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587" spans="1:12">
      <c r="A587" s="10" t="s">
        <v>33</v>
      </c>
      <c r="B587" t="s">
        <v>32</v>
      </c>
      <c r="C587">
        <v>8</v>
      </c>
      <c r="D587">
        <v>1442</v>
      </c>
      <c r="E587">
        <v>1</v>
      </c>
      <c r="F587" t="s">
        <v>62</v>
      </c>
      <c r="G587" t="s">
        <v>13</v>
      </c>
      <c r="J587">
        <f>DropAnalityka[[#This Row],[Sell Drop]]+IF(DropAnalityka[[#This Row],[Drop]]="Scroll", 2000*DropAnalityka[[#This Row],[Quality/Quantity]],0)</f>
        <v>0</v>
      </c>
      <c r="K5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5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588" spans="1:12">
      <c r="A588" s="10" t="s">
        <v>33</v>
      </c>
      <c r="B588" t="s">
        <v>32</v>
      </c>
      <c r="C588">
        <v>8</v>
      </c>
      <c r="D588">
        <v>1510</v>
      </c>
      <c r="E588">
        <v>0</v>
      </c>
      <c r="I588">
        <v>1824</v>
      </c>
      <c r="J588">
        <f>DropAnalityka[[#This Row],[Sell Drop]]+IF(DropAnalityka[[#This Row],[Drop]]="Scroll", 2000*DropAnalityka[[#This Row],[Quality/Quantity]],0)</f>
        <v>1824</v>
      </c>
      <c r="K5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9" spans="1:12">
      <c r="A589" s="10" t="s">
        <v>33</v>
      </c>
      <c r="B589" t="s">
        <v>32</v>
      </c>
      <c r="C589">
        <v>8</v>
      </c>
      <c r="D589">
        <v>1606</v>
      </c>
      <c r="E589">
        <v>0</v>
      </c>
      <c r="F589" t="s">
        <v>36</v>
      </c>
      <c r="G589">
        <v>2</v>
      </c>
      <c r="J589">
        <f>DropAnalityka[[#This Row],[Sell Drop]]+IF(DropAnalityka[[#This Row],[Drop]]="Scroll", 2000*DropAnalityka[[#This Row],[Quality/Quantity]],0)</f>
        <v>4000</v>
      </c>
      <c r="K5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0" spans="1:12">
      <c r="A590" s="10" t="s">
        <v>33</v>
      </c>
      <c r="B590" t="s">
        <v>32</v>
      </c>
      <c r="C590">
        <v>8</v>
      </c>
      <c r="D590">
        <v>1532</v>
      </c>
      <c r="E590">
        <v>1</v>
      </c>
      <c r="F590" t="s">
        <v>36</v>
      </c>
      <c r="G590">
        <v>2</v>
      </c>
      <c r="J590">
        <f>DropAnalityka[[#This Row],[Sell Drop]]+IF(DropAnalityka[[#This Row],[Drop]]="Scroll", 2000*DropAnalityka[[#This Row],[Quality/Quantity]],0)</f>
        <v>4000</v>
      </c>
      <c r="K5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1" spans="1:12">
      <c r="A591" s="10" t="s">
        <v>33</v>
      </c>
      <c r="B591" t="s">
        <v>32</v>
      </c>
      <c r="C591">
        <v>8</v>
      </c>
      <c r="D591">
        <v>1918</v>
      </c>
      <c r="E591">
        <v>0</v>
      </c>
      <c r="I591">
        <v>1824</v>
      </c>
      <c r="J591">
        <f>DropAnalityka[[#This Row],[Sell Drop]]+IF(DropAnalityka[[#This Row],[Drop]]="Scroll", 2000*DropAnalityka[[#This Row],[Quality/Quantity]],0)</f>
        <v>1824</v>
      </c>
      <c r="K5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2" spans="1:12">
      <c r="A592" s="10" t="s">
        <v>33</v>
      </c>
      <c r="B592" t="s">
        <v>32</v>
      </c>
      <c r="C592">
        <v>8</v>
      </c>
      <c r="D592">
        <v>2175</v>
      </c>
      <c r="E592">
        <v>2</v>
      </c>
      <c r="F592" t="s">
        <v>36</v>
      </c>
      <c r="G592">
        <v>2</v>
      </c>
      <c r="J592">
        <f>DropAnalityka[[#This Row],[Sell Drop]]+IF(DropAnalityka[[#This Row],[Drop]]="Scroll", 2000*DropAnalityka[[#This Row],[Quality/Quantity]],0)</f>
        <v>4000</v>
      </c>
      <c r="K5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3" spans="1:12">
      <c r="A593" s="10" t="s">
        <v>33</v>
      </c>
      <c r="B593" t="s">
        <v>32</v>
      </c>
      <c r="C593">
        <v>8</v>
      </c>
      <c r="D593">
        <v>1952</v>
      </c>
      <c r="E593">
        <v>2</v>
      </c>
      <c r="I593">
        <v>3182</v>
      </c>
      <c r="J593">
        <f>DropAnalityka[[#This Row],[Sell Drop]]+IF(DropAnalityka[[#This Row],[Drop]]="Scroll", 2000*DropAnalityka[[#This Row],[Quality/Quantity]],0)</f>
        <v>3182</v>
      </c>
      <c r="K5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4" spans="1:12">
      <c r="A594" s="10" t="s">
        <v>33</v>
      </c>
      <c r="B594" t="s">
        <v>32</v>
      </c>
      <c r="C594">
        <v>8</v>
      </c>
      <c r="D594">
        <v>2050</v>
      </c>
      <c r="E594">
        <v>0</v>
      </c>
      <c r="I594">
        <v>3427</v>
      </c>
      <c r="J594">
        <f>DropAnalityka[[#This Row],[Sell Drop]]+IF(DropAnalityka[[#This Row],[Drop]]="Scroll", 2000*DropAnalityka[[#This Row],[Quality/Quantity]],0)</f>
        <v>3427</v>
      </c>
      <c r="K5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5" spans="1:12">
      <c r="A595" s="10" t="s">
        <v>33</v>
      </c>
      <c r="B595" t="s">
        <v>32</v>
      </c>
      <c r="C595">
        <v>8</v>
      </c>
      <c r="D595">
        <v>1235</v>
      </c>
      <c r="E595">
        <v>0</v>
      </c>
      <c r="I595">
        <v>1824</v>
      </c>
      <c r="J595">
        <f>DropAnalityka[[#This Row],[Sell Drop]]+IF(DropAnalityka[[#This Row],[Drop]]="Scroll", 2000*DropAnalityka[[#This Row],[Quality/Quantity]],0)</f>
        <v>1824</v>
      </c>
      <c r="K5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6" spans="1:12">
      <c r="A596" s="10" t="s">
        <v>33</v>
      </c>
      <c r="B596" t="s">
        <v>32</v>
      </c>
      <c r="C596">
        <v>8</v>
      </c>
      <c r="D596">
        <v>1960</v>
      </c>
      <c r="E596">
        <v>0</v>
      </c>
      <c r="I596">
        <v>1824</v>
      </c>
      <c r="J596">
        <f>DropAnalityka[[#This Row],[Sell Drop]]+IF(DropAnalityka[[#This Row],[Drop]]="Scroll", 2000*DropAnalityka[[#This Row],[Quality/Quantity]],0)</f>
        <v>1824</v>
      </c>
      <c r="K5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7" spans="1:12">
      <c r="A597" s="10" t="s">
        <v>33</v>
      </c>
      <c r="B597" t="s">
        <v>32</v>
      </c>
      <c r="C597">
        <v>8</v>
      </c>
      <c r="D597">
        <v>1632</v>
      </c>
      <c r="E597">
        <v>0</v>
      </c>
      <c r="I597">
        <v>1824</v>
      </c>
      <c r="J597">
        <f>DropAnalityka[[#This Row],[Sell Drop]]+IF(DropAnalityka[[#This Row],[Drop]]="Scroll", 2000*DropAnalityka[[#This Row],[Quality/Quantity]],0)</f>
        <v>1824</v>
      </c>
      <c r="K5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8" spans="1:12">
      <c r="A598" s="10" t="s">
        <v>33</v>
      </c>
      <c r="B598" t="s">
        <v>32</v>
      </c>
      <c r="C598">
        <v>8</v>
      </c>
      <c r="D598">
        <v>1128</v>
      </c>
      <c r="E598">
        <v>0</v>
      </c>
      <c r="I598">
        <v>1824</v>
      </c>
      <c r="J598">
        <f>DropAnalityka[[#This Row],[Sell Drop]]+IF(DropAnalityka[[#This Row],[Drop]]="Scroll", 2000*DropAnalityka[[#This Row],[Quality/Quantity]],0)</f>
        <v>1824</v>
      </c>
      <c r="K5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9" spans="1:12">
      <c r="A599" s="10" t="s">
        <v>33</v>
      </c>
      <c r="B599" t="s">
        <v>32</v>
      </c>
      <c r="C599">
        <v>8</v>
      </c>
      <c r="D599">
        <v>1864</v>
      </c>
      <c r="E599">
        <v>1</v>
      </c>
      <c r="F599" t="s">
        <v>36</v>
      </c>
      <c r="G599">
        <v>2</v>
      </c>
      <c r="J599">
        <f>DropAnalityka[[#This Row],[Sell Drop]]+IF(DropAnalityka[[#This Row],[Drop]]="Scroll", 2000*DropAnalityka[[#This Row],[Quality/Quantity]],0)</f>
        <v>4000</v>
      </c>
      <c r="K5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0" spans="1:12">
      <c r="A600" s="10" t="s">
        <v>33</v>
      </c>
      <c r="B600" t="s">
        <v>32</v>
      </c>
      <c r="C600">
        <v>8</v>
      </c>
      <c r="D600">
        <v>1372</v>
      </c>
      <c r="E600">
        <v>0</v>
      </c>
      <c r="I600">
        <v>2280</v>
      </c>
      <c r="J600">
        <f>DropAnalityka[[#This Row],[Sell Drop]]+IF(DropAnalityka[[#This Row],[Drop]]="Scroll", 2000*DropAnalityka[[#This Row],[Quality/Quantity]],0)</f>
        <v>2280</v>
      </c>
      <c r="K6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1" spans="1:12">
      <c r="A601" s="10" t="s">
        <v>33</v>
      </c>
      <c r="B601" t="s">
        <v>32</v>
      </c>
      <c r="C601">
        <v>8</v>
      </c>
      <c r="D601">
        <v>1560</v>
      </c>
      <c r="E601">
        <v>3</v>
      </c>
      <c r="I601">
        <v>1824</v>
      </c>
      <c r="J601">
        <f>DropAnalityka[[#This Row],[Sell Drop]]+IF(DropAnalityka[[#This Row],[Drop]]="Scroll", 2000*DropAnalityka[[#This Row],[Quality/Quantity]],0)</f>
        <v>1824</v>
      </c>
      <c r="K6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2" spans="1:12">
      <c r="A602" s="10" t="s">
        <v>33</v>
      </c>
      <c r="B602" t="s">
        <v>32</v>
      </c>
      <c r="C602">
        <v>8</v>
      </c>
      <c r="D602">
        <v>971</v>
      </c>
      <c r="E602">
        <v>1</v>
      </c>
      <c r="I602">
        <v>1824</v>
      </c>
      <c r="J602">
        <f>DropAnalityka[[#This Row],[Sell Drop]]+IF(DropAnalityka[[#This Row],[Drop]]="Scroll", 2000*DropAnalityka[[#This Row],[Quality/Quantity]],0)</f>
        <v>1824</v>
      </c>
      <c r="K6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3" spans="1:12">
      <c r="A603" s="10" t="s">
        <v>33</v>
      </c>
      <c r="B603" t="s">
        <v>32</v>
      </c>
      <c r="C603">
        <v>8</v>
      </c>
      <c r="D603">
        <v>1750</v>
      </c>
      <c r="E603">
        <v>2</v>
      </c>
      <c r="I603">
        <v>2128</v>
      </c>
      <c r="J603">
        <f>DropAnalityka[[#This Row],[Sell Drop]]+IF(DropAnalityka[[#This Row],[Drop]]="Scroll", 2000*DropAnalityka[[#This Row],[Quality/Quantity]],0)</f>
        <v>2128</v>
      </c>
      <c r="K6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4" spans="1:12">
      <c r="A604" s="10" t="s">
        <v>33</v>
      </c>
      <c r="B604" t="s">
        <v>32</v>
      </c>
      <c r="C604">
        <v>8</v>
      </c>
      <c r="D604">
        <v>586</v>
      </c>
      <c r="E604">
        <v>1</v>
      </c>
      <c r="F604" t="s">
        <v>62</v>
      </c>
      <c r="G604" t="s">
        <v>13</v>
      </c>
      <c r="J604">
        <f>DropAnalityka[[#This Row],[Sell Drop]]+IF(DropAnalityka[[#This Row],[Drop]]="Scroll", 2000*DropAnalityka[[#This Row],[Quality/Quantity]],0)</f>
        <v>0</v>
      </c>
      <c r="K6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6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605" spans="1:12">
      <c r="A605" s="10" t="s">
        <v>33</v>
      </c>
      <c r="B605" t="s">
        <v>32</v>
      </c>
      <c r="C605">
        <v>8</v>
      </c>
      <c r="D605">
        <v>1287</v>
      </c>
      <c r="E605">
        <v>4</v>
      </c>
      <c r="F605" t="s">
        <v>36</v>
      </c>
      <c r="G605">
        <v>2</v>
      </c>
      <c r="J605">
        <f>DropAnalityka[[#This Row],[Sell Drop]]+IF(DropAnalityka[[#This Row],[Drop]]="Scroll", 2000*DropAnalityka[[#This Row],[Quality/Quantity]],0)</f>
        <v>4000</v>
      </c>
      <c r="K6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6" spans="1:12">
      <c r="A606" s="10" t="s">
        <v>33</v>
      </c>
      <c r="B606" t="s">
        <v>32</v>
      </c>
      <c r="C606">
        <v>8</v>
      </c>
      <c r="D606">
        <v>1485</v>
      </c>
      <c r="E606">
        <v>1</v>
      </c>
      <c r="F606" t="s">
        <v>36</v>
      </c>
      <c r="G606">
        <v>2</v>
      </c>
      <c r="J606">
        <f>DropAnalityka[[#This Row],[Sell Drop]]+IF(DropAnalityka[[#This Row],[Drop]]="Scroll", 2000*DropAnalityka[[#This Row],[Quality/Quantity]],0)</f>
        <v>4000</v>
      </c>
      <c r="K6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7" spans="1:12">
      <c r="A607" s="10" t="s">
        <v>33</v>
      </c>
      <c r="B607" t="s">
        <v>32</v>
      </c>
      <c r="C607">
        <v>8</v>
      </c>
      <c r="D607">
        <v>2328</v>
      </c>
      <c r="E607">
        <v>2</v>
      </c>
      <c r="I607">
        <v>1824</v>
      </c>
      <c r="J607">
        <f>DropAnalityka[[#This Row],[Sell Drop]]+IF(DropAnalityka[[#This Row],[Drop]]="Scroll", 2000*DropAnalityka[[#This Row],[Quality/Quantity]],0)</f>
        <v>1824</v>
      </c>
      <c r="K6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8" spans="1:12">
      <c r="A608" s="10" t="s">
        <v>33</v>
      </c>
      <c r="B608" t="s">
        <v>32</v>
      </c>
      <c r="C608">
        <v>8</v>
      </c>
      <c r="D608">
        <v>1784</v>
      </c>
      <c r="E608">
        <v>1</v>
      </c>
      <c r="F608" t="s">
        <v>36</v>
      </c>
      <c r="G608">
        <v>2</v>
      </c>
      <c r="J608">
        <f>DropAnalityka[[#This Row],[Sell Drop]]+IF(DropAnalityka[[#This Row],[Drop]]="Scroll", 2000*DropAnalityka[[#This Row],[Quality/Quantity]],0)</f>
        <v>4000</v>
      </c>
      <c r="K6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9" spans="1:12">
      <c r="A609" s="10" t="s">
        <v>33</v>
      </c>
      <c r="B609" t="s">
        <v>32</v>
      </c>
      <c r="C609">
        <v>8</v>
      </c>
      <c r="D609">
        <v>2122</v>
      </c>
      <c r="E609">
        <v>2</v>
      </c>
      <c r="I609">
        <v>1976</v>
      </c>
      <c r="J609">
        <f>DropAnalityka[[#This Row],[Sell Drop]]+IF(DropAnalityka[[#This Row],[Drop]]="Scroll", 2000*DropAnalityka[[#This Row],[Quality/Quantity]],0)</f>
        <v>1976</v>
      </c>
      <c r="K6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0" spans="1:12">
      <c r="A610" s="10" t="s">
        <v>33</v>
      </c>
      <c r="B610" t="s">
        <v>32</v>
      </c>
      <c r="C610">
        <v>8</v>
      </c>
      <c r="D610">
        <v>1311</v>
      </c>
      <c r="E610">
        <v>0</v>
      </c>
      <c r="I610">
        <v>1824</v>
      </c>
      <c r="J610">
        <f>DropAnalityka[[#This Row],[Sell Drop]]+IF(DropAnalityka[[#This Row],[Drop]]="Scroll", 2000*DropAnalityka[[#This Row],[Quality/Quantity]],0)</f>
        <v>1824</v>
      </c>
      <c r="K6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1" spans="1:12">
      <c r="A611" s="10" t="s">
        <v>33</v>
      </c>
      <c r="B611" t="s">
        <v>32</v>
      </c>
      <c r="C611">
        <v>8</v>
      </c>
      <c r="D611">
        <v>1185</v>
      </c>
      <c r="E611">
        <v>0</v>
      </c>
      <c r="F611" t="s">
        <v>62</v>
      </c>
      <c r="G611" t="s">
        <v>13</v>
      </c>
      <c r="J611">
        <f>DropAnalityka[[#This Row],[Sell Drop]]+IF(DropAnalityka[[#This Row],[Drop]]="Scroll", 2000*DropAnalityka[[#This Row],[Quality/Quantity]],0)</f>
        <v>0</v>
      </c>
      <c r="K6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6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612" spans="1:12">
      <c r="A612" s="10" t="s">
        <v>33</v>
      </c>
      <c r="B612" t="s">
        <v>32</v>
      </c>
      <c r="C612">
        <v>8</v>
      </c>
      <c r="D612">
        <v>1211</v>
      </c>
      <c r="E612">
        <v>1</v>
      </c>
      <c r="I612">
        <v>2937</v>
      </c>
      <c r="J612">
        <f>DropAnalityka[[#This Row],[Sell Drop]]+IF(DropAnalityka[[#This Row],[Drop]]="Scroll", 2000*DropAnalityka[[#This Row],[Quality/Quantity]],0)</f>
        <v>2937</v>
      </c>
      <c r="K6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3" spans="1:12">
      <c r="A613" s="10" t="s">
        <v>33</v>
      </c>
      <c r="B613" t="s">
        <v>32</v>
      </c>
      <c r="C613">
        <v>8</v>
      </c>
      <c r="D613">
        <v>1078</v>
      </c>
      <c r="E613">
        <v>1</v>
      </c>
      <c r="I613">
        <v>1824</v>
      </c>
      <c r="J613">
        <f>DropAnalityka[[#This Row],[Sell Drop]]+IF(DropAnalityka[[#This Row],[Drop]]="Scroll", 2000*DropAnalityka[[#This Row],[Quality/Quantity]],0)</f>
        <v>1824</v>
      </c>
      <c r="K6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4" spans="1:12">
      <c r="A614" s="10" t="s">
        <v>33</v>
      </c>
      <c r="B614" t="s">
        <v>32</v>
      </c>
      <c r="C614">
        <v>8</v>
      </c>
      <c r="D614">
        <v>1832</v>
      </c>
      <c r="E614">
        <v>1</v>
      </c>
      <c r="I614">
        <v>1824</v>
      </c>
      <c r="J614">
        <f>DropAnalityka[[#This Row],[Sell Drop]]+IF(DropAnalityka[[#This Row],[Drop]]="Scroll", 2000*DropAnalityka[[#This Row],[Quality/Quantity]],0)</f>
        <v>1824</v>
      </c>
      <c r="K6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5" spans="1:12">
      <c r="A615" s="10" t="s">
        <v>33</v>
      </c>
      <c r="B615" t="s">
        <v>32</v>
      </c>
      <c r="C615">
        <v>8</v>
      </c>
      <c r="D615">
        <v>1974</v>
      </c>
      <c r="E615">
        <v>1</v>
      </c>
      <c r="I615">
        <v>3427</v>
      </c>
      <c r="J615">
        <f>DropAnalityka[[#This Row],[Sell Drop]]+IF(DropAnalityka[[#This Row],[Drop]]="Scroll", 2000*DropAnalityka[[#This Row],[Quality/Quantity]],0)</f>
        <v>3427</v>
      </c>
      <c r="K6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6" spans="1:12">
      <c r="A616" s="10" t="s">
        <v>33</v>
      </c>
      <c r="B616" t="s">
        <v>32</v>
      </c>
      <c r="C616">
        <v>8</v>
      </c>
      <c r="J616">
        <f>DropAnalityka[[#This Row],[Sell Drop]]+IF(DropAnalityka[[#This Row],[Drop]]="Scroll", 2000*DropAnalityka[[#This Row],[Quality/Quantity]],0)</f>
        <v>0</v>
      </c>
      <c r="K6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7" spans="1:12">
      <c r="C617">
        <v>8</v>
      </c>
      <c r="J617">
        <f>DropAnalityka[[#This Row],[Sell Drop]]+IF(DropAnalityka[[#This Row],[Drop]]="Scroll", 2000*DropAnalityka[[#This Row],[Quality/Quantity]],0)</f>
        <v>0</v>
      </c>
      <c r="K6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8" spans="1:12">
      <c r="C618">
        <v>8</v>
      </c>
      <c r="J618">
        <f>DropAnalityka[[#This Row],[Sell Drop]]+IF(DropAnalityka[[#This Row],[Drop]]="Scroll", 2000*DropAnalityka[[#This Row],[Quality/Quantity]],0)</f>
        <v>0</v>
      </c>
      <c r="K6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9" spans="1:12">
      <c r="C619">
        <v>8</v>
      </c>
      <c r="J619">
        <f>DropAnalityka[[#This Row],[Sell Drop]]+IF(DropAnalityka[[#This Row],[Drop]]="Scroll", 2000*DropAnalityka[[#This Row],[Quality/Quantity]],0)</f>
        <v>0</v>
      </c>
      <c r="K6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0" spans="1:12">
      <c r="C620">
        <v>8</v>
      </c>
      <c r="J620">
        <f>DropAnalityka[[#This Row],[Sell Drop]]+IF(DropAnalityka[[#This Row],[Drop]]="Scroll", 2000*DropAnalityka[[#This Row],[Quality/Quantity]],0)</f>
        <v>0</v>
      </c>
      <c r="K6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1" spans="1:12">
      <c r="C621">
        <v>8</v>
      </c>
      <c r="J621">
        <f>DropAnalityka[[#This Row],[Sell Drop]]+IF(DropAnalityka[[#This Row],[Drop]]="Scroll", 2000*DropAnalityka[[#This Row],[Quality/Quantity]],0)</f>
        <v>0</v>
      </c>
      <c r="K6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2" spans="1:12">
      <c r="C622">
        <v>8</v>
      </c>
      <c r="J622">
        <f>DropAnalityka[[#This Row],[Sell Drop]]+IF(DropAnalityka[[#This Row],[Drop]]="Scroll", 2000*DropAnalityka[[#This Row],[Quality/Quantity]],0)</f>
        <v>0</v>
      </c>
      <c r="K6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3" spans="1:12">
      <c r="C623">
        <v>8</v>
      </c>
      <c r="J623">
        <f>DropAnalityka[[#This Row],[Sell Drop]]+IF(DropAnalityka[[#This Row],[Drop]]="Scroll", 2000*DropAnalityka[[#This Row],[Quality/Quantity]],0)</f>
        <v>0</v>
      </c>
      <c r="K6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4" spans="1:12">
      <c r="C624">
        <v>8</v>
      </c>
      <c r="J624">
        <f>DropAnalityka[[#This Row],[Sell Drop]]+IF(DropAnalityka[[#This Row],[Drop]]="Scroll", 2000*DropAnalityka[[#This Row],[Quality/Quantity]],0)</f>
        <v>0</v>
      </c>
      <c r="K6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5" spans="10:12">
      <c r="J625">
        <f>DropAnalityka[[#This Row],[Sell Drop]]+IF(DropAnalityka[[#This Row],[Drop]]="Scroll", 2000*DropAnalityka[[#This Row],[Quality/Quantity]],0)</f>
        <v>0</v>
      </c>
      <c r="K6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6" spans="10:12">
      <c r="J626">
        <f>DropAnalityka[[#This Row],[Sell Drop]]+IF(DropAnalityka[[#This Row],[Drop]]="Scroll", 2000*DropAnalityka[[#This Row],[Quality/Quantity]],0)</f>
        <v>0</v>
      </c>
      <c r="K6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7" spans="10:12">
      <c r="J627">
        <f>DropAnalityka[[#This Row],[Sell Drop]]+IF(DropAnalityka[[#This Row],[Drop]]="Scroll", 2000*DropAnalityka[[#This Row],[Quality/Quantity]],0)</f>
        <v>0</v>
      </c>
      <c r="K6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8" spans="10:12">
      <c r="J628">
        <f>DropAnalityka[[#This Row],[Sell Drop]]+IF(DropAnalityka[[#This Row],[Drop]]="Scroll", 2000*DropAnalityka[[#This Row],[Quality/Quantity]],0)</f>
        <v>0</v>
      </c>
      <c r="K6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9" spans="10:12">
      <c r="J629">
        <f>DropAnalityka[[#This Row],[Sell Drop]]+IF(DropAnalityka[[#This Row],[Drop]]="Scroll", 2000*DropAnalityka[[#This Row],[Quality/Quantity]],0)</f>
        <v>0</v>
      </c>
      <c r="K6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0" spans="10:12">
      <c r="J630">
        <f>DropAnalityka[[#This Row],[Sell Drop]]+IF(DropAnalityka[[#This Row],[Drop]]="Scroll", 2000*DropAnalityka[[#This Row],[Quality/Quantity]],0)</f>
        <v>0</v>
      </c>
      <c r="K6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1" spans="10:12">
      <c r="J631">
        <f>DropAnalityka[[#This Row],[Sell Drop]]+IF(DropAnalityka[[#This Row],[Drop]]="Scroll", 2000*DropAnalityka[[#This Row],[Quality/Quantity]],0)</f>
        <v>0</v>
      </c>
      <c r="K6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2" spans="10:12">
      <c r="J632">
        <f>DropAnalityka[[#This Row],[Sell Drop]]+IF(DropAnalityka[[#This Row],[Drop]]="Scroll", 2000*DropAnalityka[[#This Row],[Quality/Quantity]],0)</f>
        <v>0</v>
      </c>
      <c r="K6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3" spans="10:12">
      <c r="J633">
        <f>DropAnalityka[[#This Row],[Sell Drop]]+IF(DropAnalityka[[#This Row],[Drop]]="Scroll", 2000*DropAnalityka[[#This Row],[Quality/Quantity]],0)</f>
        <v>0</v>
      </c>
      <c r="K6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4" spans="10:12">
      <c r="J634">
        <f>DropAnalityka[[#This Row],[Sell Drop]]+IF(DropAnalityka[[#This Row],[Drop]]="Scroll", 2000*DropAnalityka[[#This Row],[Quality/Quantity]],0)</f>
        <v>0</v>
      </c>
      <c r="K6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5" spans="10:12">
      <c r="J635">
        <f>DropAnalityka[[#This Row],[Sell Drop]]+IF(DropAnalityka[[#This Row],[Drop]]="Scroll", 2000*DropAnalityka[[#This Row],[Quality/Quantity]],0)</f>
        <v>0</v>
      </c>
      <c r="K6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6" spans="10:12">
      <c r="J636">
        <f>DropAnalityka[[#This Row],[Sell Drop]]+IF(DropAnalityka[[#This Row],[Drop]]="Scroll", 2000*DropAnalityka[[#This Row],[Quality/Quantity]],0)</f>
        <v>0</v>
      </c>
      <c r="K6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7" spans="10:12">
      <c r="J637">
        <f>DropAnalityka[[#This Row],[Sell Drop]]+IF(DropAnalityka[[#This Row],[Drop]]="Scroll", 2000*DropAnalityka[[#This Row],[Quality/Quantity]],0)</f>
        <v>0</v>
      </c>
      <c r="K6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8" spans="10:12">
      <c r="J638">
        <f>DropAnalityka[[#This Row],[Sell Drop]]+IF(DropAnalityka[[#This Row],[Drop]]="Scroll", 2000*DropAnalityka[[#This Row],[Quality/Quantity]],0)</f>
        <v>0</v>
      </c>
      <c r="K6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9" spans="10:12">
      <c r="J639">
        <f>DropAnalityka[[#This Row],[Sell Drop]]+IF(DropAnalityka[[#This Row],[Drop]]="Scroll", 2000*DropAnalityka[[#This Row],[Quality/Quantity]],0)</f>
        <v>0</v>
      </c>
      <c r="K6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0" spans="10:12">
      <c r="J640">
        <f>DropAnalityka[[#This Row],[Sell Drop]]+IF(DropAnalityka[[#This Row],[Drop]]="Scroll", 2000*DropAnalityka[[#This Row],[Quality/Quantity]],0)</f>
        <v>0</v>
      </c>
      <c r="K6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1" spans="10:12">
      <c r="J641">
        <f>DropAnalityka[[#This Row],[Sell Drop]]+IF(DropAnalityka[[#This Row],[Drop]]="Scroll", 2000*DropAnalityka[[#This Row],[Quality/Quantity]],0)</f>
        <v>0</v>
      </c>
      <c r="K6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2" spans="10:12">
      <c r="J642">
        <f>DropAnalityka[[#This Row],[Sell Drop]]+IF(DropAnalityka[[#This Row],[Drop]]="Scroll", 2000*DropAnalityka[[#This Row],[Quality/Quantity]],0)</f>
        <v>0</v>
      </c>
      <c r="K6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3" spans="10:12">
      <c r="J643">
        <f>DropAnalityka[[#This Row],[Sell Drop]]+IF(DropAnalityka[[#This Row],[Drop]]="Scroll", 2000*DropAnalityka[[#This Row],[Quality/Quantity]],0)</f>
        <v>0</v>
      </c>
      <c r="K6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4" spans="10:12">
      <c r="J644">
        <f>DropAnalityka[[#This Row],[Sell Drop]]+IF(DropAnalityka[[#This Row],[Drop]]="Scroll", 2000*DropAnalityka[[#This Row],[Quality/Quantity]],0)</f>
        <v>0</v>
      </c>
      <c r="K6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5" spans="10:12">
      <c r="J645">
        <f>DropAnalityka[[#This Row],[Sell Drop]]+IF(DropAnalityka[[#This Row],[Drop]]="Scroll", 2000*DropAnalityka[[#This Row],[Quality/Quantity]],0)</f>
        <v>0</v>
      </c>
      <c r="K6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6" spans="10:12">
      <c r="J646">
        <f>DropAnalityka[[#This Row],[Sell Drop]]+IF(DropAnalityka[[#This Row],[Drop]]="Scroll", 2000*DropAnalityka[[#This Row],[Quality/Quantity]],0)</f>
        <v>0</v>
      </c>
      <c r="K6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7" spans="10:12">
      <c r="J647">
        <f>DropAnalityka[[#This Row],[Sell Drop]]+IF(DropAnalityka[[#This Row],[Drop]]="Scroll", 2000*DropAnalityka[[#This Row],[Quality/Quantity]],0)</f>
        <v>0</v>
      </c>
      <c r="K6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8" spans="10:12">
      <c r="J648">
        <f>DropAnalityka[[#This Row],[Sell Drop]]+IF(DropAnalityka[[#This Row],[Drop]]="Scroll", 2000*DropAnalityka[[#This Row],[Quality/Quantity]],0)</f>
        <v>0</v>
      </c>
      <c r="K6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9" spans="10:12">
      <c r="J649">
        <f>DropAnalityka[[#This Row],[Sell Drop]]+IF(DropAnalityka[[#This Row],[Drop]]="Scroll", 2000*DropAnalityka[[#This Row],[Quality/Quantity]],0)</f>
        <v>0</v>
      </c>
      <c r="K6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0" spans="10:12">
      <c r="J650">
        <f>DropAnalityka[[#This Row],[Sell Drop]]+IF(DropAnalityka[[#This Row],[Drop]]="Scroll", 2000*DropAnalityka[[#This Row],[Quality/Quantity]],0)</f>
        <v>0</v>
      </c>
      <c r="K6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1" spans="10:12">
      <c r="J651">
        <f>DropAnalityka[[#This Row],[Sell Drop]]+IF(DropAnalityka[[#This Row],[Drop]]="Scroll", 2000*DropAnalityka[[#This Row],[Quality/Quantity]],0)</f>
        <v>0</v>
      </c>
      <c r="K6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2" spans="10:12">
      <c r="J652">
        <f>DropAnalityka[[#This Row],[Sell Drop]]+IF(DropAnalityka[[#This Row],[Drop]]="Scroll", 2000*DropAnalityka[[#This Row],[Quality/Quantity]],0)</f>
        <v>0</v>
      </c>
      <c r="K6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3" spans="10:12">
      <c r="J653">
        <f>DropAnalityka[[#This Row],[Sell Drop]]+IF(DropAnalityka[[#This Row],[Drop]]="Scroll", 2000*DropAnalityka[[#This Row],[Quality/Quantity]],0)</f>
        <v>0</v>
      </c>
      <c r="K6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4" spans="10:12">
      <c r="J654">
        <f>DropAnalityka[[#This Row],[Sell Drop]]+IF(DropAnalityka[[#This Row],[Drop]]="Scroll", 2000*DropAnalityka[[#This Row],[Quality/Quantity]],0)</f>
        <v>0</v>
      </c>
      <c r="K6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5" spans="10:12">
      <c r="J655">
        <f>DropAnalityka[[#This Row],[Sell Drop]]+IF(DropAnalityka[[#This Row],[Drop]]="Scroll", 2000*DropAnalityka[[#This Row],[Quality/Quantity]],0)</f>
        <v>0</v>
      </c>
      <c r="K6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6" spans="10:12">
      <c r="J656">
        <f>DropAnalityka[[#This Row],[Sell Drop]]+IF(DropAnalityka[[#This Row],[Drop]]="Scroll", 2000*DropAnalityka[[#This Row],[Quality/Quantity]],0)</f>
        <v>0</v>
      </c>
      <c r="K6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7" spans="10:12">
      <c r="J657">
        <f>DropAnalityka[[#This Row],[Sell Drop]]+IF(DropAnalityka[[#This Row],[Drop]]="Scroll", 2000*DropAnalityka[[#This Row],[Quality/Quantity]],0)</f>
        <v>0</v>
      </c>
      <c r="K6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8" spans="10:12">
      <c r="J658">
        <f>DropAnalityka[[#This Row],[Sell Drop]]+IF(DropAnalityka[[#This Row],[Drop]]="Scroll", 2000*DropAnalityka[[#This Row],[Quality/Quantity]],0)</f>
        <v>0</v>
      </c>
      <c r="K6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9" spans="10:12">
      <c r="J659">
        <f>DropAnalityka[[#This Row],[Sell Drop]]+IF(DropAnalityka[[#This Row],[Drop]]="Scroll", 2000*DropAnalityka[[#This Row],[Quality/Quantity]],0)</f>
        <v>0</v>
      </c>
      <c r="K6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0" spans="10:12">
      <c r="J660">
        <f>DropAnalityka[[#This Row],[Sell Drop]]+IF(DropAnalityka[[#This Row],[Drop]]="Scroll", 2000*DropAnalityka[[#This Row],[Quality/Quantity]],0)</f>
        <v>0</v>
      </c>
      <c r="K6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1" spans="10:12">
      <c r="J661">
        <f>DropAnalityka[[#This Row],[Sell Drop]]+IF(DropAnalityka[[#This Row],[Drop]]="Scroll", 2000*DropAnalityka[[#This Row],[Quality/Quantity]],0)</f>
        <v>0</v>
      </c>
      <c r="K6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2" spans="10:12">
      <c r="J662">
        <f>DropAnalityka[[#This Row],[Sell Drop]]+IF(DropAnalityka[[#This Row],[Drop]]="Scroll", 2000*DropAnalityka[[#This Row],[Quality/Quantity]],0)</f>
        <v>0</v>
      </c>
      <c r="K6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3" spans="10:12">
      <c r="J663">
        <f>DropAnalityka[[#This Row],[Sell Drop]]+IF(DropAnalityka[[#This Row],[Drop]]="Scroll", 2000*DropAnalityka[[#This Row],[Quality/Quantity]],0)</f>
        <v>0</v>
      </c>
      <c r="K6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4" spans="10:12">
      <c r="J664">
        <f>DropAnalityka[[#This Row],[Sell Drop]]+IF(DropAnalityka[[#This Row],[Drop]]="Scroll", 2000*DropAnalityka[[#This Row],[Quality/Quantity]],0)</f>
        <v>0</v>
      </c>
      <c r="K6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5" spans="10:12">
      <c r="J665">
        <f>DropAnalityka[[#This Row],[Sell Drop]]+IF(DropAnalityka[[#This Row],[Drop]]="Scroll", 2000*DropAnalityka[[#This Row],[Quality/Quantity]],0)</f>
        <v>0</v>
      </c>
      <c r="K6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6" spans="10:12">
      <c r="J666">
        <f>DropAnalityka[[#This Row],[Sell Drop]]+IF(DropAnalityka[[#This Row],[Drop]]="Scroll", 2000*DropAnalityka[[#This Row],[Quality/Quantity]],0)</f>
        <v>0</v>
      </c>
      <c r="K6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7" spans="10:12">
      <c r="J667">
        <f>DropAnalityka[[#This Row],[Sell Drop]]+IF(DropAnalityka[[#This Row],[Drop]]="Scroll", 2000*DropAnalityka[[#This Row],[Quality/Quantity]],0)</f>
        <v>0</v>
      </c>
      <c r="K6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8" spans="10:12">
      <c r="J668">
        <f>DropAnalityka[[#This Row],[Sell Drop]]+IF(DropAnalityka[[#This Row],[Drop]]="Scroll", 2000*DropAnalityka[[#This Row],[Quality/Quantity]],0)</f>
        <v>0</v>
      </c>
      <c r="K6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9" spans="10:12">
      <c r="J669">
        <f>DropAnalityka[[#This Row],[Sell Drop]]+IF(DropAnalityka[[#This Row],[Drop]]="Scroll", 2000*DropAnalityka[[#This Row],[Quality/Quantity]],0)</f>
        <v>0</v>
      </c>
      <c r="K6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0" spans="10:12">
      <c r="J670">
        <f>DropAnalityka[[#This Row],[Sell Drop]]+IF(DropAnalityka[[#This Row],[Drop]]="Scroll", 2000*DropAnalityka[[#This Row],[Quality/Quantity]],0)</f>
        <v>0</v>
      </c>
      <c r="K6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1" spans="10:12">
      <c r="J671">
        <f>DropAnalityka[[#This Row],[Sell Drop]]+IF(DropAnalityka[[#This Row],[Drop]]="Scroll", 2000*DropAnalityka[[#This Row],[Quality/Quantity]],0)</f>
        <v>0</v>
      </c>
      <c r="K6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2" spans="10:12">
      <c r="J672">
        <f>DropAnalityka[[#This Row],[Sell Drop]]+IF(DropAnalityka[[#This Row],[Drop]]="Scroll", 2000*DropAnalityka[[#This Row],[Quality/Quantity]],0)</f>
        <v>0</v>
      </c>
      <c r="K6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3" spans="10:12">
      <c r="J673">
        <f>DropAnalityka[[#This Row],[Sell Drop]]+IF(DropAnalityka[[#This Row],[Drop]]="Scroll", 2000*DropAnalityka[[#This Row],[Quality/Quantity]],0)</f>
        <v>0</v>
      </c>
      <c r="K6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4" spans="10:12">
      <c r="J674">
        <f>DropAnalityka[[#This Row],[Sell Drop]]+IF(DropAnalityka[[#This Row],[Drop]]="Scroll", 2000*DropAnalityka[[#This Row],[Quality/Quantity]],0)</f>
        <v>0</v>
      </c>
      <c r="K6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5" spans="10:12">
      <c r="J675">
        <f>DropAnalityka[[#This Row],[Sell Drop]]+IF(DropAnalityka[[#This Row],[Drop]]="Scroll", 2000*DropAnalityka[[#This Row],[Quality/Quantity]],0)</f>
        <v>0</v>
      </c>
      <c r="K6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6" spans="10:12">
      <c r="J676">
        <f>DropAnalityka[[#This Row],[Sell Drop]]+IF(DropAnalityka[[#This Row],[Drop]]="Scroll", 2000*DropAnalityka[[#This Row],[Quality/Quantity]],0)</f>
        <v>0</v>
      </c>
      <c r="K6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7" spans="10:12">
      <c r="J677">
        <f>DropAnalityka[[#This Row],[Sell Drop]]+IF(DropAnalityka[[#This Row],[Drop]]="Scroll", 2000*DropAnalityka[[#This Row],[Quality/Quantity]],0)</f>
        <v>0</v>
      </c>
      <c r="K6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8" spans="10:12">
      <c r="J678">
        <f>DropAnalityka[[#This Row],[Sell Drop]]+IF(DropAnalityka[[#This Row],[Drop]]="Scroll", 2000*DropAnalityka[[#This Row],[Quality/Quantity]],0)</f>
        <v>0</v>
      </c>
      <c r="K6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9" spans="10:12">
      <c r="J679">
        <f>DropAnalityka[[#This Row],[Sell Drop]]+IF(DropAnalityka[[#This Row],[Drop]]="Scroll", 2000*DropAnalityka[[#This Row],[Quality/Quantity]],0)</f>
        <v>0</v>
      </c>
      <c r="K6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0" spans="10:12">
      <c r="J680">
        <f>DropAnalityka[[#This Row],[Sell Drop]]+IF(DropAnalityka[[#This Row],[Drop]]="Scroll", 2000*DropAnalityka[[#This Row],[Quality/Quantity]],0)</f>
        <v>0</v>
      </c>
      <c r="K6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1" spans="10:12">
      <c r="J681">
        <f>DropAnalityka[[#This Row],[Sell Drop]]+IF(DropAnalityka[[#This Row],[Drop]]="Scroll", 2000*DropAnalityka[[#This Row],[Quality/Quantity]],0)</f>
        <v>0</v>
      </c>
      <c r="K6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2" spans="10:12">
      <c r="J682">
        <f>DropAnalityka[[#This Row],[Sell Drop]]+IF(DropAnalityka[[#This Row],[Drop]]="Scroll", 2000*DropAnalityka[[#This Row],[Quality/Quantity]],0)</f>
        <v>0</v>
      </c>
      <c r="K6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3" spans="10:12">
      <c r="J683">
        <f>DropAnalityka[[#This Row],[Sell Drop]]+IF(DropAnalityka[[#This Row],[Drop]]="Scroll", 2000*DropAnalityka[[#This Row],[Quality/Quantity]],0)</f>
        <v>0</v>
      </c>
      <c r="K6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4" spans="10:12">
      <c r="J684">
        <f>DropAnalityka[[#This Row],[Sell Drop]]+IF(DropAnalityka[[#This Row],[Drop]]="Scroll", 2000*DropAnalityka[[#This Row],[Quality/Quantity]],0)</f>
        <v>0</v>
      </c>
      <c r="K6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5" spans="10:12">
      <c r="J685">
        <f>DropAnalityka[[#This Row],[Sell Drop]]+IF(DropAnalityka[[#This Row],[Drop]]="Scroll", 2000*DropAnalityka[[#This Row],[Quality/Quantity]],0)</f>
        <v>0</v>
      </c>
      <c r="K6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6" spans="10:12">
      <c r="J686">
        <f>DropAnalityka[[#This Row],[Sell Drop]]+IF(DropAnalityka[[#This Row],[Drop]]="Scroll", 2000*DropAnalityka[[#This Row],[Quality/Quantity]],0)</f>
        <v>0</v>
      </c>
      <c r="K6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7" spans="10:12">
      <c r="J687">
        <f>DropAnalityka[[#This Row],[Sell Drop]]+IF(DropAnalityka[[#This Row],[Drop]]="Scroll", 2000*DropAnalityka[[#This Row],[Quality/Quantity]],0)</f>
        <v>0</v>
      </c>
      <c r="K6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8" spans="10:12">
      <c r="J688">
        <f>DropAnalityka[[#This Row],[Sell Drop]]+IF(DropAnalityka[[#This Row],[Drop]]="Scroll", 2000*DropAnalityka[[#This Row],[Quality/Quantity]],0)</f>
        <v>0</v>
      </c>
      <c r="K6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9" spans="10:12">
      <c r="J689">
        <f>DropAnalityka[[#This Row],[Sell Drop]]+IF(DropAnalityka[[#This Row],[Drop]]="Scroll", 2000*DropAnalityka[[#This Row],[Quality/Quantity]],0)</f>
        <v>0</v>
      </c>
      <c r="K6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0" spans="10:12">
      <c r="J690">
        <f>DropAnalityka[[#This Row],[Sell Drop]]+IF(DropAnalityka[[#This Row],[Drop]]="Scroll", 2000*DropAnalityka[[#This Row],[Quality/Quantity]],0)</f>
        <v>0</v>
      </c>
      <c r="K6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1" spans="10:12">
      <c r="J691">
        <f>DropAnalityka[[#This Row],[Sell Drop]]+IF(DropAnalityka[[#This Row],[Drop]]="Scroll", 2000*DropAnalityka[[#This Row],[Quality/Quantity]],0)</f>
        <v>0</v>
      </c>
      <c r="K6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2" spans="10:12">
      <c r="J692">
        <f>DropAnalityka[[#This Row],[Sell Drop]]+IF(DropAnalityka[[#This Row],[Drop]]="Scroll", 2000*DropAnalityka[[#This Row],[Quality/Quantity]],0)</f>
        <v>0</v>
      </c>
      <c r="K6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3" spans="10:12">
      <c r="J693">
        <f>DropAnalityka[[#This Row],[Sell Drop]]+IF(DropAnalityka[[#This Row],[Drop]]="Scroll", 2000*DropAnalityka[[#This Row],[Quality/Quantity]],0)</f>
        <v>0</v>
      </c>
      <c r="K6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4" spans="10:12">
      <c r="J694">
        <f>DropAnalityka[[#This Row],[Sell Drop]]+IF(DropAnalityka[[#This Row],[Drop]]="Scroll", 2000*DropAnalityka[[#This Row],[Quality/Quantity]],0)</f>
        <v>0</v>
      </c>
      <c r="K6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5" spans="10:12">
      <c r="J695">
        <f>DropAnalityka[[#This Row],[Sell Drop]]+IF(DropAnalityka[[#This Row],[Drop]]="Scroll", 2000*DropAnalityka[[#This Row],[Quality/Quantity]],0)</f>
        <v>0</v>
      </c>
      <c r="K6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6" spans="10:12">
      <c r="J696">
        <f>DropAnalityka[[#This Row],[Sell Drop]]+IF(DropAnalityka[[#This Row],[Drop]]="Scroll", 2000*DropAnalityka[[#This Row],[Quality/Quantity]],0)</f>
        <v>0</v>
      </c>
      <c r="K6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7" spans="10:12">
      <c r="J697">
        <f>DropAnalityka[[#This Row],[Sell Drop]]+IF(DropAnalityka[[#This Row],[Drop]]="Scroll", 2000*DropAnalityka[[#This Row],[Quality/Quantity]],0)</f>
        <v>0</v>
      </c>
      <c r="K6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8" spans="10:12">
      <c r="J698">
        <f>DropAnalityka[[#This Row],[Sell Drop]]+IF(DropAnalityka[[#This Row],[Drop]]="Scroll", 2000*DropAnalityka[[#This Row],[Quality/Quantity]],0)</f>
        <v>0</v>
      </c>
      <c r="K6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9" spans="10:12">
      <c r="J699">
        <f>DropAnalityka[[#This Row],[Sell Drop]]+IF(DropAnalityka[[#This Row],[Drop]]="Scroll", 2000*DropAnalityka[[#This Row],[Quality/Quantity]],0)</f>
        <v>0</v>
      </c>
      <c r="K6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0" spans="10:12">
      <c r="J700">
        <f>DropAnalityka[[#This Row],[Sell Drop]]+IF(DropAnalityka[[#This Row],[Drop]]="Scroll", 2000*DropAnalityka[[#This Row],[Quality/Quantity]],0)</f>
        <v>0</v>
      </c>
      <c r="K7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1" spans="10:12">
      <c r="J701">
        <f>DropAnalityka[[#This Row],[Sell Drop]]+IF(DropAnalityka[[#This Row],[Drop]]="Scroll", 2000*DropAnalityka[[#This Row],[Quality/Quantity]],0)</f>
        <v>0</v>
      </c>
      <c r="K7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2" spans="10:12">
      <c r="J702">
        <f>DropAnalityka[[#This Row],[Sell Drop]]+IF(DropAnalityka[[#This Row],[Drop]]="Scroll", 2000*DropAnalityka[[#This Row],[Quality/Quantity]],0)</f>
        <v>0</v>
      </c>
      <c r="K7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3" spans="10:12">
      <c r="J703">
        <f>DropAnalityka[[#This Row],[Sell Drop]]+IF(DropAnalityka[[#This Row],[Drop]]="Scroll", 2000*DropAnalityka[[#This Row],[Quality/Quantity]],0)</f>
        <v>0</v>
      </c>
      <c r="K7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4" spans="10:12">
      <c r="J704">
        <f>DropAnalityka[[#This Row],[Sell Drop]]+IF(DropAnalityka[[#This Row],[Drop]]="Scroll", 2000*DropAnalityka[[#This Row],[Quality/Quantity]],0)</f>
        <v>0</v>
      </c>
      <c r="K7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5" spans="10:12">
      <c r="J705">
        <f>DropAnalityka[[#This Row],[Sell Drop]]+IF(DropAnalityka[[#This Row],[Drop]]="Scroll", 2000*DropAnalityka[[#This Row],[Quality/Quantity]],0)</f>
        <v>0</v>
      </c>
      <c r="K7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6" spans="10:12">
      <c r="J706">
        <f>DropAnalityka[[#This Row],[Sell Drop]]+IF(DropAnalityka[[#This Row],[Drop]]="Scroll", 2000*DropAnalityka[[#This Row],[Quality/Quantity]],0)</f>
        <v>0</v>
      </c>
      <c r="K7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7" spans="10:12">
      <c r="J707">
        <f>DropAnalityka[[#This Row],[Sell Drop]]+IF(DropAnalityka[[#This Row],[Drop]]="Scroll", 2000*DropAnalityka[[#This Row],[Quality/Quantity]],0)</f>
        <v>0</v>
      </c>
      <c r="K7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8" spans="10:12">
      <c r="J708">
        <f>DropAnalityka[[#This Row],[Sell Drop]]+IF(DropAnalityka[[#This Row],[Drop]]="Scroll", 2000*DropAnalityka[[#This Row],[Quality/Quantity]],0)</f>
        <v>0</v>
      </c>
      <c r="K7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9" spans="10:12">
      <c r="J709">
        <f>DropAnalityka[[#This Row],[Sell Drop]]+IF(DropAnalityka[[#This Row],[Drop]]="Scroll", 2000*DropAnalityka[[#This Row],[Quality/Quantity]],0)</f>
        <v>0</v>
      </c>
      <c r="K7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0" spans="10:12">
      <c r="J710">
        <f>DropAnalityka[[#This Row],[Sell Drop]]+IF(DropAnalityka[[#This Row],[Drop]]="Scroll", 2000*DropAnalityka[[#This Row],[Quality/Quantity]],0)</f>
        <v>0</v>
      </c>
      <c r="K7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1" spans="10:12">
      <c r="J711">
        <f>DropAnalityka[[#This Row],[Sell Drop]]+IF(DropAnalityka[[#This Row],[Drop]]="Scroll", 2000*DropAnalityka[[#This Row],[Quality/Quantity]],0)</f>
        <v>0</v>
      </c>
      <c r="K7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2" spans="10:12">
      <c r="J712">
        <f>DropAnalityka[[#This Row],[Sell Drop]]+IF(DropAnalityka[[#This Row],[Drop]]="Scroll", 2000*DropAnalityka[[#This Row],[Quality/Quantity]],0)</f>
        <v>0</v>
      </c>
      <c r="K7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3" spans="10:12">
      <c r="J713">
        <f>DropAnalityka[[#This Row],[Sell Drop]]+IF(DropAnalityka[[#This Row],[Drop]]="Scroll", 2000*DropAnalityka[[#This Row],[Quality/Quantity]],0)</f>
        <v>0</v>
      </c>
      <c r="K7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4" spans="10:12">
      <c r="J714">
        <f>DropAnalityka[[#This Row],[Sell Drop]]+IF(DropAnalityka[[#This Row],[Drop]]="Scroll", 2000*DropAnalityka[[#This Row],[Quality/Quantity]],0)</f>
        <v>0</v>
      </c>
      <c r="K7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5" spans="10:12">
      <c r="J715">
        <f>DropAnalityka[[#This Row],[Sell Drop]]+IF(DropAnalityka[[#This Row],[Drop]]="Scroll", 2000*DropAnalityka[[#This Row],[Quality/Quantity]],0)</f>
        <v>0</v>
      </c>
      <c r="K7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6" spans="10:12">
      <c r="J716">
        <f>DropAnalityka[[#This Row],[Sell Drop]]+IF(DropAnalityka[[#This Row],[Drop]]="Scroll", 2000*DropAnalityka[[#This Row],[Quality/Quantity]],0)</f>
        <v>0</v>
      </c>
      <c r="K7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7" spans="10:12">
      <c r="J717">
        <f>DropAnalityka[[#This Row],[Sell Drop]]+IF(DropAnalityka[[#This Row],[Drop]]="Scroll", 2000*DropAnalityka[[#This Row],[Quality/Quantity]],0)</f>
        <v>0</v>
      </c>
      <c r="K7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8" spans="10:12">
      <c r="J718">
        <f>DropAnalityka[[#This Row],[Sell Drop]]+IF(DropAnalityka[[#This Row],[Drop]]="Scroll", 2000*DropAnalityka[[#This Row],[Quality/Quantity]],0)</f>
        <v>0</v>
      </c>
      <c r="K7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9" spans="10:12">
      <c r="J719">
        <f>DropAnalityka[[#This Row],[Sell Drop]]+IF(DropAnalityka[[#This Row],[Drop]]="Scroll", 2000*DropAnalityka[[#This Row],[Quality/Quantity]],0)</f>
        <v>0</v>
      </c>
      <c r="K7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0" spans="10:12">
      <c r="J720">
        <f>DropAnalityka[[#This Row],[Sell Drop]]+IF(DropAnalityka[[#This Row],[Drop]]="Scroll", 2000*DropAnalityka[[#This Row],[Quality/Quantity]],0)</f>
        <v>0</v>
      </c>
      <c r="K7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1" spans="10:12">
      <c r="J721">
        <f>DropAnalityka[[#This Row],[Sell Drop]]+IF(DropAnalityka[[#This Row],[Drop]]="Scroll", 2000*DropAnalityka[[#This Row],[Quality/Quantity]],0)</f>
        <v>0</v>
      </c>
      <c r="K7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2" spans="10:12">
      <c r="J722">
        <f>DropAnalityka[[#This Row],[Sell Drop]]+IF(DropAnalityka[[#This Row],[Drop]]="Scroll", 2000*DropAnalityka[[#This Row],[Quality/Quantity]],0)</f>
        <v>0</v>
      </c>
      <c r="K7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3" spans="10:12">
      <c r="J723">
        <f>DropAnalityka[[#This Row],[Sell Drop]]+IF(DropAnalityka[[#This Row],[Drop]]="Scroll", 2000*DropAnalityka[[#This Row],[Quality/Quantity]],0)</f>
        <v>0</v>
      </c>
      <c r="K7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4" spans="10:12">
      <c r="J724">
        <f>DropAnalityka[[#This Row],[Sell Drop]]+IF(DropAnalityka[[#This Row],[Drop]]="Scroll", 2000*DropAnalityka[[#This Row],[Quality/Quantity]],0)</f>
        <v>0</v>
      </c>
      <c r="K7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5" spans="10:12">
      <c r="J725">
        <f>DropAnalityka[[#This Row],[Sell Drop]]+IF(DropAnalityka[[#This Row],[Drop]]="Scroll", 2000*DropAnalityka[[#This Row],[Quality/Quantity]],0)</f>
        <v>0</v>
      </c>
      <c r="K7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6" spans="10:12">
      <c r="J726">
        <f>DropAnalityka[[#This Row],[Sell Drop]]+IF(DropAnalityka[[#This Row],[Drop]]="Scroll", 2000*DropAnalityka[[#This Row],[Quality/Quantity]],0)</f>
        <v>0</v>
      </c>
      <c r="K7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7" spans="10:12">
      <c r="J727">
        <f>DropAnalityka[[#This Row],[Sell Drop]]+IF(DropAnalityka[[#This Row],[Drop]]="Scroll", 2000*DropAnalityka[[#This Row],[Quality/Quantity]],0)</f>
        <v>0</v>
      </c>
      <c r="K7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8" spans="10:12">
      <c r="J728">
        <f>DropAnalityka[[#This Row],[Sell Drop]]+IF(DropAnalityka[[#This Row],[Drop]]="Scroll", 2000*DropAnalityka[[#This Row],[Quality/Quantity]],0)</f>
        <v>0</v>
      </c>
      <c r="K7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9" spans="10:12">
      <c r="J729">
        <f>DropAnalityka[[#This Row],[Sell Drop]]+IF(DropAnalityka[[#This Row],[Drop]]="Scroll", 2000*DropAnalityka[[#This Row],[Quality/Quantity]],0)</f>
        <v>0</v>
      </c>
      <c r="K7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0" spans="10:12">
      <c r="J730">
        <f>DropAnalityka[[#This Row],[Sell Drop]]+IF(DropAnalityka[[#This Row],[Drop]]="Scroll", 2000*DropAnalityka[[#This Row],[Quality/Quantity]],0)</f>
        <v>0</v>
      </c>
      <c r="K7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1" spans="10:12">
      <c r="J731">
        <f>DropAnalityka[[#This Row],[Sell Drop]]+IF(DropAnalityka[[#This Row],[Drop]]="Scroll", 2000*DropAnalityka[[#This Row],[Quality/Quantity]],0)</f>
        <v>0</v>
      </c>
      <c r="K7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2" spans="10:12">
      <c r="J732">
        <f>DropAnalityka[[#This Row],[Sell Drop]]+IF(DropAnalityka[[#This Row],[Drop]]="Scroll", 2000*DropAnalityka[[#This Row],[Quality/Quantity]],0)</f>
        <v>0</v>
      </c>
      <c r="K7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3" spans="10:12">
      <c r="J733">
        <f>DropAnalityka[[#This Row],[Sell Drop]]+IF(DropAnalityka[[#This Row],[Drop]]="Scroll", 2000*DropAnalityka[[#This Row],[Quality/Quantity]],0)</f>
        <v>0</v>
      </c>
      <c r="K7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4" spans="10:12">
      <c r="J734">
        <f>DropAnalityka[[#This Row],[Sell Drop]]+IF(DropAnalityka[[#This Row],[Drop]]="Scroll", 2000*DropAnalityka[[#This Row],[Quality/Quantity]],0)</f>
        <v>0</v>
      </c>
      <c r="K7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5" spans="10:12">
      <c r="J735">
        <f>DropAnalityka[[#This Row],[Sell Drop]]+IF(DropAnalityka[[#This Row],[Drop]]="Scroll", 2000*DropAnalityka[[#This Row],[Quality/Quantity]],0)</f>
        <v>0</v>
      </c>
      <c r="K7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6" spans="10:12">
      <c r="J736">
        <f>DropAnalityka[[#This Row],[Sell Drop]]+IF(DropAnalityka[[#This Row],[Drop]]="Scroll", 2000*DropAnalityka[[#This Row],[Quality/Quantity]],0)</f>
        <v>0</v>
      </c>
      <c r="K7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7" spans="1:12">
      <c r="J737">
        <f>DropAnalityka[[#This Row],[Sell Drop]]+IF(DropAnalityka[[#This Row],[Drop]]="Scroll", 2000*DropAnalityka[[#This Row],[Quality/Quantity]],0)</f>
        <v>0</v>
      </c>
      <c r="K7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8" spans="1:12">
      <c r="J738">
        <f>DropAnalityka[[#This Row],[Sell Drop]]+IF(DropAnalityka[[#This Row],[Drop]]="Scroll", 2000*DropAnalityka[[#This Row],[Quality/Quantity]],0)</f>
        <v>0</v>
      </c>
      <c r="K7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9" spans="1:12">
      <c r="A739" s="6"/>
      <c r="B739" s="6"/>
      <c r="C739" s="6"/>
      <c r="D739" s="6"/>
      <c r="E739" s="6"/>
      <c r="F739" s="6"/>
      <c r="G739" s="6"/>
      <c r="H739" s="6"/>
      <c r="I739" s="6"/>
      <c r="J739">
        <f>DropAnalityka[[#This Row],[Sell Drop]]+IF(DropAnalityka[[#This Row],[Drop]]="Scroll", 2000*DropAnalityka[[#This Row],[Quality/Quantity]],0)</f>
        <v>0</v>
      </c>
      <c r="K7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U45"/>
  <sheetViews>
    <sheetView workbookViewId="0">
      <selection activeCell="A28" sqref="A28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145</v>
      </c>
      <c r="C1" s="47" t="s">
        <v>146</v>
      </c>
      <c r="D1" s="48" t="s">
        <v>147</v>
      </c>
    </row>
    <row r="2" spans="1:21">
      <c r="A2" s="5"/>
      <c r="B2" s="6">
        <v>248</v>
      </c>
      <c r="C2" s="6"/>
    </row>
    <row r="3" spans="1:21">
      <c r="A3" s="5">
        <f>16*3600</f>
        <v>57600</v>
      </c>
      <c r="B3" s="6">
        <f>$A3/B2+$F$10</f>
        <v>293.25806451612902</v>
      </c>
      <c r="C3" s="6">
        <f>(B3)*'Location features'!$P$9</f>
        <v>390558.36234058515</v>
      </c>
      <c r="D3">
        <f>'EXP lvls'!O10/Summary!C3</f>
        <v>0.38713804281099101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57</v>
      </c>
      <c r="E9" t="s">
        <v>42</v>
      </c>
      <c r="F9" t="s">
        <v>41</v>
      </c>
      <c r="G9" t="s">
        <v>55</v>
      </c>
      <c r="H9" t="s">
        <v>56</v>
      </c>
      <c r="I9" s="3" t="s">
        <v>7</v>
      </c>
      <c r="J9" s="3" t="s">
        <v>5</v>
      </c>
      <c r="K9" s="3" t="s">
        <v>6</v>
      </c>
      <c r="L9" s="4" t="s">
        <v>15</v>
      </c>
      <c r="M9" s="4" t="s">
        <v>43</v>
      </c>
      <c r="N9" s="4" t="s">
        <v>44</v>
      </c>
      <c r="O9" s="4" t="s">
        <v>45</v>
      </c>
      <c r="P9" s="4" t="s">
        <v>153</v>
      </c>
      <c r="Q9" s="4" t="s">
        <v>158</v>
      </c>
      <c r="R9" s="4" t="s">
        <v>159</v>
      </c>
      <c r="S9" s="4" t="s">
        <v>160</v>
      </c>
      <c r="T9" s="4" t="s">
        <v>161</v>
      </c>
      <c r="U9" s="4" t="s">
        <v>159</v>
      </c>
    </row>
    <row r="10" spans="1:21" ht="15" thickTop="1">
      <c r="A10" t="s">
        <v>4</v>
      </c>
      <c r="B10" s="1">
        <f t="shared" ref="B10:B17" si="0">(2*$G10+$H10)/($O10-$N10)*L10</f>
        <v>2110171.4352895455</v>
      </c>
      <c r="C10" s="1">
        <f t="shared" ref="C10:C17" si="1">($G10+$H10)/($O10-$N10)*M10</f>
        <v>2677473.9931413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2006.4408602150538</v>
      </c>
      <c r="I10" s="50" t="s">
        <v>8</v>
      </c>
      <c r="J10" s="50" t="s">
        <v>32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4179.565312046444</v>
      </c>
      <c r="N10">
        <f>SUMIFS(LocFeatures[[#All],[Energy gain]],LocFeatures[[#All],[Location]],Summary!$I10,LocFeatures[[#All],[LVL]],Summary!$J10,LocFeatures[[#All],[Stage]],Summary!$K10)</f>
        <v>0.86792452830188682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58</v>
      </c>
      <c r="B11" s="1">
        <f t="shared" si="0"/>
        <v>3463119.7380489702</v>
      </c>
      <c r="C11" s="1">
        <f t="shared" si="1"/>
        <v>2197075.7632988528</v>
      </c>
      <c r="D11">
        <v>200</v>
      </c>
      <c r="E11">
        <v>200</v>
      </c>
      <c r="F11">
        <f>F10</f>
        <v>61</v>
      </c>
      <c r="G11">
        <f>$D$44+$B$3*3+D11/30*F11</f>
        <v>1646.4408602150538</v>
      </c>
      <c r="H11">
        <v>0</v>
      </c>
      <c r="I11" s="50" t="s">
        <v>8</v>
      </c>
      <c r="J11" s="50" t="s">
        <v>32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4179.565312046444</v>
      </c>
      <c r="N11">
        <f>SUMIFS(LocFeatures[[#All],[Energy gain]],LocFeatures[[#All],[Location]],Summary!$I11,LocFeatures[[#All],[LVL]],Summary!$J11,LocFeatures[[#All],[Stage]],Summary!$K11)</f>
        <v>0.86792452830188682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53</v>
      </c>
      <c r="B12" s="1">
        <f t="shared" si="0"/>
        <v>3175655.4006995726</v>
      </c>
      <c r="C12" s="1">
        <f t="shared" si="1"/>
        <v>2134801.9186896472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1419.7741935483871</v>
      </c>
      <c r="H12">
        <f>$D$44/2</f>
        <v>180</v>
      </c>
      <c r="I12" s="50" t="s">
        <v>8</v>
      </c>
      <c r="J12" s="50" t="s">
        <v>32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4179.565312046444</v>
      </c>
      <c r="N12">
        <f>SUMIFS(LocFeatures[[#All],[Energy gain]],LocFeatures[[#All],[Location]],Summary!$I12,LocFeatures[[#All],[LVL]],Summary!$J12,LocFeatures[[#All],[Stage]],Summary!$K12)</f>
        <v>0.86792452830188682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54</v>
      </c>
      <c r="B13" s="1">
        <f t="shared" si="0"/>
        <v>3056542.0307034589</v>
      </c>
      <c r="C13" s="1">
        <f t="shared" si="1"/>
        <v>2134801.9186896472</v>
      </c>
      <c r="D13">
        <v>0</v>
      </c>
      <c r="E13">
        <v>100</v>
      </c>
      <c r="F13">
        <f t="shared" si="2"/>
        <v>61</v>
      </c>
      <c r="G13">
        <f>2*($D$44+$B$3+D13/30*F13)</f>
        <v>1306.516129032258</v>
      </c>
      <c r="H13">
        <f>$B$3</f>
        <v>293.25806451612902</v>
      </c>
      <c r="I13" s="50" t="s">
        <v>8</v>
      </c>
      <c r="J13" s="50" t="s">
        <v>32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4179.565312046444</v>
      </c>
      <c r="N13">
        <f>SUMIFS(LocFeatures[[#All],[Energy gain]],LocFeatures[[#All],[Location]],Summary!$I13,LocFeatures[[#All],[LVL]],Summary!$J13,LocFeatures[[#All],[Stage]],Summary!$K13)</f>
        <v>0.86792452830188682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2143018.8229557388</v>
      </c>
      <c r="C14" s="1">
        <f t="shared" si="1"/>
        <v>3046675.4580520131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2006.4408602150538</v>
      </c>
      <c r="I14" s="50" t="s">
        <v>33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3224.358024691358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58</v>
      </c>
      <c r="B15" s="1">
        <f t="shared" si="0"/>
        <v>3517027.4133533384</v>
      </c>
      <c r="C15" s="1">
        <f t="shared" si="1"/>
        <v>2500034.2952613151</v>
      </c>
      <c r="D15">
        <v>200</v>
      </c>
      <c r="E15">
        <v>200</v>
      </c>
      <c r="F15">
        <f t="shared" si="2"/>
        <v>61</v>
      </c>
      <c r="G15">
        <f>$D$44+$B$3*3+D15/30*F15</f>
        <v>1646.4408602150538</v>
      </c>
      <c r="H15">
        <v>0</v>
      </c>
      <c r="I15" s="50" t="s">
        <v>33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3224.358024691358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53</v>
      </c>
      <c r="B16" s="1">
        <f t="shared" si="0"/>
        <v>3225088.3435858963</v>
      </c>
      <c r="C16" s="1">
        <f t="shared" si="1"/>
        <v>2429173.4037884469</v>
      </c>
      <c r="D16">
        <v>0</v>
      </c>
      <c r="E16">
        <v>200</v>
      </c>
      <c r="F16">
        <f t="shared" si="2"/>
        <v>61</v>
      </c>
      <c r="G16">
        <f>$D$44+$B$3*3+D16/30*F16+$D$44/2</f>
        <v>1419.7741935483871</v>
      </c>
      <c r="H16">
        <f>$D$44/2</f>
        <v>180</v>
      </c>
      <c r="I16" s="50" t="s">
        <v>33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3224.358024691358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54</v>
      </c>
      <c r="B17" s="1">
        <f t="shared" si="0"/>
        <v>3104120.8289572387</v>
      </c>
      <c r="C17" s="1">
        <f t="shared" si="1"/>
        <v>2429173.4037884469</v>
      </c>
      <c r="D17">
        <v>0</v>
      </c>
      <c r="E17">
        <v>100</v>
      </c>
      <c r="F17">
        <f t="shared" si="2"/>
        <v>61</v>
      </c>
      <c r="G17">
        <f>2*($D$44+$B$3+D17/30*F17)</f>
        <v>1306.516129032258</v>
      </c>
      <c r="H17">
        <f>$B$3</f>
        <v>293.25806451612902</v>
      </c>
      <c r="I17" s="50" t="s">
        <v>33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3224.358024691358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2691106.2316715545</v>
      </c>
      <c r="C18" s="1">
        <f t="shared" ref="C18:C21" si="4">($G18+$H18)/($O18-$N18)*M18</f>
        <v>2212931.6367302057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2006.4408602150538</v>
      </c>
      <c r="I18" s="50" t="s">
        <v>8</v>
      </c>
      <c r="J18" s="51" t="s">
        <v>34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4440.4901960784318</v>
      </c>
      <c r="N18">
        <f>SUMIFS(LocFeatures[[#All],[Energy gain]],LocFeatures[[#All],[Location]],Summary!$I18,LocFeatures[[#All],[LVL]],Summary!$J18,LocFeatures[[#All],[Stage]],Summary!$K18)</f>
        <v>0.97385620915032678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58</v>
      </c>
      <c r="B19" s="1">
        <f t="shared" si="3"/>
        <v>4416524.1516547967</v>
      </c>
      <c r="C19" s="1">
        <f t="shared" si="4"/>
        <v>1815882.6107561796</v>
      </c>
      <c r="D19">
        <v>200</v>
      </c>
      <c r="E19">
        <v>200</v>
      </c>
      <c r="F19">
        <f t="shared" si="2"/>
        <v>61</v>
      </c>
      <c r="G19">
        <f>$D$44+$B$3*3+D19/30*F19</f>
        <v>1646.4408602150538</v>
      </c>
      <c r="H19">
        <v>0</v>
      </c>
      <c r="I19" s="50" t="s">
        <v>8</v>
      </c>
      <c r="J19" s="51" t="s">
        <v>34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4440.4901960784318</v>
      </c>
      <c r="N19">
        <f>SUMIFS(LocFeatures[[#All],[Energy gain]],LocFeatures[[#All],[Location]],Summary!$I19,LocFeatures[[#All],[LVL]],Summary!$J19,LocFeatures[[#All],[Stage]],Summary!$K19)</f>
        <v>0.97385620915032678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53</v>
      </c>
      <c r="B20" s="1">
        <f t="shared" si="3"/>
        <v>4049920.2555509005</v>
      </c>
      <c r="C20" s="1">
        <f t="shared" si="4"/>
        <v>1764413.2925743612</v>
      </c>
      <c r="D20">
        <v>0</v>
      </c>
      <c r="E20">
        <v>200</v>
      </c>
      <c r="F20">
        <f t="shared" si="2"/>
        <v>61</v>
      </c>
      <c r="G20">
        <f>$D$44+$B$3*3+D20/30*F20+$D$44/2</f>
        <v>1419.7741935483871</v>
      </c>
      <c r="H20">
        <f>$D$44/2</f>
        <v>180</v>
      </c>
      <c r="I20" s="50" t="s">
        <v>8</v>
      </c>
      <c r="J20" s="51" t="s">
        <v>34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4440.4901960784318</v>
      </c>
      <c r="N20">
        <f>SUMIFS(LocFeatures[[#All],[Energy gain]],LocFeatures[[#All],[Location]],Summary!$I20,LocFeatures[[#All],[LVL]],Summary!$J20,LocFeatures[[#All],[Stage]],Summary!$K20)</f>
        <v>0.97385620915032678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54</v>
      </c>
      <c r="B21" s="1">
        <f t="shared" si="3"/>
        <v>3898014.7151235859</v>
      </c>
      <c r="C21" s="1">
        <f t="shared" si="4"/>
        <v>1764413.2925743612</v>
      </c>
      <c r="D21">
        <v>0</v>
      </c>
      <c r="E21">
        <v>100</v>
      </c>
      <c r="F21">
        <f t="shared" si="2"/>
        <v>61</v>
      </c>
      <c r="G21">
        <f>2*($D$44+$B$3+D21/30*F21)</f>
        <v>1306.516129032258</v>
      </c>
      <c r="H21">
        <f>$B$3</f>
        <v>293.25806451612902</v>
      </c>
      <c r="I21" s="50" t="s">
        <v>8</v>
      </c>
      <c r="J21" s="51" t="s">
        <v>34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4440.4901960784318</v>
      </c>
      <c r="N21">
        <f>SUMIFS(LocFeatures[[#All],[Energy gain]],LocFeatures[[#All],[Location]],Summary!$I21,LocFeatures[[#All],[LVL]],Summary!$J21,LocFeatures[[#All],[Stage]],Summary!$K21)</f>
        <v>0.97385620915032678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70</v>
      </c>
      <c r="B22" s="1">
        <f t="shared" ref="B22" si="5">(2*$G22+$H22)/($O22-$N22)*L22</f>
        <v>1548304.2450087226</v>
      </c>
      <c r="C22" s="1">
        <f t="shared" ref="C22" si="6">($G22+$H22)/($O22-$N22)*M22</f>
        <v>636595.35375072702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34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4440.4901960784318</v>
      </c>
      <c r="N22">
        <f>SUMIFS(LocFeatures[[#All],[Energy gain]],LocFeatures[[#All],[Location]],Summary!$I22,LocFeatures[[#All],[LVL]],Summary!$J22,LocFeatures[[#All],[Stage]],Summary!$K22)</f>
        <v>0.97385620915032678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69</v>
      </c>
      <c r="B23" s="1">
        <f t="shared" ref="B23" si="8">(2*$G23+$H23)/($O23-$N23)*L23</f>
        <v>2060827.3146208632</v>
      </c>
      <c r="C23" s="1">
        <f t="shared" ref="C23" si="9">($G23+$H23)/($O23-$N23)*M23</f>
        <v>847322.54503560963</v>
      </c>
      <c r="D23">
        <v>0</v>
      </c>
      <c r="E23">
        <v>0</v>
      </c>
      <c r="F23">
        <f t="shared" si="7"/>
        <v>61</v>
      </c>
      <c r="G23">
        <f>F23+10+16*3600/$B$2+$D$44+120-15</f>
        <v>768.25806451612902</v>
      </c>
      <c r="H23">
        <v>0</v>
      </c>
      <c r="I23" s="50" t="s">
        <v>8</v>
      </c>
      <c r="J23" s="51" t="s">
        <v>34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4440.4901960784318</v>
      </c>
      <c r="N23">
        <f>SUMIFS(LocFeatures[[#All],[Energy gain]],LocFeatures[[#All],[Location]],Summary!$I23,LocFeatures[[#All],[LVL]],Summary!$J23,LocFeatures[[#All],[Stage]],Summary!$K23)</f>
        <v>0.97385620915032678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71</v>
      </c>
      <c r="B24" s="1">
        <f t="shared" ref="B24:B26" si="10">(2*$G24+$H24)/($O24-$N24)*L24</f>
        <v>4331579.3464599913</v>
      </c>
      <c r="C24" s="1">
        <f t="shared" ref="C24:C26" si="11">($G24+$H24)/($O24-$N24)*M24</f>
        <v>1780957.0019899455</v>
      </c>
      <c r="D24">
        <v>0</v>
      </c>
      <c r="E24">
        <v>0</v>
      </c>
      <c r="F24">
        <f t="shared" si="7"/>
        <v>61</v>
      </c>
      <c r="G24">
        <f>3*(F23+10+16*3600/$B$2)+$D$44+3*120-15</f>
        <v>1614.7741935483871</v>
      </c>
      <c r="I24" s="50" t="s">
        <v>8</v>
      </c>
      <c r="J24" s="51" t="s">
        <v>34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4440.4901960784318</v>
      </c>
      <c r="N24">
        <f>SUMIFS(LocFeatures[[#All],[Energy gain]],LocFeatures[[#All],[Location]],Summary!$I24,LocFeatures[[#All],[LVL]],Summary!$J24,LocFeatures[[#All],[Stage]],Summary!$K24)</f>
        <v>0.97385620915032678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70</v>
      </c>
      <c r="B25" s="1">
        <f t="shared" si="10"/>
        <v>1308564.2620395559</v>
      </c>
      <c r="C25" s="1">
        <f t="shared" si="11"/>
        <v>1034499.4573928387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68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3789.9479166666665</v>
      </c>
      <c r="N25">
        <f>SUMIFS(LocFeatures[[#All],[Energy gain]],LocFeatures[[#All],[Location]],Summary!$I25,LocFeatures[[#All],[LVL]],Summary!$J25,LocFeatures[[#All],[Stage]],Summary!$K25)</f>
        <v>0.88541666666666663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69</v>
      </c>
      <c r="B26" s="1">
        <f t="shared" si="10"/>
        <v>1741728.0762752264</v>
      </c>
      <c r="C26" s="1">
        <f t="shared" si="11"/>
        <v>1376941.738439536</v>
      </c>
      <c r="D26">
        <v>0</v>
      </c>
      <c r="E26">
        <v>0</v>
      </c>
      <c r="F26">
        <f t="shared" si="7"/>
        <v>61</v>
      </c>
      <c r="G26">
        <f>F26+10+16*3600/$B$2+$D$44+120-15</f>
        <v>768.25806451612902</v>
      </c>
      <c r="H26">
        <v>0</v>
      </c>
      <c r="I26" s="50" t="s">
        <v>68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3789.9479166666665</v>
      </c>
      <c r="N26">
        <f>SUMIFS(LocFeatures[[#All],[Energy gain]],LocFeatures[[#All],[Location]],Summary!$I26,LocFeatures[[#All],[LVL]],Summary!$J26,LocFeatures[[#All],[Stage]],Summary!$K26)</f>
        <v>0.88541666666666663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71</v>
      </c>
      <c r="B27" s="1">
        <f t="shared" ref="B27:B29" si="12">(2*$G27+$H27)/($O27-$N27)*L27</f>
        <v>3660876.0514857774</v>
      </c>
      <c r="C27" s="1">
        <f t="shared" ref="C27:C29" si="13">($G27+$H27)/($O27-$N27)*M27</f>
        <v>2894144.6734466865</v>
      </c>
      <c r="D27">
        <v>0</v>
      </c>
      <c r="E27">
        <v>0</v>
      </c>
      <c r="F27">
        <f t="shared" si="7"/>
        <v>61</v>
      </c>
      <c r="G27">
        <f>3*(F26+10+16*3600/$B$2)+$D$44+3*120-15</f>
        <v>1614.7741935483871</v>
      </c>
      <c r="I27" s="50" t="s">
        <v>68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3789.9479166666665</v>
      </c>
      <c r="N27">
        <f>SUMIFS(LocFeatures[[#All],[Energy gain]],LocFeatures[[#All],[Location]],Summary!$I27,LocFeatures[[#All],[LVL]],Summary!$J27,LocFeatures[[#All],[Stage]],Summary!$K27)</f>
        <v>0.88541666666666663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70</v>
      </c>
      <c r="B28" s="1">
        <f t="shared" si="12"/>
        <v>1232966.9864630336</v>
      </c>
      <c r="C28" s="1">
        <f t="shared" si="13"/>
        <v>876438.9323151682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33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3224.358024691358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69</v>
      </c>
      <c r="B29" s="1">
        <f t="shared" si="12"/>
        <v>1641106.4246061514</v>
      </c>
      <c r="C29" s="1">
        <f t="shared" si="13"/>
        <v>1166559.6714178543</v>
      </c>
      <c r="D29">
        <v>0</v>
      </c>
      <c r="E29">
        <v>0</v>
      </c>
      <c r="F29">
        <f t="shared" si="7"/>
        <v>61</v>
      </c>
      <c r="G29">
        <f>F29+10+16*3600/$B$2+$D$44+120-15</f>
        <v>768.25806451612902</v>
      </c>
      <c r="H29">
        <v>0</v>
      </c>
      <c r="I29" s="50" t="s">
        <v>33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3224.358024691358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71</v>
      </c>
      <c r="B30" s="1">
        <f t="shared" ref="B30" si="14">(2*$G30+$H30)/($O30-$N30)*L30</f>
        <v>3449382.9947486869</v>
      </c>
      <c r="C30" s="1">
        <f t="shared" ref="C30" si="15">($G30+$H30)/($O30-$N30)*M30</f>
        <v>2451950.1189047256</v>
      </c>
      <c r="D30">
        <v>0</v>
      </c>
      <c r="E30">
        <v>0</v>
      </c>
      <c r="F30">
        <f t="shared" si="7"/>
        <v>61</v>
      </c>
      <c r="G30">
        <f>3*(F29+10+16*3600/$B$2)+$D$44+3*120-15</f>
        <v>1614.7741935483871</v>
      </c>
      <c r="I30" s="50" t="s">
        <v>33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3224.358024691358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149</v>
      </c>
      <c r="B31" s="1">
        <f t="shared" ref="B31" si="16">(2*$G31+$H31)/($O31-$N31)*L31</f>
        <v>754608.51762940735</v>
      </c>
      <c r="C31" s="1">
        <f t="shared" ref="C31" si="17">($G31+$H31)/($O31-$N31)*M31</f>
        <v>536403.88653413346</v>
      </c>
      <c r="D31">
        <v>0</v>
      </c>
      <c r="E31">
        <v>100</v>
      </c>
      <c r="F31">
        <f t="shared" si="7"/>
        <v>61</v>
      </c>
      <c r="G31">
        <f>$B$3+60</f>
        <v>353.25806451612902</v>
      </c>
      <c r="I31" s="50" t="s">
        <v>33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3224.358024691358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572761.02625656407</v>
      </c>
      <c r="C32" s="1">
        <f t="shared" ref="C32:C34" si="19">($G32+$H32)/($O32-$N32)*M32</f>
        <v>814279.81095273804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536.25806451612902</v>
      </c>
      <c r="I32" s="50" t="s">
        <v>33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3224.358024691358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150</v>
      </c>
      <c r="B33" s="1">
        <f t="shared" ref="B33" si="20">(2*$G33+$H33)/($O33-$N33)*L33</f>
        <v>763681.36834208551</v>
      </c>
      <c r="C33" s="1">
        <f t="shared" ref="C33" si="21">($G33+$H33)/($O33-$N33)*M33</f>
        <v>814279.81095273804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536.25806451612902</v>
      </c>
      <c r="I33" s="50" t="s">
        <v>33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3224.358024691358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>
        <f>3600/SUMIFS(LocFeatures[[#All],[TimeToComplete Sek]],LocFeatures[[#All],[Location]],Summary!$I33,LocFeatures[[#All],[LVL]],Summary!$J33,LocFeatures[[#All],[Stage]],Summary!$K33)</f>
        <v>58.064516129032256</v>
      </c>
      <c r="Q33">
        <f>P33*$L33</f>
        <v>175587.09677419355</v>
      </c>
      <c r="R33">
        <f>P33*($O33-$N33)</f>
        <v>123.29749103942653</v>
      </c>
      <c r="S33" s="2">
        <f>3600/SUMIFS(LocFeatures[[#All],[TimeToComplete Sek2]],LocFeatures[[#All],[Location]],Summary!$I33,LocFeatures[[#All],[LVL]],Summary!$J33,LocFeatures[[#All],[Stage]],Summary!$K33)</f>
        <v>28.8</v>
      </c>
      <c r="T33" s="2">
        <f>S33*$L33*3/2</f>
        <v>130636.79999999999</v>
      </c>
      <c r="U33" s="2">
        <f>S33*($O33-$N33)</f>
        <v>61.155555555555559</v>
      </c>
    </row>
    <row r="34" spans="1:21">
      <c r="A34" t="s">
        <v>149</v>
      </c>
      <c r="B34" s="1">
        <f t="shared" si="18"/>
        <v>947603.288646837</v>
      </c>
      <c r="C34" s="1">
        <f t="shared" si="19"/>
        <v>389613.25120444078</v>
      </c>
      <c r="D34">
        <v>0</v>
      </c>
      <c r="E34">
        <v>0</v>
      </c>
      <c r="F34">
        <f>F32</f>
        <v>61</v>
      </c>
      <c r="G34">
        <f>$B$3+60</f>
        <v>353.25806451612902</v>
      </c>
      <c r="I34" s="50" t="s">
        <v>8</v>
      </c>
      <c r="J34" s="51" t="s">
        <v>34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4440.4901960784318</v>
      </c>
      <c r="N34">
        <f>SUMIFS(LocFeatures[[#All],[Energy gain]],LocFeatures[[#All],[Location]],Summary!$I34,LocFeatures[[#All],[LVL]],Summary!$J34,LocFeatures[[#All],[Stage]],Summary!$K34)</f>
        <v>0.97385620915032678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719247.42354419769</v>
      </c>
      <c r="C35" s="1">
        <f t="shared" ref="C35:C40" si="23">($G35+$H35)/($O35-$N35)*M35</f>
        <v>591446.5060745707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536.25806451612902</v>
      </c>
      <c r="I35" s="50" t="s">
        <v>8</v>
      </c>
      <c r="J35" s="51" t="s">
        <v>34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4440.4901960784318</v>
      </c>
      <c r="N35">
        <f>SUMIFS(LocFeatures[[#All],[Energy gain]],LocFeatures[[#All],[Location]],Summary!$I35,LocFeatures[[#All],[LVL]],Summary!$J35,LocFeatures[[#All],[Stage]],Summary!$K35)</f>
        <v>0.97385620915032678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149</v>
      </c>
      <c r="B36" s="1">
        <f t="shared" si="22"/>
        <v>842720.1514726507</v>
      </c>
      <c r="C36" s="1">
        <f t="shared" si="23"/>
        <v>614338.81276297336</v>
      </c>
      <c r="D36">
        <v>0</v>
      </c>
      <c r="E36">
        <v>100</v>
      </c>
      <c r="F36">
        <f t="shared" si="7"/>
        <v>61</v>
      </c>
      <c r="G36">
        <f>$B$3+60</f>
        <v>353.25806451612902</v>
      </c>
      <c r="I36" s="50" t="s">
        <v>33</v>
      </c>
      <c r="J36" s="51" t="s">
        <v>32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5581.1860465116279</v>
      </c>
      <c r="N36">
        <f>SUMIFS(LocFeatures[[#All],[Energy gain]],LocFeatures[[#All],[Location]],Summary!$I36,LocFeatures[[#All],[LVL]],Summary!$J36,LocFeatures[[#All],[Stage]],Summary!$K36)</f>
        <v>0.79069767441860461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639639.29312762967</v>
      </c>
      <c r="C37" s="1">
        <f t="shared" si="23"/>
        <v>932587.74754558201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536.25806451612902</v>
      </c>
      <c r="I37" s="50" t="s">
        <v>33</v>
      </c>
      <c r="J37" s="51" t="s">
        <v>32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5581.1860465116279</v>
      </c>
      <c r="N37">
        <f>SUMIFS(LocFeatures[[#All],[Energy gain]],LocFeatures[[#All],[Location]],Summary!$I37,LocFeatures[[#All],[LVL]],Summary!$J37,LocFeatures[[#All],[Stage]],Summary!$K37)</f>
        <v>0.79069767441860461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150</v>
      </c>
      <c r="B38" s="1">
        <f t="shared" si="22"/>
        <v>852852.39083683956</v>
      </c>
      <c r="C38" s="1">
        <f t="shared" si="23"/>
        <v>932587.74754558201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536.25806451612902</v>
      </c>
      <c r="I38" s="50" t="s">
        <v>33</v>
      </c>
      <c r="J38" s="51" t="s">
        <v>32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5581.1860465116279</v>
      </c>
      <c r="N38">
        <f>SUMIFS(LocFeatures[[#All],[Energy gain]],LocFeatures[[#All],[Location]],Summary!$I38,LocFeatures[[#All],[LVL]],Summary!$J38,LocFeatures[[#All],[Stage]],Summary!$K38)</f>
        <v>0.79069767441860461</v>
      </c>
      <c r="O38">
        <f>SUMIFS(LocFeatures[[#All],[E. Cost]],LocFeatures[[#All],[Location]],Summary!$I38,LocFeatures[[#All],[LVL]],Summary!$J38,LocFeatures[[#All],[Stage]],Summary!$K38)</f>
        <v>4</v>
      </c>
      <c r="P38">
        <f>3600/SUMIFS(LocFeatures[[#All],[TimeToComplete Sek]],LocFeatures[[#All],[Location]],Summary!$I38,LocFeatures[[#All],[LVL]],Summary!$J38,LocFeatures[[#All],[Stage]],Summary!$K38)</f>
        <v>29.508196721311474</v>
      </c>
      <c r="Q38">
        <f>P38*L38</f>
        <v>150609.83606557376</v>
      </c>
      <c r="R38">
        <f>P38*($O38-$N38)</f>
        <v>94.700724361418224</v>
      </c>
    </row>
    <row r="39" spans="1:21">
      <c r="A39" t="s">
        <v>162</v>
      </c>
      <c r="B39" s="1">
        <f t="shared" si="22"/>
        <v>2057653.6339084769</v>
      </c>
      <c r="C39" s="1">
        <f t="shared" si="23"/>
        <v>1462656.9679294822</v>
      </c>
      <c r="D39">
        <v>300</v>
      </c>
      <c r="E39">
        <v>100</v>
      </c>
      <c r="F39">
        <f>F38</f>
        <v>61</v>
      </c>
      <c r="G39">
        <f>$B$3+60+$D39/30*F39</f>
        <v>963.25806451612902</v>
      </c>
      <c r="I39" s="50" t="s">
        <v>33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3224.358024691358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1246001.00300075</v>
      </c>
      <c r="C40" s="1">
        <f t="shared" si="23"/>
        <v>1771407.9950612651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1166.5913978494623</v>
      </c>
      <c r="I40" s="50" t="s">
        <v>33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3224.358024691358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47</v>
      </c>
      <c r="C43" t="s">
        <v>48</v>
      </c>
      <c r="D43" t="s">
        <v>49</v>
      </c>
      <c r="E43" t="s">
        <v>50</v>
      </c>
      <c r="F43" t="s">
        <v>51</v>
      </c>
    </row>
    <row r="44" spans="1:21">
      <c r="A44" t="s">
        <v>46</v>
      </c>
      <c r="B44">
        <f>6*40</f>
        <v>240</v>
      </c>
      <c r="C44">
        <f>6*80</f>
        <v>480</v>
      </c>
      <c r="D44">
        <v>360</v>
      </c>
      <c r="E44">
        <f>B3</f>
        <v>293.25806451612902</v>
      </c>
      <c r="F44">
        <f>(E44+D44+120)*2</f>
        <v>1546.516129032258</v>
      </c>
    </row>
    <row r="45" spans="1:21">
      <c r="A45" t="s">
        <v>52</v>
      </c>
      <c r="B45">
        <f>6*40</f>
        <v>240</v>
      </c>
      <c r="C45">
        <f>6*80</f>
        <v>480</v>
      </c>
      <c r="D45">
        <v>360</v>
      </c>
      <c r="E45">
        <f>E44</f>
        <v>293.25806451612902</v>
      </c>
      <c r="F45">
        <f>3*(E45+120)+D45</f>
        <v>1599.7741935483871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D45"/>
  <sheetViews>
    <sheetView zoomScale="85" zoomScaleNormal="85" workbookViewId="0">
      <selection activeCell="H35" sqref="H35"/>
    </sheetView>
  </sheetViews>
  <sheetFormatPr defaultRowHeight="14.25"/>
  <cols>
    <col min="1" max="1" width="10.125" bestFit="1" customWidth="1"/>
    <col min="2" max="2" width="15.5" customWidth="1"/>
    <col min="5" max="9" width="11.25" customWidth="1"/>
    <col min="13" max="13" width="9.375" bestFit="1" customWidth="1"/>
    <col min="17" max="17" width="10.375" bestFit="1" customWidth="1"/>
    <col min="19" max="19" width="9.25" bestFit="1" customWidth="1"/>
    <col min="21" max="21" width="11" customWidth="1"/>
    <col min="24" max="24" width="9.75" bestFit="1" customWidth="1"/>
    <col min="25" max="25" width="10.875" customWidth="1"/>
  </cols>
  <sheetData>
    <row r="1" spans="1:30" ht="43.5" thickBot="1">
      <c r="A1" s="42" t="s">
        <v>133</v>
      </c>
      <c r="B1" s="42" t="s">
        <v>132</v>
      </c>
      <c r="C1" s="42" t="s">
        <v>131</v>
      </c>
      <c r="D1" s="42" t="s">
        <v>130</v>
      </c>
      <c r="E1" s="42" t="s">
        <v>129</v>
      </c>
      <c r="F1" s="42" t="s">
        <v>128</v>
      </c>
      <c r="G1" s="42" t="s">
        <v>127</v>
      </c>
      <c r="H1" s="42" t="s">
        <v>126</v>
      </c>
      <c r="I1" s="42" t="s">
        <v>125</v>
      </c>
      <c r="J1" s="40" t="s">
        <v>124</v>
      </c>
      <c r="K1" s="42" t="s">
        <v>123</v>
      </c>
      <c r="L1" s="42" t="s">
        <v>122</v>
      </c>
      <c r="M1" s="42" t="s">
        <v>121</v>
      </c>
      <c r="N1" s="42" t="s">
        <v>120</v>
      </c>
      <c r="O1" s="42" t="s">
        <v>119</v>
      </c>
      <c r="P1" s="42" t="s">
        <v>118</v>
      </c>
      <c r="Q1" s="41" t="s">
        <v>117</v>
      </c>
      <c r="R1" s="40" t="s">
        <v>116</v>
      </c>
      <c r="S1" s="39"/>
      <c r="T1" s="39"/>
      <c r="U1" s="39"/>
      <c r="V1" s="39" t="s">
        <v>5</v>
      </c>
      <c r="W1" t="s">
        <v>115</v>
      </c>
      <c r="X1" t="s">
        <v>114</v>
      </c>
      <c r="Y1" t="s">
        <v>93</v>
      </c>
      <c r="AA1" s="39" t="s">
        <v>5</v>
      </c>
      <c r="AB1" t="s">
        <v>115</v>
      </c>
      <c r="AC1" t="s">
        <v>114</v>
      </c>
      <c r="AD1" t="s">
        <v>93</v>
      </c>
    </row>
    <row r="2" spans="1:30" ht="15" thickBot="1">
      <c r="A2" s="22" t="s">
        <v>113</v>
      </c>
      <c r="B2" s="22" t="s">
        <v>112</v>
      </c>
      <c r="C2" s="21">
        <v>1</v>
      </c>
      <c r="D2" s="21">
        <v>1.5</v>
      </c>
      <c r="E2" s="21">
        <v>0</v>
      </c>
      <c r="F2" s="21">
        <v>0</v>
      </c>
      <c r="G2" s="21">
        <v>0</v>
      </c>
      <c r="H2" s="23"/>
      <c r="I2" s="23"/>
      <c r="J2" s="23"/>
      <c r="K2" s="22">
        <v>749</v>
      </c>
      <c r="L2" s="22">
        <v>2.2469999999999999</v>
      </c>
      <c r="M2" s="22">
        <v>3.371</v>
      </c>
      <c r="N2" s="21">
        <v>0.15</v>
      </c>
      <c r="O2" s="21">
        <f>IF(N2+G2+J2*$Y$2+IF(OR(A2 = "Blade", A2 = "Fatal+Blade", A2 = "Status+Blade", A2 = "Rage+Blade"), 0.12, IF(A2 = "2xBlade", 0.24, IF(A2 = "3xBlade", 0.36,0)))&gt;1, 1, N2+G2+J2*$Y$2+IF(OR(A2 = "Blade", A2 = "Fatal+Blade", A2 = "Status+Blade", A2 = "Rage+Blade"), 0.12, IF(A2 = "2xBlade", 0.24, IF(A2 = "3xBlade", 0.36,0))))</f>
        <v>0.15</v>
      </c>
      <c r="P2" s="20">
        <f t="shared" ref="P2:P27" si="0">O2*M2+(1-O2)*L2</f>
        <v>2.4155999999999995</v>
      </c>
      <c r="Q2" s="19">
        <v>2.4155999999999995</v>
      </c>
      <c r="R2" s="18">
        <f>P2/Q2-1</f>
        <v>0</v>
      </c>
      <c r="S2" s="18"/>
      <c r="T2" s="18"/>
      <c r="U2" s="18"/>
      <c r="W2" s="15">
        <f>AB2</f>
        <v>0.32</v>
      </c>
      <c r="X2" s="15">
        <f>AC2</f>
        <v>0.42</v>
      </c>
      <c r="Y2" s="15">
        <f>AD2</f>
        <v>0.31</v>
      </c>
      <c r="AA2">
        <v>12</v>
      </c>
      <c r="AB2" s="15">
        <f>(AB7+AB8*$AA$2)/100</f>
        <v>0.32</v>
      </c>
      <c r="AC2" s="15">
        <f>(AC7+AC8*$AA$2)/100</f>
        <v>0.42</v>
      </c>
      <c r="AD2" s="15">
        <f>(AD7+AD8*$AA$2)/100</f>
        <v>0.31</v>
      </c>
    </row>
    <row r="3" spans="1:30" ht="15" thickBot="1">
      <c r="A3" s="22" t="s">
        <v>111</v>
      </c>
      <c r="B3" s="22" t="s">
        <v>102</v>
      </c>
      <c r="C3" s="21">
        <f t="shared" ref="C3:C27" si="1">$C$2+E3+H3*$W$2+IF(OR(A3 = "Fatal", A3 = "Fatal+Blade"), 0.35,0)</f>
        <v>1.96</v>
      </c>
      <c r="D3" s="21">
        <f>$D$2+F3+I3*$X$2+IF(OR(A3 = "Rage", A3 = "Rage+Blade"), 0.4, 0)</f>
        <v>1.5</v>
      </c>
      <c r="E3" s="21">
        <f t="shared" ref="E3:F6" si="2">E2</f>
        <v>0</v>
      </c>
      <c r="F3" s="21">
        <f t="shared" si="2"/>
        <v>0</v>
      </c>
      <c r="G3" s="21">
        <v>0.25</v>
      </c>
      <c r="H3" s="23">
        <v>3</v>
      </c>
      <c r="I3" s="23"/>
      <c r="J3" s="23"/>
      <c r="K3" s="22">
        <f t="shared" ref="K3:K27" si="3">K$2*$C3/1000</f>
        <v>1.46804</v>
      </c>
      <c r="L3" s="22">
        <f t="shared" ref="L3:L27" si="4">L$2*$C3</f>
        <v>4.4041199999999998</v>
      </c>
      <c r="M3" s="22">
        <f t="shared" ref="M3:M27" si="5">L3*D3</f>
        <v>6.6061800000000002</v>
      </c>
      <c r="N3" s="21">
        <v>0.15</v>
      </c>
      <c r="O3" s="21">
        <f t="shared" ref="O3:O22" si="6">IF(N3+G3+J3*$Y$2+IF(OR(A3 = "Blade", A3 = "Fatal+Blade", A3 = "Status+Blade", A3 = "Rage+Blade"), 0.12, IF(A3 = "2xBlade", 0.24, IF(A3 = "3xBlade", 0.36,0)))&gt;1, 1, N3+G3+J3*$Y$2+IF(OR(A3 = "Blade", A3 = "Fatal+Blade", A3 = "Status+Blade", A3 = "Rage+Blade"), 0.12, IF(A3 = "2xBlade", 0.24, IF(A3 = "3xBlade", 0.36,0))))</f>
        <v>0.4</v>
      </c>
      <c r="P3" s="20">
        <f t="shared" si="0"/>
        <v>5.2849439999999994</v>
      </c>
      <c r="Q3" s="19">
        <v>4.289523</v>
      </c>
      <c r="R3" s="18">
        <f t="shared" ref="R3:R27" si="7">P3/Q3-1</f>
        <v>0.23205866946045028</v>
      </c>
      <c r="S3" s="18"/>
      <c r="T3" s="18"/>
      <c r="U3" s="18"/>
      <c r="W3" s="15"/>
      <c r="X3" s="15"/>
      <c r="AB3" s="15"/>
      <c r="AC3" s="15"/>
    </row>
    <row r="4" spans="1:30" ht="15" thickBot="1">
      <c r="A4" s="25" t="s">
        <v>111</v>
      </c>
      <c r="B4" s="25" t="s">
        <v>101</v>
      </c>
      <c r="C4" s="24">
        <f t="shared" si="1"/>
        <v>1.6400000000000001</v>
      </c>
      <c r="D4" s="21">
        <f t="shared" ref="D4:D26" si="8">$D$2+F4+I4*$X$2+IF(OR(A4 = "Rage", A4 = "Rage+Blade"), 0.4, 0)</f>
        <v>1.92</v>
      </c>
      <c r="E4" s="24">
        <f t="shared" si="2"/>
        <v>0</v>
      </c>
      <c r="F4" s="24">
        <f t="shared" si="2"/>
        <v>0</v>
      </c>
      <c r="G4" s="24">
        <f>G3</f>
        <v>0.25</v>
      </c>
      <c r="H4" s="26">
        <v>2</v>
      </c>
      <c r="I4" s="26">
        <v>1</v>
      </c>
      <c r="J4" s="26"/>
      <c r="K4" s="25">
        <f t="shared" si="3"/>
        <v>1.2283600000000001</v>
      </c>
      <c r="L4" s="25">
        <f t="shared" si="4"/>
        <v>3.6850800000000001</v>
      </c>
      <c r="M4" s="25">
        <f t="shared" si="5"/>
        <v>7.0753535999999997</v>
      </c>
      <c r="N4" s="24">
        <f>N3</f>
        <v>0.15</v>
      </c>
      <c r="O4" s="21">
        <f t="shared" si="6"/>
        <v>0.4</v>
      </c>
      <c r="P4" s="43">
        <f t="shared" si="0"/>
        <v>5.0411894400000001</v>
      </c>
      <c r="Q4" s="19">
        <v>3.9564277199999998</v>
      </c>
      <c r="R4" s="18">
        <f t="shared" si="7"/>
        <v>0.27417705990594987</v>
      </c>
      <c r="S4" s="18"/>
      <c r="T4" s="18"/>
      <c r="U4" s="18"/>
      <c r="W4" s="1">
        <v>4</v>
      </c>
      <c r="X4" s="1">
        <v>4</v>
      </c>
      <c r="Y4" s="1">
        <v>3</v>
      </c>
      <c r="AA4" t="s">
        <v>28</v>
      </c>
      <c r="AB4" s="1">
        <v>4</v>
      </c>
      <c r="AC4" s="1">
        <v>4</v>
      </c>
      <c r="AD4" s="1">
        <v>3</v>
      </c>
    </row>
    <row r="5" spans="1:30" ht="15" thickBot="1">
      <c r="A5" s="25" t="s">
        <v>111</v>
      </c>
      <c r="B5" s="25" t="s">
        <v>96</v>
      </c>
      <c r="C5" s="24">
        <f t="shared" si="1"/>
        <v>1.6400000000000001</v>
      </c>
      <c r="D5" s="21">
        <f t="shared" si="8"/>
        <v>1.5</v>
      </c>
      <c r="E5" s="24">
        <f t="shared" si="2"/>
        <v>0</v>
      </c>
      <c r="F5" s="24">
        <f t="shared" si="2"/>
        <v>0</v>
      </c>
      <c r="G5" s="24">
        <f>G4</f>
        <v>0.25</v>
      </c>
      <c r="H5" s="26">
        <v>2</v>
      </c>
      <c r="I5" s="26"/>
      <c r="J5" s="26">
        <v>1</v>
      </c>
      <c r="K5" s="25">
        <f t="shared" si="3"/>
        <v>1.2283600000000001</v>
      </c>
      <c r="L5" s="25">
        <f t="shared" si="4"/>
        <v>3.6850800000000001</v>
      </c>
      <c r="M5" s="25">
        <f t="shared" si="5"/>
        <v>5.5276200000000006</v>
      </c>
      <c r="N5" s="24">
        <f>N4</f>
        <v>0.15</v>
      </c>
      <c r="O5" s="21">
        <f t="shared" si="6"/>
        <v>0.71</v>
      </c>
      <c r="P5" s="43">
        <f t="shared" si="0"/>
        <v>4.9932834000000001</v>
      </c>
      <c r="Q5" s="19">
        <v>4.0607783999999993</v>
      </c>
      <c r="R5" s="18">
        <f t="shared" si="7"/>
        <v>0.22963700752545391</v>
      </c>
      <c r="S5" s="18"/>
      <c r="T5" s="18"/>
      <c r="U5" s="18"/>
      <c r="W5" s="1">
        <v>2</v>
      </c>
      <c r="X5" s="1">
        <v>2.25</v>
      </c>
      <c r="Y5" s="1">
        <v>2</v>
      </c>
      <c r="AA5" t="s">
        <v>28</v>
      </c>
      <c r="AB5" s="1">
        <v>2</v>
      </c>
      <c r="AC5" s="1">
        <v>2.25</v>
      </c>
      <c r="AD5" s="1">
        <v>2</v>
      </c>
    </row>
    <row r="6" spans="1:30" ht="29.25" thickBot="1">
      <c r="A6" s="25" t="s">
        <v>110</v>
      </c>
      <c r="B6" s="25" t="s">
        <v>102</v>
      </c>
      <c r="C6" s="24">
        <f t="shared" si="1"/>
        <v>1.96</v>
      </c>
      <c r="D6" s="21">
        <f t="shared" si="8"/>
        <v>1.5</v>
      </c>
      <c r="E6" s="24">
        <f t="shared" si="2"/>
        <v>0</v>
      </c>
      <c r="F6" s="24">
        <f t="shared" si="2"/>
        <v>0</v>
      </c>
      <c r="G6" s="24">
        <f>G5</f>
        <v>0.25</v>
      </c>
      <c r="H6" s="26">
        <v>3</v>
      </c>
      <c r="I6" s="26"/>
      <c r="J6" s="26"/>
      <c r="K6" s="25">
        <f t="shared" si="3"/>
        <v>1.46804</v>
      </c>
      <c r="L6" s="25">
        <f t="shared" si="4"/>
        <v>4.4041199999999998</v>
      </c>
      <c r="M6" s="25">
        <f t="shared" si="5"/>
        <v>6.6061800000000002</v>
      </c>
      <c r="N6" s="24">
        <f>N5</f>
        <v>0.15</v>
      </c>
      <c r="O6" s="21">
        <f t="shared" si="6"/>
        <v>0.52</v>
      </c>
      <c r="P6" s="43">
        <f t="shared" si="0"/>
        <v>5.5491912000000001</v>
      </c>
      <c r="Q6" s="19">
        <v>4.5133242000000005</v>
      </c>
      <c r="R6" s="18">
        <f t="shared" si="7"/>
        <v>0.22951309369710238</v>
      </c>
      <c r="S6" s="18"/>
      <c r="T6" s="18"/>
      <c r="U6" s="18"/>
      <c r="W6" s="1"/>
      <c r="X6" s="1"/>
      <c r="Y6" s="1"/>
    </row>
    <row r="7" spans="1:30" ht="15" thickBot="1">
      <c r="A7" s="25" t="s">
        <v>100</v>
      </c>
      <c r="B7" s="25" t="s">
        <v>102</v>
      </c>
      <c r="C7" s="24">
        <f t="shared" si="1"/>
        <v>2.31</v>
      </c>
      <c r="D7" s="21">
        <f t="shared" si="8"/>
        <v>1.5</v>
      </c>
      <c r="E7" s="24">
        <f>E4</f>
        <v>0</v>
      </c>
      <c r="F7" s="24">
        <f>F4</f>
        <v>0</v>
      </c>
      <c r="G7" s="24">
        <f>G4</f>
        <v>0.25</v>
      </c>
      <c r="H7" s="26">
        <v>3</v>
      </c>
      <c r="I7" s="26"/>
      <c r="J7" s="26"/>
      <c r="K7" s="25">
        <f t="shared" si="3"/>
        <v>1.7301900000000001</v>
      </c>
      <c r="L7" s="25">
        <f t="shared" si="4"/>
        <v>5.1905700000000001</v>
      </c>
      <c r="M7" s="25">
        <f t="shared" si="5"/>
        <v>7.7858549999999997</v>
      </c>
      <c r="N7" s="24">
        <f>N4</f>
        <v>0.15</v>
      </c>
      <c r="O7" s="21">
        <f t="shared" si="6"/>
        <v>0.4</v>
      </c>
      <c r="P7" s="43">
        <f t="shared" si="0"/>
        <v>6.2286840000000003</v>
      </c>
      <c r="Q7" s="19">
        <v>5.1939405000000001</v>
      </c>
      <c r="R7" s="18">
        <f t="shared" si="7"/>
        <v>0.19922128487994817</v>
      </c>
      <c r="S7" s="18"/>
      <c r="T7" s="18"/>
      <c r="U7" s="18"/>
      <c r="V7" t="s">
        <v>109</v>
      </c>
      <c r="AA7" t="s">
        <v>29</v>
      </c>
      <c r="AB7">
        <v>5</v>
      </c>
      <c r="AC7">
        <v>6</v>
      </c>
      <c r="AD7">
        <v>4</v>
      </c>
    </row>
    <row r="8" spans="1:30" ht="15.75" thickBot="1">
      <c r="A8" s="25" t="s">
        <v>99</v>
      </c>
      <c r="B8" s="25" t="s">
        <v>102</v>
      </c>
      <c r="C8" s="24">
        <f t="shared" si="1"/>
        <v>1.96</v>
      </c>
      <c r="D8" s="21">
        <f t="shared" si="8"/>
        <v>1.9</v>
      </c>
      <c r="E8" s="24">
        <f t="shared" ref="E8:G13" si="9">E7</f>
        <v>0</v>
      </c>
      <c r="F8" s="24">
        <f t="shared" si="9"/>
        <v>0</v>
      </c>
      <c r="G8" s="24">
        <f t="shared" si="9"/>
        <v>0.25</v>
      </c>
      <c r="H8" s="26">
        <v>3</v>
      </c>
      <c r="I8" s="26"/>
      <c r="J8" s="26"/>
      <c r="K8" s="25">
        <f t="shared" si="3"/>
        <v>1.46804</v>
      </c>
      <c r="L8" s="25">
        <f t="shared" si="4"/>
        <v>4.4041199999999998</v>
      </c>
      <c r="M8" s="25">
        <f t="shared" si="5"/>
        <v>8.3678279999999994</v>
      </c>
      <c r="N8" s="24">
        <f t="shared" ref="N8:N13" si="10">N7</f>
        <v>0.15</v>
      </c>
      <c r="O8" s="21">
        <f t="shared" si="6"/>
        <v>0.4</v>
      </c>
      <c r="P8" s="43">
        <f t="shared" si="0"/>
        <v>5.9896031999999995</v>
      </c>
      <c r="Q8" s="19">
        <v>4.7371254</v>
      </c>
      <c r="R8" s="18">
        <f t="shared" si="7"/>
        <v>0.26439616734655136</v>
      </c>
      <c r="S8" s="18"/>
      <c r="T8" s="18" t="s">
        <v>136</v>
      </c>
      <c r="U8" s="38" t="s">
        <v>108</v>
      </c>
      <c r="V8" s="37" t="s">
        <v>107</v>
      </c>
      <c r="W8" s="36" t="s">
        <v>106</v>
      </c>
      <c r="X8" s="35" t="s">
        <v>105</v>
      </c>
      <c r="AA8" t="s">
        <v>29</v>
      </c>
      <c r="AB8">
        <v>2.25</v>
      </c>
      <c r="AC8">
        <v>3</v>
      </c>
      <c r="AD8">
        <v>2.25</v>
      </c>
    </row>
    <row r="9" spans="1:30" ht="15" thickBot="1">
      <c r="A9" s="25" t="s">
        <v>98</v>
      </c>
      <c r="B9" s="25" t="s">
        <v>102</v>
      </c>
      <c r="C9" s="24">
        <f t="shared" si="1"/>
        <v>1.96</v>
      </c>
      <c r="D9" s="21">
        <f t="shared" si="8"/>
        <v>1.5</v>
      </c>
      <c r="E9" s="24">
        <f t="shared" si="9"/>
        <v>0</v>
      </c>
      <c r="F9" s="24">
        <f t="shared" si="9"/>
        <v>0</v>
      </c>
      <c r="G9" s="24">
        <f t="shared" si="9"/>
        <v>0.25</v>
      </c>
      <c r="H9" s="26">
        <v>3</v>
      </c>
      <c r="I9" s="26"/>
      <c r="J9" s="26"/>
      <c r="K9" s="25">
        <f t="shared" si="3"/>
        <v>1.46804</v>
      </c>
      <c r="L9" s="25">
        <f t="shared" si="4"/>
        <v>4.4041199999999998</v>
      </c>
      <c r="M9" s="25">
        <f t="shared" si="5"/>
        <v>6.6061800000000002</v>
      </c>
      <c r="N9" s="24">
        <f t="shared" si="10"/>
        <v>0.15</v>
      </c>
      <c r="O9" s="21">
        <f t="shared" si="6"/>
        <v>0.52</v>
      </c>
      <c r="P9" s="43">
        <f t="shared" si="0"/>
        <v>5.5491912000000001</v>
      </c>
      <c r="Q9" s="19">
        <v>4.5133242000000005</v>
      </c>
      <c r="R9" s="18">
        <f t="shared" si="7"/>
        <v>0.22951309369710238</v>
      </c>
      <c r="S9" s="18"/>
      <c r="T9" s="18" t="s">
        <v>137</v>
      </c>
      <c r="U9" s="34">
        <v>0.15</v>
      </c>
      <c r="V9" s="33">
        <v>0.1</v>
      </c>
      <c r="W9" s="32">
        <v>0.12</v>
      </c>
      <c r="X9" s="31">
        <v>0.2</v>
      </c>
    </row>
    <row r="10" spans="1:30" ht="15" thickBot="1">
      <c r="A10" s="25" t="s">
        <v>97</v>
      </c>
      <c r="B10" s="25" t="s">
        <v>102</v>
      </c>
      <c r="C10" s="24">
        <f t="shared" si="1"/>
        <v>1.96</v>
      </c>
      <c r="D10" s="21">
        <f t="shared" si="8"/>
        <v>1.5</v>
      </c>
      <c r="E10" s="24">
        <f t="shared" si="9"/>
        <v>0</v>
      </c>
      <c r="F10" s="24">
        <f t="shared" si="9"/>
        <v>0</v>
      </c>
      <c r="G10" s="24">
        <f t="shared" si="9"/>
        <v>0.25</v>
      </c>
      <c r="H10" s="26">
        <v>3</v>
      </c>
      <c r="I10" s="26"/>
      <c r="J10" s="26"/>
      <c r="K10" s="25">
        <f t="shared" si="3"/>
        <v>1.46804</v>
      </c>
      <c r="L10" s="25">
        <f t="shared" si="4"/>
        <v>4.4041199999999998</v>
      </c>
      <c r="M10" s="25">
        <f t="shared" si="5"/>
        <v>6.6061800000000002</v>
      </c>
      <c r="N10" s="24">
        <f t="shared" si="10"/>
        <v>0.15</v>
      </c>
      <c r="O10" s="21">
        <f t="shared" si="6"/>
        <v>0.64</v>
      </c>
      <c r="P10" s="43">
        <f t="shared" si="0"/>
        <v>5.8134383999999999</v>
      </c>
      <c r="Q10" s="19">
        <v>4.7371254</v>
      </c>
      <c r="R10" s="18">
        <f t="shared" si="7"/>
        <v>0.22720804477753531</v>
      </c>
      <c r="S10" s="18"/>
      <c r="T10" s="18" t="s">
        <v>137</v>
      </c>
      <c r="U10" s="34">
        <v>0.3</v>
      </c>
      <c r="V10" s="33">
        <v>0.1</v>
      </c>
      <c r="W10" s="32">
        <v>0.12</v>
      </c>
      <c r="X10" s="31">
        <v>0.15</v>
      </c>
      <c r="AA10" t="s">
        <v>30</v>
      </c>
      <c r="AB10">
        <v>8</v>
      </c>
      <c r="AC10">
        <v>8</v>
      </c>
      <c r="AD10">
        <v>5</v>
      </c>
    </row>
    <row r="11" spans="1:30" ht="15" thickBot="1">
      <c r="A11" s="25" t="s">
        <v>104</v>
      </c>
      <c r="B11" s="25" t="s">
        <v>102</v>
      </c>
      <c r="C11" s="24">
        <f t="shared" si="1"/>
        <v>1.96</v>
      </c>
      <c r="D11" s="21">
        <f t="shared" si="8"/>
        <v>1.5</v>
      </c>
      <c r="E11" s="24">
        <f t="shared" si="9"/>
        <v>0</v>
      </c>
      <c r="F11" s="24">
        <f t="shared" si="9"/>
        <v>0</v>
      </c>
      <c r="G11" s="24">
        <f t="shared" si="9"/>
        <v>0.25</v>
      </c>
      <c r="H11" s="26">
        <v>3</v>
      </c>
      <c r="I11" s="26"/>
      <c r="J11" s="26"/>
      <c r="K11" s="25">
        <f t="shared" si="3"/>
        <v>1.46804</v>
      </c>
      <c r="L11" s="25">
        <f t="shared" si="4"/>
        <v>4.4041199999999998</v>
      </c>
      <c r="M11" s="25">
        <f t="shared" si="5"/>
        <v>6.6061800000000002</v>
      </c>
      <c r="N11" s="24">
        <f t="shared" si="10"/>
        <v>0.15</v>
      </c>
      <c r="O11" s="21">
        <f t="shared" si="6"/>
        <v>0.76</v>
      </c>
      <c r="P11" s="43">
        <f t="shared" si="0"/>
        <v>6.0776856000000006</v>
      </c>
      <c r="Q11" s="19">
        <v>4.9609266000000005</v>
      </c>
      <c r="R11" s="18">
        <f t="shared" si="7"/>
        <v>0.22511097019657567</v>
      </c>
      <c r="S11" s="18"/>
      <c r="T11" s="18" t="s">
        <v>137</v>
      </c>
      <c r="U11" s="34">
        <v>0.5</v>
      </c>
      <c r="V11" s="33">
        <v>0.1</v>
      </c>
      <c r="W11" s="32">
        <v>0.12</v>
      </c>
      <c r="X11" s="31">
        <v>0.11</v>
      </c>
      <c r="AA11" t="s">
        <v>30</v>
      </c>
      <c r="AB11">
        <v>2.25</v>
      </c>
      <c r="AC11">
        <v>3.33</v>
      </c>
      <c r="AD11">
        <v>2.5</v>
      </c>
    </row>
    <row r="12" spans="1:30" ht="29.25" thickBot="1">
      <c r="A12" s="25" t="s">
        <v>103</v>
      </c>
      <c r="B12" s="25" t="s">
        <v>102</v>
      </c>
      <c r="C12" s="24">
        <f t="shared" si="1"/>
        <v>2.31</v>
      </c>
      <c r="D12" s="21">
        <f t="shared" si="8"/>
        <v>1.5</v>
      </c>
      <c r="E12" s="24">
        <f t="shared" si="9"/>
        <v>0</v>
      </c>
      <c r="F12" s="24">
        <f t="shared" si="9"/>
        <v>0</v>
      </c>
      <c r="G12" s="24">
        <f t="shared" si="9"/>
        <v>0.25</v>
      </c>
      <c r="H12" s="26">
        <v>3</v>
      </c>
      <c r="I12" s="26"/>
      <c r="J12" s="26"/>
      <c r="K12" s="25">
        <f t="shared" si="3"/>
        <v>1.7301900000000001</v>
      </c>
      <c r="L12" s="25">
        <f t="shared" si="4"/>
        <v>5.1905700000000001</v>
      </c>
      <c r="M12" s="25">
        <f t="shared" si="5"/>
        <v>7.7858549999999997</v>
      </c>
      <c r="N12" s="24">
        <f t="shared" si="10"/>
        <v>0.15</v>
      </c>
      <c r="O12" s="21">
        <f t="shared" si="6"/>
        <v>0.52</v>
      </c>
      <c r="P12" s="43">
        <f t="shared" si="0"/>
        <v>6.5401182000000002</v>
      </c>
      <c r="Q12" s="19">
        <v>5.4649286999999998</v>
      </c>
      <c r="R12" s="18">
        <f t="shared" si="7"/>
        <v>0.19674355495251028</v>
      </c>
      <c r="S12" s="18"/>
      <c r="T12" s="18"/>
      <c r="U12" s="34"/>
      <c r="V12" s="33"/>
      <c r="W12" s="32"/>
      <c r="X12" s="31"/>
    </row>
    <row r="13" spans="1:30" ht="29.25" thickBot="1">
      <c r="A13" s="25" t="s">
        <v>134</v>
      </c>
      <c r="B13" s="25" t="s">
        <v>102</v>
      </c>
      <c r="C13" s="24">
        <f t="shared" si="1"/>
        <v>1.96</v>
      </c>
      <c r="D13" s="21">
        <f t="shared" si="8"/>
        <v>1.9</v>
      </c>
      <c r="E13" s="24">
        <f t="shared" si="9"/>
        <v>0</v>
      </c>
      <c r="F13" s="24">
        <f t="shared" si="9"/>
        <v>0</v>
      </c>
      <c r="G13" s="24">
        <f t="shared" si="9"/>
        <v>0.25</v>
      </c>
      <c r="H13" s="26">
        <v>3</v>
      </c>
      <c r="I13" s="26"/>
      <c r="J13" s="26"/>
      <c r="K13" s="25">
        <f t="shared" si="3"/>
        <v>1.46804</v>
      </c>
      <c r="L13" s="25">
        <f t="shared" si="4"/>
        <v>4.4041199999999998</v>
      </c>
      <c r="M13" s="25">
        <f t="shared" si="5"/>
        <v>8.3678279999999994</v>
      </c>
      <c r="N13" s="24">
        <f t="shared" si="10"/>
        <v>0.15</v>
      </c>
      <c r="O13" s="21">
        <f t="shared" si="6"/>
        <v>0.52</v>
      </c>
      <c r="P13" s="43">
        <f t="shared" si="0"/>
        <v>6.4652481599999998</v>
      </c>
      <c r="Q13" s="19">
        <v>5.1399675600000005</v>
      </c>
      <c r="R13" s="18">
        <f t="shared" si="7"/>
        <v>0.25783831989787864</v>
      </c>
      <c r="S13" s="18"/>
      <c r="T13" s="18"/>
      <c r="U13" s="34"/>
      <c r="V13" s="33"/>
      <c r="W13" s="32"/>
      <c r="X13" s="31"/>
      <c r="AA13" t="s">
        <v>31</v>
      </c>
      <c r="AB13">
        <v>11</v>
      </c>
      <c r="AC13">
        <v>11</v>
      </c>
      <c r="AD13">
        <v>7</v>
      </c>
    </row>
    <row r="14" spans="1:30" ht="15" thickBot="1">
      <c r="A14" s="25" t="s">
        <v>100</v>
      </c>
      <c r="B14" s="25" t="s">
        <v>101</v>
      </c>
      <c r="C14" s="24">
        <f t="shared" si="1"/>
        <v>1.9900000000000002</v>
      </c>
      <c r="D14" s="21">
        <f t="shared" si="8"/>
        <v>1.92</v>
      </c>
      <c r="E14" s="24">
        <f>E8</f>
        <v>0</v>
      </c>
      <c r="F14" s="24">
        <f>F8</f>
        <v>0</v>
      </c>
      <c r="G14" s="24">
        <f>G8</f>
        <v>0.25</v>
      </c>
      <c r="H14" s="26">
        <v>2</v>
      </c>
      <c r="I14" s="26">
        <v>1</v>
      </c>
      <c r="J14" s="26"/>
      <c r="K14" s="25">
        <f t="shared" si="3"/>
        <v>1.4905100000000002</v>
      </c>
      <c r="L14" s="25">
        <f t="shared" si="4"/>
        <v>4.4715300000000004</v>
      </c>
      <c r="M14" s="25">
        <f t="shared" si="5"/>
        <v>8.5853376000000008</v>
      </c>
      <c r="N14" s="24">
        <f>N10</f>
        <v>0.15</v>
      </c>
      <c r="O14" s="21">
        <f t="shared" si="6"/>
        <v>0.4</v>
      </c>
      <c r="P14" s="43">
        <f t="shared" si="0"/>
        <v>6.1170530400000009</v>
      </c>
      <c r="Q14" s="19">
        <v>4.9180594575000001</v>
      </c>
      <c r="R14" s="18">
        <f t="shared" si="7"/>
        <v>0.24379403967382807</v>
      </c>
      <c r="S14" s="18"/>
      <c r="T14" s="18"/>
      <c r="U14" s="34"/>
      <c r="V14" s="33"/>
      <c r="W14" s="32"/>
      <c r="X14" s="31"/>
      <c r="AA14" t="s">
        <v>31</v>
      </c>
      <c r="AB14">
        <v>3</v>
      </c>
      <c r="AC14">
        <v>4</v>
      </c>
      <c r="AD14">
        <v>3</v>
      </c>
    </row>
    <row r="15" spans="1:30" ht="15" thickBot="1">
      <c r="A15" s="25" t="s">
        <v>99</v>
      </c>
      <c r="B15" s="25" t="s">
        <v>101</v>
      </c>
      <c r="C15" s="24">
        <f t="shared" si="1"/>
        <v>1.6400000000000001</v>
      </c>
      <c r="D15" s="21">
        <f t="shared" si="8"/>
        <v>2.3199999999999998</v>
      </c>
      <c r="E15" s="24">
        <f>E14</f>
        <v>0</v>
      </c>
      <c r="F15" s="24">
        <f>F14</f>
        <v>0</v>
      </c>
      <c r="G15" s="24">
        <f>G14</f>
        <v>0.25</v>
      </c>
      <c r="H15" s="26">
        <v>2</v>
      </c>
      <c r="I15" s="26">
        <v>1</v>
      </c>
      <c r="J15" s="26"/>
      <c r="K15" s="25">
        <f t="shared" si="3"/>
        <v>1.2283600000000001</v>
      </c>
      <c r="L15" s="25">
        <f t="shared" si="4"/>
        <v>3.6850800000000001</v>
      </c>
      <c r="M15" s="25">
        <f t="shared" si="5"/>
        <v>8.549385599999999</v>
      </c>
      <c r="N15" s="24">
        <f t="shared" ref="N15:N20" si="11">N14</f>
        <v>0.15</v>
      </c>
      <c r="O15" s="21">
        <f t="shared" si="6"/>
        <v>0.4</v>
      </c>
      <c r="P15" s="43">
        <f t="shared" si="0"/>
        <v>5.6308022399999995</v>
      </c>
      <c r="Q15" s="19">
        <v>4.3447093199999998</v>
      </c>
      <c r="R15" s="18">
        <f t="shared" si="7"/>
        <v>0.29601357082273116</v>
      </c>
      <c r="S15" s="18"/>
      <c r="T15" s="18"/>
      <c r="U15" s="34"/>
      <c r="V15" s="33"/>
      <c r="W15" s="32"/>
      <c r="X15" s="31"/>
    </row>
    <row r="16" spans="1:30" ht="15" thickBot="1">
      <c r="A16" s="25" t="s">
        <v>98</v>
      </c>
      <c r="B16" s="25" t="s">
        <v>101</v>
      </c>
      <c r="C16" s="24">
        <f t="shared" si="1"/>
        <v>1.6400000000000001</v>
      </c>
      <c r="D16" s="21">
        <f t="shared" si="8"/>
        <v>1.92</v>
      </c>
      <c r="E16" s="24">
        <f>E10</f>
        <v>0</v>
      </c>
      <c r="F16" s="24">
        <f>F10</f>
        <v>0</v>
      </c>
      <c r="G16" s="24">
        <f>G10</f>
        <v>0.25</v>
      </c>
      <c r="H16" s="26">
        <v>2</v>
      </c>
      <c r="I16" s="26">
        <v>1</v>
      </c>
      <c r="J16" s="26"/>
      <c r="K16" s="25">
        <f t="shared" si="3"/>
        <v>1.2283600000000001</v>
      </c>
      <c r="L16" s="25">
        <f t="shared" si="4"/>
        <v>3.6850800000000001</v>
      </c>
      <c r="M16" s="25">
        <f t="shared" si="5"/>
        <v>7.0753535999999997</v>
      </c>
      <c r="N16" s="24">
        <f t="shared" si="11"/>
        <v>0.15</v>
      </c>
      <c r="O16" s="21">
        <f t="shared" si="6"/>
        <v>0.52</v>
      </c>
      <c r="P16" s="43">
        <f t="shared" si="0"/>
        <v>5.4480222719999993</v>
      </c>
      <c r="Q16" s="19">
        <v>4.2447268079999994</v>
      </c>
      <c r="R16" s="18">
        <f t="shared" si="7"/>
        <v>0.28348007267091013</v>
      </c>
      <c r="S16" s="18"/>
      <c r="T16" s="18"/>
      <c r="U16" s="30"/>
      <c r="V16" s="29"/>
      <c r="W16" s="28"/>
      <c r="X16" s="27"/>
    </row>
    <row r="17" spans="1:25" ht="15" thickBot="1">
      <c r="A17" s="25" t="s">
        <v>97</v>
      </c>
      <c r="B17" s="25" t="s">
        <v>101</v>
      </c>
      <c r="C17" s="24">
        <f t="shared" si="1"/>
        <v>1.6400000000000001</v>
      </c>
      <c r="D17" s="21">
        <f t="shared" si="8"/>
        <v>1.92</v>
      </c>
      <c r="E17" s="24">
        <f t="shared" ref="E17:G20" si="12">E16</f>
        <v>0</v>
      </c>
      <c r="F17" s="24">
        <f t="shared" si="12"/>
        <v>0</v>
      </c>
      <c r="G17" s="24">
        <f t="shared" si="12"/>
        <v>0.25</v>
      </c>
      <c r="H17" s="26">
        <v>2</v>
      </c>
      <c r="I17" s="26">
        <v>1</v>
      </c>
      <c r="J17" s="26"/>
      <c r="K17" s="25">
        <f t="shared" si="3"/>
        <v>1.2283600000000001</v>
      </c>
      <c r="L17" s="25">
        <f t="shared" si="4"/>
        <v>3.6850800000000001</v>
      </c>
      <c r="M17" s="25">
        <f t="shared" si="5"/>
        <v>7.0753535999999997</v>
      </c>
      <c r="N17" s="24">
        <f t="shared" si="11"/>
        <v>0.15</v>
      </c>
      <c r="O17" s="21">
        <f t="shared" si="6"/>
        <v>0.64</v>
      </c>
      <c r="P17" s="43">
        <f t="shared" si="0"/>
        <v>5.8548551039999994</v>
      </c>
      <c r="Q17" s="19">
        <v>4.5330258959999998</v>
      </c>
      <c r="R17" s="18">
        <f t="shared" si="7"/>
        <v>0.29159974779018993</v>
      </c>
      <c r="S17" s="18"/>
      <c r="T17" s="18"/>
      <c r="U17" s="18"/>
    </row>
    <row r="18" spans="1:25" ht="15" thickBot="1">
      <c r="A18" s="25" t="s">
        <v>104</v>
      </c>
      <c r="B18" s="25" t="s">
        <v>101</v>
      </c>
      <c r="C18" s="24">
        <f t="shared" si="1"/>
        <v>1.6400000000000001</v>
      </c>
      <c r="D18" s="21">
        <f t="shared" si="8"/>
        <v>1.92</v>
      </c>
      <c r="E18" s="24">
        <f t="shared" si="12"/>
        <v>0</v>
      </c>
      <c r="F18" s="24">
        <f t="shared" si="12"/>
        <v>0</v>
      </c>
      <c r="G18" s="24">
        <f t="shared" si="12"/>
        <v>0.25</v>
      </c>
      <c r="H18" s="26">
        <v>2</v>
      </c>
      <c r="I18" s="26">
        <v>1</v>
      </c>
      <c r="J18" s="26"/>
      <c r="K18" s="25">
        <f t="shared" si="3"/>
        <v>1.2283600000000001</v>
      </c>
      <c r="L18" s="25">
        <f t="shared" si="4"/>
        <v>3.6850800000000001</v>
      </c>
      <c r="M18" s="25">
        <f t="shared" si="5"/>
        <v>7.0753535999999997</v>
      </c>
      <c r="N18" s="24">
        <f t="shared" si="11"/>
        <v>0.15</v>
      </c>
      <c r="O18" s="21">
        <f t="shared" si="6"/>
        <v>0.76</v>
      </c>
      <c r="P18" s="43">
        <f t="shared" si="0"/>
        <v>6.2616879359999995</v>
      </c>
      <c r="Q18" s="19">
        <v>4.8213249839999994</v>
      </c>
      <c r="R18" s="18">
        <f t="shared" si="7"/>
        <v>0.2987483641488542</v>
      </c>
      <c r="S18" s="18"/>
      <c r="T18" s="18"/>
      <c r="U18" s="18" t="s">
        <v>135</v>
      </c>
    </row>
    <row r="19" spans="1:25" ht="29.25" thickBot="1">
      <c r="A19" s="25" t="s">
        <v>103</v>
      </c>
      <c r="B19" s="25" t="s">
        <v>101</v>
      </c>
      <c r="C19" s="24">
        <f t="shared" si="1"/>
        <v>1.9900000000000002</v>
      </c>
      <c r="D19" s="21">
        <f t="shared" si="8"/>
        <v>1.92</v>
      </c>
      <c r="E19" s="24">
        <f t="shared" si="12"/>
        <v>0</v>
      </c>
      <c r="F19" s="24">
        <f t="shared" si="12"/>
        <v>0</v>
      </c>
      <c r="G19" s="24">
        <f t="shared" si="12"/>
        <v>0.25</v>
      </c>
      <c r="H19" s="26">
        <v>2</v>
      </c>
      <c r="I19" s="26">
        <v>1</v>
      </c>
      <c r="J19" s="26"/>
      <c r="K19" s="25">
        <f t="shared" si="3"/>
        <v>1.4905100000000002</v>
      </c>
      <c r="L19" s="25">
        <f t="shared" si="4"/>
        <v>4.4715300000000004</v>
      </c>
      <c r="M19" s="25">
        <f t="shared" si="5"/>
        <v>8.5853376000000008</v>
      </c>
      <c r="N19" s="24">
        <f t="shared" si="11"/>
        <v>0.15</v>
      </c>
      <c r="O19" s="21">
        <f t="shared" si="6"/>
        <v>0.52</v>
      </c>
      <c r="P19" s="43">
        <f t="shared" si="0"/>
        <v>6.6107099520000006</v>
      </c>
      <c r="Q19" s="19">
        <v>5.2764312404999991</v>
      </c>
      <c r="R19" s="18">
        <f t="shared" si="7"/>
        <v>0.25287522014094588</v>
      </c>
      <c r="S19" s="18"/>
      <c r="T19" s="18"/>
      <c r="U19" s="18"/>
    </row>
    <row r="20" spans="1:25" ht="29.25" thickBot="1">
      <c r="A20" s="25" t="s">
        <v>134</v>
      </c>
      <c r="B20" s="25" t="s">
        <v>101</v>
      </c>
      <c r="C20" s="24">
        <f t="shared" si="1"/>
        <v>1.6400000000000001</v>
      </c>
      <c r="D20" s="21">
        <f t="shared" ref="D20" si="13">$D$2+F20+I20*$X$2+IF(OR(A20 = "Rage", A20 = "Rage+Blade"), 0.4, 0)</f>
        <v>2.3199999999999998</v>
      </c>
      <c r="E20" s="24">
        <f t="shared" si="12"/>
        <v>0</v>
      </c>
      <c r="F20" s="24">
        <f t="shared" si="12"/>
        <v>0</v>
      </c>
      <c r="G20" s="24">
        <f t="shared" si="12"/>
        <v>0.25</v>
      </c>
      <c r="H20" s="26">
        <v>2</v>
      </c>
      <c r="I20" s="26">
        <v>1</v>
      </c>
      <c r="J20" s="26"/>
      <c r="K20" s="25">
        <f t="shared" si="3"/>
        <v>1.2283600000000001</v>
      </c>
      <c r="L20" s="25">
        <f t="shared" si="4"/>
        <v>3.6850800000000001</v>
      </c>
      <c r="M20" s="25">
        <f t="shared" si="5"/>
        <v>8.549385599999999</v>
      </c>
      <c r="N20" s="24">
        <f t="shared" si="11"/>
        <v>0.15</v>
      </c>
      <c r="O20" s="21">
        <f t="shared" ref="O20" si="14">IF(N20+G20+J20*$Y$2+IF(OR(A20 = "Blade", A20 = "Fatal+Blade", A20 = "Status+Blade", A20 = "Rage+Blade"), 0.12, IF(A20 = "2xBlade", 0.24, IF(A20 = "3xBlade", 0.36,0)))&gt;1, 1, N20+G20+J20*$Y$2+IF(OR(A20 = "Blade", A20 = "Fatal+Blade", A20 = "Status+Blade", A20 = "Rage+Blade"), 0.12, IF(A20 = "2xBlade", 0.24, IF(A20 = "3xBlade", 0.36,0))))</f>
        <v>0.52</v>
      </c>
      <c r="P20" s="43">
        <f t="shared" si="0"/>
        <v>6.214518912</v>
      </c>
      <c r="Q20" s="19">
        <v>4.7883210480000002</v>
      </c>
      <c r="R20" s="18">
        <f t="shared" si="7"/>
        <v>0.29784925649371363</v>
      </c>
      <c r="S20" s="18"/>
      <c r="T20" s="18"/>
      <c r="U20" s="18" t="s">
        <v>108</v>
      </c>
    </row>
    <row r="21" spans="1:25" ht="15" thickBot="1">
      <c r="A21" s="25" t="s">
        <v>100</v>
      </c>
      <c r="B21" s="25" t="s">
        <v>96</v>
      </c>
      <c r="C21" s="24">
        <f t="shared" si="1"/>
        <v>1.9900000000000002</v>
      </c>
      <c r="D21" s="21">
        <f t="shared" si="8"/>
        <v>1.5</v>
      </c>
      <c r="E21" s="24">
        <f>E17</f>
        <v>0</v>
      </c>
      <c r="F21" s="24">
        <f>F17</f>
        <v>0</v>
      </c>
      <c r="G21" s="24">
        <f>G17</f>
        <v>0.25</v>
      </c>
      <c r="H21" s="26">
        <v>2</v>
      </c>
      <c r="I21" s="26"/>
      <c r="J21" s="26">
        <v>1</v>
      </c>
      <c r="K21" s="25">
        <f t="shared" si="3"/>
        <v>1.4905100000000002</v>
      </c>
      <c r="L21" s="25">
        <f t="shared" si="4"/>
        <v>4.4715300000000004</v>
      </c>
      <c r="M21" s="25">
        <f t="shared" si="5"/>
        <v>6.7072950000000002</v>
      </c>
      <c r="N21" s="24">
        <f>N17</f>
        <v>0.15</v>
      </c>
      <c r="O21" s="21">
        <f t="shared" si="6"/>
        <v>0.71</v>
      </c>
      <c r="P21" s="43">
        <f t="shared" si="0"/>
        <v>6.05892315</v>
      </c>
      <c r="Q21" s="19">
        <v>5.0477731499999994</v>
      </c>
      <c r="R21" s="18">
        <f t="shared" si="7"/>
        <v>0.20031605421887888</v>
      </c>
      <c r="S21" s="18"/>
      <c r="T21" s="18"/>
      <c r="U21" s="18"/>
    </row>
    <row r="22" spans="1:25" ht="15" thickBot="1">
      <c r="A22" s="25" t="s">
        <v>99</v>
      </c>
      <c r="B22" s="25" t="s">
        <v>96</v>
      </c>
      <c r="C22" s="24">
        <f t="shared" si="1"/>
        <v>1.6400000000000001</v>
      </c>
      <c r="D22" s="21">
        <f t="shared" si="8"/>
        <v>1.9</v>
      </c>
      <c r="E22" s="24">
        <f t="shared" ref="E22:G27" si="15">E21</f>
        <v>0</v>
      </c>
      <c r="F22" s="24">
        <f t="shared" si="15"/>
        <v>0</v>
      </c>
      <c r="G22" s="24">
        <f t="shared" si="15"/>
        <v>0.25</v>
      </c>
      <c r="H22" s="26">
        <v>2</v>
      </c>
      <c r="I22" s="26"/>
      <c r="J22" s="26">
        <v>1</v>
      </c>
      <c r="K22" s="25">
        <f t="shared" si="3"/>
        <v>1.2283600000000001</v>
      </c>
      <c r="L22" s="25">
        <f t="shared" si="4"/>
        <v>3.6850800000000001</v>
      </c>
      <c r="M22" s="25">
        <f t="shared" si="5"/>
        <v>7.001652</v>
      </c>
      <c r="N22" s="24">
        <f t="shared" ref="N22:N27" si="16">N21</f>
        <v>0.15</v>
      </c>
      <c r="O22" s="21">
        <f t="shared" si="6"/>
        <v>0.71</v>
      </c>
      <c r="P22" s="43">
        <f t="shared" si="0"/>
        <v>6.03984612</v>
      </c>
      <c r="Q22" s="19">
        <v>4.7208571199999998</v>
      </c>
      <c r="R22" s="18">
        <f t="shared" si="7"/>
        <v>0.27939608559896434</v>
      </c>
      <c r="S22" s="18"/>
      <c r="T22" s="18"/>
      <c r="U22" s="18"/>
    </row>
    <row r="23" spans="1:25" ht="15" thickBot="1">
      <c r="A23" s="25" t="s">
        <v>98</v>
      </c>
      <c r="B23" s="25" t="s">
        <v>96</v>
      </c>
      <c r="C23" s="24">
        <f t="shared" si="1"/>
        <v>1.6400000000000001</v>
      </c>
      <c r="D23" s="21">
        <f t="shared" si="8"/>
        <v>1.5</v>
      </c>
      <c r="E23" s="24">
        <f t="shared" si="15"/>
        <v>0</v>
      </c>
      <c r="F23" s="24">
        <f t="shared" si="15"/>
        <v>0</v>
      </c>
      <c r="G23" s="24">
        <f t="shared" si="15"/>
        <v>0.25</v>
      </c>
      <c r="H23" s="26">
        <v>2</v>
      </c>
      <c r="I23" s="26"/>
      <c r="J23" s="26">
        <v>1</v>
      </c>
      <c r="K23" s="25">
        <f t="shared" si="3"/>
        <v>1.2283600000000001</v>
      </c>
      <c r="L23" s="25">
        <f t="shared" si="4"/>
        <v>3.6850800000000001</v>
      </c>
      <c r="M23" s="25">
        <f t="shared" si="5"/>
        <v>5.5276200000000006</v>
      </c>
      <c r="N23" s="24">
        <f t="shared" si="16"/>
        <v>0.15</v>
      </c>
      <c r="O23" s="21">
        <f>N23+0.12</f>
        <v>0.27</v>
      </c>
      <c r="P23" s="43">
        <f t="shared" si="0"/>
        <v>4.1825658000000008</v>
      </c>
      <c r="Q23" s="19">
        <v>4.2549191999999998</v>
      </c>
      <c r="R23" s="18">
        <f t="shared" si="7"/>
        <v>-1.7004647232783832E-2</v>
      </c>
      <c r="S23" s="18"/>
      <c r="T23" s="18"/>
      <c r="U23" s="18"/>
    </row>
    <row r="24" spans="1:25" ht="15" thickBot="1">
      <c r="A24" s="25" t="s">
        <v>97</v>
      </c>
      <c r="B24" s="25" t="s">
        <v>96</v>
      </c>
      <c r="C24" s="24">
        <f t="shared" si="1"/>
        <v>1.6400000000000001</v>
      </c>
      <c r="D24" s="21">
        <f t="shared" si="8"/>
        <v>1.5</v>
      </c>
      <c r="E24" s="24">
        <f t="shared" si="15"/>
        <v>0</v>
      </c>
      <c r="F24" s="24">
        <f t="shared" si="15"/>
        <v>0</v>
      </c>
      <c r="G24" s="24">
        <f t="shared" si="15"/>
        <v>0.25</v>
      </c>
      <c r="H24" s="26">
        <v>2</v>
      </c>
      <c r="I24" s="26"/>
      <c r="J24" s="26">
        <v>1</v>
      </c>
      <c r="K24" s="25">
        <f t="shared" si="3"/>
        <v>1.2283600000000001</v>
      </c>
      <c r="L24" s="25">
        <f t="shared" si="4"/>
        <v>3.6850800000000001</v>
      </c>
      <c r="M24" s="25">
        <f t="shared" si="5"/>
        <v>5.5276200000000006</v>
      </c>
      <c r="N24" s="24">
        <f t="shared" si="16"/>
        <v>0.15</v>
      </c>
      <c r="O24" s="21">
        <f>N24+G24+J24*$Y$2+0.24</f>
        <v>0.95</v>
      </c>
      <c r="P24" s="43">
        <f t="shared" si="0"/>
        <v>5.4354930000000001</v>
      </c>
      <c r="Q24" s="19">
        <v>4.4490599999999993</v>
      </c>
      <c r="R24" s="18">
        <f t="shared" si="7"/>
        <v>0.22171717171717198</v>
      </c>
      <c r="S24" s="18"/>
      <c r="T24" s="18"/>
      <c r="U24" s="18"/>
    </row>
    <row r="25" spans="1:25" ht="15" thickBot="1">
      <c r="A25" s="25" t="s">
        <v>104</v>
      </c>
      <c r="B25" s="25" t="s">
        <v>96</v>
      </c>
      <c r="C25" s="24">
        <f t="shared" si="1"/>
        <v>1.6400000000000001</v>
      </c>
      <c r="D25" s="21">
        <f t="shared" si="8"/>
        <v>1.5</v>
      </c>
      <c r="E25" s="24">
        <f t="shared" si="15"/>
        <v>0</v>
      </c>
      <c r="F25" s="24">
        <f t="shared" si="15"/>
        <v>0</v>
      </c>
      <c r="G25" s="24">
        <f t="shared" si="15"/>
        <v>0.25</v>
      </c>
      <c r="H25" s="26">
        <v>2</v>
      </c>
      <c r="I25" s="26">
        <v>0</v>
      </c>
      <c r="J25" s="26">
        <v>1</v>
      </c>
      <c r="K25" s="25">
        <f t="shared" si="3"/>
        <v>1.2283600000000001</v>
      </c>
      <c r="L25" s="25">
        <f t="shared" si="4"/>
        <v>3.6850800000000001</v>
      </c>
      <c r="M25" s="25">
        <f t="shared" si="5"/>
        <v>5.5276200000000006</v>
      </c>
      <c r="N25" s="24">
        <f t="shared" si="16"/>
        <v>0.15</v>
      </c>
      <c r="O25" s="21">
        <f>N25+G25+J25*$Y$2+0.36</f>
        <v>1.0699999999999998</v>
      </c>
      <c r="P25" s="43">
        <f t="shared" si="0"/>
        <v>5.6565978000000001</v>
      </c>
      <c r="Q25" s="19">
        <v>4.6432007999999989</v>
      </c>
      <c r="R25" s="18">
        <f t="shared" si="7"/>
        <v>0.21825396825396859</v>
      </c>
      <c r="S25" s="18"/>
      <c r="T25" s="18"/>
      <c r="U25" s="18"/>
    </row>
    <row r="26" spans="1:25" ht="29.25" thickBot="1">
      <c r="A26" s="25" t="s">
        <v>103</v>
      </c>
      <c r="B26" s="25" t="s">
        <v>96</v>
      </c>
      <c r="C26" s="24">
        <f t="shared" si="1"/>
        <v>1.9900000000000002</v>
      </c>
      <c r="D26" s="21">
        <f t="shared" si="8"/>
        <v>1.5</v>
      </c>
      <c r="E26" s="24">
        <f t="shared" si="15"/>
        <v>0</v>
      </c>
      <c r="F26" s="24">
        <f t="shared" si="15"/>
        <v>0</v>
      </c>
      <c r="G26" s="24">
        <f t="shared" si="15"/>
        <v>0.25</v>
      </c>
      <c r="H26" s="26">
        <v>2</v>
      </c>
      <c r="I26" s="26">
        <v>0</v>
      </c>
      <c r="J26" s="26">
        <v>1</v>
      </c>
      <c r="K26" s="25">
        <f t="shared" si="3"/>
        <v>1.4905100000000002</v>
      </c>
      <c r="L26" s="25">
        <f t="shared" si="4"/>
        <v>4.4715300000000004</v>
      </c>
      <c r="M26" s="25">
        <f t="shared" si="5"/>
        <v>6.7072950000000002</v>
      </c>
      <c r="N26" s="24">
        <f t="shared" si="16"/>
        <v>0.15</v>
      </c>
      <c r="O26" s="21">
        <f>N26+G26+J26*$Y$2+0.12</f>
        <v>0.83</v>
      </c>
      <c r="P26" s="43">
        <f t="shared" si="0"/>
        <v>6.3272149500000001</v>
      </c>
      <c r="Q26" s="19">
        <v>5.2891009499999999</v>
      </c>
      <c r="R26" s="18">
        <f t="shared" si="7"/>
        <v>0.19627418909446237</v>
      </c>
      <c r="S26" s="18"/>
      <c r="T26" s="18"/>
      <c r="U26" s="18"/>
      <c r="X26" t="s">
        <v>94</v>
      </c>
      <c r="Y26" t="s">
        <v>95</v>
      </c>
    </row>
    <row r="27" spans="1:25" ht="29.25" thickBot="1">
      <c r="A27" s="25" t="s">
        <v>134</v>
      </c>
      <c r="B27" s="25" t="s">
        <v>96</v>
      </c>
      <c r="C27" s="24">
        <f t="shared" si="1"/>
        <v>1.6400000000000001</v>
      </c>
      <c r="D27" s="21">
        <f t="shared" ref="D27" si="17">$D$2+F27+I27*$X$2+IF(OR(A27 = "Rage", A27 = "Rage+Blade"), 0.4, 0)</f>
        <v>1.9</v>
      </c>
      <c r="E27" s="24">
        <f t="shared" si="15"/>
        <v>0</v>
      </c>
      <c r="F27" s="24">
        <f t="shared" si="15"/>
        <v>0</v>
      </c>
      <c r="G27" s="24">
        <f t="shared" si="15"/>
        <v>0.25</v>
      </c>
      <c r="H27" s="26">
        <v>2</v>
      </c>
      <c r="I27" s="26">
        <v>0</v>
      </c>
      <c r="J27" s="26">
        <v>1</v>
      </c>
      <c r="K27" s="25">
        <f t="shared" si="3"/>
        <v>1.2283600000000001</v>
      </c>
      <c r="L27" s="25">
        <f t="shared" si="4"/>
        <v>3.6850800000000001</v>
      </c>
      <c r="M27" s="25">
        <f t="shared" si="5"/>
        <v>7.001652</v>
      </c>
      <c r="N27" s="24">
        <f t="shared" si="16"/>
        <v>0.15</v>
      </c>
      <c r="O27" s="21">
        <f>N27+G27+J27*$Y$2+0.12</f>
        <v>0.83</v>
      </c>
      <c r="P27" s="43">
        <f t="shared" si="0"/>
        <v>6.4378347599999994</v>
      </c>
      <c r="Q27" s="19">
        <v>5.0703105600000002</v>
      </c>
      <c r="R27" s="18">
        <f t="shared" si="7"/>
        <v>0.26971211798908024</v>
      </c>
      <c r="S27" s="18"/>
      <c r="T27" s="18"/>
      <c r="U27" s="18"/>
      <c r="W27" t="s">
        <v>94</v>
      </c>
      <c r="X27" t="s">
        <v>29</v>
      </c>
    </row>
    <row r="28" spans="1:25" ht="15" thickBot="1">
      <c r="A28" s="25"/>
      <c r="B28" s="25"/>
      <c r="C28" s="24"/>
      <c r="D28" s="24"/>
      <c r="E28" s="24"/>
      <c r="F28" s="24"/>
      <c r="G28" s="24"/>
      <c r="H28" s="26"/>
      <c r="I28" s="26"/>
      <c r="J28" s="10"/>
      <c r="K28" s="25"/>
      <c r="L28" s="25"/>
      <c r="M28" s="25"/>
      <c r="N28" s="24"/>
      <c r="O28" s="24"/>
      <c r="P28" s="20"/>
      <c r="Q28" s="19"/>
      <c r="R28" s="18"/>
      <c r="S28" s="18"/>
      <c r="T28" s="18"/>
      <c r="U28" s="18"/>
      <c r="W28" t="s">
        <v>93</v>
      </c>
      <c r="X28" s="15">
        <v>0.03</v>
      </c>
      <c r="Y28" s="15">
        <v>0.02</v>
      </c>
    </row>
    <row r="29" spans="1:25" ht="15" thickBot="1">
      <c r="A29" s="22"/>
      <c r="B29" s="22"/>
      <c r="C29" s="21"/>
      <c r="D29" s="21"/>
      <c r="E29" s="21"/>
      <c r="F29" s="21"/>
      <c r="G29" s="21"/>
      <c r="H29" s="23"/>
      <c r="I29" s="23"/>
      <c r="K29" s="22"/>
      <c r="L29" s="22"/>
      <c r="M29" s="22"/>
      <c r="N29" s="21"/>
      <c r="O29" s="21"/>
      <c r="P29" s="20"/>
      <c r="Q29" s="19"/>
      <c r="R29" s="18"/>
      <c r="S29" s="18"/>
      <c r="T29" s="18"/>
      <c r="U29" s="18"/>
      <c r="W29" t="s">
        <v>92</v>
      </c>
      <c r="X29" s="15">
        <v>0.03</v>
      </c>
      <c r="Y29" s="15">
        <v>0.02</v>
      </c>
    </row>
    <row r="30" spans="1:25" ht="15" thickBot="1">
      <c r="A30" s="22"/>
      <c r="B30" s="22"/>
      <c r="C30" s="21"/>
      <c r="D30" s="21"/>
      <c r="E30" s="21"/>
      <c r="F30" s="21"/>
      <c r="G30" s="21"/>
      <c r="H30" s="23"/>
      <c r="I30" s="23"/>
      <c r="K30" s="22"/>
      <c r="L30" s="22"/>
      <c r="M30" s="22"/>
      <c r="N30" s="21"/>
      <c r="O30" s="21"/>
      <c r="P30" s="20"/>
      <c r="Q30" s="19"/>
      <c r="R30" s="18"/>
      <c r="S30" s="18"/>
      <c r="T30" s="18"/>
      <c r="U30" s="18"/>
      <c r="W30" t="s">
        <v>91</v>
      </c>
      <c r="X30" t="s">
        <v>90</v>
      </c>
      <c r="Y30" s="15">
        <v>0.06</v>
      </c>
    </row>
    <row r="31" spans="1:25" ht="15" thickBot="1">
      <c r="A31" s="22"/>
      <c r="B31" s="22"/>
      <c r="C31" s="21"/>
      <c r="D31" s="21"/>
      <c r="E31" s="21"/>
      <c r="F31" s="21"/>
      <c r="G31" s="21"/>
      <c r="H31" s="23"/>
      <c r="I31" s="23"/>
      <c r="K31" s="22"/>
      <c r="L31" s="22"/>
      <c r="M31" s="22"/>
      <c r="N31" s="21"/>
      <c r="O31" s="21"/>
      <c r="P31" s="20"/>
      <c r="Q31" s="19"/>
      <c r="R31" s="18"/>
      <c r="S31" s="18"/>
      <c r="T31" s="18"/>
      <c r="U31" s="18"/>
    </row>
    <row r="32" spans="1:25" ht="15" thickBot="1">
      <c r="A32" s="22"/>
      <c r="B32" s="22"/>
      <c r="C32" s="21"/>
      <c r="D32" s="21"/>
      <c r="E32" s="21"/>
      <c r="F32" s="21"/>
      <c r="G32" s="21"/>
      <c r="H32" s="23"/>
      <c r="I32" s="23"/>
      <c r="K32" s="22"/>
      <c r="L32" s="22"/>
      <c r="M32" s="22"/>
      <c r="N32" s="21"/>
      <c r="O32" s="21"/>
      <c r="P32" s="20"/>
      <c r="Q32" s="19"/>
      <c r="R32" s="18"/>
      <c r="S32" s="18"/>
      <c r="T32" s="18"/>
      <c r="U32" s="18"/>
    </row>
    <row r="33" spans="1:21" ht="15" thickBot="1">
      <c r="A33" s="22"/>
      <c r="B33" s="22"/>
      <c r="C33" s="21"/>
      <c r="D33" s="21"/>
      <c r="E33" s="21"/>
      <c r="F33" s="21"/>
      <c r="G33" s="21"/>
      <c r="H33" s="23"/>
      <c r="I33" s="23"/>
      <c r="K33" s="22"/>
      <c r="L33" s="22"/>
      <c r="M33" s="22"/>
      <c r="N33" s="21"/>
      <c r="O33" s="21"/>
      <c r="P33" s="20"/>
      <c r="Q33" s="19"/>
      <c r="R33" s="18"/>
      <c r="S33" s="18"/>
      <c r="T33" s="18"/>
      <c r="U33" s="18"/>
    </row>
    <row r="34" spans="1:21" ht="15" thickBot="1">
      <c r="A34" s="22"/>
      <c r="B34" s="22"/>
      <c r="C34" s="21"/>
      <c r="D34" s="21"/>
      <c r="E34" s="21"/>
      <c r="F34" s="21"/>
      <c r="G34" s="21"/>
      <c r="H34" s="23"/>
      <c r="I34" s="23"/>
      <c r="K34" s="22"/>
      <c r="L34" s="22"/>
      <c r="M34" s="22"/>
      <c r="N34" s="21"/>
      <c r="O34" s="21"/>
      <c r="P34" s="20"/>
      <c r="Q34" s="19"/>
      <c r="R34" s="18"/>
      <c r="S34" s="18"/>
      <c r="T34" s="18"/>
      <c r="U34" s="18"/>
    </row>
    <row r="35" spans="1:21" ht="15" thickBot="1">
      <c r="A35" s="22"/>
      <c r="B35" s="22"/>
      <c r="C35" s="21"/>
      <c r="D35" s="21"/>
      <c r="E35" s="21"/>
      <c r="F35" s="21"/>
      <c r="G35" s="21"/>
      <c r="H35" s="23"/>
      <c r="I35" s="23"/>
      <c r="K35" s="22"/>
      <c r="L35" s="22"/>
      <c r="M35" s="22"/>
      <c r="N35" s="21"/>
      <c r="O35" s="21"/>
      <c r="P35" s="20"/>
      <c r="Q35" s="19"/>
      <c r="R35" s="18"/>
      <c r="S35" s="18"/>
      <c r="T35" s="18"/>
      <c r="U35" s="18"/>
    </row>
    <row r="36" spans="1:21" ht="15" thickBot="1">
      <c r="A36" s="22"/>
      <c r="B36" s="22"/>
      <c r="C36" s="21"/>
      <c r="D36" s="21"/>
      <c r="E36" s="21"/>
      <c r="F36" s="21"/>
      <c r="G36" s="21"/>
      <c r="H36" s="23"/>
      <c r="I36" s="23"/>
      <c r="K36" s="22"/>
      <c r="L36" s="22"/>
      <c r="M36" s="22"/>
      <c r="N36" s="21"/>
      <c r="O36" s="21"/>
      <c r="P36" s="20"/>
      <c r="Q36" s="19"/>
      <c r="R36" s="18"/>
      <c r="S36" s="18"/>
      <c r="T36" s="18"/>
      <c r="U36" s="18"/>
    </row>
    <row r="37" spans="1:21" ht="15" thickBot="1">
      <c r="A37" s="22"/>
      <c r="B37" s="22"/>
      <c r="C37" s="21"/>
      <c r="D37" s="21"/>
      <c r="E37" s="21"/>
      <c r="F37" s="21"/>
      <c r="G37" s="21"/>
      <c r="H37" s="23"/>
      <c r="I37" s="23"/>
      <c r="K37" s="22"/>
      <c r="L37" s="22"/>
      <c r="M37" s="22"/>
      <c r="N37" s="21"/>
      <c r="O37" s="21"/>
      <c r="P37" s="20"/>
      <c r="Q37" s="19"/>
      <c r="R37" s="18"/>
      <c r="S37" s="18"/>
      <c r="T37" s="18"/>
      <c r="U37" s="18"/>
    </row>
    <row r="38" spans="1:21" ht="15" thickBot="1">
      <c r="A38" s="22"/>
      <c r="B38" s="22"/>
      <c r="C38" s="21"/>
      <c r="D38" s="21"/>
      <c r="E38" s="21"/>
      <c r="F38" s="21"/>
      <c r="G38" s="21"/>
      <c r="H38" s="23"/>
      <c r="I38" s="23"/>
      <c r="K38" s="22"/>
      <c r="L38" s="22"/>
      <c r="M38" s="22"/>
      <c r="N38" s="21"/>
      <c r="O38" s="21"/>
      <c r="P38" s="20"/>
      <c r="Q38" s="19"/>
      <c r="R38" s="18"/>
      <c r="S38" s="18"/>
      <c r="T38" s="18"/>
      <c r="U38" s="18"/>
    </row>
    <row r="39" spans="1:21" ht="15" thickBot="1">
      <c r="A39" s="22"/>
      <c r="B39" s="22"/>
      <c r="C39" s="21"/>
      <c r="D39" s="21"/>
      <c r="E39" s="21"/>
      <c r="F39" s="21"/>
      <c r="G39" s="21"/>
      <c r="H39" s="23"/>
      <c r="I39" s="23"/>
      <c r="K39" s="22"/>
      <c r="L39" s="22"/>
      <c r="M39" s="22"/>
      <c r="N39" s="21"/>
      <c r="O39" s="21"/>
      <c r="P39" s="20"/>
      <c r="Q39" s="19"/>
      <c r="R39" s="18"/>
      <c r="S39" s="18"/>
      <c r="T39" s="18"/>
      <c r="U39" s="18"/>
    </row>
    <row r="40" spans="1:21" ht="15" thickBot="1">
      <c r="A40" s="22"/>
      <c r="B40" s="22"/>
      <c r="C40" s="21"/>
      <c r="D40" s="21"/>
      <c r="E40" s="21"/>
      <c r="F40" s="21"/>
      <c r="G40" s="21"/>
      <c r="H40" s="23"/>
      <c r="I40" s="23"/>
      <c r="K40" s="22"/>
      <c r="L40" s="22"/>
      <c r="M40" s="22"/>
      <c r="N40" s="21"/>
      <c r="O40" s="21"/>
      <c r="P40" s="20"/>
      <c r="Q40" s="19"/>
      <c r="R40" s="18"/>
      <c r="S40" s="18"/>
      <c r="T40" s="18"/>
      <c r="U40" s="18"/>
    </row>
    <row r="41" spans="1:21" ht="15" thickBot="1">
      <c r="A41" s="22"/>
      <c r="B41" s="22"/>
      <c r="C41" s="21"/>
      <c r="D41" s="21"/>
      <c r="E41" s="21"/>
      <c r="F41" s="21"/>
      <c r="G41" s="21"/>
      <c r="H41" s="23"/>
      <c r="I41" s="23"/>
      <c r="K41" s="22"/>
      <c r="L41" s="22"/>
      <c r="M41" s="22"/>
      <c r="N41" s="21"/>
      <c r="O41" s="21"/>
      <c r="P41" s="20"/>
      <c r="Q41" s="19"/>
      <c r="R41" s="18"/>
      <c r="S41" s="18"/>
      <c r="T41" s="18"/>
      <c r="U41" s="18"/>
    </row>
    <row r="42" spans="1:21" ht="15" thickBot="1">
      <c r="A42" s="22"/>
      <c r="B42" s="22"/>
      <c r="C42" s="21"/>
      <c r="D42" s="21"/>
      <c r="E42" s="21"/>
      <c r="F42" s="21"/>
      <c r="G42" s="21"/>
      <c r="H42" s="23"/>
      <c r="I42" s="23"/>
      <c r="K42" s="22"/>
      <c r="L42" s="22"/>
      <c r="M42" s="22"/>
      <c r="N42" s="21"/>
      <c r="O42" s="21"/>
      <c r="P42" s="20"/>
      <c r="Q42" s="19"/>
      <c r="R42" s="18"/>
      <c r="S42" s="18"/>
      <c r="T42" s="18"/>
      <c r="U42" s="18"/>
    </row>
    <row r="43" spans="1:21" ht="15" thickBot="1">
      <c r="A43" s="22"/>
      <c r="B43" s="22"/>
      <c r="C43" s="21"/>
      <c r="D43" s="21"/>
      <c r="E43" s="21"/>
      <c r="F43" s="21"/>
      <c r="G43" s="21"/>
      <c r="H43" s="23"/>
      <c r="I43" s="23"/>
      <c r="K43" s="22"/>
      <c r="L43" s="22"/>
      <c r="M43" s="22"/>
      <c r="N43" s="21"/>
      <c r="O43" s="21"/>
      <c r="P43" s="20"/>
      <c r="Q43" s="19"/>
      <c r="R43" s="18"/>
      <c r="S43" s="18"/>
      <c r="T43" s="18"/>
      <c r="U43" s="18"/>
    </row>
    <row r="44" spans="1:21" ht="15" thickBot="1">
      <c r="A44" s="22"/>
      <c r="B44" s="22"/>
      <c r="C44" s="21"/>
      <c r="D44" s="21"/>
      <c r="E44" s="21"/>
      <c r="F44" s="21"/>
      <c r="G44" s="21"/>
      <c r="H44" s="23"/>
      <c r="I44" s="23"/>
      <c r="K44" s="22"/>
      <c r="L44" s="22"/>
      <c r="M44" s="22"/>
      <c r="N44" s="21"/>
      <c r="O44" s="21"/>
      <c r="P44" s="20"/>
      <c r="Q44" s="19"/>
      <c r="R44" s="18"/>
      <c r="S44" s="18"/>
      <c r="T44" s="18"/>
      <c r="U44" s="18"/>
    </row>
    <row r="45" spans="1:21" ht="15" thickBot="1">
      <c r="A45" s="22"/>
      <c r="B45" s="22"/>
      <c r="C45" s="21"/>
      <c r="D45" s="21"/>
      <c r="E45" s="21"/>
      <c r="F45" s="21"/>
      <c r="G45" s="21"/>
      <c r="H45" s="23"/>
      <c r="I45" s="23"/>
      <c r="K45" s="22"/>
      <c r="L45" s="22"/>
      <c r="M45" s="22"/>
      <c r="N45" s="21"/>
      <c r="O45" s="21"/>
      <c r="P45" s="20"/>
      <c r="Q45" s="19"/>
      <c r="R45" s="18"/>
      <c r="S45" s="18"/>
      <c r="T45" s="18"/>
      <c r="U45" s="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3:L37"/>
  <sheetViews>
    <sheetView topLeftCell="D1" workbookViewId="0">
      <selection activeCell="G39" sqref="G39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0.5" customWidth="1"/>
    <col min="8" max="8" width="16.75" customWidth="1"/>
    <col min="9" max="9" width="6" customWidth="1"/>
    <col min="10" max="10" width="7.125" customWidth="1"/>
    <col min="11" max="11" width="12.625" customWidth="1"/>
    <col min="12" max="13" width="14.125" customWidth="1"/>
    <col min="14" max="14" width="18.75" bestFit="1" customWidth="1"/>
    <col min="15" max="15" width="20.5" bestFit="1" customWidth="1"/>
    <col min="16" max="16" width="18.75" bestFit="1" customWidth="1"/>
    <col min="17" max="17" width="20.5" customWidth="1"/>
    <col min="18" max="18" width="26" customWidth="1"/>
    <col min="19" max="19" width="27.75" customWidth="1"/>
    <col min="20" max="20" width="11.375" customWidth="1"/>
    <col min="21" max="21" width="6.5" customWidth="1"/>
    <col min="22" max="22" width="6" customWidth="1"/>
    <col min="23" max="23" width="14.125" bestFit="1" customWidth="1"/>
    <col min="24" max="24" width="10.375" customWidth="1"/>
    <col min="25" max="25" width="14.125" bestFit="1" customWidth="1"/>
    <col min="26" max="26" width="14.875" bestFit="1" customWidth="1"/>
    <col min="27" max="28" width="6" customWidth="1"/>
    <col min="29" max="29" width="7.125" customWidth="1"/>
    <col min="30" max="30" width="18.625" bestFit="1" customWidth="1"/>
    <col min="31" max="31" width="8.875" customWidth="1"/>
    <col min="32" max="32" width="12.5" bestFit="1" customWidth="1"/>
    <col min="33" max="33" width="14.125" bestFit="1" customWidth="1"/>
  </cols>
  <sheetData>
    <row r="3" spans="1:12">
      <c r="B3" s="11" t="s">
        <v>76</v>
      </c>
      <c r="G3" s="11" t="s">
        <v>173</v>
      </c>
      <c r="H3" s="11" t="s">
        <v>172</v>
      </c>
    </row>
    <row r="4" spans="1:12">
      <c r="A4" s="11" t="s">
        <v>72</v>
      </c>
      <c r="B4" t="s">
        <v>75</v>
      </c>
      <c r="C4" t="s">
        <v>77</v>
      </c>
      <c r="D4" t="s">
        <v>78</v>
      </c>
      <c r="E4" t="s">
        <v>148</v>
      </c>
      <c r="G4" s="11" t="s">
        <v>72</v>
      </c>
      <c r="H4" t="s">
        <v>62</v>
      </c>
      <c r="I4" t="s">
        <v>36</v>
      </c>
      <c r="J4" t="s">
        <v>73</v>
      </c>
      <c r="K4" t="s">
        <v>175</v>
      </c>
      <c r="L4" t="s">
        <v>74</v>
      </c>
    </row>
    <row r="5" spans="1:12">
      <c r="A5" s="12" t="s">
        <v>68</v>
      </c>
      <c r="B5" s="1">
        <v>1486.0760869565217</v>
      </c>
      <c r="C5" s="1">
        <v>831.20652173913038</v>
      </c>
      <c r="D5" s="15">
        <v>0.85869565217391308</v>
      </c>
      <c r="E5" s="49">
        <v>27</v>
      </c>
      <c r="G5" s="12" t="s">
        <v>33</v>
      </c>
      <c r="H5" s="49">
        <v>5</v>
      </c>
      <c r="I5" s="49">
        <v>24</v>
      </c>
      <c r="J5" s="49">
        <v>61</v>
      </c>
      <c r="K5" s="49">
        <v>1</v>
      </c>
      <c r="L5" s="49">
        <v>91</v>
      </c>
    </row>
    <row r="6" spans="1:12">
      <c r="A6" s="13" t="s">
        <v>9</v>
      </c>
      <c r="B6" s="1">
        <v>1486.0760869565217</v>
      </c>
      <c r="C6" s="1">
        <v>831.20652173913038</v>
      </c>
      <c r="D6" s="15">
        <v>0.85869565217391308</v>
      </c>
      <c r="E6" s="49">
        <v>27</v>
      </c>
      <c r="G6" s="13" t="s">
        <v>32</v>
      </c>
      <c r="H6" s="49">
        <v>2</v>
      </c>
      <c r="I6" s="49">
        <v>1</v>
      </c>
      <c r="J6" s="49">
        <v>6</v>
      </c>
      <c r="K6" s="49">
        <v>1</v>
      </c>
      <c r="L6" s="49">
        <v>10</v>
      </c>
    </row>
    <row r="7" spans="1:12">
      <c r="A7" s="14">
        <v>1</v>
      </c>
      <c r="B7" s="1">
        <v>1473.5393258426966</v>
      </c>
      <c r="C7" s="1">
        <v>817.13483146067415</v>
      </c>
      <c r="D7" s="15">
        <v>0.88764044943820219</v>
      </c>
      <c r="E7" s="49">
        <v>27</v>
      </c>
      <c r="G7" s="14">
        <v>1</v>
      </c>
      <c r="H7" s="49">
        <v>2</v>
      </c>
      <c r="I7" s="49">
        <v>1</v>
      </c>
      <c r="J7" s="49">
        <v>5</v>
      </c>
      <c r="K7" s="49">
        <v>1</v>
      </c>
      <c r="L7" s="49">
        <v>9</v>
      </c>
    </row>
    <row r="8" spans="1:12">
      <c r="A8" s="14">
        <v>2</v>
      </c>
      <c r="B8" s="1">
        <v>2526</v>
      </c>
      <c r="C8" s="1">
        <v>866</v>
      </c>
      <c r="D8" s="15">
        <v>0</v>
      </c>
      <c r="E8" s="49"/>
      <c r="G8" s="14">
        <v>2</v>
      </c>
      <c r="H8" s="49"/>
      <c r="I8" s="49"/>
      <c r="J8" s="49">
        <v>1</v>
      </c>
      <c r="K8" s="49"/>
      <c r="L8" s="49">
        <v>1</v>
      </c>
    </row>
    <row r="9" spans="1:12">
      <c r="A9" s="14">
        <v>3</v>
      </c>
      <c r="B9" s="1">
        <v>1524</v>
      </c>
      <c r="C9" s="1">
        <v>1440</v>
      </c>
      <c r="D9" s="15">
        <v>0</v>
      </c>
      <c r="E9" s="49"/>
      <c r="G9" s="13" t="s">
        <v>9</v>
      </c>
      <c r="H9" s="49">
        <v>3</v>
      </c>
      <c r="I9" s="49">
        <v>23</v>
      </c>
      <c r="J9" s="49">
        <v>55</v>
      </c>
      <c r="K9" s="49"/>
      <c r="L9" s="49">
        <v>81</v>
      </c>
    </row>
    <row r="10" spans="1:12">
      <c r="A10" s="12" t="s">
        <v>33</v>
      </c>
      <c r="B10" s="1">
        <v>1400.3296703296703</v>
      </c>
      <c r="C10" s="1">
        <v>925.82222222222219</v>
      </c>
      <c r="D10" s="15">
        <v>0.8571428571428571</v>
      </c>
      <c r="E10" s="49">
        <v>30</v>
      </c>
      <c r="G10" s="14">
        <v>1</v>
      </c>
      <c r="H10" s="49">
        <v>3</v>
      </c>
      <c r="I10" s="49">
        <v>23</v>
      </c>
      <c r="J10" s="49">
        <v>55</v>
      </c>
      <c r="K10" s="49"/>
      <c r="L10" s="49">
        <v>81</v>
      </c>
    </row>
    <row r="11" spans="1:12">
      <c r="A11" s="13" t="s">
        <v>32</v>
      </c>
      <c r="B11" s="1">
        <v>1409.9</v>
      </c>
      <c r="C11" s="1">
        <v>1598.2</v>
      </c>
      <c r="D11" s="15">
        <v>0.7</v>
      </c>
      <c r="E11" s="49">
        <v>4</v>
      </c>
      <c r="G11" s="12" t="s">
        <v>74</v>
      </c>
      <c r="H11" s="49">
        <v>5</v>
      </c>
      <c r="I11" s="49">
        <v>24</v>
      </c>
      <c r="J11" s="49">
        <v>61</v>
      </c>
      <c r="K11" s="49">
        <v>1</v>
      </c>
      <c r="L11" s="49">
        <v>91</v>
      </c>
    </row>
    <row r="12" spans="1:12">
      <c r="A12" s="14">
        <v>1</v>
      </c>
      <c r="B12" s="1">
        <v>1386.8888888888889</v>
      </c>
      <c r="C12" s="1">
        <v>1562.4444444444443</v>
      </c>
      <c r="D12" s="15">
        <v>0.66666666666666663</v>
      </c>
      <c r="E12" s="49">
        <v>4</v>
      </c>
    </row>
    <row r="13" spans="1:12">
      <c r="A13" s="14">
        <v>2</v>
      </c>
      <c r="B13" s="1">
        <v>1617</v>
      </c>
      <c r="C13" s="1">
        <v>1920</v>
      </c>
      <c r="D13" s="15">
        <v>1</v>
      </c>
      <c r="E13" s="49"/>
      <c r="J13" t="s">
        <v>174</v>
      </c>
    </row>
    <row r="14" spans="1:12">
      <c r="A14" s="13" t="s">
        <v>9</v>
      </c>
      <c r="B14" s="1">
        <v>1399.148148148148</v>
      </c>
      <c r="C14" s="1">
        <v>841.77499999999998</v>
      </c>
      <c r="D14" s="15">
        <v>0.87654320987654322</v>
      </c>
      <c r="E14" s="49">
        <v>26</v>
      </c>
      <c r="H14" t="s">
        <v>9</v>
      </c>
      <c r="I14">
        <f>23/81*$J14/(3-0.87)</f>
        <v>13.331014895960124</v>
      </c>
      <c r="J14">
        <v>100</v>
      </c>
    </row>
    <row r="15" spans="1:12">
      <c r="A15" s="14">
        <v>1</v>
      </c>
      <c r="B15" s="1">
        <v>1399.148148148148</v>
      </c>
      <c r="C15" s="1">
        <v>841.77499999999998</v>
      </c>
      <c r="D15" s="15">
        <v>0.87654320987654322</v>
      </c>
      <c r="E15" s="49">
        <v>26</v>
      </c>
      <c r="H15" t="s">
        <v>32</v>
      </c>
      <c r="I15">
        <f>23/81*$J15/(4-0.87)*2</f>
        <v>18.143809411115054</v>
      </c>
      <c r="J15">
        <v>100</v>
      </c>
    </row>
    <row r="16" spans="1:12">
      <c r="A16" s="12" t="s">
        <v>39</v>
      </c>
      <c r="B16" s="1">
        <v>1603</v>
      </c>
      <c r="C16" s="1">
        <v>1752</v>
      </c>
      <c r="D16" s="15">
        <v>1</v>
      </c>
      <c r="E16" s="49"/>
      <c r="H16" t="s">
        <v>34</v>
      </c>
      <c r="I16">
        <f>23/81*$J16/(5-0.87)*3</f>
        <v>20.625952829342658</v>
      </c>
      <c r="J16">
        <v>100</v>
      </c>
    </row>
    <row r="17" spans="1:5">
      <c r="A17" s="13" t="s">
        <v>73</v>
      </c>
      <c r="B17" s="1">
        <v>1603</v>
      </c>
      <c r="C17" s="1">
        <v>1752</v>
      </c>
      <c r="D17" s="15">
        <v>1</v>
      </c>
      <c r="E17" s="49"/>
    </row>
    <row r="18" spans="1:5">
      <c r="A18" s="14">
        <v>3</v>
      </c>
      <c r="B18" s="1">
        <v>1603</v>
      </c>
      <c r="C18" s="1">
        <v>1752</v>
      </c>
      <c r="D18" s="15">
        <v>1</v>
      </c>
      <c r="E18" s="49"/>
    </row>
    <row r="19" spans="1:5">
      <c r="A19" s="12" t="s">
        <v>40</v>
      </c>
      <c r="B19" s="1">
        <v>1342.8888888888889</v>
      </c>
      <c r="C19" s="1">
        <v>0</v>
      </c>
      <c r="D19" s="15">
        <v>0.77777777777777779</v>
      </c>
      <c r="E19" s="49">
        <v>9</v>
      </c>
    </row>
    <row r="20" spans="1:5">
      <c r="A20" s="13" t="s">
        <v>9</v>
      </c>
      <c r="B20" s="1">
        <v>1296.75</v>
      </c>
      <c r="C20" s="1">
        <v>0</v>
      </c>
      <c r="D20" s="15">
        <v>0.625</v>
      </c>
      <c r="E20" s="49">
        <v>8</v>
      </c>
    </row>
    <row r="21" spans="1:5">
      <c r="A21" s="14">
        <v>4</v>
      </c>
      <c r="B21" s="1">
        <v>1267.7142857142858</v>
      </c>
      <c r="C21" s="1">
        <v>0</v>
      </c>
      <c r="D21" s="15">
        <v>0.7142857142857143</v>
      </c>
      <c r="E21" s="49">
        <v>7</v>
      </c>
    </row>
    <row r="22" spans="1:5">
      <c r="A22" s="14">
        <v>5</v>
      </c>
      <c r="B22" s="1">
        <v>1500</v>
      </c>
      <c r="C22" s="1">
        <v>0</v>
      </c>
      <c r="D22" s="15">
        <v>0</v>
      </c>
      <c r="E22" s="49">
        <v>1</v>
      </c>
    </row>
    <row r="23" spans="1:5">
      <c r="A23" s="13" t="s">
        <v>73</v>
      </c>
      <c r="B23" s="1">
        <v>1712</v>
      </c>
      <c r="C23" s="1">
        <v>0</v>
      </c>
      <c r="D23" s="15">
        <v>2</v>
      </c>
      <c r="E23" s="49">
        <v>1</v>
      </c>
    </row>
    <row r="24" spans="1:5">
      <c r="A24" s="14">
        <v>5</v>
      </c>
      <c r="B24" s="1">
        <v>1712</v>
      </c>
      <c r="C24" s="1">
        <v>0</v>
      </c>
      <c r="D24" s="15">
        <v>2</v>
      </c>
      <c r="E24" s="49">
        <v>1</v>
      </c>
    </row>
    <row r="25" spans="1:5">
      <c r="A25" s="12" t="s">
        <v>67</v>
      </c>
      <c r="B25" s="1">
        <v>1192</v>
      </c>
      <c r="C25" s="1">
        <v>0</v>
      </c>
      <c r="D25" s="15">
        <v>1</v>
      </c>
      <c r="E25" s="49">
        <v>1</v>
      </c>
    </row>
    <row r="26" spans="1:5">
      <c r="A26" s="13" t="s">
        <v>34</v>
      </c>
      <c r="B26" s="1">
        <v>1192</v>
      </c>
      <c r="C26" s="1">
        <v>0</v>
      </c>
      <c r="D26" s="15">
        <v>1</v>
      </c>
      <c r="E26" s="49">
        <v>1</v>
      </c>
    </row>
    <row r="27" spans="1:5">
      <c r="A27" s="14">
        <v>2</v>
      </c>
      <c r="B27" s="1">
        <v>1192</v>
      </c>
      <c r="C27" s="1">
        <v>0</v>
      </c>
      <c r="D27" s="15">
        <v>1</v>
      </c>
      <c r="E27" s="49">
        <v>1</v>
      </c>
    </row>
    <row r="28" spans="1:5">
      <c r="A28" s="12" t="s">
        <v>8</v>
      </c>
      <c r="B28" s="1">
        <v>1333.9292929292928</v>
      </c>
      <c r="C28" s="1">
        <v>511.28571428571428</v>
      </c>
      <c r="D28" s="15">
        <v>0.86868686868686873</v>
      </c>
      <c r="E28" s="49">
        <v>34</v>
      </c>
    </row>
    <row r="29" spans="1:5">
      <c r="A29" s="13" t="s">
        <v>32</v>
      </c>
      <c r="B29" s="1">
        <v>1402.3207547169811</v>
      </c>
      <c r="C29" s="1">
        <v>619.19230769230774</v>
      </c>
      <c r="D29" s="15">
        <v>0.83018867924528306</v>
      </c>
      <c r="E29" s="49">
        <v>20</v>
      </c>
    </row>
    <row r="30" spans="1:5">
      <c r="A30" s="14">
        <v>3</v>
      </c>
      <c r="B30" s="1">
        <v>1400.4423076923076</v>
      </c>
      <c r="C30" s="1">
        <v>608.74509803921569</v>
      </c>
      <c r="D30" s="15">
        <v>0.82692307692307687</v>
      </c>
      <c r="E30" s="49">
        <v>20</v>
      </c>
    </row>
    <row r="31" spans="1:5">
      <c r="A31" s="14">
        <v>6</v>
      </c>
      <c r="B31" s="1">
        <v>1500</v>
      </c>
      <c r="C31" s="1">
        <v>1152</v>
      </c>
      <c r="D31" s="15">
        <v>1</v>
      </c>
      <c r="E31" s="49"/>
    </row>
    <row r="32" spans="1:5">
      <c r="A32" s="13" t="s">
        <v>34</v>
      </c>
      <c r="B32" s="1">
        <v>1513.75</v>
      </c>
      <c r="C32" s="1">
        <v>1386</v>
      </c>
      <c r="D32" s="15">
        <v>1.5</v>
      </c>
      <c r="E32" s="49"/>
    </row>
    <row r="33" spans="1:5">
      <c r="A33" s="14">
        <v>3</v>
      </c>
      <c r="B33" s="1">
        <v>1513.75</v>
      </c>
      <c r="C33" s="1">
        <v>1386</v>
      </c>
      <c r="D33" s="15">
        <v>1.5</v>
      </c>
      <c r="E33" s="49"/>
    </row>
    <row r="34" spans="1:5">
      <c r="A34" s="13" t="s">
        <v>9</v>
      </c>
      <c r="B34" s="1">
        <v>1230.5</v>
      </c>
      <c r="C34" s="1">
        <v>294.38095238095241</v>
      </c>
      <c r="D34" s="15">
        <v>0.8571428571428571</v>
      </c>
      <c r="E34" s="49">
        <v>14</v>
      </c>
    </row>
    <row r="35" spans="1:5">
      <c r="A35" s="14">
        <v>1</v>
      </c>
      <c r="B35" s="1">
        <v>1315</v>
      </c>
      <c r="C35" s="1">
        <v>912</v>
      </c>
      <c r="D35" s="15">
        <v>2</v>
      </c>
      <c r="E35" s="49"/>
    </row>
    <row r="36" spans="1:5">
      <c r="A36" s="14">
        <v>3</v>
      </c>
      <c r="B36" s="1">
        <v>1228.439024390244</v>
      </c>
      <c r="C36" s="1">
        <v>279.3170731707317</v>
      </c>
      <c r="D36" s="15">
        <v>0.82926829268292679</v>
      </c>
      <c r="E36" s="49">
        <v>14</v>
      </c>
    </row>
    <row r="37" spans="1:5">
      <c r="A37" s="12" t="s">
        <v>74</v>
      </c>
      <c r="B37" s="1">
        <v>1403.0341296928327</v>
      </c>
      <c r="C37" s="1">
        <v>727.32989690721649</v>
      </c>
      <c r="D37" s="15">
        <v>0.86006825938566556</v>
      </c>
      <c r="E37" s="49">
        <v>101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C12" sqref="C12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11" customWidth="1"/>
  </cols>
  <sheetData>
    <row r="1" spans="1:6">
      <c r="A1" t="s">
        <v>186</v>
      </c>
      <c r="B1" t="s">
        <v>187</v>
      </c>
      <c r="C1" t="s">
        <v>188</v>
      </c>
      <c r="D1" t="s">
        <v>192</v>
      </c>
      <c r="E1" t="s">
        <v>189</v>
      </c>
      <c r="F1" t="s">
        <v>10</v>
      </c>
    </row>
    <row r="2" spans="1:6">
      <c r="A2" t="s">
        <v>176</v>
      </c>
      <c r="B2" t="s">
        <v>223</v>
      </c>
      <c r="C2" t="s">
        <v>196</v>
      </c>
      <c r="D2" t="s">
        <v>201</v>
      </c>
      <c r="E2" t="s">
        <v>202</v>
      </c>
      <c r="F2" t="s">
        <v>226</v>
      </c>
    </row>
    <row r="3" spans="1:6">
      <c r="A3" t="s">
        <v>177</v>
      </c>
      <c r="B3" t="s">
        <v>223</v>
      </c>
      <c r="C3" t="s">
        <v>200</v>
      </c>
      <c r="D3" t="s">
        <v>198</v>
      </c>
      <c r="E3" t="s">
        <v>199</v>
      </c>
      <c r="F3" t="s">
        <v>226</v>
      </c>
    </row>
    <row r="4" spans="1:6">
      <c r="A4" t="s">
        <v>178</v>
      </c>
      <c r="B4" t="s">
        <v>223</v>
      </c>
      <c r="C4" t="s">
        <v>179</v>
      </c>
      <c r="D4" t="s">
        <v>201</v>
      </c>
      <c r="E4" t="s">
        <v>203</v>
      </c>
      <c r="F4" t="s">
        <v>227</v>
      </c>
    </row>
    <row r="5" spans="1:6">
      <c r="A5" t="s">
        <v>181</v>
      </c>
      <c r="B5" t="s">
        <v>180</v>
      </c>
      <c r="C5" t="s">
        <v>196</v>
      </c>
      <c r="D5" t="s">
        <v>218</v>
      </c>
      <c r="E5" t="s">
        <v>197</v>
      </c>
      <c r="F5" t="s">
        <v>227</v>
      </c>
    </row>
    <row r="6" spans="1:6">
      <c r="A6" t="s">
        <v>182</v>
      </c>
      <c r="B6" t="s">
        <v>183</v>
      </c>
      <c r="C6" t="s">
        <v>184</v>
      </c>
      <c r="D6" t="s">
        <v>195</v>
      </c>
      <c r="E6" t="s">
        <v>190</v>
      </c>
      <c r="F6" t="s">
        <v>227</v>
      </c>
    </row>
    <row r="7" spans="1:6">
      <c r="A7" t="s">
        <v>157</v>
      </c>
      <c r="B7" t="s">
        <v>219</v>
      </c>
      <c r="C7" t="s">
        <v>220</v>
      </c>
    </row>
    <row r="8" spans="1:6">
      <c r="A8" t="s">
        <v>221</v>
      </c>
      <c r="B8" t="s">
        <v>185</v>
      </c>
      <c r="C8" t="s">
        <v>98</v>
      </c>
      <c r="D8" t="s">
        <v>222</v>
      </c>
    </row>
    <row r="9" spans="1:6">
      <c r="A9" t="s">
        <v>224</v>
      </c>
      <c r="B9" t="s">
        <v>183</v>
      </c>
      <c r="C9" t="s">
        <v>225</v>
      </c>
      <c r="D9" t="s">
        <v>201</v>
      </c>
      <c r="F9" t="s">
        <v>227</v>
      </c>
    </row>
    <row r="10" spans="1:6">
      <c r="A10" t="s">
        <v>250</v>
      </c>
      <c r="B10" t="s">
        <v>185</v>
      </c>
      <c r="C10" t="s">
        <v>98</v>
      </c>
    </row>
    <row r="11" spans="1:6">
      <c r="A11" t="s">
        <v>251</v>
      </c>
      <c r="B11" t="s">
        <v>180</v>
      </c>
      <c r="C11" t="s">
        <v>98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M16"/>
  <sheetViews>
    <sheetView workbookViewId="0">
      <selection activeCell="J15" sqref="J15"/>
    </sheetView>
  </sheetViews>
  <sheetFormatPr defaultRowHeight="14.25"/>
  <cols>
    <col min="4" max="4" width="9.25" bestFit="1" customWidth="1"/>
    <col min="8" max="8" width="11.625" customWidth="1"/>
    <col min="9" max="9" width="11.875" customWidth="1"/>
  </cols>
  <sheetData>
    <row r="1" spans="1:13">
      <c r="A1" t="s">
        <v>228</v>
      </c>
      <c r="B1" t="s">
        <v>239</v>
      </c>
      <c r="C1" t="s">
        <v>229</v>
      </c>
      <c r="D1" t="s">
        <v>230</v>
      </c>
      <c r="E1" t="s">
        <v>231</v>
      </c>
      <c r="F1" t="s">
        <v>232</v>
      </c>
      <c r="G1" t="s">
        <v>191</v>
      </c>
      <c r="H1" t="s">
        <v>233</v>
      </c>
      <c r="I1" t="s">
        <v>234</v>
      </c>
      <c r="J1" t="s">
        <v>235</v>
      </c>
      <c r="K1" t="s">
        <v>238</v>
      </c>
      <c r="L1" t="s">
        <v>240</v>
      </c>
      <c r="M1" t="s">
        <v>241</v>
      </c>
    </row>
    <row r="2" spans="1:13">
      <c r="A2" t="s">
        <v>236</v>
      </c>
      <c r="C2">
        <v>1</v>
      </c>
      <c r="D2">
        <v>4</v>
      </c>
      <c r="G2">
        <v>3</v>
      </c>
      <c r="J2">
        <v>7</v>
      </c>
    </row>
    <row r="3" spans="1:13">
      <c r="A3" t="s">
        <v>236</v>
      </c>
      <c r="C3">
        <v>1</v>
      </c>
      <c r="D3">
        <v>9</v>
      </c>
      <c r="E3">
        <v>150</v>
      </c>
      <c r="G3">
        <v>3</v>
      </c>
      <c r="H3">
        <v>4</v>
      </c>
    </row>
    <row r="4" spans="1:13">
      <c r="A4" t="s">
        <v>237</v>
      </c>
      <c r="C4">
        <v>1</v>
      </c>
      <c r="E4">
        <v>119</v>
      </c>
      <c r="G4">
        <v>3</v>
      </c>
      <c r="H4">
        <v>5</v>
      </c>
      <c r="J4">
        <v>10</v>
      </c>
      <c r="M4" t="s">
        <v>242</v>
      </c>
    </row>
    <row r="5" spans="1:13">
      <c r="A5" t="s">
        <v>236</v>
      </c>
      <c r="B5" t="s">
        <v>29</v>
      </c>
      <c r="C5">
        <v>2</v>
      </c>
      <c r="I5">
        <v>4</v>
      </c>
      <c r="J5">
        <v>24</v>
      </c>
      <c r="L5">
        <v>4</v>
      </c>
      <c r="M5" t="s">
        <v>242</v>
      </c>
    </row>
    <row r="6" spans="1:13">
      <c r="A6" t="s">
        <v>237</v>
      </c>
      <c r="B6" t="s">
        <v>28</v>
      </c>
      <c r="C6">
        <v>2</v>
      </c>
      <c r="G6">
        <v>2</v>
      </c>
      <c r="H6">
        <v>2</v>
      </c>
      <c r="I6">
        <v>8</v>
      </c>
      <c r="J6">
        <v>22</v>
      </c>
      <c r="K6">
        <v>4</v>
      </c>
    </row>
    <row r="7" spans="1:13">
      <c r="A7" t="s">
        <v>236</v>
      </c>
      <c r="C7">
        <v>3</v>
      </c>
      <c r="D7">
        <v>5</v>
      </c>
      <c r="E7">
        <v>416</v>
      </c>
      <c r="F7">
        <v>3</v>
      </c>
      <c r="G7">
        <v>8</v>
      </c>
      <c r="K7">
        <v>10</v>
      </c>
    </row>
    <row r="8" spans="1:13">
      <c r="A8" t="s">
        <v>236</v>
      </c>
      <c r="C8">
        <v>4</v>
      </c>
      <c r="G8">
        <v>6</v>
      </c>
      <c r="H8">
        <v>6</v>
      </c>
    </row>
    <row r="9" spans="1:13">
      <c r="A9" t="s">
        <v>237</v>
      </c>
      <c r="C9">
        <v>5</v>
      </c>
      <c r="D9">
        <v>10</v>
      </c>
      <c r="G9">
        <v>3</v>
      </c>
      <c r="J9">
        <v>3</v>
      </c>
      <c r="K9">
        <v>8</v>
      </c>
    </row>
    <row r="10" spans="1:13">
      <c r="A10" t="s">
        <v>236</v>
      </c>
      <c r="C10">
        <v>6</v>
      </c>
      <c r="D10">
        <v>4</v>
      </c>
      <c r="H10">
        <v>8</v>
      </c>
      <c r="K10">
        <v>7</v>
      </c>
    </row>
    <row r="12" spans="1:13">
      <c r="D12">
        <f>SUMIFS(Tabela8[HP%],Tabela8[Chose],"Y")</f>
        <v>0</v>
      </c>
      <c r="E12">
        <f>SUMIFS(Tabela8[HP],Tabela8[Chose],"Y")</f>
        <v>119</v>
      </c>
      <c r="F12">
        <f>SUMIFS(Tabela8[Acc%],Tabela8[Chose],"Y")</f>
        <v>0</v>
      </c>
      <c r="G12">
        <f>SUMIFS(Tabela8[SPD],Tabela8[Chose],"Y")</f>
        <v>3</v>
      </c>
      <c r="H12">
        <f>SUMIFS(Tabela8[Crit Rate%],Tabela8[Chose],"Y")</f>
        <v>5</v>
      </c>
      <c r="I12">
        <f>SUMIFS(Tabela8[Crit DMG%],Tabela8[Chose],"Y")</f>
        <v>4</v>
      </c>
      <c r="J12">
        <f>SUMIFS(Tabela8[Att%],Tabela8[Chose],"Y")</f>
        <v>34</v>
      </c>
      <c r="K12">
        <f>SUMIFS(Tabela8[Def%],Tabela8[Chose],"Y")</f>
        <v>0</v>
      </c>
    </row>
    <row r="15" spans="1:13">
      <c r="D15">
        <v>4</v>
      </c>
      <c r="E15">
        <v>0</v>
      </c>
      <c r="F15">
        <v>0</v>
      </c>
      <c r="G15">
        <v>5</v>
      </c>
      <c r="H15">
        <v>2</v>
      </c>
      <c r="I15">
        <v>8</v>
      </c>
      <c r="J15">
        <v>29</v>
      </c>
      <c r="K15">
        <v>4</v>
      </c>
    </row>
    <row r="16" spans="1:13">
      <c r="D16">
        <f>SUMIFS(Tabela8[HP%],Tabela8[Chose],"Y")</f>
        <v>0</v>
      </c>
      <c r="E16">
        <f>SUMIFS(Tabela8[HP],Tabela8[Chose],"Y")</f>
        <v>119</v>
      </c>
      <c r="F16">
        <f>SUMIFS(Tabela8[Acc%],Tabela8[Chose],"Y")</f>
        <v>0</v>
      </c>
      <c r="G16">
        <f>SUMIFS(Tabela8[SPD],Tabela8[Chose],"Y")</f>
        <v>3</v>
      </c>
      <c r="H16">
        <f>SUMIFS(Tabela8[Crit Rate%],Tabela8[Chose],"Y")</f>
        <v>5</v>
      </c>
      <c r="I16">
        <f>SUMIFS(Tabela8[Crit DMG%],Tabela8[Chose],"Y")</f>
        <v>4</v>
      </c>
      <c r="J16">
        <f>SUMIFS(Tabela8[Att%],Tabela8[Chose],"Y")</f>
        <v>34</v>
      </c>
      <c r="K16">
        <f>SUMIFS(Tabela8[Def%],Tabela8[Chose],"Y")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Q20"/>
  <sheetViews>
    <sheetView topLeftCell="B1" workbookViewId="0">
      <selection activeCell="F13" sqref="F13"/>
    </sheetView>
  </sheetViews>
  <sheetFormatPr defaultRowHeight="14.25"/>
  <cols>
    <col min="1" max="1" width="16.625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</cols>
  <sheetData>
    <row r="1" spans="1:17" ht="15" thickBot="1"/>
    <row r="2" spans="1:17" ht="15.75" thickBot="1">
      <c r="A2" s="78" t="s">
        <v>275</v>
      </c>
      <c r="B2" s="79"/>
      <c r="C2" s="79"/>
      <c r="D2" s="79"/>
      <c r="E2" s="79"/>
      <c r="F2" s="79"/>
      <c r="G2" s="79"/>
      <c r="H2" s="79"/>
      <c r="I2" s="79"/>
      <c r="J2" s="79"/>
      <c r="K2" s="79"/>
      <c r="L2" s="80"/>
    </row>
    <row r="3" spans="1:17" ht="15">
      <c r="A3" s="37" t="s">
        <v>253</v>
      </c>
      <c r="B3" s="36" t="s">
        <v>268</v>
      </c>
      <c r="C3" s="36" t="s">
        <v>274</v>
      </c>
      <c r="D3" s="36" t="s">
        <v>258</v>
      </c>
      <c r="E3" s="36" t="s">
        <v>268</v>
      </c>
      <c r="F3" s="36" t="s">
        <v>274</v>
      </c>
      <c r="G3" s="36" t="s">
        <v>263</v>
      </c>
      <c r="H3" s="36" t="s">
        <v>268</v>
      </c>
      <c r="I3" s="36" t="s">
        <v>274</v>
      </c>
      <c r="J3" s="59"/>
      <c r="K3" s="36" t="s">
        <v>268</v>
      </c>
      <c r="L3" s="60" t="s">
        <v>274</v>
      </c>
    </row>
    <row r="4" spans="1:17">
      <c r="A4" s="5" t="s">
        <v>256</v>
      </c>
      <c r="B4" s="6" t="s">
        <v>269</v>
      </c>
      <c r="C4" s="6" t="s">
        <v>242</v>
      </c>
      <c r="D4" s="6" t="s">
        <v>259</v>
      </c>
      <c r="E4" s="6" t="s">
        <v>269</v>
      </c>
      <c r="F4" s="6"/>
      <c r="G4" s="6" t="s">
        <v>264</v>
      </c>
      <c r="H4" s="6" t="s">
        <v>269</v>
      </c>
      <c r="I4" s="64" t="s">
        <v>242</v>
      </c>
      <c r="J4" s="61" t="s">
        <v>272</v>
      </c>
      <c r="K4" s="61" t="s">
        <v>36</v>
      </c>
      <c r="L4" s="62" t="s">
        <v>242</v>
      </c>
    </row>
    <row r="5" spans="1:17">
      <c r="A5" s="5" t="s">
        <v>255</v>
      </c>
      <c r="B5" s="6" t="s">
        <v>270</v>
      </c>
      <c r="C5" s="6" t="s">
        <v>242</v>
      </c>
      <c r="D5" s="6" t="s">
        <v>260</v>
      </c>
      <c r="E5" s="6" t="s">
        <v>270</v>
      </c>
      <c r="F5" s="6"/>
      <c r="G5" s="6" t="s">
        <v>265</v>
      </c>
      <c r="H5" s="6" t="s">
        <v>36</v>
      </c>
      <c r="I5" s="6" t="s">
        <v>242</v>
      </c>
      <c r="J5" s="6"/>
      <c r="K5" s="6"/>
      <c r="L5" s="63"/>
    </row>
    <row r="6" spans="1:17">
      <c r="A6" s="5" t="s">
        <v>254</v>
      </c>
      <c r="B6" s="6" t="s">
        <v>270</v>
      </c>
      <c r="C6" s="64" t="s">
        <v>242</v>
      </c>
      <c r="D6" s="6" t="s">
        <v>261</v>
      </c>
      <c r="E6" s="6" t="s">
        <v>270</v>
      </c>
      <c r="F6" s="6" t="s">
        <v>242</v>
      </c>
      <c r="G6" s="6" t="s">
        <v>266</v>
      </c>
      <c r="H6" s="6" t="s">
        <v>269</v>
      </c>
      <c r="I6" s="64" t="s">
        <v>242</v>
      </c>
      <c r="J6" s="6"/>
      <c r="K6" s="6"/>
      <c r="L6" s="63"/>
    </row>
    <row r="7" spans="1:17" ht="15" thickBot="1">
      <c r="A7" s="7" t="s">
        <v>257</v>
      </c>
      <c r="B7" s="8" t="s">
        <v>273</v>
      </c>
      <c r="C7" s="8" t="s">
        <v>242</v>
      </c>
      <c r="D7" s="8" t="s">
        <v>262</v>
      </c>
      <c r="E7" s="8" t="s">
        <v>271</v>
      </c>
      <c r="F7" s="8"/>
      <c r="G7" s="8" t="s">
        <v>267</v>
      </c>
      <c r="H7" s="8" t="s">
        <v>271</v>
      </c>
      <c r="I7" s="8" t="s">
        <v>242</v>
      </c>
      <c r="J7" s="8"/>
      <c r="K7" s="8"/>
      <c r="L7" s="9"/>
    </row>
    <row r="8" spans="1:17" ht="15" thickBot="1"/>
    <row r="9" spans="1:17" ht="15.75" thickBot="1">
      <c r="A9" s="65"/>
      <c r="B9" s="66"/>
      <c r="C9" s="66"/>
      <c r="D9" s="81" t="s">
        <v>276</v>
      </c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3"/>
    </row>
    <row r="10" spans="1:17" ht="15">
      <c r="A10" s="37" t="s">
        <v>277</v>
      </c>
      <c r="B10" s="36" t="s">
        <v>268</v>
      </c>
      <c r="C10" s="36" t="s">
        <v>274</v>
      </c>
      <c r="D10" s="74" t="s">
        <v>278</v>
      </c>
      <c r="E10" s="73" t="s">
        <v>268</v>
      </c>
      <c r="F10" s="73" t="s">
        <v>274</v>
      </c>
      <c r="G10" s="73" t="s">
        <v>279</v>
      </c>
      <c r="H10" s="73" t="s">
        <v>268</v>
      </c>
      <c r="I10" s="73" t="s">
        <v>274</v>
      </c>
      <c r="J10" s="73" t="s">
        <v>219</v>
      </c>
      <c r="K10" s="73"/>
      <c r="L10" s="73" t="s">
        <v>268</v>
      </c>
      <c r="M10" s="73" t="s">
        <v>274</v>
      </c>
      <c r="N10" s="67"/>
      <c r="O10" s="73" t="s">
        <v>268</v>
      </c>
      <c r="P10" s="75" t="s">
        <v>274</v>
      </c>
    </row>
    <row r="11" spans="1:17">
      <c r="A11" s="5" t="s">
        <v>293</v>
      </c>
      <c r="B11" s="6" t="s">
        <v>270</v>
      </c>
      <c r="C11" s="76" t="s">
        <v>242</v>
      </c>
      <c r="D11" s="71" t="s">
        <v>280</v>
      </c>
      <c r="E11" s="67" t="s">
        <v>270</v>
      </c>
      <c r="F11" s="67"/>
      <c r="G11" s="67" t="s">
        <v>284</v>
      </c>
      <c r="H11" s="67" t="s">
        <v>36</v>
      </c>
      <c r="I11" s="67" t="s">
        <v>242</v>
      </c>
      <c r="J11" s="67" t="s">
        <v>288</v>
      </c>
      <c r="K11" s="67"/>
      <c r="L11" s="67" t="s">
        <v>270</v>
      </c>
      <c r="M11" s="67"/>
      <c r="N11" s="67" t="s">
        <v>292</v>
      </c>
      <c r="O11" s="67"/>
      <c r="P11" s="68"/>
    </row>
    <row r="12" spans="1:17">
      <c r="A12" s="5" t="s">
        <v>294</v>
      </c>
      <c r="B12" s="6" t="s">
        <v>36</v>
      </c>
      <c r="C12" s="76" t="s">
        <v>242</v>
      </c>
      <c r="D12" s="71" t="s">
        <v>281</v>
      </c>
      <c r="E12" s="67" t="s">
        <v>36</v>
      </c>
      <c r="F12" s="67" t="s">
        <v>242</v>
      </c>
      <c r="G12" s="67" t="s">
        <v>285</v>
      </c>
      <c r="H12" s="67" t="s">
        <v>269</v>
      </c>
      <c r="I12" s="67" t="s">
        <v>242</v>
      </c>
      <c r="J12" s="67" t="s">
        <v>289</v>
      </c>
      <c r="K12" s="67"/>
      <c r="L12" s="67" t="s">
        <v>269</v>
      </c>
      <c r="M12" s="67"/>
      <c r="N12" s="67"/>
      <c r="O12" s="67"/>
      <c r="P12" s="68"/>
    </row>
    <row r="13" spans="1:17">
      <c r="A13" s="5" t="s">
        <v>295</v>
      </c>
      <c r="B13" s="6" t="s">
        <v>270</v>
      </c>
      <c r="C13" s="76" t="s">
        <v>242</v>
      </c>
      <c r="D13" s="71" t="s">
        <v>282</v>
      </c>
      <c r="E13" s="67" t="s">
        <v>270</v>
      </c>
      <c r="F13" s="67"/>
      <c r="G13" s="67" t="s">
        <v>286</v>
      </c>
      <c r="H13" s="67" t="s">
        <v>270</v>
      </c>
      <c r="I13" s="67"/>
      <c r="J13" s="67" t="s">
        <v>290</v>
      </c>
      <c r="K13" s="67"/>
      <c r="L13" s="67" t="s">
        <v>269</v>
      </c>
      <c r="M13" s="67" t="s">
        <v>242</v>
      </c>
      <c r="N13" s="67"/>
      <c r="O13" s="67"/>
      <c r="P13" s="68"/>
    </row>
    <row r="14" spans="1:17" ht="15" thickBot="1">
      <c r="A14" s="7" t="s">
        <v>296</v>
      </c>
      <c r="B14" s="8" t="s">
        <v>269</v>
      </c>
      <c r="C14" s="77" t="s">
        <v>242</v>
      </c>
      <c r="D14" s="72" t="s">
        <v>283</v>
      </c>
      <c r="E14" s="69" t="s">
        <v>297</v>
      </c>
      <c r="F14" s="69"/>
      <c r="G14" s="69" t="s">
        <v>287</v>
      </c>
      <c r="H14" s="69" t="s">
        <v>297</v>
      </c>
      <c r="I14" s="69" t="s">
        <v>242</v>
      </c>
      <c r="J14" s="69" t="s">
        <v>291</v>
      </c>
      <c r="K14" s="69"/>
      <c r="L14" s="69" t="s">
        <v>297</v>
      </c>
      <c r="M14" s="69" t="s">
        <v>242</v>
      </c>
      <c r="N14" s="69"/>
      <c r="O14" s="69"/>
      <c r="P14" s="70"/>
    </row>
    <row r="15" spans="1:17">
      <c r="N15" t="s">
        <v>292</v>
      </c>
      <c r="P15" t="s">
        <v>302</v>
      </c>
      <c r="Q15" t="s">
        <v>304</v>
      </c>
    </row>
    <row r="16" spans="1:17">
      <c r="N16" t="s">
        <v>298</v>
      </c>
      <c r="O16">
        <v>1</v>
      </c>
    </row>
    <row r="17" spans="14:17">
      <c r="N17" t="s">
        <v>299</v>
      </c>
      <c r="O17">
        <v>6</v>
      </c>
      <c r="P17">
        <v>2</v>
      </c>
      <c r="Q17">
        <v>88</v>
      </c>
    </row>
    <row r="18" spans="14:17">
      <c r="N18" t="s">
        <v>300</v>
      </c>
      <c r="O18">
        <v>7</v>
      </c>
      <c r="P18">
        <v>2.5</v>
      </c>
      <c r="Q18">
        <v>125</v>
      </c>
    </row>
    <row r="19" spans="14:17">
      <c r="N19" t="s">
        <v>301</v>
      </c>
      <c r="O19">
        <v>8</v>
      </c>
      <c r="P19">
        <v>3</v>
      </c>
      <c r="Q19">
        <v>167</v>
      </c>
    </row>
    <row r="20" spans="14:17">
      <c r="N20" t="s">
        <v>303</v>
      </c>
      <c r="O20">
        <v>9</v>
      </c>
      <c r="P20">
        <v>3.5</v>
      </c>
      <c r="Q20">
        <v>213</v>
      </c>
    </row>
  </sheetData>
  <mergeCells count="2">
    <mergeCell ref="A2:L2"/>
    <mergeCell ref="D9:P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EXP lvls</vt:lpstr>
      <vt:lpstr>Location features</vt:lpstr>
      <vt:lpstr>Drop analityka</vt:lpstr>
      <vt:lpstr>Summary</vt:lpstr>
      <vt:lpstr>Runes for DPS</vt:lpstr>
      <vt:lpstr>TabPrz</vt:lpstr>
      <vt:lpstr>Runes to mobs</vt:lpstr>
      <vt:lpstr>Runes</vt:lpstr>
      <vt:lpstr>Fusion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2015-10-12T14:49:38Z</dcterms:modified>
</cp:coreProperties>
</file>