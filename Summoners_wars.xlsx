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0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/>
  </bookViews>
  <sheets>
    <sheet name="Crystals" sheetId="14" r:id="rId1"/>
    <sheet name="EXP lvls" sheetId="1" r:id="rId2"/>
    <sheet name="Arkusz3" sheetId="18" r:id="rId3"/>
    <sheet name="Drop analityka" sheetId="3" r:id="rId4"/>
    <sheet name="Fusion" sheetId="9" r:id="rId5"/>
    <sheet name="Location features" sheetId="4" r:id="rId6"/>
    <sheet name="TabPrz" sheetId="5" r:id="rId7"/>
    <sheet name="Arkusz1" sheetId="15" r:id="rId8"/>
    <sheet name="Runes for DPS" sheetId="6" r:id="rId9"/>
    <sheet name="Runes stats" sheetId="11" r:id="rId10"/>
    <sheet name="Runes DB" sheetId="8" r:id="rId11"/>
    <sheet name="TP_Mon.Runes" sheetId="12" r:id="rId12"/>
    <sheet name="Grind.Summary" sheetId="2" r:id="rId13"/>
    <sheet name="Runes Mon.build" sheetId="7" r:id="rId14"/>
    <sheet name="ToA auto" sheetId="16" r:id="rId15"/>
    <sheet name="Mon.Utilities" sheetId="13" r:id="rId16"/>
    <sheet name="Arkusz2" sheetId="17" r:id="rId17"/>
  </sheets>
  <definedNames>
    <definedName name="_xlnm._FilterDatabase" localSheetId="15" hidden="1">Mon.Utilities!$A$1:$N$1</definedName>
  </definedNames>
  <calcPr calcId="145621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P22" i="14" l="1"/>
  <c r="Q18" i="14"/>
  <c r="Q21" i="14" s="1"/>
  <c r="O18" i="14"/>
  <c r="N18" i="14"/>
  <c r="R21" i="14"/>
  <c r="R20" i="14"/>
  <c r="Q20" i="14"/>
  <c r="R18" i="14"/>
  <c r="O12" i="14" l="1"/>
  <c r="N21" i="1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O19" i="14"/>
  <c r="D2" i="18" l="1"/>
  <c r="R8" i="4" l="1"/>
  <c r="L8" i="4"/>
  <c r="K8" i="4"/>
  <c r="J8" i="4"/>
  <c r="O8" i="4" s="1"/>
  <c r="S8" i="4" s="1"/>
  <c r="D3" i="18"/>
  <c r="C5" i="18"/>
  <c r="C4" i="18"/>
  <c r="C2" i="18"/>
  <c r="C9" i="18" l="1"/>
  <c r="E9" i="18" s="1"/>
  <c r="C8" i="18"/>
  <c r="C3" i="18"/>
  <c r="C7" i="18" s="1"/>
  <c r="I2" i="18"/>
  <c r="D6" i="18"/>
  <c r="D7" i="18"/>
  <c r="D4" i="18"/>
  <c r="D5" i="18" l="1"/>
  <c r="I5" i="18" s="1"/>
  <c r="E2" i="18"/>
  <c r="C6" i="18"/>
  <c r="E6" i="18" s="1"/>
  <c r="F6" i="18" s="1"/>
  <c r="D8" i="18"/>
  <c r="I4" i="18"/>
  <c r="E8" i="18"/>
  <c r="E4" i="18"/>
  <c r="J55" i="6"/>
  <c r="J46" i="6"/>
  <c r="F2" i="18" l="1"/>
  <c r="H2" i="18" s="1"/>
  <c r="G2" i="18"/>
  <c r="F4" i="18"/>
  <c r="G4" i="18"/>
  <c r="E5" i="18"/>
  <c r="F8" i="18"/>
  <c r="D9" i="18"/>
  <c r="F9" i="18" s="1"/>
  <c r="I3" i="18"/>
  <c r="E7" i="18"/>
  <c r="F7" i="18" s="1"/>
  <c r="E3" i="18"/>
  <c r="R6" i="4"/>
  <c r="L6" i="4"/>
  <c r="K6" i="4"/>
  <c r="J6" i="4"/>
  <c r="K2" i="17"/>
  <c r="J2" i="17"/>
  <c r="I2" i="17"/>
  <c r="H2" i="17"/>
  <c r="G2" i="17"/>
  <c r="H4" i="18" l="1"/>
  <c r="F5" i="18"/>
  <c r="H5" i="18" s="1"/>
  <c r="G5" i="18"/>
  <c r="F3" i="18"/>
  <c r="H3" i="18" s="1"/>
  <c r="G3" i="18"/>
  <c r="O6" i="4"/>
  <c r="S6" i="4" s="1"/>
  <c r="D3" i="17"/>
  <c r="B4" i="17"/>
  <c r="B3" i="17"/>
  <c r="D2" i="17"/>
  <c r="Q6" i="3"/>
  <c r="R7" i="4" l="1"/>
  <c r="L7" i="4"/>
  <c r="K7" i="4"/>
  <c r="J7" i="4"/>
  <c r="S7" i="4" l="1"/>
  <c r="O7" i="4"/>
  <c r="O6" i="14"/>
  <c r="O9" i="14" s="1"/>
  <c r="P6" i="14"/>
  <c r="P9" i="14" s="1"/>
  <c r="M3" i="1"/>
  <c r="O4" i="1" s="1"/>
  <c r="R14" i="4" l="1"/>
  <c r="L14" i="4"/>
  <c r="K14" i="4"/>
  <c r="J14" i="4"/>
  <c r="O14" i="4" l="1"/>
  <c r="S14" i="4" s="1"/>
  <c r="T88" i="9" l="1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H90" i="9"/>
  <c r="G90" i="9"/>
  <c r="F90" i="9"/>
  <c r="S58" i="9"/>
  <c r="F58" i="9"/>
  <c r="Q10" i="1"/>
  <c r="G15" i="14" l="1"/>
  <c r="G14" i="14"/>
  <c r="G13" i="14"/>
  <c r="E8" i="14"/>
  <c r="G8" i="14" s="1"/>
  <c r="E5" i="14"/>
  <c r="E4" i="14"/>
  <c r="G4" i="14" s="1"/>
  <c r="E3" i="14"/>
  <c r="G3" i="14" s="1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G3" i="6"/>
  <c r="AQ1072" i="6" s="1"/>
  <c r="G17" i="14"/>
  <c r="G16" i="14"/>
  <c r="G6" i="14"/>
  <c r="G7" i="14"/>
  <c r="G9" i="14"/>
  <c r="G10" i="14"/>
  <c r="G11" i="14"/>
  <c r="G12" i="14"/>
  <c r="G2" i="14"/>
  <c r="J4" i="6"/>
  <c r="R4" i="6" s="1"/>
  <c r="H4" i="6"/>
  <c r="F4" i="6" s="1"/>
  <c r="I4" i="6"/>
  <c r="G4" i="6" s="1"/>
  <c r="C17" i="14"/>
  <c r="C12" i="14"/>
  <c r="C16" i="14" s="1"/>
  <c r="S116" i="13"/>
  <c r="S221" i="13"/>
  <c r="S234" i="13"/>
  <c r="S35" i="13"/>
  <c r="S232" i="13"/>
  <c r="S204" i="13"/>
  <c r="S207" i="13"/>
  <c r="S135" i="13"/>
  <c r="S214" i="13"/>
  <c r="S154" i="13"/>
  <c r="S222" i="13"/>
  <c r="S235" i="13"/>
  <c r="S187" i="13"/>
  <c r="S203" i="13"/>
  <c r="S210" i="13"/>
  <c r="S226" i="13"/>
  <c r="S230" i="13"/>
  <c r="S136" i="13"/>
  <c r="S15" i="13"/>
  <c r="S228" i="13"/>
  <c r="S218" i="13"/>
  <c r="S117" i="13"/>
  <c r="S156" i="13"/>
  <c r="S212" i="13"/>
  <c r="S202" i="13"/>
  <c r="S211" i="13"/>
  <c r="S137" i="13"/>
  <c r="S215" i="13"/>
  <c r="S208" i="13"/>
  <c r="S225" i="13"/>
  <c r="S229" i="13"/>
  <c r="S205" i="13"/>
  <c r="S29" i="13"/>
  <c r="S216" i="13"/>
  <c r="S209" i="13"/>
  <c r="S219" i="13"/>
  <c r="S223" i="13"/>
  <c r="S233" i="13"/>
  <c r="S206" i="13"/>
  <c r="S155" i="13"/>
  <c r="S213" i="13"/>
  <c r="S217" i="13"/>
  <c r="S220" i="13"/>
  <c r="S224" i="13"/>
  <c r="S227" i="13"/>
  <c r="S231" i="13"/>
  <c r="S157" i="13"/>
  <c r="S94" i="13"/>
  <c r="S77" i="13"/>
  <c r="S95" i="13"/>
  <c r="S138" i="13"/>
  <c r="S16" i="13"/>
  <c r="S96" i="13"/>
  <c r="S140" i="13"/>
  <c r="S247" i="13"/>
  <c r="S252" i="13"/>
  <c r="S193" i="13"/>
  <c r="S24" i="13"/>
  <c r="S164" i="13"/>
  <c r="S167" i="13"/>
  <c r="S83" i="13"/>
  <c r="S196" i="13"/>
  <c r="S268" i="13"/>
  <c r="S38" i="13"/>
  <c r="S170" i="13"/>
  <c r="S278" i="13"/>
  <c r="S279" i="13"/>
  <c r="S282" i="13"/>
  <c r="S287" i="13"/>
  <c r="S292" i="13"/>
  <c r="S297" i="13"/>
  <c r="S300" i="13"/>
  <c r="S305" i="13"/>
  <c r="S100" i="13"/>
  <c r="S309" i="13"/>
  <c r="S174" i="13"/>
  <c r="S314" i="13"/>
  <c r="S199" i="13"/>
  <c r="S50" i="13"/>
  <c r="S23" i="13"/>
  <c r="S236" i="13"/>
  <c r="S78" i="13"/>
  <c r="S160" i="13"/>
  <c r="S79" i="13"/>
  <c r="S159" i="13"/>
  <c r="S161" i="13"/>
  <c r="S248" i="13"/>
  <c r="S253" i="13"/>
  <c r="S194" i="13"/>
  <c r="S255" i="13"/>
  <c r="S81" i="13"/>
  <c r="S258" i="13"/>
  <c r="S168" i="13"/>
  <c r="S264" i="13"/>
  <c r="S269" i="13"/>
  <c r="S273" i="13"/>
  <c r="S276" i="13"/>
  <c r="S172" i="13"/>
  <c r="S280" i="13"/>
  <c r="S283" i="13"/>
  <c r="S288" i="13"/>
  <c r="S293" i="13"/>
  <c r="S18" i="13"/>
  <c r="S301" i="13"/>
  <c r="S306" i="13"/>
  <c r="S312" i="13"/>
  <c r="S19" i="13"/>
  <c r="S188" i="13"/>
  <c r="S190" i="13"/>
  <c r="S237" i="13"/>
  <c r="S239" i="13"/>
  <c r="S139" i="13"/>
  <c r="S243" i="13"/>
  <c r="S141" i="13"/>
  <c r="S249" i="13"/>
  <c r="S43" i="13"/>
  <c r="S120" i="13"/>
  <c r="S5" i="13"/>
  <c r="S257" i="13"/>
  <c r="S259" i="13"/>
  <c r="S262" i="13"/>
  <c r="S265" i="13"/>
  <c r="S270" i="13"/>
  <c r="S274" i="13"/>
  <c r="S52" i="13"/>
  <c r="S197" i="13"/>
  <c r="S281" i="13"/>
  <c r="S284" i="13"/>
  <c r="S289" i="13"/>
  <c r="S294" i="13"/>
  <c r="S298" i="13"/>
  <c r="S302" i="13"/>
  <c r="S84" i="13"/>
  <c r="S315" i="13"/>
  <c r="S158" i="13"/>
  <c r="S36" i="13"/>
  <c r="S238" i="13"/>
  <c r="S240" i="13"/>
  <c r="S241" i="13"/>
  <c r="S244" i="13"/>
  <c r="S246" i="13"/>
  <c r="S250" i="13"/>
  <c r="S191" i="13"/>
  <c r="S162" i="13"/>
  <c r="S195" i="13"/>
  <c r="S80" i="13"/>
  <c r="S51" i="13"/>
  <c r="S165" i="13"/>
  <c r="S260" i="13"/>
  <c r="S261" i="13"/>
  <c r="S263" i="13"/>
  <c r="S266" i="13"/>
  <c r="S271" i="13"/>
  <c r="S275" i="13"/>
  <c r="S277" i="13"/>
  <c r="S99" i="13"/>
  <c r="S285" i="13"/>
  <c r="S290" i="13"/>
  <c r="S295" i="13"/>
  <c r="S299" i="13"/>
  <c r="S303" i="13"/>
  <c r="S307" i="13"/>
  <c r="S310" i="13"/>
  <c r="S53" i="13"/>
  <c r="S311" i="13"/>
  <c r="S142" i="13"/>
  <c r="S316" i="13"/>
  <c r="S189" i="13"/>
  <c r="S118" i="13"/>
  <c r="S37" i="13"/>
  <c r="S119" i="13"/>
  <c r="S242" i="13"/>
  <c r="S245" i="13"/>
  <c r="S327" i="13"/>
  <c r="S251" i="13"/>
  <c r="S192" i="13"/>
  <c r="S163" i="13"/>
  <c r="S254" i="13"/>
  <c r="S97" i="13"/>
  <c r="S67" i="13"/>
  <c r="S256" i="13"/>
  <c r="S98" i="13"/>
  <c r="S166" i="13"/>
  <c r="S82" i="13"/>
  <c r="S169" i="13"/>
  <c r="S267" i="13"/>
  <c r="S272" i="13"/>
  <c r="S2" i="13"/>
  <c r="S171" i="13"/>
  <c r="S173" i="13"/>
  <c r="S286" i="13"/>
  <c r="S291" i="13"/>
  <c r="S296" i="13"/>
  <c r="S198" i="13"/>
  <c r="S304" i="13"/>
  <c r="S308" i="13"/>
  <c r="S10" i="13"/>
  <c r="S313" i="13"/>
  <c r="S20" i="13"/>
  <c r="S54" i="13"/>
  <c r="S101" i="13"/>
  <c r="S44" i="13"/>
  <c r="S68" i="13"/>
  <c r="S21" i="13"/>
  <c r="S123" i="13"/>
  <c r="S143" i="13"/>
  <c r="S179" i="13"/>
  <c r="S319" i="13"/>
  <c r="S89" i="13"/>
  <c r="S41" i="13"/>
  <c r="S32" i="13"/>
  <c r="S59" i="13"/>
  <c r="S60" i="13"/>
  <c r="S322" i="13"/>
  <c r="S90" i="13"/>
  <c r="S62" i="13"/>
  <c r="S150" i="13"/>
  <c r="S13" i="13"/>
  <c r="S152" i="13"/>
  <c r="S66" i="13"/>
  <c r="S185" i="13"/>
  <c r="S34" i="13"/>
  <c r="S324" i="13"/>
  <c r="S153" i="13"/>
  <c r="S4" i="13"/>
  <c r="S175" i="13"/>
  <c r="S86" i="13"/>
  <c r="S8" i="13"/>
  <c r="S122" i="13"/>
  <c r="S57" i="13"/>
  <c r="S45" i="13"/>
  <c r="S124" i="13"/>
  <c r="S320" i="13"/>
  <c r="S144" i="13"/>
  <c r="S201" i="13"/>
  <c r="S58" i="13"/>
  <c r="S104" i="13"/>
  <c r="S105" i="13"/>
  <c r="S323" i="13"/>
  <c r="S22" i="13"/>
  <c r="S63" i="13"/>
  <c r="S7" i="13"/>
  <c r="S64" i="13"/>
  <c r="S183" i="13"/>
  <c r="S110" i="13"/>
  <c r="S111" i="13"/>
  <c r="S14" i="13"/>
  <c r="S112" i="13"/>
  <c r="S186" i="13"/>
  <c r="S326" i="13"/>
  <c r="S325" i="13"/>
  <c r="S121" i="13"/>
  <c r="S200" i="13"/>
  <c r="S39" i="13"/>
  <c r="S17" i="13"/>
  <c r="S25" i="13"/>
  <c r="S46" i="13"/>
  <c r="S318" i="13"/>
  <c r="S180" i="13"/>
  <c r="S145" i="13"/>
  <c r="S181" i="13"/>
  <c r="S71" i="13"/>
  <c r="S126" i="13"/>
  <c r="S61" i="13"/>
  <c r="S42" i="13"/>
  <c r="S106" i="13"/>
  <c r="S108" i="13"/>
  <c r="S151" i="13"/>
  <c r="S65" i="13"/>
  <c r="S184" i="13"/>
  <c r="S3" i="13"/>
  <c r="S92" i="13"/>
  <c r="S133" i="13"/>
  <c r="S49" i="13"/>
  <c r="S28" i="13"/>
  <c r="S115" i="13"/>
  <c r="S93" i="13"/>
  <c r="S176" i="13"/>
  <c r="S55" i="13"/>
  <c r="S30" i="13"/>
  <c r="S56" i="13"/>
  <c r="S40" i="13"/>
  <c r="S69" i="13"/>
  <c r="S9" i="13"/>
  <c r="S88" i="13"/>
  <c r="S26" i="13"/>
  <c r="S125" i="13"/>
  <c r="S31" i="13"/>
  <c r="S127" i="13"/>
  <c r="S182" i="13"/>
  <c r="S130" i="13"/>
  <c r="S72" i="13"/>
  <c r="S109" i="13"/>
  <c r="S73" i="13"/>
  <c r="S47" i="13"/>
  <c r="S132" i="13"/>
  <c r="S74" i="13"/>
  <c r="S76" i="13"/>
  <c r="S113" i="13"/>
  <c r="S85" i="13"/>
  <c r="S87" i="13"/>
  <c r="S177" i="13"/>
  <c r="S317" i="13"/>
  <c r="S12" i="13"/>
  <c r="S178" i="13"/>
  <c r="S70" i="13"/>
  <c r="S102" i="13"/>
  <c r="S321" i="13"/>
  <c r="S146" i="13"/>
  <c r="S147" i="13"/>
  <c r="S148" i="13"/>
  <c r="S103" i="13"/>
  <c r="S134" i="13"/>
  <c r="S128" i="13"/>
  <c r="S129" i="13"/>
  <c r="S149" i="13"/>
  <c r="S107" i="13"/>
  <c r="S91" i="13"/>
  <c r="S131" i="13"/>
  <c r="S33" i="13"/>
  <c r="S48" i="13"/>
  <c r="S27" i="13"/>
  <c r="S75" i="13"/>
  <c r="S11" i="13"/>
  <c r="S6" i="13"/>
  <c r="S114" i="13"/>
  <c r="R116" i="13"/>
  <c r="R221" i="13"/>
  <c r="R234" i="13"/>
  <c r="R35" i="13"/>
  <c r="R232" i="13"/>
  <c r="R204" i="13"/>
  <c r="R207" i="13"/>
  <c r="R135" i="13"/>
  <c r="R214" i="13"/>
  <c r="R154" i="13"/>
  <c r="R222" i="13"/>
  <c r="R235" i="13"/>
  <c r="R187" i="13"/>
  <c r="R203" i="13"/>
  <c r="R210" i="13"/>
  <c r="R226" i="13"/>
  <c r="R230" i="13"/>
  <c r="R136" i="13"/>
  <c r="R15" i="13"/>
  <c r="R228" i="13"/>
  <c r="R218" i="13"/>
  <c r="R117" i="13"/>
  <c r="R156" i="13"/>
  <c r="R212" i="13"/>
  <c r="R202" i="13"/>
  <c r="R211" i="13"/>
  <c r="R137" i="13"/>
  <c r="R215" i="13"/>
  <c r="R208" i="13"/>
  <c r="R225" i="13"/>
  <c r="R229" i="13"/>
  <c r="R205" i="13"/>
  <c r="R29" i="13"/>
  <c r="R216" i="13"/>
  <c r="R209" i="13"/>
  <c r="R219" i="13"/>
  <c r="R223" i="13"/>
  <c r="R233" i="13"/>
  <c r="R206" i="13"/>
  <c r="R155" i="13"/>
  <c r="R213" i="13"/>
  <c r="R217" i="13"/>
  <c r="R220" i="13"/>
  <c r="R224" i="13"/>
  <c r="R227" i="13"/>
  <c r="R231" i="13"/>
  <c r="R157" i="13"/>
  <c r="R94" i="13"/>
  <c r="R77" i="13"/>
  <c r="R95" i="13"/>
  <c r="R138" i="13"/>
  <c r="R16" i="13"/>
  <c r="R96" i="13"/>
  <c r="R140" i="13"/>
  <c r="R247" i="13"/>
  <c r="R252" i="13"/>
  <c r="R193" i="13"/>
  <c r="R24" i="13"/>
  <c r="R164" i="13"/>
  <c r="R167" i="13"/>
  <c r="R83" i="13"/>
  <c r="R196" i="13"/>
  <c r="R268" i="13"/>
  <c r="R38" i="13"/>
  <c r="R170" i="13"/>
  <c r="R278" i="13"/>
  <c r="R279" i="13"/>
  <c r="R282" i="13"/>
  <c r="R287" i="13"/>
  <c r="R292" i="13"/>
  <c r="R297" i="13"/>
  <c r="R300" i="13"/>
  <c r="R305" i="13"/>
  <c r="R100" i="13"/>
  <c r="R309" i="13"/>
  <c r="R174" i="13"/>
  <c r="R314" i="13"/>
  <c r="R199" i="13"/>
  <c r="R50" i="13"/>
  <c r="R23" i="13"/>
  <c r="R236" i="13"/>
  <c r="R78" i="13"/>
  <c r="R160" i="13"/>
  <c r="R79" i="13"/>
  <c r="R159" i="13"/>
  <c r="R161" i="13"/>
  <c r="R248" i="13"/>
  <c r="R253" i="13"/>
  <c r="R194" i="13"/>
  <c r="R255" i="13"/>
  <c r="R81" i="13"/>
  <c r="R258" i="13"/>
  <c r="R168" i="13"/>
  <c r="R264" i="13"/>
  <c r="R269" i="13"/>
  <c r="R273" i="13"/>
  <c r="R276" i="13"/>
  <c r="R172" i="13"/>
  <c r="R280" i="13"/>
  <c r="R283" i="13"/>
  <c r="R288" i="13"/>
  <c r="R293" i="13"/>
  <c r="R18" i="13"/>
  <c r="R301" i="13"/>
  <c r="R306" i="13"/>
  <c r="R312" i="13"/>
  <c r="R19" i="13"/>
  <c r="R188" i="13"/>
  <c r="R190" i="13"/>
  <c r="R237" i="13"/>
  <c r="R239" i="13"/>
  <c r="R139" i="13"/>
  <c r="R243" i="13"/>
  <c r="R141" i="13"/>
  <c r="R249" i="13"/>
  <c r="R43" i="13"/>
  <c r="R120" i="13"/>
  <c r="R5" i="13"/>
  <c r="R257" i="13"/>
  <c r="R259" i="13"/>
  <c r="R262" i="13"/>
  <c r="R265" i="13"/>
  <c r="R270" i="13"/>
  <c r="R274" i="13"/>
  <c r="R52" i="13"/>
  <c r="R197" i="13"/>
  <c r="R281" i="13"/>
  <c r="R284" i="13"/>
  <c r="R289" i="13"/>
  <c r="R294" i="13"/>
  <c r="R298" i="13"/>
  <c r="R302" i="13"/>
  <c r="R84" i="13"/>
  <c r="R315" i="13"/>
  <c r="R158" i="13"/>
  <c r="R36" i="13"/>
  <c r="R238" i="13"/>
  <c r="R240" i="13"/>
  <c r="R241" i="13"/>
  <c r="R244" i="13"/>
  <c r="R246" i="13"/>
  <c r="R250" i="13"/>
  <c r="R191" i="13"/>
  <c r="R162" i="13"/>
  <c r="R195" i="13"/>
  <c r="R80" i="13"/>
  <c r="R51" i="13"/>
  <c r="R165" i="13"/>
  <c r="R260" i="13"/>
  <c r="R261" i="13"/>
  <c r="R263" i="13"/>
  <c r="R266" i="13"/>
  <c r="R271" i="13"/>
  <c r="R275" i="13"/>
  <c r="R277" i="13"/>
  <c r="R99" i="13"/>
  <c r="R285" i="13"/>
  <c r="R290" i="13"/>
  <c r="R295" i="13"/>
  <c r="R299" i="13"/>
  <c r="R303" i="13"/>
  <c r="R307" i="13"/>
  <c r="R310" i="13"/>
  <c r="R53" i="13"/>
  <c r="R311" i="13"/>
  <c r="R142" i="13"/>
  <c r="R316" i="13"/>
  <c r="R189" i="13"/>
  <c r="R118" i="13"/>
  <c r="R37" i="13"/>
  <c r="R119" i="13"/>
  <c r="R242" i="13"/>
  <c r="R245" i="13"/>
  <c r="R327" i="13"/>
  <c r="R251" i="13"/>
  <c r="R192" i="13"/>
  <c r="R163" i="13"/>
  <c r="R254" i="13"/>
  <c r="R97" i="13"/>
  <c r="R67" i="13"/>
  <c r="R256" i="13"/>
  <c r="R98" i="13"/>
  <c r="R166" i="13"/>
  <c r="R82" i="13"/>
  <c r="R169" i="13"/>
  <c r="R267" i="13"/>
  <c r="R272" i="13"/>
  <c r="R2" i="13"/>
  <c r="R171" i="13"/>
  <c r="R173" i="13"/>
  <c r="R286" i="13"/>
  <c r="R291" i="13"/>
  <c r="R296" i="13"/>
  <c r="R198" i="13"/>
  <c r="R304" i="13"/>
  <c r="R308" i="13"/>
  <c r="R10" i="13"/>
  <c r="R313" i="13"/>
  <c r="R20" i="13"/>
  <c r="R54" i="13"/>
  <c r="R101" i="13"/>
  <c r="R44" i="13"/>
  <c r="R68" i="13"/>
  <c r="R21" i="13"/>
  <c r="R123" i="13"/>
  <c r="R143" i="13"/>
  <c r="R179" i="13"/>
  <c r="R319" i="13"/>
  <c r="R89" i="13"/>
  <c r="R41" i="13"/>
  <c r="R32" i="13"/>
  <c r="R59" i="13"/>
  <c r="R60" i="13"/>
  <c r="R322" i="13"/>
  <c r="R90" i="13"/>
  <c r="R62" i="13"/>
  <c r="R150" i="13"/>
  <c r="R13" i="13"/>
  <c r="R152" i="13"/>
  <c r="R66" i="13"/>
  <c r="R185" i="13"/>
  <c r="R34" i="13"/>
  <c r="R324" i="13"/>
  <c r="R153" i="13"/>
  <c r="R4" i="13"/>
  <c r="R175" i="13"/>
  <c r="R86" i="13"/>
  <c r="R8" i="13"/>
  <c r="R122" i="13"/>
  <c r="R57" i="13"/>
  <c r="R45" i="13"/>
  <c r="R124" i="13"/>
  <c r="R320" i="13"/>
  <c r="R144" i="13"/>
  <c r="R201" i="13"/>
  <c r="R58" i="13"/>
  <c r="R104" i="13"/>
  <c r="R105" i="13"/>
  <c r="R323" i="13"/>
  <c r="R22" i="13"/>
  <c r="R63" i="13"/>
  <c r="R7" i="13"/>
  <c r="R64" i="13"/>
  <c r="R183" i="13"/>
  <c r="R110" i="13"/>
  <c r="R111" i="13"/>
  <c r="R14" i="13"/>
  <c r="R112" i="13"/>
  <c r="R186" i="13"/>
  <c r="R326" i="13"/>
  <c r="R325" i="13"/>
  <c r="R121" i="13"/>
  <c r="R200" i="13"/>
  <c r="R39" i="13"/>
  <c r="R17" i="13"/>
  <c r="R25" i="13"/>
  <c r="R46" i="13"/>
  <c r="R318" i="13"/>
  <c r="R180" i="13"/>
  <c r="R145" i="13"/>
  <c r="R181" i="13"/>
  <c r="R71" i="13"/>
  <c r="R126" i="13"/>
  <c r="R61" i="13"/>
  <c r="R42" i="13"/>
  <c r="R106" i="13"/>
  <c r="R108" i="13"/>
  <c r="R151" i="13"/>
  <c r="R65" i="13"/>
  <c r="R184" i="13"/>
  <c r="R3" i="13"/>
  <c r="R92" i="13"/>
  <c r="R133" i="13"/>
  <c r="R49" i="13"/>
  <c r="R28" i="13"/>
  <c r="R115" i="13"/>
  <c r="R93" i="13"/>
  <c r="R176" i="13"/>
  <c r="R55" i="13"/>
  <c r="R30" i="13"/>
  <c r="R56" i="13"/>
  <c r="R40" i="13"/>
  <c r="R69" i="13"/>
  <c r="R9" i="13"/>
  <c r="R88" i="13"/>
  <c r="R26" i="13"/>
  <c r="R125" i="13"/>
  <c r="R31" i="13"/>
  <c r="R127" i="13"/>
  <c r="R182" i="13"/>
  <c r="R130" i="13"/>
  <c r="R72" i="13"/>
  <c r="R109" i="13"/>
  <c r="R73" i="13"/>
  <c r="R47" i="13"/>
  <c r="R132" i="13"/>
  <c r="R74" i="13"/>
  <c r="R76" i="13"/>
  <c r="R113" i="13"/>
  <c r="R85" i="13"/>
  <c r="R87" i="13"/>
  <c r="R177" i="13"/>
  <c r="R317" i="13"/>
  <c r="R12" i="13"/>
  <c r="R178" i="13"/>
  <c r="R70" i="13"/>
  <c r="R102" i="13"/>
  <c r="R321" i="13"/>
  <c r="R146" i="13"/>
  <c r="R147" i="13"/>
  <c r="R148" i="13"/>
  <c r="R103" i="13"/>
  <c r="R134" i="13"/>
  <c r="R128" i="13"/>
  <c r="R129" i="13"/>
  <c r="R149" i="13"/>
  <c r="R107" i="13"/>
  <c r="R91" i="13"/>
  <c r="R131" i="13"/>
  <c r="R33" i="13"/>
  <c r="R48" i="13"/>
  <c r="R27" i="13"/>
  <c r="R75" i="13"/>
  <c r="R11" i="13"/>
  <c r="R6" i="13"/>
  <c r="R114" i="13"/>
  <c r="Q116" i="13"/>
  <c r="Q221" i="13"/>
  <c r="Q234" i="13"/>
  <c r="Q35" i="13"/>
  <c r="Q232" i="13"/>
  <c r="Q204" i="13"/>
  <c r="Q207" i="13"/>
  <c r="Q135" i="13"/>
  <c r="Q214" i="13"/>
  <c r="Q154" i="13"/>
  <c r="Q222" i="13"/>
  <c r="Q235" i="13"/>
  <c r="Q187" i="13"/>
  <c r="Q203" i="13"/>
  <c r="Q210" i="13"/>
  <c r="Q226" i="13"/>
  <c r="Q230" i="13"/>
  <c r="Q136" i="13"/>
  <c r="Q15" i="13"/>
  <c r="Q228" i="13"/>
  <c r="Q218" i="13"/>
  <c r="Q117" i="13"/>
  <c r="Q156" i="13"/>
  <c r="Q212" i="13"/>
  <c r="Q202" i="13"/>
  <c r="Q211" i="13"/>
  <c r="Q137" i="13"/>
  <c r="Q215" i="13"/>
  <c r="Q208" i="13"/>
  <c r="Q225" i="13"/>
  <c r="Q229" i="13"/>
  <c r="Q205" i="13"/>
  <c r="Q29" i="13"/>
  <c r="Q216" i="13"/>
  <c r="Q209" i="13"/>
  <c r="Q219" i="13"/>
  <c r="Q223" i="13"/>
  <c r="Q233" i="13"/>
  <c r="Q206" i="13"/>
  <c r="Q155" i="13"/>
  <c r="Q213" i="13"/>
  <c r="Q217" i="13"/>
  <c r="Q220" i="13"/>
  <c r="Q224" i="13"/>
  <c r="Q227" i="13"/>
  <c r="Q231" i="13"/>
  <c r="Q157" i="13"/>
  <c r="Q94" i="13"/>
  <c r="Q77" i="13"/>
  <c r="Q95" i="13"/>
  <c r="Q138" i="13"/>
  <c r="Q16" i="13"/>
  <c r="Q96" i="13"/>
  <c r="Q140" i="13"/>
  <c r="Q247" i="13"/>
  <c r="Q252" i="13"/>
  <c r="Q193" i="13"/>
  <c r="Q24" i="13"/>
  <c r="Q164" i="13"/>
  <c r="Q167" i="13"/>
  <c r="Q83" i="13"/>
  <c r="Q196" i="13"/>
  <c r="Q268" i="13"/>
  <c r="Q38" i="13"/>
  <c r="Q170" i="13"/>
  <c r="Q278" i="13"/>
  <c r="Q279" i="13"/>
  <c r="Q282" i="13"/>
  <c r="Q287" i="13"/>
  <c r="Q292" i="13"/>
  <c r="Q297" i="13"/>
  <c r="Q300" i="13"/>
  <c r="Q305" i="13"/>
  <c r="Q100" i="13"/>
  <c r="Q309" i="13"/>
  <c r="Q174" i="13"/>
  <c r="Q314" i="13"/>
  <c r="Q199" i="13"/>
  <c r="Q50" i="13"/>
  <c r="Q23" i="13"/>
  <c r="Q236" i="13"/>
  <c r="Q78" i="13"/>
  <c r="Q160" i="13"/>
  <c r="Q79" i="13"/>
  <c r="Q159" i="13"/>
  <c r="Q161" i="13"/>
  <c r="Q248" i="13"/>
  <c r="Q253" i="13"/>
  <c r="Q194" i="13"/>
  <c r="Q255" i="13"/>
  <c r="Q81" i="13"/>
  <c r="Q258" i="13"/>
  <c r="Q168" i="13"/>
  <c r="Q264" i="13"/>
  <c r="Q269" i="13"/>
  <c r="Q273" i="13"/>
  <c r="Q276" i="13"/>
  <c r="Q172" i="13"/>
  <c r="Q280" i="13"/>
  <c r="Q283" i="13"/>
  <c r="Q288" i="13"/>
  <c r="Q293" i="13"/>
  <c r="Q18" i="13"/>
  <c r="Q301" i="13"/>
  <c r="Q306" i="13"/>
  <c r="Q312" i="13"/>
  <c r="Q19" i="13"/>
  <c r="Q188" i="13"/>
  <c r="Q190" i="13"/>
  <c r="Q237" i="13"/>
  <c r="Q239" i="13"/>
  <c r="Q139" i="13"/>
  <c r="Q243" i="13"/>
  <c r="Q141" i="13"/>
  <c r="Q249" i="13"/>
  <c r="Q43" i="13"/>
  <c r="Q120" i="13"/>
  <c r="Q5" i="13"/>
  <c r="Q257" i="13"/>
  <c r="Q259" i="13"/>
  <c r="Q262" i="13"/>
  <c r="Q265" i="13"/>
  <c r="Q270" i="13"/>
  <c r="Q274" i="13"/>
  <c r="Q52" i="13"/>
  <c r="Q197" i="13"/>
  <c r="Q281" i="13"/>
  <c r="Q284" i="13"/>
  <c r="Q289" i="13"/>
  <c r="Q294" i="13"/>
  <c r="Q298" i="13"/>
  <c r="Q302" i="13"/>
  <c r="Q84" i="13"/>
  <c r="Q315" i="13"/>
  <c r="Q158" i="13"/>
  <c r="Q36" i="13"/>
  <c r="Q238" i="13"/>
  <c r="Q240" i="13"/>
  <c r="Q241" i="13"/>
  <c r="Q244" i="13"/>
  <c r="Q246" i="13"/>
  <c r="Q250" i="13"/>
  <c r="Q191" i="13"/>
  <c r="Q162" i="13"/>
  <c r="Q195" i="13"/>
  <c r="Q80" i="13"/>
  <c r="Q51" i="13"/>
  <c r="Q165" i="13"/>
  <c r="Q260" i="13"/>
  <c r="Q261" i="13"/>
  <c r="Q263" i="13"/>
  <c r="Q266" i="13"/>
  <c r="Q271" i="13"/>
  <c r="Q275" i="13"/>
  <c r="Q277" i="13"/>
  <c r="Q99" i="13"/>
  <c r="Q285" i="13"/>
  <c r="Q290" i="13"/>
  <c r="Q295" i="13"/>
  <c r="Q299" i="13"/>
  <c r="Q303" i="13"/>
  <c r="Q307" i="13"/>
  <c r="Q310" i="13"/>
  <c r="Q53" i="13"/>
  <c r="Q311" i="13"/>
  <c r="Q142" i="13"/>
  <c r="Q316" i="13"/>
  <c r="Q189" i="13"/>
  <c r="Q118" i="13"/>
  <c r="Q37" i="13"/>
  <c r="Q119" i="13"/>
  <c r="Q242" i="13"/>
  <c r="Q245" i="13"/>
  <c r="Q327" i="13"/>
  <c r="Q251" i="13"/>
  <c r="Q192" i="13"/>
  <c r="Q163" i="13"/>
  <c r="Q254" i="13"/>
  <c r="Q97" i="13"/>
  <c r="Q67" i="13"/>
  <c r="Q256" i="13"/>
  <c r="Q98" i="13"/>
  <c r="Q166" i="13"/>
  <c r="Q82" i="13"/>
  <c r="Q169" i="13"/>
  <c r="Q267" i="13"/>
  <c r="Q272" i="13"/>
  <c r="Q2" i="13"/>
  <c r="Q171" i="13"/>
  <c r="Q173" i="13"/>
  <c r="Q286" i="13"/>
  <c r="Q291" i="13"/>
  <c r="Q296" i="13"/>
  <c r="Q198" i="13"/>
  <c r="Q304" i="13"/>
  <c r="Q308" i="13"/>
  <c r="Q10" i="13"/>
  <c r="Q313" i="13"/>
  <c r="Q20" i="13"/>
  <c r="Q54" i="13"/>
  <c r="Q101" i="13"/>
  <c r="Q44" i="13"/>
  <c r="Q68" i="13"/>
  <c r="Q21" i="13"/>
  <c r="Q123" i="13"/>
  <c r="Q143" i="13"/>
  <c r="Q179" i="13"/>
  <c r="Q319" i="13"/>
  <c r="Q89" i="13"/>
  <c r="Q41" i="13"/>
  <c r="Q32" i="13"/>
  <c r="Q59" i="13"/>
  <c r="Q60" i="13"/>
  <c r="Q322" i="13"/>
  <c r="Q90" i="13"/>
  <c r="Q62" i="13"/>
  <c r="Q150" i="13"/>
  <c r="Q13" i="13"/>
  <c r="Q152" i="13"/>
  <c r="Q66" i="13"/>
  <c r="Q185" i="13"/>
  <c r="Q34" i="13"/>
  <c r="Q324" i="13"/>
  <c r="Q153" i="13"/>
  <c r="Q4" i="13"/>
  <c r="Q175" i="13"/>
  <c r="Q86" i="13"/>
  <c r="Q8" i="13"/>
  <c r="Q122" i="13"/>
  <c r="Q57" i="13"/>
  <c r="Q45" i="13"/>
  <c r="Q124" i="13"/>
  <c r="Q320" i="13"/>
  <c r="Q144" i="13"/>
  <c r="Q201" i="13"/>
  <c r="Q58" i="13"/>
  <c r="Q104" i="13"/>
  <c r="Q105" i="13"/>
  <c r="Q323" i="13"/>
  <c r="Q22" i="13"/>
  <c r="Q63" i="13"/>
  <c r="Q7" i="13"/>
  <c r="Q64" i="13"/>
  <c r="Q183" i="13"/>
  <c r="Q110" i="13"/>
  <c r="Q111" i="13"/>
  <c r="Q14" i="13"/>
  <c r="Q112" i="13"/>
  <c r="Q186" i="13"/>
  <c r="Q326" i="13"/>
  <c r="Q325" i="13"/>
  <c r="Q121" i="13"/>
  <c r="Q200" i="13"/>
  <c r="Q39" i="13"/>
  <c r="Q17" i="13"/>
  <c r="Q25" i="13"/>
  <c r="Q46" i="13"/>
  <c r="Q318" i="13"/>
  <c r="Q180" i="13"/>
  <c r="Q145" i="13"/>
  <c r="Q181" i="13"/>
  <c r="Q71" i="13"/>
  <c r="Q126" i="13"/>
  <c r="Q61" i="13"/>
  <c r="Q42" i="13"/>
  <c r="Q106" i="13"/>
  <c r="Q108" i="13"/>
  <c r="Q151" i="13"/>
  <c r="Q65" i="13"/>
  <c r="Q184" i="13"/>
  <c r="Q3" i="13"/>
  <c r="Q92" i="13"/>
  <c r="Q133" i="13"/>
  <c r="Q49" i="13"/>
  <c r="Q28" i="13"/>
  <c r="Q115" i="13"/>
  <c r="Q93" i="13"/>
  <c r="Q176" i="13"/>
  <c r="Q55" i="13"/>
  <c r="Q30" i="13"/>
  <c r="Q56" i="13"/>
  <c r="Q40" i="13"/>
  <c r="Q69" i="13"/>
  <c r="Q9" i="13"/>
  <c r="Q88" i="13"/>
  <c r="Q26" i="13"/>
  <c r="Q125" i="13"/>
  <c r="Q31" i="13"/>
  <c r="Q127" i="13"/>
  <c r="Q182" i="13"/>
  <c r="Q130" i="13"/>
  <c r="Q72" i="13"/>
  <c r="Q109" i="13"/>
  <c r="Q73" i="13"/>
  <c r="Q47" i="13"/>
  <c r="Q132" i="13"/>
  <c r="Q74" i="13"/>
  <c r="Q76" i="13"/>
  <c r="Q113" i="13"/>
  <c r="Q85" i="13"/>
  <c r="Q87" i="13"/>
  <c r="Q177" i="13"/>
  <c r="Q317" i="13"/>
  <c r="Q12" i="13"/>
  <c r="Q178" i="13"/>
  <c r="Q70" i="13"/>
  <c r="Q102" i="13"/>
  <c r="Q321" i="13"/>
  <c r="Q146" i="13"/>
  <c r="Q147" i="13"/>
  <c r="Q148" i="13"/>
  <c r="Q103" i="13"/>
  <c r="Q134" i="13"/>
  <c r="Q128" i="13"/>
  <c r="Q129" i="13"/>
  <c r="Q149" i="13"/>
  <c r="Q107" i="13"/>
  <c r="Q91" i="13"/>
  <c r="Q131" i="13"/>
  <c r="Q33" i="13"/>
  <c r="Q48" i="13"/>
  <c r="Q27" i="13"/>
  <c r="Q75" i="13"/>
  <c r="Q11" i="13"/>
  <c r="Q6" i="13"/>
  <c r="Q114" i="13"/>
  <c r="T116" i="13"/>
  <c r="T221" i="13"/>
  <c r="T234" i="13"/>
  <c r="T35" i="13"/>
  <c r="T232" i="13"/>
  <c r="T204" i="13"/>
  <c r="T207" i="13"/>
  <c r="T135" i="13"/>
  <c r="T214" i="13"/>
  <c r="T154" i="13"/>
  <c r="T222" i="13"/>
  <c r="T235" i="13"/>
  <c r="T187" i="13"/>
  <c r="T203" i="13"/>
  <c r="T210" i="13"/>
  <c r="T226" i="13"/>
  <c r="T230" i="13"/>
  <c r="T136" i="13"/>
  <c r="T15" i="13"/>
  <c r="T228" i="13"/>
  <c r="T218" i="13"/>
  <c r="T117" i="13"/>
  <c r="T156" i="13"/>
  <c r="T212" i="13"/>
  <c r="T202" i="13"/>
  <c r="T211" i="13"/>
  <c r="T137" i="13"/>
  <c r="T215" i="13"/>
  <c r="T208" i="13"/>
  <c r="T225" i="13"/>
  <c r="T229" i="13"/>
  <c r="T205" i="13"/>
  <c r="T29" i="13"/>
  <c r="T216" i="13"/>
  <c r="T209" i="13"/>
  <c r="T219" i="13"/>
  <c r="T223" i="13"/>
  <c r="T233" i="13"/>
  <c r="T206" i="13"/>
  <c r="T155" i="13"/>
  <c r="T213" i="13"/>
  <c r="T217" i="13"/>
  <c r="T220" i="13"/>
  <c r="T224" i="13"/>
  <c r="T227" i="13"/>
  <c r="T231" i="13"/>
  <c r="T157" i="13"/>
  <c r="T94" i="13"/>
  <c r="T77" i="13"/>
  <c r="T95" i="13"/>
  <c r="T138" i="13"/>
  <c r="T16" i="13"/>
  <c r="T96" i="13"/>
  <c r="T140" i="13"/>
  <c r="T247" i="13"/>
  <c r="T252" i="13"/>
  <c r="T193" i="13"/>
  <c r="T24" i="13"/>
  <c r="T164" i="13"/>
  <c r="T167" i="13"/>
  <c r="T83" i="13"/>
  <c r="T196" i="13"/>
  <c r="T268" i="13"/>
  <c r="T38" i="13"/>
  <c r="T170" i="13"/>
  <c r="T278" i="13"/>
  <c r="T279" i="13"/>
  <c r="T282" i="13"/>
  <c r="T287" i="13"/>
  <c r="T292" i="13"/>
  <c r="T297" i="13"/>
  <c r="T300" i="13"/>
  <c r="T305" i="13"/>
  <c r="T100" i="13"/>
  <c r="T309" i="13"/>
  <c r="T174" i="13"/>
  <c r="T314" i="13"/>
  <c r="T199" i="13"/>
  <c r="T50" i="13"/>
  <c r="T23" i="13"/>
  <c r="T236" i="13"/>
  <c r="T78" i="13"/>
  <c r="T160" i="13"/>
  <c r="T79" i="13"/>
  <c r="T159" i="13"/>
  <c r="T161" i="13"/>
  <c r="T248" i="13"/>
  <c r="T253" i="13"/>
  <c r="T194" i="13"/>
  <c r="T255" i="13"/>
  <c r="T81" i="13"/>
  <c r="T258" i="13"/>
  <c r="T168" i="13"/>
  <c r="T264" i="13"/>
  <c r="T269" i="13"/>
  <c r="T273" i="13"/>
  <c r="T276" i="13"/>
  <c r="T172" i="13"/>
  <c r="T280" i="13"/>
  <c r="T283" i="13"/>
  <c r="T288" i="13"/>
  <c r="T293" i="13"/>
  <c r="T18" i="13"/>
  <c r="T301" i="13"/>
  <c r="T306" i="13"/>
  <c r="T312" i="13"/>
  <c r="T19" i="13"/>
  <c r="T188" i="13"/>
  <c r="T190" i="13"/>
  <c r="T237" i="13"/>
  <c r="T239" i="13"/>
  <c r="T139" i="13"/>
  <c r="T243" i="13"/>
  <c r="T141" i="13"/>
  <c r="T249" i="13"/>
  <c r="T43" i="13"/>
  <c r="T120" i="13"/>
  <c r="T5" i="13"/>
  <c r="T257" i="13"/>
  <c r="T259" i="13"/>
  <c r="T262" i="13"/>
  <c r="T265" i="13"/>
  <c r="T270" i="13"/>
  <c r="T274" i="13"/>
  <c r="T52" i="13"/>
  <c r="T197" i="13"/>
  <c r="T281" i="13"/>
  <c r="T284" i="13"/>
  <c r="T289" i="13"/>
  <c r="T294" i="13"/>
  <c r="T298" i="13"/>
  <c r="T302" i="13"/>
  <c r="T84" i="13"/>
  <c r="T315" i="13"/>
  <c r="T158" i="13"/>
  <c r="T36" i="13"/>
  <c r="T238" i="13"/>
  <c r="T240" i="13"/>
  <c r="T241" i="13"/>
  <c r="T244" i="13"/>
  <c r="T246" i="13"/>
  <c r="T250" i="13"/>
  <c r="T191" i="13"/>
  <c r="T162" i="13"/>
  <c r="T195" i="13"/>
  <c r="T80" i="13"/>
  <c r="T51" i="13"/>
  <c r="T165" i="13"/>
  <c r="T260" i="13"/>
  <c r="T261" i="13"/>
  <c r="T263" i="13"/>
  <c r="T266" i="13"/>
  <c r="T271" i="13"/>
  <c r="T275" i="13"/>
  <c r="T277" i="13"/>
  <c r="T99" i="13"/>
  <c r="T285" i="13"/>
  <c r="T290" i="13"/>
  <c r="T295" i="13"/>
  <c r="T299" i="13"/>
  <c r="T303" i="13"/>
  <c r="T307" i="13"/>
  <c r="T310" i="13"/>
  <c r="T53" i="13"/>
  <c r="T311" i="13"/>
  <c r="T142" i="13"/>
  <c r="T316" i="13"/>
  <c r="T189" i="13"/>
  <c r="T118" i="13"/>
  <c r="T37" i="13"/>
  <c r="T119" i="13"/>
  <c r="T242" i="13"/>
  <c r="T245" i="13"/>
  <c r="T327" i="13"/>
  <c r="T251" i="13"/>
  <c r="T192" i="13"/>
  <c r="T163" i="13"/>
  <c r="T254" i="13"/>
  <c r="T97" i="13"/>
  <c r="T67" i="13"/>
  <c r="T256" i="13"/>
  <c r="T98" i="13"/>
  <c r="T166" i="13"/>
  <c r="T82" i="13"/>
  <c r="T169" i="13"/>
  <c r="T267" i="13"/>
  <c r="T272" i="13"/>
  <c r="T2" i="13"/>
  <c r="T171" i="13"/>
  <c r="T173" i="13"/>
  <c r="T286" i="13"/>
  <c r="T291" i="13"/>
  <c r="T296" i="13"/>
  <c r="T198" i="13"/>
  <c r="T304" i="13"/>
  <c r="T308" i="13"/>
  <c r="T10" i="13"/>
  <c r="T313" i="13"/>
  <c r="T20" i="13"/>
  <c r="T54" i="13"/>
  <c r="T101" i="13"/>
  <c r="T44" i="13"/>
  <c r="T68" i="13"/>
  <c r="T21" i="13"/>
  <c r="T123" i="13"/>
  <c r="T143" i="13"/>
  <c r="T179" i="13"/>
  <c r="T319" i="13"/>
  <c r="T89" i="13"/>
  <c r="T41" i="13"/>
  <c r="T32" i="13"/>
  <c r="T59" i="13"/>
  <c r="T60" i="13"/>
  <c r="T322" i="13"/>
  <c r="T90" i="13"/>
  <c r="T62" i="13"/>
  <c r="T150" i="13"/>
  <c r="T13" i="13"/>
  <c r="T152" i="13"/>
  <c r="T66" i="13"/>
  <c r="T185" i="13"/>
  <c r="T34" i="13"/>
  <c r="T324" i="13"/>
  <c r="T153" i="13"/>
  <c r="T4" i="13"/>
  <c r="T175" i="13"/>
  <c r="T86" i="13"/>
  <c r="T8" i="13"/>
  <c r="T122" i="13"/>
  <c r="T57" i="13"/>
  <c r="T45" i="13"/>
  <c r="T124" i="13"/>
  <c r="T320" i="13"/>
  <c r="T144" i="13"/>
  <c r="T201" i="13"/>
  <c r="T58" i="13"/>
  <c r="T104" i="13"/>
  <c r="T105" i="13"/>
  <c r="T323" i="13"/>
  <c r="T22" i="13"/>
  <c r="T63" i="13"/>
  <c r="T7" i="13"/>
  <c r="T64" i="13"/>
  <c r="T183" i="13"/>
  <c r="T110" i="13"/>
  <c r="T111" i="13"/>
  <c r="T14" i="13"/>
  <c r="T112" i="13"/>
  <c r="T186" i="13"/>
  <c r="T326" i="13"/>
  <c r="T325" i="13"/>
  <c r="T121" i="13"/>
  <c r="T200" i="13"/>
  <c r="T39" i="13"/>
  <c r="T17" i="13"/>
  <c r="T25" i="13"/>
  <c r="T46" i="13"/>
  <c r="T318" i="13"/>
  <c r="T180" i="13"/>
  <c r="T145" i="13"/>
  <c r="T181" i="13"/>
  <c r="T71" i="13"/>
  <c r="T126" i="13"/>
  <c r="T61" i="13"/>
  <c r="T42" i="13"/>
  <c r="T106" i="13"/>
  <c r="T108" i="13"/>
  <c r="T151" i="13"/>
  <c r="T65" i="13"/>
  <c r="T184" i="13"/>
  <c r="T3" i="13"/>
  <c r="T92" i="13"/>
  <c r="T133" i="13"/>
  <c r="T49" i="13"/>
  <c r="T28" i="13"/>
  <c r="T115" i="13"/>
  <c r="T93" i="13"/>
  <c r="T176" i="13"/>
  <c r="T55" i="13"/>
  <c r="T30" i="13"/>
  <c r="T56" i="13"/>
  <c r="T40" i="13"/>
  <c r="T69" i="13"/>
  <c r="T9" i="13"/>
  <c r="T88" i="13"/>
  <c r="T26" i="13"/>
  <c r="T125" i="13"/>
  <c r="T31" i="13"/>
  <c r="T127" i="13"/>
  <c r="T182" i="13"/>
  <c r="T130" i="13"/>
  <c r="T72" i="13"/>
  <c r="T109" i="13"/>
  <c r="T73" i="13"/>
  <c r="T47" i="13"/>
  <c r="T132" i="13"/>
  <c r="T74" i="13"/>
  <c r="T76" i="13"/>
  <c r="T113" i="13"/>
  <c r="T85" i="13"/>
  <c r="T87" i="13"/>
  <c r="T177" i="13"/>
  <c r="T317" i="13"/>
  <c r="T12" i="13"/>
  <c r="T178" i="13"/>
  <c r="T70" i="13"/>
  <c r="T102" i="13"/>
  <c r="T321" i="13"/>
  <c r="T146" i="13"/>
  <c r="T147" i="13"/>
  <c r="T148" i="13"/>
  <c r="T103" i="13"/>
  <c r="T134" i="13"/>
  <c r="T128" i="13"/>
  <c r="T129" i="13"/>
  <c r="T149" i="13"/>
  <c r="T107" i="13"/>
  <c r="T91" i="13"/>
  <c r="T131" i="13"/>
  <c r="T33" i="13"/>
  <c r="T48" i="13"/>
  <c r="T27" i="13"/>
  <c r="T75" i="13"/>
  <c r="T11" i="13"/>
  <c r="T6" i="13"/>
  <c r="T114" i="13"/>
  <c r="AT101" i="6" l="1"/>
  <c r="AR1174" i="6"/>
  <c r="AR1182" i="6"/>
  <c r="AR1166" i="6"/>
  <c r="AQ1146" i="6"/>
  <c r="AQ1114" i="6"/>
  <c r="AQ1082" i="6"/>
  <c r="AR1190" i="6"/>
  <c r="AQ1130" i="6"/>
  <c r="AR1178" i="6"/>
  <c r="AR1162" i="6"/>
  <c r="AQ1138" i="6"/>
  <c r="AQ1106" i="6"/>
  <c r="AQ1074" i="6"/>
  <c r="AR1158" i="6"/>
  <c r="AQ1098" i="6"/>
  <c r="AQ3" i="6"/>
  <c r="AR1186" i="6"/>
  <c r="AR1170" i="6"/>
  <c r="AQ1154" i="6"/>
  <c r="AQ1122" i="6"/>
  <c r="AQ1090" i="6"/>
  <c r="AT167" i="6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19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R55" i="6"/>
  <c r="I55" i="6"/>
  <c r="G55" i="6" s="1"/>
  <c r="H55" i="6"/>
  <c r="R46" i="6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R32" i="4"/>
  <c r="J32" i="4"/>
  <c r="E32" i="4"/>
  <c r="L32" i="4" s="1"/>
  <c r="AT13" i="6" l="1"/>
  <c r="AS13" i="6"/>
  <c r="AO14" i="6"/>
  <c r="AU14" i="6" s="1"/>
  <c r="AM13" i="6"/>
  <c r="AR10" i="6"/>
  <c r="AQ10" i="6"/>
  <c r="K32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2" i="4"/>
  <c r="S32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R13" i="4"/>
  <c r="L13" i="4"/>
  <c r="K13" i="4"/>
  <c r="J13" i="4"/>
  <c r="U6" i="5"/>
  <c r="T6" i="5"/>
  <c r="S6" i="5"/>
  <c r="V6" i="5"/>
  <c r="R6" i="5"/>
  <c r="W6" i="5"/>
  <c r="AT15" i="6" l="1"/>
  <c r="AS15" i="6"/>
  <c r="AO16" i="6"/>
  <c r="AU16" i="6" s="1"/>
  <c r="AM15" i="6"/>
  <c r="AQ12" i="6"/>
  <c r="AR12" i="6"/>
  <c r="I38" i="2"/>
  <c r="J37" i="2"/>
  <c r="K37" i="2"/>
  <c r="O13" i="4"/>
  <c r="S13" i="4" s="1"/>
  <c r="R22" i="4"/>
  <c r="L22" i="4"/>
  <c r="K22" i="4"/>
  <c r="J22" i="4"/>
  <c r="K17" i="4"/>
  <c r="K16" i="4"/>
  <c r="K20" i="4"/>
  <c r="K15" i="4"/>
  <c r="K21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27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4" i="4" s="1"/>
  <c r="L179" i="3"/>
  <c r="L180" i="3"/>
  <c r="L181" i="3"/>
  <c r="L182" i="3"/>
  <c r="L183" i="3"/>
  <c r="L184" i="3"/>
  <c r="L185" i="3"/>
  <c r="L186" i="3"/>
  <c r="L187" i="3"/>
  <c r="L188" i="3"/>
  <c r="L189" i="3"/>
  <c r="M4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81" i="3"/>
  <c r="L882" i="3"/>
  <c r="L883" i="3"/>
  <c r="L884" i="3"/>
  <c r="L885" i="3"/>
  <c r="L886" i="3"/>
  <c r="L887" i="3"/>
  <c r="L888" i="3"/>
  <c r="L889" i="3"/>
  <c r="L890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8" i="3"/>
  <c r="L909" i="3"/>
  <c r="L910" i="3"/>
  <c r="L912" i="3"/>
  <c r="L913" i="3"/>
  <c r="L914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4" i="3"/>
  <c r="L1225" i="3"/>
  <c r="L1226" i="3"/>
  <c r="L1227" i="3"/>
  <c r="L1228" i="3"/>
  <c r="L1229" i="3"/>
  <c r="L1230" i="3"/>
  <c r="L1232" i="3"/>
  <c r="L1233" i="3"/>
  <c r="L1234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4" i="3"/>
  <c r="K1225" i="3"/>
  <c r="K1226" i="3"/>
  <c r="K1227" i="3"/>
  <c r="K1228" i="3"/>
  <c r="K1229" i="3"/>
  <c r="K1230" i="3"/>
  <c r="K1231" i="3"/>
  <c r="K1232" i="3"/>
  <c r="K1233" i="3"/>
  <c r="K1234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2" i="3"/>
  <c r="R8" i="3"/>
  <c r="K295" i="3" s="1"/>
  <c r="T8" i="3"/>
  <c r="L295" i="3" s="1"/>
  <c r="T5" i="3"/>
  <c r="L891" i="3" s="1"/>
  <c r="L1370" i="3" l="1"/>
  <c r="L1346" i="3"/>
  <c r="M7" i="4" s="1"/>
  <c r="Q7" i="4" s="1"/>
  <c r="K1370" i="3"/>
  <c r="K1346" i="3"/>
  <c r="I8" i="4"/>
  <c r="N8" i="4" s="1"/>
  <c r="L1327" i="3"/>
  <c r="M8" i="4" s="1"/>
  <c r="Q8" i="4" s="1"/>
  <c r="K1327" i="3"/>
  <c r="L1231" i="3"/>
  <c r="M6" i="4"/>
  <c r="Q6" i="4" s="1"/>
  <c r="I6" i="4"/>
  <c r="N6" i="4" s="1"/>
  <c r="K1235" i="3"/>
  <c r="K1223" i="3"/>
  <c r="L1235" i="3"/>
  <c r="L1223" i="3"/>
  <c r="I7" i="4"/>
  <c r="N7" i="4" s="1"/>
  <c r="L1114" i="3"/>
  <c r="I14" i="4"/>
  <c r="N14" i="4" s="1"/>
  <c r="AT16" i="6"/>
  <c r="AS16" i="6"/>
  <c r="AO17" i="6"/>
  <c r="AU17" i="6" s="1"/>
  <c r="AM16" i="6"/>
  <c r="AR13" i="6"/>
  <c r="AQ13" i="6"/>
  <c r="I32" i="4"/>
  <c r="N32" i="4" s="1"/>
  <c r="M32" i="4"/>
  <c r="Q32" i="4" s="1"/>
  <c r="K38" i="2"/>
  <c r="J38" i="2"/>
  <c r="M23" i="4"/>
  <c r="K1016" i="3"/>
  <c r="L1016" i="3"/>
  <c r="M30" i="4"/>
  <c r="M31" i="4"/>
  <c r="M12" i="4"/>
  <c r="M15" i="4"/>
  <c r="M19" i="4"/>
  <c r="M10" i="4"/>
  <c r="M9" i="4"/>
  <c r="M3" i="4"/>
  <c r="M17" i="4"/>
  <c r="M11" i="4"/>
  <c r="M13" i="4"/>
  <c r="Q13" i="4" s="1"/>
  <c r="M18" i="4"/>
  <c r="M29" i="4"/>
  <c r="M20" i="4"/>
  <c r="M5" i="4"/>
  <c r="M28" i="4"/>
  <c r="M16" i="4"/>
  <c r="M26" i="4"/>
  <c r="I13" i="4"/>
  <c r="N13" i="4" s="1"/>
  <c r="I22" i="4"/>
  <c r="N22" i="4" s="1"/>
  <c r="O22" i="4"/>
  <c r="S22" i="4" s="1"/>
  <c r="K878" i="3"/>
  <c r="K874" i="3"/>
  <c r="K538" i="3"/>
  <c r="L880" i="3"/>
  <c r="L876" i="3"/>
  <c r="L856" i="3"/>
  <c r="M21" i="4" s="1"/>
  <c r="K879" i="3"/>
  <c r="K875" i="3"/>
  <c r="L877" i="3"/>
  <c r="L873" i="3"/>
  <c r="K880" i="3"/>
  <c r="K876" i="3"/>
  <c r="K856" i="3"/>
  <c r="L878" i="3"/>
  <c r="L874" i="3"/>
  <c r="L538" i="3"/>
  <c r="K877" i="3"/>
  <c r="K873" i="3"/>
  <c r="L879" i="3"/>
  <c r="L875" i="3"/>
  <c r="L915" i="3"/>
  <c r="L911" i="3"/>
  <c r="L907" i="3"/>
  <c r="R23" i="4"/>
  <c r="J23" i="4"/>
  <c r="L23" i="4"/>
  <c r="P12" i="14" l="1"/>
  <c r="P10" i="14" s="1"/>
  <c r="O10" i="14"/>
  <c r="Q12" i="14"/>
  <c r="Q10" i="14" s="1"/>
  <c r="M14" i="4"/>
  <c r="Q14" i="4" s="1"/>
  <c r="AT17" i="6"/>
  <c r="AS17" i="6"/>
  <c r="AO18" i="6"/>
  <c r="AU18" i="6" s="1"/>
  <c r="AM17" i="6"/>
  <c r="AR14" i="6"/>
  <c r="AQ14" i="6"/>
  <c r="M22" i="4"/>
  <c r="Q22" i="4" s="1"/>
  <c r="M25" i="4"/>
  <c r="K23" i="4"/>
  <c r="O23" i="4"/>
  <c r="S23" i="4" s="1"/>
  <c r="Q23" i="4"/>
  <c r="R25" i="4"/>
  <c r="L25" i="4"/>
  <c r="K25" i="4"/>
  <c r="J25" i="4"/>
  <c r="R15" i="4"/>
  <c r="L15" i="4"/>
  <c r="J15" i="4"/>
  <c r="R21" i="4"/>
  <c r="L21" i="4"/>
  <c r="J21" i="4"/>
  <c r="R20" i="4"/>
  <c r="L20" i="4"/>
  <c r="J20" i="4"/>
  <c r="R17" i="4"/>
  <c r="L17" i="4"/>
  <c r="J17" i="4"/>
  <c r="T5" i="5"/>
  <c r="U4" i="5"/>
  <c r="T4" i="5"/>
  <c r="V5" i="5"/>
  <c r="U5" i="5"/>
  <c r="R5" i="5"/>
  <c r="W5" i="5"/>
  <c r="W4" i="5"/>
  <c r="S5" i="5"/>
  <c r="V4" i="5"/>
  <c r="S4" i="5"/>
  <c r="AT18" i="6" l="1"/>
  <c r="AS18" i="6"/>
  <c r="AO19" i="6"/>
  <c r="AU19" i="6" s="1"/>
  <c r="AM18" i="6"/>
  <c r="AR15" i="6"/>
  <c r="AQ15" i="6"/>
  <c r="Q25" i="4"/>
  <c r="O25" i="4"/>
  <c r="S25" i="4" s="1"/>
  <c r="O15" i="4"/>
  <c r="S15" i="4" s="1"/>
  <c r="O20" i="4"/>
  <c r="O17" i="4"/>
  <c r="S17" i="4" s="1"/>
  <c r="O21" i="4"/>
  <c r="S21" i="4" s="1"/>
  <c r="S20" i="4"/>
  <c r="Q5" i="5"/>
  <c r="Q4" i="5"/>
  <c r="R4" i="5"/>
  <c r="F66" i="9" l="1"/>
  <c r="G65" i="9"/>
  <c r="G60" i="9"/>
  <c r="K66" i="9"/>
  <c r="O65" i="9"/>
  <c r="O60" i="9"/>
  <c r="J60" i="9"/>
  <c r="N66" i="9"/>
  <c r="N65" i="9"/>
  <c r="I62" i="9"/>
  <c r="I61" i="9"/>
  <c r="M67" i="9"/>
  <c r="Q62" i="9"/>
  <c r="Q61" i="9"/>
  <c r="S66" i="9"/>
  <c r="H60" i="9"/>
  <c r="H66" i="9"/>
  <c r="L65" i="9"/>
  <c r="P60" i="9"/>
  <c r="P66" i="9"/>
  <c r="T65" i="9"/>
  <c r="F60" i="9"/>
  <c r="F62" i="9"/>
  <c r="G61" i="9"/>
  <c r="K67" i="9"/>
  <c r="K62" i="9"/>
  <c r="O61" i="9"/>
  <c r="J61" i="9"/>
  <c r="J67" i="9"/>
  <c r="N62" i="9"/>
  <c r="I60" i="9"/>
  <c r="M66" i="9"/>
  <c r="M65" i="9"/>
  <c r="Q60" i="9"/>
  <c r="S67" i="9"/>
  <c r="S62" i="9"/>
  <c r="H67" i="9"/>
  <c r="L62" i="9"/>
  <c r="L61" i="9"/>
  <c r="P67" i="9"/>
  <c r="T62" i="9"/>
  <c r="T61" i="9"/>
  <c r="F65" i="9"/>
  <c r="F67" i="9"/>
  <c r="G66" i="9"/>
  <c r="K65" i="9"/>
  <c r="K60" i="9"/>
  <c r="O66" i="9"/>
  <c r="J66" i="9"/>
  <c r="J65" i="9"/>
  <c r="N60" i="9"/>
  <c r="I67" i="9"/>
  <c r="M62" i="9"/>
  <c r="M61" i="9"/>
  <c r="Q67" i="9"/>
  <c r="S65" i="9"/>
  <c r="S60" i="9"/>
  <c r="H65" i="9"/>
  <c r="L60" i="9"/>
  <c r="L66" i="9"/>
  <c r="P65" i="9"/>
  <c r="T60" i="9"/>
  <c r="T66" i="9"/>
  <c r="F61" i="9"/>
  <c r="G67" i="9"/>
  <c r="G62" i="9"/>
  <c r="K61" i="9"/>
  <c r="O67" i="9"/>
  <c r="O62" i="9"/>
  <c r="J62" i="9"/>
  <c r="N61" i="9"/>
  <c r="N67" i="9"/>
  <c r="I66" i="9"/>
  <c r="I65" i="9"/>
  <c r="M60" i="9"/>
  <c r="Q66" i="9"/>
  <c r="Q65" i="9"/>
  <c r="S61" i="9"/>
  <c r="H62" i="9"/>
  <c r="H61" i="9"/>
  <c r="L67" i="9"/>
  <c r="P62" i="9"/>
  <c r="P61" i="9"/>
  <c r="T67" i="9"/>
  <c r="H94" i="9"/>
  <c r="H97" i="9"/>
  <c r="H98" i="9"/>
  <c r="H92" i="9"/>
  <c r="H99" i="9"/>
  <c r="H93" i="9"/>
  <c r="G98" i="9"/>
  <c r="F93" i="9"/>
  <c r="F94" i="9"/>
  <c r="T92" i="9"/>
  <c r="S99" i="9"/>
  <c r="S94" i="9"/>
  <c r="G94" i="9"/>
  <c r="F97" i="9"/>
  <c r="F92" i="9"/>
  <c r="T97" i="9"/>
  <c r="S93" i="9"/>
  <c r="S97" i="9"/>
  <c r="G99" i="9"/>
  <c r="G93" i="9"/>
  <c r="F99" i="9"/>
  <c r="T98" i="9"/>
  <c r="T94" i="9"/>
  <c r="S98" i="9"/>
  <c r="G97" i="9"/>
  <c r="G92" i="9"/>
  <c r="F98" i="9"/>
  <c r="T99" i="9"/>
  <c r="T93" i="9"/>
  <c r="S92" i="9"/>
  <c r="AT19" i="6"/>
  <c r="AS19" i="6"/>
  <c r="AO20" i="6"/>
  <c r="AU20" i="6" s="1"/>
  <c r="AM19" i="6"/>
  <c r="AQ16" i="6"/>
  <c r="AR16" i="6"/>
  <c r="I23" i="4"/>
  <c r="N23" i="4" s="1"/>
  <c r="R19" i="4"/>
  <c r="L19" i="4"/>
  <c r="K19" i="4"/>
  <c r="J19" i="4"/>
  <c r="J2" i="4"/>
  <c r="AT20" i="6" l="1"/>
  <c r="AS20" i="6"/>
  <c r="AO21" i="6"/>
  <c r="AU21" i="6" s="1"/>
  <c r="AM20" i="6"/>
  <c r="AR17" i="6"/>
  <c r="AQ17" i="6"/>
  <c r="I25" i="4"/>
  <c r="N25" i="4" s="1"/>
  <c r="Q21" i="4"/>
  <c r="I21" i="4"/>
  <c r="N21" i="4" s="1"/>
  <c r="O20" i="14" s="1"/>
  <c r="I15" i="4"/>
  <c r="N15" i="4" s="1"/>
  <c r="Q15" i="4"/>
  <c r="O19" i="4"/>
  <c r="S19" i="4" s="1"/>
  <c r="AT21" i="6" l="1"/>
  <c r="AS21" i="6"/>
  <c r="AO22" i="6"/>
  <c r="AU22" i="6" s="1"/>
  <c r="AM21" i="6"/>
  <c r="AR18" i="6"/>
  <c r="AQ18" i="6"/>
  <c r="K2" i="4"/>
  <c r="R2" i="4"/>
  <c r="L2" i="4"/>
  <c r="AT22" i="6" l="1"/>
  <c r="AS22" i="6"/>
  <c r="AO23" i="6"/>
  <c r="AU23" i="6" s="1"/>
  <c r="AM22" i="6"/>
  <c r="AR19" i="6"/>
  <c r="AQ19" i="6"/>
  <c r="O2" i="4"/>
  <c r="S2" i="4" s="1"/>
  <c r="T24" i="9"/>
  <c r="T26" i="9" s="1"/>
  <c r="S24" i="9"/>
  <c r="S26" i="9" s="1"/>
  <c r="R24" i="9"/>
  <c r="Q24" i="9"/>
  <c r="P24" i="9"/>
  <c r="O24" i="9"/>
  <c r="N24" i="9"/>
  <c r="M24" i="9"/>
  <c r="L24" i="9"/>
  <c r="K24" i="9"/>
  <c r="J24" i="9"/>
  <c r="I24" i="9"/>
  <c r="H24" i="9"/>
  <c r="H26" i="9" s="1"/>
  <c r="G24" i="9"/>
  <c r="G26" i="9" s="1"/>
  <c r="F24" i="9"/>
  <c r="F26" i="9" s="1"/>
  <c r="R90" i="9" l="1"/>
  <c r="R58" i="9"/>
  <c r="R26" i="9"/>
  <c r="R29" i="9" s="1"/>
  <c r="L26" i="9"/>
  <c r="L30" i="9" s="1"/>
  <c r="L90" i="9"/>
  <c r="P26" i="9"/>
  <c r="P29" i="9" s="1"/>
  <c r="P90" i="9"/>
  <c r="I26" i="9"/>
  <c r="I29" i="9" s="1"/>
  <c r="I90" i="9"/>
  <c r="M26" i="9"/>
  <c r="M34" i="9" s="1"/>
  <c r="M90" i="9"/>
  <c r="Q26" i="9"/>
  <c r="Q29" i="9" s="1"/>
  <c r="Q90" i="9"/>
  <c r="J26" i="9"/>
  <c r="J30" i="9" s="1"/>
  <c r="J90" i="9"/>
  <c r="N26" i="9"/>
  <c r="N28" i="9" s="1"/>
  <c r="N90" i="9"/>
  <c r="K26" i="9"/>
  <c r="K35" i="9" s="1"/>
  <c r="K90" i="9"/>
  <c r="O26" i="9"/>
  <c r="O28" i="9" s="1"/>
  <c r="O90" i="9"/>
  <c r="AT23" i="6"/>
  <c r="AS23" i="6"/>
  <c r="AO24" i="6"/>
  <c r="AU24" i="6" s="1"/>
  <c r="AM23" i="6"/>
  <c r="AQ20" i="6"/>
  <c r="AR20" i="6"/>
  <c r="M33" i="9"/>
  <c r="L34" i="9"/>
  <c r="T35" i="9"/>
  <c r="T28" i="9"/>
  <c r="T33" i="9"/>
  <c r="T29" i="9"/>
  <c r="T34" i="9"/>
  <c r="T30" i="9"/>
  <c r="J28" i="9"/>
  <c r="N34" i="9"/>
  <c r="N29" i="9"/>
  <c r="N35" i="9"/>
  <c r="N30" i="9"/>
  <c r="R35" i="9"/>
  <c r="R28" i="9"/>
  <c r="R34" i="9"/>
  <c r="R30" i="9"/>
  <c r="P34" i="9"/>
  <c r="P35" i="9"/>
  <c r="P30" i="9"/>
  <c r="P33" i="9"/>
  <c r="K29" i="9"/>
  <c r="O34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R29" i="4"/>
  <c r="L29" i="4"/>
  <c r="K29" i="4"/>
  <c r="J29" i="4"/>
  <c r="K33" i="9" l="1"/>
  <c r="J34" i="9"/>
  <c r="M28" i="9"/>
  <c r="R60" i="9"/>
  <c r="R61" i="9"/>
  <c r="R67" i="9"/>
  <c r="U67" i="9" s="1"/>
  <c r="R66" i="9"/>
  <c r="U66" i="9" s="1"/>
  <c r="R65" i="9"/>
  <c r="U65" i="9" s="1"/>
  <c r="R62" i="9"/>
  <c r="N33" i="9"/>
  <c r="J33" i="9"/>
  <c r="M29" i="9"/>
  <c r="R33" i="9"/>
  <c r="K34" i="9"/>
  <c r="K28" i="9"/>
  <c r="K30" i="9"/>
  <c r="J35" i="9"/>
  <c r="J29" i="9"/>
  <c r="I33" i="9"/>
  <c r="I28" i="9"/>
  <c r="I30" i="9"/>
  <c r="I35" i="9"/>
  <c r="I34" i="9"/>
  <c r="M35" i="9"/>
  <c r="M30" i="9"/>
  <c r="L28" i="9"/>
  <c r="L35" i="9"/>
  <c r="L33" i="9"/>
  <c r="L29" i="9"/>
  <c r="Q35" i="9"/>
  <c r="Q30" i="9"/>
  <c r="Q33" i="9"/>
  <c r="Q34" i="9"/>
  <c r="Q28" i="9"/>
  <c r="P28" i="9"/>
  <c r="O33" i="9"/>
  <c r="O35" i="9"/>
  <c r="O30" i="9"/>
  <c r="O29" i="9"/>
  <c r="R98" i="9"/>
  <c r="R99" i="9"/>
  <c r="R92" i="9"/>
  <c r="R97" i="9"/>
  <c r="R93" i="9"/>
  <c r="R94" i="9"/>
  <c r="K97" i="9"/>
  <c r="K92" i="9"/>
  <c r="K98" i="9"/>
  <c r="K93" i="9"/>
  <c r="K99" i="9"/>
  <c r="K94" i="9"/>
  <c r="J99" i="9"/>
  <c r="J97" i="9"/>
  <c r="J92" i="9"/>
  <c r="J94" i="9"/>
  <c r="J98" i="9"/>
  <c r="J93" i="9"/>
  <c r="M98" i="9"/>
  <c r="M99" i="9"/>
  <c r="M94" i="9"/>
  <c r="M92" i="9"/>
  <c r="M93" i="9"/>
  <c r="M97" i="9"/>
  <c r="P97" i="9"/>
  <c r="P98" i="9"/>
  <c r="P93" i="9"/>
  <c r="P99" i="9"/>
  <c r="P94" i="9"/>
  <c r="P92" i="9"/>
  <c r="O97" i="9"/>
  <c r="O98" i="9"/>
  <c r="O93" i="9"/>
  <c r="O94" i="9"/>
  <c r="O92" i="9"/>
  <c r="O99" i="9"/>
  <c r="N99" i="9"/>
  <c r="N94" i="9"/>
  <c r="N97" i="9"/>
  <c r="N92" i="9"/>
  <c r="N93" i="9"/>
  <c r="N98" i="9"/>
  <c r="Q98" i="9"/>
  <c r="Q99" i="9"/>
  <c r="Q94" i="9"/>
  <c r="Q92" i="9"/>
  <c r="Q93" i="9"/>
  <c r="Q97" i="9"/>
  <c r="I98" i="9"/>
  <c r="I99" i="9"/>
  <c r="I94" i="9"/>
  <c r="I97" i="9"/>
  <c r="I92" i="9"/>
  <c r="I93" i="9"/>
  <c r="L97" i="9"/>
  <c r="L98" i="9"/>
  <c r="L93" i="9"/>
  <c r="L99" i="9"/>
  <c r="L94" i="9"/>
  <c r="L92" i="9"/>
  <c r="AT24" i="6"/>
  <c r="AS24" i="6"/>
  <c r="AO25" i="6"/>
  <c r="AU25" i="6" s="1"/>
  <c r="AM24" i="6"/>
  <c r="AR21" i="6"/>
  <c r="AQ21" i="6"/>
  <c r="O29" i="4"/>
  <c r="S29" i="4" s="1"/>
  <c r="R28" i="4"/>
  <c r="R10" i="4"/>
  <c r="R9" i="4"/>
  <c r="R3" i="4"/>
  <c r="R24" i="4"/>
  <c r="R11" i="4"/>
  <c r="R26" i="4"/>
  <c r="R30" i="4"/>
  <c r="R27" i="4"/>
  <c r="R5" i="4"/>
  <c r="R4" i="4"/>
  <c r="R12" i="4"/>
  <c r="R16" i="4"/>
  <c r="R31" i="4"/>
  <c r="R18" i="4"/>
  <c r="O29" i="1"/>
  <c r="M17" i="1"/>
  <c r="M18" i="1" s="1"/>
  <c r="J9" i="4"/>
  <c r="S15" i="1" s="1"/>
  <c r="Q11" i="14" s="1"/>
  <c r="Q9" i="14" s="1"/>
  <c r="J28" i="4"/>
  <c r="J10" i="4"/>
  <c r="J5" i="4"/>
  <c r="J11" i="4"/>
  <c r="J24" i="4"/>
  <c r="J26" i="4"/>
  <c r="J30" i="4"/>
  <c r="J4" i="4"/>
  <c r="J3" i="4"/>
  <c r="J12" i="4"/>
  <c r="J16" i="4"/>
  <c r="J31" i="4"/>
  <c r="J27" i="4"/>
  <c r="J18" i="4"/>
  <c r="L9" i="4"/>
  <c r="L28" i="4"/>
  <c r="L10" i="4"/>
  <c r="L5" i="4"/>
  <c r="L11" i="4"/>
  <c r="L24" i="4"/>
  <c r="L26" i="4"/>
  <c r="L30" i="4"/>
  <c r="L4" i="4"/>
  <c r="L3" i="4"/>
  <c r="L12" i="4"/>
  <c r="L16" i="4"/>
  <c r="L31" i="4"/>
  <c r="L27" i="4"/>
  <c r="L18" i="4"/>
  <c r="N19" i="14" l="1"/>
  <c r="P19" i="14" s="1"/>
  <c r="P18" i="14"/>
  <c r="U34" i="9"/>
  <c r="U35" i="9"/>
  <c r="U33" i="9"/>
  <c r="U97" i="9"/>
  <c r="U99" i="9"/>
  <c r="U98" i="9"/>
  <c r="AT25" i="6"/>
  <c r="AS25" i="6"/>
  <c r="AO26" i="6"/>
  <c r="AU26" i="6" s="1"/>
  <c r="AM25" i="6"/>
  <c r="AQ22" i="6"/>
  <c r="AR22" i="6"/>
  <c r="Q35" i="2"/>
  <c r="Q37" i="2"/>
  <c r="O37" i="2"/>
  <c r="O35" i="2"/>
  <c r="O9" i="4"/>
  <c r="S9" i="4" s="1"/>
  <c r="O4" i="4"/>
  <c r="S4" i="4" s="1"/>
  <c r="O11" i="4"/>
  <c r="S11" i="4" s="1"/>
  <c r="O18" i="4"/>
  <c r="S18" i="4" s="1"/>
  <c r="O24" i="4"/>
  <c r="S24" i="4" s="1"/>
  <c r="O28" i="4"/>
  <c r="S28" i="4" s="1"/>
  <c r="O3" i="4"/>
  <c r="S3" i="4" s="1"/>
  <c r="O31" i="4"/>
  <c r="S31" i="4" s="1"/>
  <c r="O12" i="4"/>
  <c r="S12" i="4" s="1"/>
  <c r="O26" i="4"/>
  <c r="S26" i="4" s="1"/>
  <c r="O10" i="4"/>
  <c r="S10" i="4" s="1"/>
  <c r="O27" i="4"/>
  <c r="S27" i="4" s="1"/>
  <c r="O16" i="4"/>
  <c r="S16" i="4" s="1"/>
  <c r="O30" i="4"/>
  <c r="S30" i="4" s="1"/>
  <c r="O5" i="4"/>
  <c r="S5" i="4" s="1"/>
  <c r="K10" i="4"/>
  <c r="AT26" i="6" l="1"/>
  <c r="AS26" i="6"/>
  <c r="AO27" i="6"/>
  <c r="AU27" i="6" s="1"/>
  <c r="AM26" i="6"/>
  <c r="AR23" i="6"/>
  <c r="AQ23" i="6"/>
  <c r="B35" i="2"/>
  <c r="K18" i="4"/>
  <c r="AT27" i="6" l="1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2" i="4"/>
  <c r="AT29" i="6" l="1"/>
  <c r="AS29" i="6"/>
  <c r="AO30" i="6"/>
  <c r="AU30" i="6" s="1"/>
  <c r="AM29" i="6"/>
  <c r="AR26" i="6"/>
  <c r="AQ26" i="6"/>
  <c r="I24" i="4"/>
  <c r="N24" i="4" s="1"/>
  <c r="I4" i="4"/>
  <c r="N4" i="4" s="1"/>
  <c r="Q27" i="4"/>
  <c r="Q24" i="4"/>
  <c r="Q4" i="4"/>
  <c r="Q20" i="4"/>
  <c r="AT30" i="6" l="1"/>
  <c r="AS30" i="6"/>
  <c r="AO31" i="6"/>
  <c r="AU31" i="6" s="1"/>
  <c r="AM30" i="6"/>
  <c r="AR27" i="6"/>
  <c r="AQ27" i="6"/>
  <c r="Q17" i="4"/>
  <c r="M2" i="4"/>
  <c r="Q2" i="4" s="1"/>
  <c r="I5" i="4"/>
  <c r="N5" i="4" s="1"/>
  <c r="Q19" i="4"/>
  <c r="Q10" i="4"/>
  <c r="P21" i="14" s="1"/>
  <c r="Q30" i="4"/>
  <c r="Q31" i="4"/>
  <c r="Q5" i="4"/>
  <c r="Q26" i="4"/>
  <c r="Q18" i="4"/>
  <c r="Q28" i="4"/>
  <c r="Q16" i="4"/>
  <c r="Q12" i="4"/>
  <c r="Q9" i="4"/>
  <c r="Q29" i="4"/>
  <c r="Q3" i="4"/>
  <c r="Q11" i="4"/>
  <c r="I27" i="4"/>
  <c r="N27" i="4" s="1"/>
  <c r="I17" i="4"/>
  <c r="N17" i="4" s="1"/>
  <c r="M16" i="1"/>
  <c r="M19" i="1" s="1"/>
  <c r="AT31" i="6" l="1"/>
  <c r="AS31" i="6"/>
  <c r="AO32" i="6"/>
  <c r="AU32" i="6" s="1"/>
  <c r="AM31" i="6"/>
  <c r="AQ28" i="6"/>
  <c r="AR28" i="6"/>
  <c r="I20" i="4"/>
  <c r="N20" i="4" s="1"/>
  <c r="I2" i="4"/>
  <c r="N2" i="4" s="1"/>
  <c r="I19" i="4"/>
  <c r="N19" i="4" s="1"/>
  <c r="I16" i="4"/>
  <c r="N16" i="4" s="1"/>
  <c r="I12" i="4"/>
  <c r="N12" i="4" s="1"/>
  <c r="I29" i="4"/>
  <c r="N29" i="4" s="1"/>
  <c r="I31" i="4"/>
  <c r="N31" i="4" s="1"/>
  <c r="I30" i="4"/>
  <c r="N30" i="4" s="1"/>
  <c r="I18" i="4"/>
  <c r="N18" i="4" s="1"/>
  <c r="I10" i="4"/>
  <c r="I26" i="4"/>
  <c r="N26" i="4" s="1"/>
  <c r="I9" i="4"/>
  <c r="N9" i="4" s="1"/>
  <c r="I28" i="4"/>
  <c r="N28" i="4" s="1"/>
  <c r="I11" i="4"/>
  <c r="N11" i="4" s="1"/>
  <c r="I3" i="4"/>
  <c r="N3" i="4" s="1"/>
  <c r="O16" i="1"/>
  <c r="M20" i="1"/>
  <c r="O18" i="1"/>
  <c r="AT32" i="6" l="1"/>
  <c r="AS32" i="6"/>
  <c r="AO33" i="6"/>
  <c r="AU33" i="6" s="1"/>
  <c r="AM32" i="6"/>
  <c r="AR29" i="6"/>
  <c r="AQ29" i="6"/>
  <c r="N10" i="4"/>
  <c r="N20" i="14" s="1"/>
  <c r="P20" i="14" s="1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30" i="4"/>
  <c r="K31" i="4"/>
  <c r="K26" i="4"/>
  <c r="K11" i="4"/>
  <c r="K27" i="4"/>
  <c r="K28" i="4"/>
  <c r="K24" i="4"/>
  <c r="K3" i="4"/>
  <c r="K4" i="4"/>
  <c r="K5" i="4"/>
  <c r="K9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S2" i="6"/>
  <c r="U2" i="6" s="1"/>
  <c r="J6" i="6"/>
  <c r="J7" i="6" s="1"/>
  <c r="J8" i="6" s="1"/>
  <c r="J9" i="6" s="1"/>
  <c r="Q5" i="6"/>
  <c r="W3" i="1"/>
  <c r="X3" i="1" s="1"/>
  <c r="W2" i="1"/>
  <c r="Q4" i="1" l="1"/>
  <c r="O5" i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O6" i="1"/>
  <c r="N31" i="1" s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Q7" i="1" l="1"/>
  <c r="N32" i="1"/>
  <c r="M32" i="1" s="1"/>
  <c r="M31" i="1"/>
  <c r="O8" i="1"/>
  <c r="M9" i="1"/>
  <c r="Q9" i="1" s="1"/>
  <c r="M8" i="1"/>
  <c r="O9" i="1" s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6" i="6"/>
  <c r="O24" i="2"/>
  <c r="O22" i="2"/>
  <c r="O23" i="2"/>
  <c r="P23" i="2"/>
  <c r="P24" i="2"/>
  <c r="P22" i="2"/>
  <c r="O7" i="6" l="1"/>
  <c r="O31" i="1"/>
  <c r="N33" i="1"/>
  <c r="O33" i="1" s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O37" i="1" l="1"/>
  <c r="P12" i="1"/>
  <c r="N34" i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<sst xmlns="http://schemas.openxmlformats.org/spreadsheetml/2006/main" count="7525" uniqueCount="889">
  <si>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</si>
  <si>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</si>
  <si>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</si>
  <si>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</si>
  <si>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</si>
  <si>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</si>
  <si>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</si>
  <si>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</si>
  <si>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</si>
  <si>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</si>
  <si>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</si>
  <si>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</si>
  <si>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</si>
  <si>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</si>
  <si>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</si>
  <si>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</si>
  <si>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</si>
  <si>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</si>
  <si>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</si>
  <si>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</si>
  <si>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</si>
  <si>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</si>
  <si>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</si>
  <si>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</si>
  <si>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</si>
  <si>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</si>
  <si>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</si>
  <si>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</si>
  <si>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</si>
  <si>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</si>
  <si>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</si>
  <si>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</si>
  <si>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</si>
  <si>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</si>
  <si>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</si>
  <si>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</si>
  <si>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</si>
  <si>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</si>
  <si>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</si>
  <si>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</si>
  <si>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</si>
  <si>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</si>
  <si>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</si>
  <si>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</si>
  <si>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</si>
  <si>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</si>
  <si>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</si>
  <si>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</si>
  <si>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</si>
  <si>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</si>
  <si>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</si>
  <si>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</si>
  <si>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</si>
  <si>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</si>
  <si>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</si>
  <si>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</si>
  <si>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</si>
  <si>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</si>
  <si>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</si>
  <si>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</si>
  <si>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</si>
  <si>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</si>
  <si>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</si>
  <si>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</si>
  <si>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</si>
  <si>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</si>
  <si>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</si>
  <si>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</si>
  <si>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</si>
  <si>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</si>
  <si>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</si>
  <si>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</si>
  <si>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</si>
  <si>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</si>
  <si>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</si>
  <si>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</si>
  <si>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</si>
  <si>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</si>
  <si>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</si>
  <si>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</si>
  <si>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</si>
  <si>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</si>
  <si>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</si>
  <si>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</si>
  <si>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</si>
  <si>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</si>
  <si>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</si>
  <si>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</si>
  <si>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</si>
  <si>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</si>
  <si>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</si>
  <si>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</si>
  <si>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</si>
  <si>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</si>
  <si>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</si>
  <si>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</si>
  <si>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</si>
  <si>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</si>
  <si>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</si>
  <si>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</si>
  <si>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</si>
  <si>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</si>
  <si>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</si>
  <si>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</si>
  <si>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</si>
  <si>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</si>
  <si>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</si>
  <si>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</si>
  <si>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</si>
  <si>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</si>
  <si>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</si>
  <si>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</si>
  <si>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</si>
  <si>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</si>
  <si>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</si>
  <si>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</si>
  <si>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</si>
  <si>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</si>
  <si>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</si>
  <si>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</si>
  <si>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</si>
  <si>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</si>
  <si>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</si>
  <si>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</si>
  <si>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</si>
  <si>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</si>
  <si>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</si>
  <si>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</si>
  <si>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</si>
  <si>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</si>
  <si>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</si>
  <si>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</si>
  <si>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</si>
  <si>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</si>
  <si>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</si>
  <si>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</si>
  <si>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</si>
  <si>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</si>
  <si>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</si>
  <si>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</si>
  <si>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</si>
  <si>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</si>
  <si>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</si>
  <si>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</si>
  <si>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</si>
  <si>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</si>
  <si>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</si>
  <si>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</si>
  <si>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</si>
  <si>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</si>
  <si>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</si>
  <si>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</si>
  <si>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</si>
  <si>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</si>
  <si>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</si>
  <si>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</si>
  <si>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</si>
  <si>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</si>
  <si>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</si>
  <si>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</si>
  <si>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</si>
  <si>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</si>
  <si>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</si>
  <si>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</si>
  <si>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</si>
  <si>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</si>
  <si>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</si>
  <si>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</si>
  <si>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</si>
  <si>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</si>
  <si>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</si>
  <si>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</si>
  <si>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</si>
  <si>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</si>
  <si>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</si>
  <si>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</si>
  <si>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</si>
  <si>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</si>
  <si>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</si>
  <si>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</si>
  <si>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</si>
  <si>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</si>
  <si>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</si>
  <si>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</si>
  <si>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</si>
  <si>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</si>
  <si>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</si>
  <si>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</si>
  <si>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</si>
  <si>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</si>
  <si>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</si>
  <si>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</si>
  <si>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</si>
  <si>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</si>
  <si>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</si>
  <si>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</si>
  <si>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</si>
  <si>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</si>
  <si>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</si>
  <si>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</si>
  <si>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</si>
  <si>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</si>
  <si>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</si>
  <si>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</si>
  <si>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</si>
  <si>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</si>
  <si>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</si>
  <si>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</si>
  <si>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</si>
  <si>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</si>
  <si>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</si>
  <si>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</si>
  <si>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</si>
  <si>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</si>
  <si>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</si>
  <si>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</si>
  <si>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</si>
  <si>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</si>
  <si>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</si>
  <si>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</si>
  <si>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</si>
  <si>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</si>
  <si>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</si>
  <si>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</si>
  <si>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</si>
  <si>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</si>
  <si>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</si>
  <si>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</si>
  <si>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</si>
  <si>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</si>
  <si>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</si>
  <si>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</si>
  <si>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</si>
  <si>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</si>
  <si>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</si>
  <si>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</si>
  <si>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</si>
  <si>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</si>
  <si>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</si>
  <si>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</si>
  <si>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</si>
  <si>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</si>
  <si>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</si>
  <si>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</si>
  <si>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</si>
  <si>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</si>
  <si>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</si>
  <si>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</si>
  <si>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</si>
  <si>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</si>
  <si>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</si>
  <si>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</si>
  <si>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</si>
  <si>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</si>
  <si>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</si>
  <si>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</si>
  <si>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</si>
  <si>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</si>
  <si>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</si>
  <si>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</si>
  <si>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</si>
  <si>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</si>
  <si>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</si>
  <si>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</si>
  <si>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</si>
  <si>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</si>
  <si>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</si>
  <si>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</si>
  <si>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</si>
  <si>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</si>
  <si>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</si>
  <si>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</si>
  <si>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</si>
  <si>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</si>
  <si>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</si>
  <si>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</si>
  <si>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</si>
  <si>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</si>
  <si>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</si>
  <si>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</si>
  <si>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</si>
  <si>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</si>
  <si>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</si>
  <si>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</si>
  <si>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</si>
  <si>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</si>
  <si>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</si>
  <si>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</si>
  <si>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</si>
  <si>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</si>
  <si>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</si>
  <si>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</si>
  <si>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</si>
  <si>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</si>
  <si>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</si>
  <si>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</si>
  <si>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</si>
  <si>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</si>
  <si>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</si>
  <si>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</si>
  <si>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</si>
  <si>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</si>
  <si>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</si>
  <si>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</si>
  <si>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</si>
  <si>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</si>
  <si>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</si>
  <si>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</si>
  <si>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</si>
  <si>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</si>
  <si>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</si>
  <si>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</si>
  <si>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</si>
  <si>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</si>
  <si>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</si>
  <si>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</si>
  <si>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</si>
  <si>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</si>
  <si>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</si>
  <si>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</si>
  <si>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</si>
  <si>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</si>
  <si>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</si>
  <si>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</si>
  <si>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</si>
  <si>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</si>
  <si>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</si>
  <si>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</si>
  <si>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</si>
  <si>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</si>
  <si>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</si>
  <si>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</si>
  <si>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</si>
  <si>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</si>
  <si>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</si>
  <si>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</si>
  <si>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</si>
  <si>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</si>
  <si>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</si>
  <si>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</si>
  <si>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</si>
  <si>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</si>
  <si>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</si>
  <si>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</si>
  <si>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</si>
  <si>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</si>
  <si>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</si>
  <si>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</si>
  <si>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</si>
  <si>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</si>
  <si>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</si>
  <si>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</si>
  <si>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</si>
  <si>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</si>
  <si>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</si>
  <si>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</si>
  <si>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</si>
  <si>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</si>
  <si>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</si>
  <si>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</si>
  <si>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</si>
  <si>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</si>
  <si>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</si>
  <si>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</si>
  <si>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</si>
  <si>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</si>
  <si>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</si>
  <si>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</si>
  <si>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</si>
  <si>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</si>
  <si>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</si>
  <si>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</si>
  <si>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</si>
  <si>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</si>
  <si>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</si>
  <si>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</si>
  <si>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</si>
  <si>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</si>
  <si>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</si>
  <si>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</si>
  <si>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</si>
  <si>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</si>
  <si>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</si>
  <si>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</si>
  <si>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</si>
  <si>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</si>
  <si>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</si>
  <si>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</si>
  <si>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</si>
  <si>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</si>
  <si>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</si>
  <si>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</si>
  <si>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</si>
  <si>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</si>
  <si>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</si>
  <si>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</si>
  <si>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</si>
  <si>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</si>
  <si>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</si>
  <si>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</si>
  <si>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</si>
  <si>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</si>
  <si>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</si>
  <si>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</si>
  <si>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</si>
  <si>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</si>
  <si>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</si>
  <si>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</si>
  <si>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</si>
  <si>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</si>
  <si>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</si>
  <si>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</si>
  <si>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</si>
  <si>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</si>
  <si>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</si>
  <si>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</si>
  <si>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</si>
  <si>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</si>
  <si>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</si>
  <si>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</si>
  <si>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</si>
  <si>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</si>
  <si>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</si>
  <si>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</si>
  <si>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</si>
  <si>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</si>
  <si>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</si>
  <si>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</si>
  <si>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</si>
  <si>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</si>
  <si>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</si>
  <si>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</si>
  <si>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</si>
  <si>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</si>
  <si>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</si>
  <si>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</si>
  <si>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</si>
  <si>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</si>
  <si>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</si>
  <si>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</si>
  <si>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</si>
  <si>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</si>
  <si>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</si>
  <si>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</si>
  <si>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</si>
  <si>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</si>
  <si>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</si>
  <si>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</si>
  <si>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</si>
  <si>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</si>
  <si>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</si>
  <si>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</si>
  <si>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</si>
  <si>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</si>
  <si>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</si>
  <si>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</si>
  <si>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</si>
  <si>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</si>
  <si>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</si>
  <si>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</si>
  <si>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</si>
  <si>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</si>
  <si>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</si>
  <si>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</si>
  <si>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</si>
  <si>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</si>
  <si>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</si>
  <si>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</si>
  <si>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</si>
  <si>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</si>
  <si>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</si>
  <si>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</si>
  <si>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</si>
  <si>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</si>
  <si>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</si>
  <si>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</si>
  <si>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</si>
  <si>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</si>
  <si>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</si>
  <si>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</si>
  <si>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</si>
  <si>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</si>
  <si>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</si>
  <si>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</si>
  <si>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</si>
  <si>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</si>
  <si>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</si>
  <si>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</si>
  <si>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</si>
  <si>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</si>
  <si>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</si>
  <si>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</si>
  <si>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</si>
  <si>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</si>
  <si>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</si>
  <si>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</si>
  <si>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</si>
  <si>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</si>
  <si>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</si>
  <si>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</si>
  <si>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</si>
  <si>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</si>
  <si>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</si>
  <si>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</si>
  <si>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</si>
  <si>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</si>
  <si>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</si>
  <si>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</si>
  <si>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</si>
  <si>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</si>
  <si>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</si>
  <si>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</si>
  <si>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</si>
  <si>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</si>
  <si>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</si>
  <si>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</si>
  <si>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</si>
  <si>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</si>
  <si>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</si>
  <si>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</si>
  <si>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</si>
  <si>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</si>
  <si>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</si>
  <si>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</si>
  <si>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</si>
  <si>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</si>
  <si>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</si>
  <si>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</si>
  <si>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</si>
  <si>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</si>
  <si>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</si>
  <si>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</si>
  <si>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</si>
  <si>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</si>
  <si>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</si>
  <si>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</si>
  <si>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</si>
  <si>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</si>
  <si>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</si>
  <si>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</si>
  <si>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</si>
  <si>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</si>
  <si>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</si>
  <si>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</si>
  <si>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</si>
  <si>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</si>
  <si>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</si>
  <si>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</si>
  <si>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</si>
  <si>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</si>
  <si>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</si>
  <si>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</si>
  <si>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</si>
  <si>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</si>
  <si>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</si>
  <si>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</si>
  <si>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</si>
  <si>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</si>
  <si>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</si>
  <si>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</si>
  <si>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</si>
  <si>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</si>
  <si>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</si>
  <si>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</si>
  <si>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</si>
  <si>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</si>
  <si>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</si>
  <si>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</si>
  <si>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</si>
  <si>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</si>
  <si>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</si>
  <si>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</si>
  <si>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</si>
  <si>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</si>
  <si>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</si>
  <si>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</si>
  <si>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</si>
  <si>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</si>
  <si>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</si>
  <si>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</si>
  <si>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</si>
  <si>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</si>
  <si>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</si>
  <si>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</si>
  <si>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</si>
  <si>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</si>
  <si>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</si>
  <si>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</si>
  <si>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</si>
  <si>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</si>
  <si>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</si>
  <si>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</si>
  <si>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</si>
  <si>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</si>
  <si>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</si>
  <si>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</si>
  <si>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</si>
  <si>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</si>
  <si>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</si>
  <si>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</si>
  <si>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</si>
  <si>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</si>
  <si>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</si>
  <si>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</si>
  <si>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</si>
  <si>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</si>
  <si>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</si>
  <si>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</si>
  <si>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</si>
  <si>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</si>
  <si>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</si>
  <si>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</si>
  <si>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</si>
  <si>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</si>
  <si>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</si>
  <si>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</si>
  <si>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</si>
  <si>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</si>
  <si>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</si>
  <si>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</si>
  <si>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</si>
  <si>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</si>
  <si>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</si>
  <si>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</si>
  <si>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</si>
  <si>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</si>
  <si>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</si>
  <si>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</si>
  <si>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</si>
  <si>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</si>
  <si>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</si>
  <si>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</si>
  <si>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</si>
  <si>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</si>
  <si>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</si>
  <si>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</si>
  <si>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</si>
  <si>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</si>
  <si>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</si>
  <si>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</si>
  <si>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</si>
  <si>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</si>
  <si>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</si>
  <si>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</si>
  <si>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</si>
  <si>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</si>
  <si>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</si>
  <si>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</si>
  <si>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</si>
  <si>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</si>
  <si>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</si>
  <si>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</si>
  <si>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</si>
  <si>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</si>
  <si>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</si>
  <si>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</si>
  <si>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</si>
  <si>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</si>
  <si>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</si>
  <si>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</si>
  <si>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</si>
  <si>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</si>
  <si>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</si>
  <si>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</si>
  <si>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</si>
  <si>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</si>
  <si>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</si>
  <si>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</si>
  <si>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</si>
  <si>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</si>
  <si>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</si>
  <si>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</si>
  <si>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</si>
  <si>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</si>
  <si>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</si>
  <si>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</si>
  <si>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</si>
  <si>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</si>
  <si>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</si>
  <si>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</si>
  <si>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</si>
  <si>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</si>
  <si>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</si>
  <si>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</si>
  <si>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</si>
  <si>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</si>
  <si>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</si>
  <si>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</si>
  <si>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</si>
  <si>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</si>
  <si>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</si>
  <si>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</si>
  <si>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</si>
  <si>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</si>
  <si>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</si>
  <si>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</si>
  <si>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</si>
  <si>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</si>
  <si>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</si>
  <si>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</si>
  <si>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</si>
  <si>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</si>
  <si>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</si>
  <si>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</si>
  <si>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</si>
  <si>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</si>
  <si>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</si>
  <si>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</si>
  <si>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</si>
  <si>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</si>
  <si>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</si>
  <si>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</si>
  <si>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</si>
  <si>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</si>
  <si>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</si>
  <si>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</si>
  <si>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</si>
  <si>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</si>
  <si>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</si>
  <si>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</si>
  <si>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</si>
  <si>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</si>
  <si>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</si>
  <si>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</si>
  <si>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</si>
  <si>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</si>
  <si>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</si>
  <si>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</si>
  <si>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</si>
  <si>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</si>
  <si>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</si>
  <si>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</si>
  <si>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</si>
  <si>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</si>
  <si>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</si>
  <si>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</si>
  <si>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</si>
  <si>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</si>
  <si>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</si>
  <si>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</si>
  <si>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</si>
  <si>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</si>
  <si>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</si>
  <si>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</si>
  <si>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</si>
  <si>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</si>
  <si>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</si>
  <si>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</si>
  <si>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</si>
  <si>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</si>
  <si>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</si>
  <si>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</si>
  <si>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</si>
  <si>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</si>
  <si>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</si>
  <si>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</si>
  <si>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</si>
  <si>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</si>
  <si>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</si>
  <si>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</si>
  <si>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</si>
  <si>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</si>
  <si>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</si>
  <si>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</si>
  <si>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</si>
  <si>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</si>
  <si>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</si>
  <si>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</si>
  <si>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</si>
  <si>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</si>
  <si>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</si>
  <si>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</si>
  <si>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</si>
  <si>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</si>
  <si>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</si>
  <si>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</si>
  <si>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</si>
  <si>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</si>
  <si>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</si>
  <si>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</si>
  <si>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</si>
  <si>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</si>
  <si>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</si>
  <si>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</si>
  <si>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</si>
  <si>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</si>
  <si>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</si>
  <si>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</si>
  <si>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</si>
  <si>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</si>
  <si>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</si>
  <si>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</si>
  <si>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</si>
  <si>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</si>
  <si>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</si>
  <si>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</si>
  <si>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</si>
  <si>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</si>
  <si>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</si>
  <si>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</si>
  <si>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</si>
  <si>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</si>
  <si>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</si>
  <si>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</si>
  <si>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</si>
  <si>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</si>
  <si>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</si>
  <si>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</si>
  <si>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</si>
  <si>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</si>
  <si>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</si>
  <si>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</si>
  <si>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</si>
  <si>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</si>
  <si>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</si>
  <si>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</si>
  <si>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</si>
  <si>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</si>
  <si>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</si>
  <si>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</si>
  <si>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</si>
  <si>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</si>
  <si>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</si>
  <si>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</si>
  <si>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</si>
  <si>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</si>
  <si>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</si>
  <si>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</si>
  <si>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</si>
  <si>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</si>
  <si>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</si>
  <si>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</si>
  <si>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</si>
  <si>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</si>
  <si>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</si>
  <si>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</si>
  <si>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</si>
  <si>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</si>
  <si>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</si>
  <si>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</si>
  <si>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</si>
  <si>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</si>
  <si>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</si>
  <si>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</si>
  <si>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</si>
  <si>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</si>
  <si>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</si>
  <si>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</si>
  <si>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</si>
  <si>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</si>
  <si>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</si>
  <si>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</si>
  <si>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</si>
  <si>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</si>
  <si>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</si>
  <si>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</si>
  <si>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</si>
  <si>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</si>
  <si>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</si>
  <si>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</si>
  <si>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</si>
  <si>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</si>
  <si>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</si>
  <si>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</si>
  <si>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</si>
  <si>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</si>
  <si>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</si>
  <si>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</si>
  <si>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</si>
  <si>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</si>
  <si>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</si>
  <si>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</si>
  <si>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</si>
  <si>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</si>
  <si>
    <t>1Devilmon Cryst cost</t>
  </si>
  <si>
    <t>Devilmon cryst worth</t>
  </si>
  <si>
    <t>Mana gain from Cryst burn</t>
  </si>
  <si>
    <t>Mana gain/zl</t>
  </si>
  <si>
    <t>Faimon Farm</t>
  </si>
  <si>
    <t>1188 XP</t>
  </si>
  <si>
    <t>Halls Cost</t>
  </si>
  <si>
    <t>950 Energy</t>
  </si>
  <si>
    <t>Mana gain</t>
  </si>
  <si>
    <t>Cryst on refills</t>
  </si>
  <si>
    <t>Fod XP worth</t>
  </si>
  <si>
    <t>Total Cost</t>
  </si>
  <si>
    <t>Giant Farm</t>
  </si>
  <si>
    <t>Devil Pack</t>
  </si>
  <si>
    <t>3 devilmon with 15d packs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</si>
</sst>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29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26" xfId="0" applyBorder="1"/>
    <xf numFmtId="0" fontId="6" fillId="0" borderId="27" xfId="0" applyFont="1" applyBorder="1"/>
    <xf numFmtId="3" fontId="6" fillId="0" borderId="27" xfId="0" applyNumberFormat="1" applyFont="1" applyBorder="1"/>
    <xf numFmtId="4" fontId="0" fillId="0" borderId="26" xfId="0" applyNumberFormat="1" applyBorder="1"/>
    <xf numFmtId="4" fontId="0" fillId="0" borderId="28" xfId="0" applyNumberFormat="1" applyBorder="1"/>
    <xf numFmtId="0" fontId="0" fillId="0" borderId="29" xfId="0" applyBorder="1"/>
    <xf numFmtId="3" fontId="6" fillId="0" borderId="30" xfId="0" applyNumberFormat="1" applyFont="1" applyBorder="1"/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2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3" formatCode="#,##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2E-2"/>
          <c:w val="0.72971464242649275"/>
          <c:h val="0.89097169207608606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571200"/>
        <c:axId val="203572736"/>
      </c:lineChart>
      <c:catAx>
        <c:axId val="203571200"/>
        <c:scaling>
          <c:orientation val="minMax"/>
        </c:scaling>
        <c:delete val="0"/>
        <c:axPos val="b"/>
        <c:majorTickMark val="out"/>
        <c:minorTickMark val="none"/>
        <c:tickLblPos val="nextTo"/>
        <c:crossAx val="203572736"/>
        <c:crosses val="autoZero"/>
        <c:auto val="1"/>
        <c:lblAlgn val="ctr"/>
        <c:lblOffset val="100"/>
        <c:noMultiLvlLbl val="0"/>
      </c:catAx>
      <c:valAx>
        <c:axId val="2035727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35712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6.654743865744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n v="4220"/>
    <n v="1"/>
    <s v="Blue"/>
    <n v="1"/>
    <x v="8"/>
    <n v="11560"/>
    <n v="11560"/>
    <n v="0"/>
    <n v="0"/>
    <m/>
  </r>
  <r>
    <x v="14"/>
    <x v="0"/>
    <x v="10"/>
    <n v="3765"/>
    <n v="0"/>
    <s v="Blue"/>
    <n v="1"/>
    <x v="7"/>
    <n v="3904"/>
    <n v="3904"/>
    <n v="0"/>
    <n v="0"/>
    <m/>
  </r>
  <r>
    <x v="14"/>
    <x v="0"/>
    <x v="10"/>
    <n v="4073"/>
    <n v="3"/>
    <s v="Scroll"/>
    <n v="4"/>
    <x v="2"/>
    <n v="0"/>
    <n v="8000"/>
    <n v="0"/>
    <n v="3200"/>
    <m/>
  </r>
  <r>
    <x v="14"/>
    <x v="0"/>
    <x v="10"/>
    <n v="3957"/>
    <n v="0"/>
    <s v="Violet"/>
    <n v="1"/>
    <x v="8"/>
    <n v="6375"/>
    <n v="6375"/>
    <n v="0"/>
    <n v="0"/>
    <m/>
  </r>
  <r>
    <x v="14"/>
    <x v="0"/>
    <x v="10"/>
    <n v="3704"/>
    <n v="2"/>
    <s v="Blue"/>
    <n v="1"/>
    <x v="8"/>
    <n v="11560"/>
    <n v="11560"/>
    <n v="0"/>
    <n v="0"/>
    <m/>
  </r>
  <r>
    <x v="14"/>
    <x v="0"/>
    <x v="10"/>
    <n v="4168"/>
    <n v="1"/>
    <s v="Rainb"/>
    <n v="1"/>
    <x v="1"/>
    <n v="0"/>
    <n v="0"/>
    <n v="11500"/>
    <n v="35822"/>
    <m/>
  </r>
  <r>
    <x v="14"/>
    <x v="0"/>
    <x v="10"/>
    <n v="4443"/>
    <n v="2"/>
    <s v="Blue"/>
    <n v="1"/>
    <x v="8"/>
    <n v="11560"/>
    <n v="11560"/>
    <n v="0"/>
    <n v="0"/>
    <m/>
  </r>
  <r>
    <x v="14"/>
    <x v="0"/>
    <x v="10"/>
    <n v="4007"/>
    <n v="0"/>
    <s v="Blue"/>
    <n v="1"/>
    <x v="8"/>
    <n v="12240"/>
    <n v="12240"/>
    <n v="0"/>
    <n v="0"/>
    <m/>
  </r>
  <r>
    <x v="14"/>
    <x v="0"/>
    <x v="10"/>
    <n v="4304"/>
    <n v="2"/>
    <s v="Blue"/>
    <n v="1"/>
    <x v="9"/>
    <n v="20288"/>
    <n v="20288"/>
    <n v="0"/>
    <n v="0"/>
    <m/>
  </r>
  <r>
    <x v="14"/>
    <x v="0"/>
    <x v="10"/>
    <n v="3825"/>
    <n v="1"/>
    <s v="Violet"/>
    <n v="1"/>
    <x v="9"/>
    <n v="17118"/>
    <n v="17118"/>
    <n v="0"/>
    <n v="0"/>
    <m/>
  </r>
  <r>
    <x v="14"/>
    <x v="0"/>
    <x v="10"/>
    <n v="3952"/>
    <n v="0"/>
    <s v="Blue"/>
    <n v="1"/>
    <x v="7"/>
    <n v="3445"/>
    <n v="3445"/>
    <n v="0"/>
    <n v="0"/>
    <m/>
  </r>
  <r>
    <x v="14"/>
    <x v="0"/>
    <x v="10"/>
    <n v="3837"/>
    <n v="0"/>
    <s v="Blue"/>
    <n v="1"/>
    <x v="9"/>
    <n v="18861"/>
    <n v="18861"/>
    <n v="0"/>
    <n v="0"/>
    <m/>
  </r>
  <r>
    <x v="14"/>
    <x v="0"/>
    <x v="10"/>
    <n v="3964"/>
    <n v="2"/>
    <s v="Blue"/>
    <n v="1"/>
    <x v="8"/>
    <n v="8075"/>
    <n v="8075"/>
    <n v="0"/>
    <n v="0"/>
    <m/>
  </r>
  <r>
    <x v="14"/>
    <x v="0"/>
    <x v="10"/>
    <n v="3954"/>
    <n v="1"/>
    <s v="Blue"/>
    <n v="1"/>
    <x v="8"/>
    <n v="5440"/>
    <n v="5440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3708"/>
    <n v="2"/>
    <s v="Scroll"/>
    <n v="5"/>
    <x v="2"/>
    <n v="0"/>
    <n v="10000"/>
    <n v="0"/>
    <n v="4000"/>
    <m/>
  </r>
  <r>
    <x v="14"/>
    <x v="0"/>
    <x v="10"/>
    <n v="3596"/>
    <n v="3"/>
    <s v="Blue"/>
    <n v="1"/>
    <x v="9"/>
    <n v="10144"/>
    <n v="10144"/>
    <n v="0"/>
    <n v="0"/>
    <m/>
  </r>
  <r>
    <x v="14"/>
    <x v="0"/>
    <x v="10"/>
    <n v="3997"/>
    <n v="2"/>
    <s v="Rainb"/>
    <n v="1"/>
    <x v="1"/>
    <n v="0"/>
    <n v="0"/>
    <n v="11500"/>
    <n v="35822"/>
    <m/>
  </r>
  <r>
    <x v="14"/>
    <x v="0"/>
    <x v="10"/>
    <n v="4264"/>
    <n v="0"/>
    <s v="Scroll"/>
    <n v="4"/>
    <x v="2"/>
    <n v="0"/>
    <n v="8000"/>
    <n v="0"/>
    <n v="3200"/>
    <m/>
  </r>
  <r>
    <x v="14"/>
    <x v="0"/>
    <x v="10"/>
    <n v="4199"/>
    <n v="3"/>
    <s v="Blue"/>
    <n v="1"/>
    <x v="8"/>
    <n v="5440"/>
    <n v="5440"/>
    <n v="0"/>
    <n v="0"/>
    <m/>
  </r>
  <r>
    <x v="14"/>
    <x v="0"/>
    <x v="10"/>
    <n v="4060"/>
    <n v="2"/>
    <s v="Scroll"/>
    <n v="4"/>
    <x v="2"/>
    <n v="0"/>
    <n v="8000"/>
    <n v="0"/>
    <n v="3200"/>
    <m/>
  </r>
  <r>
    <x v="14"/>
    <x v="0"/>
    <x v="10"/>
    <n v="3943"/>
    <n v="3"/>
    <s v="Scroll"/>
    <n v="4"/>
    <x v="2"/>
    <n v="0"/>
    <n v="8000"/>
    <n v="0"/>
    <n v="3200"/>
    <m/>
  </r>
  <r>
    <x v="14"/>
    <x v="0"/>
    <x v="10"/>
    <n v="4141"/>
    <n v="1"/>
    <s v="Scroll"/>
    <n v="4"/>
    <x v="2"/>
    <n v="0"/>
    <n v="8000"/>
    <n v="0"/>
    <n v="3200"/>
    <m/>
  </r>
  <r>
    <x v="14"/>
    <x v="0"/>
    <x v="10"/>
    <n v="4075"/>
    <n v="0"/>
    <s v="Scroll"/>
    <n v="4"/>
    <x v="2"/>
    <n v="0"/>
    <n v="8000"/>
    <n v="0"/>
    <n v="3200"/>
    <m/>
  </r>
  <r>
    <x v="14"/>
    <x v="0"/>
    <x v="10"/>
    <n v="4269"/>
    <n v="1"/>
    <s v="Blue"/>
    <n v="1"/>
    <x v="7"/>
    <n v="6431"/>
    <n v="6431"/>
    <n v="0"/>
    <n v="0"/>
    <m/>
  </r>
  <r>
    <x v="14"/>
    <x v="0"/>
    <x v="10"/>
    <n v="3888"/>
    <n v="2"/>
    <s v="Scroll"/>
    <n v="5"/>
    <x v="2"/>
    <n v="0"/>
    <n v="10000"/>
    <n v="0"/>
    <n v="4000"/>
    <m/>
  </r>
  <r>
    <x v="14"/>
    <x v="0"/>
    <x v="10"/>
    <n v="3672"/>
    <n v="1"/>
    <s v="Blue"/>
    <n v="1"/>
    <x v="7"/>
    <n v="6120"/>
    <n v="6120"/>
    <n v="0"/>
    <n v="0"/>
    <m/>
  </r>
  <r>
    <x v="14"/>
    <x v="0"/>
    <x v="10"/>
    <n v="3924"/>
    <n v="1"/>
    <s v="Blue"/>
    <n v="1"/>
    <x v="8"/>
    <n v="12920"/>
    <n v="12920"/>
    <n v="0"/>
    <n v="0"/>
    <m/>
  </r>
  <r>
    <x v="14"/>
    <x v="0"/>
    <x v="10"/>
    <n v="4086"/>
    <n v="1"/>
    <s v="Blue"/>
    <n v="1"/>
    <x v="7"/>
    <n v="6120"/>
    <n v="6120"/>
    <n v="0"/>
    <n v="0"/>
    <m/>
  </r>
  <r>
    <x v="14"/>
    <x v="0"/>
    <x v="10"/>
    <n v="3956"/>
    <n v="1"/>
    <s v="Scroll"/>
    <n v="4"/>
    <x v="2"/>
    <n v="0"/>
    <n v="8000"/>
    <n v="0"/>
    <n v="3200"/>
    <m/>
  </r>
  <r>
    <x v="14"/>
    <x v="0"/>
    <x v="10"/>
    <n v="4121"/>
    <n v="2"/>
    <s v="Violet"/>
    <n v="1"/>
    <x v="9"/>
    <n v="27103"/>
    <n v="27103"/>
    <n v="0"/>
    <n v="0"/>
    <m/>
  </r>
  <r>
    <x v="14"/>
    <x v="0"/>
    <x v="10"/>
    <n v="3864"/>
    <n v="1"/>
    <s v="Scroll"/>
    <n v="4"/>
    <x v="2"/>
    <n v="0"/>
    <n v="8000"/>
    <n v="0"/>
    <n v="3200"/>
    <m/>
  </r>
  <r>
    <x v="14"/>
    <x v="0"/>
    <x v="10"/>
    <n v="4144"/>
    <n v="2"/>
    <s v="Blue"/>
    <n v="1"/>
    <x v="7"/>
    <n v="3445"/>
    <n v="3445"/>
    <n v="0"/>
    <n v="0"/>
    <m/>
  </r>
  <r>
    <x v="14"/>
    <x v="0"/>
    <x v="10"/>
    <n v="3884"/>
    <n v="1"/>
    <s v="Blue"/>
    <n v="1"/>
    <x v="7"/>
    <n v="3675"/>
    <n v="3675"/>
    <n v="0"/>
    <n v="0"/>
    <m/>
  </r>
  <r>
    <x v="14"/>
    <x v="0"/>
    <x v="10"/>
    <n v="4186"/>
    <n v="0"/>
    <s v="Violet"/>
    <n v="1"/>
    <x v="8"/>
    <n v="17000"/>
    <n v="17000"/>
    <n v="0"/>
    <n v="0"/>
    <m/>
  </r>
  <r>
    <x v="14"/>
    <x v="0"/>
    <x v="10"/>
    <n v="3886"/>
    <n v="0"/>
    <s v="Scroll"/>
    <n v="5"/>
    <x v="2"/>
    <n v="0"/>
    <n v="10000"/>
    <n v="0"/>
    <n v="4000"/>
    <m/>
  </r>
  <r>
    <x v="14"/>
    <x v="0"/>
    <x v="10"/>
    <n v="4242"/>
    <n v="2"/>
    <s v="Blue"/>
    <n v="1"/>
    <x v="7"/>
    <n v="4364"/>
    <n v="4364"/>
    <n v="0"/>
    <n v="0"/>
    <m/>
  </r>
  <r>
    <x v="14"/>
    <x v="0"/>
    <x v="10"/>
    <n v="4062"/>
    <n v="1"/>
    <s v="Blue"/>
    <n v="1"/>
    <x v="7"/>
    <n v="2940"/>
    <n v="2940"/>
    <n v="0"/>
    <n v="0"/>
    <m/>
  </r>
  <r>
    <x v="14"/>
    <x v="0"/>
    <x v="10"/>
    <n v="4025"/>
    <n v="1"/>
    <s v="Blue"/>
    <n v="1"/>
    <x v="8"/>
    <n v="6800"/>
    <n v="6800"/>
    <n v="0"/>
    <n v="0"/>
    <m/>
  </r>
  <r>
    <x v="14"/>
    <x v="0"/>
    <x v="10"/>
    <n v="4416"/>
    <n v="3"/>
    <s v="Blue"/>
    <n v="1"/>
    <x v="7"/>
    <n v="6615"/>
    <n v="6615"/>
    <n v="0"/>
    <n v="0"/>
    <m/>
  </r>
  <r>
    <x v="14"/>
    <x v="0"/>
    <x v="10"/>
    <n v="3856"/>
    <n v="2"/>
    <s v="Violet"/>
    <n v="1"/>
    <x v="7"/>
    <n v="6615"/>
    <n v="6615"/>
    <n v="0"/>
    <n v="0"/>
    <m/>
  </r>
  <r>
    <x v="14"/>
    <x v="0"/>
    <x v="10"/>
    <n v="4170"/>
    <n v="2"/>
    <s v="Scroll"/>
    <n v="4"/>
    <x v="2"/>
    <n v="0"/>
    <n v="8000"/>
    <n v="0"/>
    <n v="3200"/>
    <m/>
  </r>
  <r>
    <x v="14"/>
    <x v="0"/>
    <x v="10"/>
    <n v="4152"/>
    <n v="1"/>
    <s v="Blue"/>
    <n v="1"/>
    <x v="7"/>
    <n v="6247"/>
    <n v="6247"/>
    <n v="0"/>
    <n v="0"/>
    <m/>
  </r>
  <r>
    <x v="14"/>
    <x v="0"/>
    <x v="10"/>
    <n v="3678"/>
    <n v="0"/>
    <s v="Violet"/>
    <n v="1"/>
    <x v="8"/>
    <n v="10200"/>
    <n v="10200"/>
    <n v="0"/>
    <n v="0"/>
    <m/>
  </r>
  <r>
    <x v="14"/>
    <x v="0"/>
    <x v="10"/>
    <n v="4310"/>
    <n v="2"/>
    <s v="Blue"/>
    <n v="1"/>
    <x v="7"/>
    <n v="5100"/>
    <n v="5100"/>
    <n v="0"/>
    <n v="0"/>
    <m/>
  </r>
  <r>
    <x v="14"/>
    <x v="0"/>
    <x v="10"/>
    <n v="3697"/>
    <n v="0"/>
    <s v="Blue"/>
    <n v="1"/>
    <x v="7"/>
    <n v="2940"/>
    <n v="2940"/>
    <n v="0"/>
    <n v="0"/>
    <m/>
  </r>
  <r>
    <x v="14"/>
    <x v="0"/>
    <x v="10"/>
    <n v="4208"/>
    <n v="1"/>
    <s v="Blue"/>
    <n v="1"/>
    <x v="7"/>
    <n v="5788"/>
    <n v="5788"/>
    <n v="0"/>
    <n v="0"/>
    <m/>
  </r>
  <r>
    <x v="14"/>
    <x v="0"/>
    <x v="10"/>
    <n v="4465"/>
    <n v="2"/>
    <s v="Blue"/>
    <n v="1"/>
    <x v="7"/>
    <n v="4134"/>
    <n v="4134"/>
    <n v="0"/>
    <n v="0"/>
    <m/>
  </r>
  <r>
    <x v="14"/>
    <x v="0"/>
    <x v="10"/>
    <n v="3829"/>
    <n v="2"/>
    <s v="Blue"/>
    <n v="1"/>
    <x v="7"/>
    <n v="6982"/>
    <n v="6982"/>
    <n v="0"/>
    <n v="0"/>
    <m/>
  </r>
  <r>
    <x v="14"/>
    <x v="0"/>
    <x v="10"/>
    <n v="4194"/>
    <n v="0"/>
    <s v="Blue"/>
    <n v="1"/>
    <x v="7"/>
    <n v="3307"/>
    <n v="3307"/>
    <n v="0"/>
    <n v="0"/>
    <m/>
  </r>
  <r>
    <x v="14"/>
    <x v="0"/>
    <x v="10"/>
    <n v="3953"/>
    <n v="0"/>
    <s v="Blue"/>
    <n v="1"/>
    <x v="8"/>
    <n v="6800"/>
    <n v="6800"/>
    <n v="0"/>
    <n v="0"/>
    <m/>
  </r>
  <r>
    <x v="14"/>
    <x v="0"/>
    <x v="10"/>
    <n v="3831"/>
    <n v="0"/>
    <s v="Blue"/>
    <n v="1"/>
    <x v="8"/>
    <n v="5780"/>
    <n v="5780"/>
    <n v="0"/>
    <n v="0"/>
    <m/>
  </r>
  <r>
    <x v="14"/>
    <x v="0"/>
    <x v="10"/>
    <n v="3852"/>
    <n v="0"/>
    <s v="Blue"/>
    <n v="1"/>
    <x v="9"/>
    <n v="17752"/>
    <n v="17752"/>
    <n v="0"/>
    <n v="0"/>
    <m/>
  </r>
  <r>
    <x v="14"/>
    <x v="0"/>
    <x v="10"/>
    <n v="4081"/>
    <n v="2"/>
    <s v="Scroll"/>
    <n v="4"/>
    <x v="2"/>
    <n v="0"/>
    <n v="8000"/>
    <n v="0"/>
    <n v="3200"/>
    <m/>
  </r>
  <r>
    <x v="14"/>
    <x v="0"/>
    <x v="10"/>
    <n v="4016"/>
    <n v="1"/>
    <s v="Blue"/>
    <n v="1"/>
    <x v="7"/>
    <n v="6100"/>
    <n v="6100"/>
    <n v="0"/>
    <n v="0"/>
    <m/>
  </r>
  <r>
    <x v="14"/>
    <x v="0"/>
    <x v="10"/>
    <n v="4213"/>
    <n v="0"/>
    <s v="Blue"/>
    <n v="1"/>
    <x v="8"/>
    <n v="8075"/>
    <n v="8075"/>
    <n v="0"/>
    <n v="0"/>
    <m/>
  </r>
  <r>
    <x v="14"/>
    <x v="0"/>
    <x v="10"/>
    <n v="3708"/>
    <n v="1"/>
    <s v="Violet"/>
    <n v="1"/>
    <x v="7"/>
    <n v="4961"/>
    <n v="4961"/>
    <n v="0"/>
    <n v="0"/>
    <m/>
  </r>
  <r>
    <x v="14"/>
    <x v="0"/>
    <x v="11"/>
    <n v="4889"/>
    <n v="2"/>
    <s v="Blue"/>
    <n v="1"/>
    <x v="8"/>
    <n v="15300"/>
    <n v="15300"/>
    <n v="0"/>
    <n v="0"/>
    <m/>
  </r>
  <r>
    <x v="14"/>
    <x v="0"/>
    <x v="10"/>
    <n v="4352"/>
    <n v="1"/>
    <s v="Blue"/>
    <n v="1"/>
    <x v="9"/>
    <n v="15850"/>
    <n v="15850"/>
    <n v="0"/>
    <n v="0"/>
    <m/>
  </r>
  <r>
    <x v="14"/>
    <x v="0"/>
    <x v="10"/>
    <n v="4128"/>
    <n v="0"/>
    <s v="Blue"/>
    <n v="1"/>
    <x v="8"/>
    <n v="10710"/>
    <n v="10710"/>
    <n v="0"/>
    <n v="0"/>
    <m/>
  </r>
  <r>
    <x v="14"/>
    <x v="0"/>
    <x v="10"/>
    <n v="4086"/>
    <n v="1"/>
    <s v="Blue"/>
    <n v="1"/>
    <x v="7"/>
    <n v="1593"/>
    <n v="1593"/>
    <n v="0"/>
    <n v="0"/>
    <m/>
  </r>
  <r>
    <x v="14"/>
    <x v="0"/>
    <x v="10"/>
    <n v="3994"/>
    <n v="1"/>
    <s v="Scroll"/>
    <n v="5"/>
    <x v="2"/>
    <n v="0"/>
    <n v="10000"/>
    <n v="0"/>
    <n v="4000"/>
    <m/>
  </r>
  <r>
    <x v="14"/>
    <x v="0"/>
    <x v="10"/>
    <n v="3963"/>
    <n v="1"/>
    <s v="Blue"/>
    <n v="1"/>
    <x v="8"/>
    <n v="5440"/>
    <n v="5440"/>
    <n v="0"/>
    <n v="0"/>
    <m/>
  </r>
  <r>
    <x v="14"/>
    <x v="0"/>
    <x v="10"/>
    <n v="4372"/>
    <n v="1"/>
    <s v="Blue"/>
    <n v="1"/>
    <x v="7"/>
    <n v="2756"/>
    <n v="2756"/>
    <n v="0"/>
    <n v="0"/>
    <m/>
  </r>
  <r>
    <x v="14"/>
    <x v="0"/>
    <x v="10"/>
    <n v="4374"/>
    <n v="1"/>
    <s v="Scroll"/>
    <n v="5"/>
    <x v="2"/>
    <n v="0"/>
    <n v="10000"/>
    <n v="0"/>
    <n v="4000"/>
    <m/>
  </r>
  <r>
    <x v="14"/>
    <x v="0"/>
    <x v="10"/>
    <n v="3694"/>
    <n v="1"/>
    <s v="Blue"/>
    <n v="1"/>
    <x v="8"/>
    <n v="10115"/>
    <n v="10115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1">
      <calculatedColumnFormula>MAXA(-(4*M1-Tabela6[[#This Row],[Done]]),0)</calculatedColumnFormula>
    </tableColumn>
    <tableColumn id="4" name="XP to gain" dataDxfId="120"/>
    <tableColumn id="6" name="Mana Cost" dataDxfId="119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8"/>
    <tableColumn id="5" name="Kolumna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7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6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5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4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2" name="LocFeatures" displayName="LocFeatures" ref="A1:W94" totalsRowShown="0">
  <autoFilter ref="A1:W94"/>
  <sortState ref="A2:V94">
    <sortCondition ref="A2:A94"/>
    <sortCondition ref="B2:B94"/>
    <sortCondition ref="C2:C94"/>
  </sortState>
  <tableColumns count="23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3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2">
      <calculatedColumnFormula>4*LocFeatures[[#This Row],[XP Gain per member]]</calculatedColumnFormula>
    </tableColumn>
    <tableColumn id="11" name="XP Train Gain"/>
    <tableColumn id="22" name="XP drop" dataDxfId="111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0">
      <calculatedColumnFormula>LocFeatures[[#This Row],[XP Train Gain]]/(LocFeatures[[#This Row],[E. Cost]]-LocFeatures[[#This Row],[Energy gain]])</calculatedColumnFormula>
    </tableColumn>
    <tableColumn id="14" name="Kolumna1" dataDxfId="109">
      <calculatedColumnFormula>LocFeatures[[#This Row],[XP drop]]/(LocFeatures[[#This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descending="1" ref="T2:T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2"/>
  <sheetViews>
    <sheetView tabSelected="1" topLeftCell="E1" workbookViewId="0">
      <selection activeCell="J21" sqref="J21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3" max="13" width="12.5" bestFit="1" customWidth="1"/>
    <col min="14" max="14" width="16.25" bestFit="1" customWidth="1"/>
    <col min="15" max="15" width="11.875" bestFit="1" customWidth="1"/>
    <col min="16" max="16" width="11.375" bestFit="1" customWidth="1"/>
    <col min="17" max="17" width="11.875" bestFit="1" customWidth="1"/>
    <col min="18" max="18" width="11.375" bestFit="1" customWidth="1"/>
  </cols>
  <sheetData>
    <row r="1" spans="1:18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8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  <c r="Q2">
        <v>750</v>
      </c>
    </row>
    <row r="3" spans="1:18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8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8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8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8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  <c r="Q7">
        <v>199</v>
      </c>
    </row>
    <row r="8" spans="1:18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  <c r="Q8">
        <v>1</v>
      </c>
    </row>
    <row r="9" spans="1:18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  <c r="Q9">
        <f>(Q11+Q2)/Q7</f>
        <v>12.434020152829399</v>
      </c>
    </row>
    <row r="10" spans="1:18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  <c r="N10" t="s">
        <v>877</v>
      </c>
      <c r="O10" s="50">
        <f>O12/O7*(1+O3)</f>
        <v>72855.677045454562</v>
      </c>
      <c r="P10" s="50">
        <f>P12/P7*(1+P3)</f>
        <v>48226.969889982633</v>
      </c>
      <c r="Q10" s="50">
        <f>Q12/Q7*(1+Q3)</f>
        <v>17433.75856555505</v>
      </c>
    </row>
    <row r="11" spans="1:18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  <c r="N11" t="s">
        <v>875</v>
      </c>
      <c r="Q11">
        <f>3*'EXP lvls'!S15</f>
        <v>1724.3700104130503</v>
      </c>
    </row>
    <row r="12" spans="1:18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  <c r="N12" t="s">
        <v>876</v>
      </c>
      <c r="O12" s="50">
        <f>'Location features'!$N$14*(76*O2/30+O4)*O8</f>
        <v>1387727.1818181819</v>
      </c>
      <c r="P12" s="50">
        <f>'Location features'!$N$14*(76*P2/30+P4)*P8</f>
        <v>5678725.7045454551</v>
      </c>
      <c r="Q12" s="50">
        <f>'Location features'!$N$14*76*Q2/30*Q8</f>
        <v>3469317.9545454551</v>
      </c>
    </row>
    <row r="13" spans="1:18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8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8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  <c r="N15" s="204" t="s">
        <v>888</v>
      </c>
      <c r="O15" s="205"/>
      <c r="P15" s="206"/>
      <c r="Q15" t="s">
        <v>886</v>
      </c>
      <c r="R15" t="s">
        <v>887</v>
      </c>
    </row>
    <row r="16" spans="1:18" ht="15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  <c r="N16" s="197" t="s">
        <v>878</v>
      </c>
      <c r="O16" s="6" t="s">
        <v>880</v>
      </c>
      <c r="P16" s="198" t="s">
        <v>885</v>
      </c>
    </row>
    <row r="17" spans="1:18" ht="15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  <c r="N17" s="197" t="s">
        <v>879</v>
      </c>
      <c r="O17" s="6" t="s">
        <v>881</v>
      </c>
      <c r="P17" s="198"/>
    </row>
    <row r="18" spans="1:18" ht="15">
      <c r="M18" t="s">
        <v>280</v>
      </c>
      <c r="N18" s="197">
        <f>1188/2.5/3*('Location features'!D10-'Location features'!J10)*3</f>
        <v>1452.9103448275862</v>
      </c>
      <c r="O18" s="6">
        <f>950*3</f>
        <v>2850</v>
      </c>
      <c r="P18" s="199">
        <f>SUM(N18,O18)</f>
        <v>4302.9103448275864</v>
      </c>
      <c r="Q18">
        <f>1434*3</f>
        <v>4302</v>
      </c>
      <c r="R18">
        <f>76*R19/30</f>
        <v>1900</v>
      </c>
    </row>
    <row r="19" spans="1:18" ht="15">
      <c r="F19" s="36" t="s">
        <v>793</v>
      </c>
      <c r="G19" s="36">
        <f>SUM(Tabela20[Cryst/Month])</f>
        <v>1665</v>
      </c>
      <c r="M19" t="s">
        <v>883</v>
      </c>
      <c r="N19" s="197">
        <f>N18/76*30</f>
        <v>573.51724137931024</v>
      </c>
      <c r="O19" s="6">
        <f>O18/76*30</f>
        <v>1125</v>
      </c>
      <c r="P19" s="199">
        <f>SUM(N19,O19)</f>
        <v>1698.5172413793102</v>
      </c>
      <c r="Q19">
        <v>1699</v>
      </c>
      <c r="R19">
        <v>750</v>
      </c>
    </row>
    <row r="20" spans="1:18" ht="15">
      <c r="M20" t="s">
        <v>882</v>
      </c>
      <c r="N20" s="200">
        <f>N18*'Location features'!N10</f>
        <v>2359236.9103448275</v>
      </c>
      <c r="O20" s="39">
        <f>O18*'Location features'!N21</f>
        <v>2629104.4964028774</v>
      </c>
      <c r="P20" s="199">
        <f>SUM(N20,O20)</f>
        <v>4988341.4067477044</v>
      </c>
      <c r="Q20" s="1">
        <f>'Location features'!$N$14*Crystals!Q18</f>
        <v>7855266.2318181824</v>
      </c>
      <c r="R20" s="1">
        <f>'Location features'!$N$14*Crystals!R18</f>
        <v>3469317.9545454551</v>
      </c>
    </row>
    <row r="21" spans="1:18" ht="15">
      <c r="M21" t="s">
        <v>884</v>
      </c>
      <c r="N21" s="201">
        <f>N18*'Location features'!P10</f>
        <v>352969.82068965514</v>
      </c>
      <c r="O21" s="202">
        <v>0</v>
      </c>
      <c r="P21" s="203">
        <f>SUM(N21,O21)</f>
        <v>352969.82068965514</v>
      </c>
      <c r="Q21" s="1">
        <f>Q18*'Location features'!$P$14</f>
        <v>2132029.8095454546</v>
      </c>
      <c r="R21" s="1">
        <f>R18*'Location features'!$P$14</f>
        <v>941621.71969696973</v>
      </c>
    </row>
    <row r="22" spans="1:18">
      <c r="M22" t="s">
        <v>72</v>
      </c>
      <c r="P22">
        <f>(O7+P7)*P19/(15*(O2+P2+P6))</f>
        <v>153.15914728682171</v>
      </c>
      <c r="R22">
        <v>200</v>
      </c>
    </row>
  </sheetData>
  <mergeCells count="1">
    <mergeCell ref="N15:P1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topLeftCell="C1" workbookViewId="0">
      <selection activeCell="S15" sqref="S15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19" max="19" width="18.625" bestFit="1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4</v>
      </c>
      <c r="N3">
        <v>1</v>
      </c>
      <c r="O3" s="43">
        <v>0</v>
      </c>
      <c r="P3" s="1">
        <v>0</v>
      </c>
      <c r="Q3" s="1">
        <f>Tabela6[[#This Row],[Missing]]*22300</f>
        <v>89200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4</v>
      </c>
      <c r="N4">
        <v>0</v>
      </c>
      <c r="O4" s="43">
        <f>MAXA(Tabela6[[#This Row],[Done]]-M3,0)</f>
        <v>0</v>
      </c>
      <c r="P4" s="1">
        <f>M4*$B$5</f>
        <v>759000</v>
      </c>
      <c r="Q4" s="1">
        <f>Tabela6[[#This Row],[Missing]]*9600</f>
        <v>38400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16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12</v>
      </c>
      <c r="O6" s="43">
        <f>MAXA(-(M5+M4-O5-Tabela6[[#This Row],[Done]]),0)</f>
        <v>8</v>
      </c>
      <c r="P6" s="1">
        <f>M6*$B$4</f>
        <v>0</v>
      </c>
      <c r="Q6" s="1">
        <f>Tabela6[[#This Row],[Missing]]*4000</f>
        <v>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12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48000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12</v>
      </c>
      <c r="N8">
        <v>0</v>
      </c>
      <c r="O8" s="43">
        <f>MAXA(-(M7+M6-O7-Tabela6[[#This Row],[Done]]),0)</f>
        <v>0</v>
      </c>
      <c r="P8" s="1">
        <f>M8*$B$3</f>
        <v>429864</v>
      </c>
      <c r="Q8" s="1">
        <f>Tabela6[[#This Row],[Missing]]*4000</f>
        <v>48000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24</v>
      </c>
      <c r="N9">
        <v>0</v>
      </c>
      <c r="O9" s="43">
        <f>MAXA(-(2*M7+M8-Tabela6[[#This Row],[Done]]),0)</f>
        <v>0</v>
      </c>
      <c r="P9" s="39"/>
      <c r="Q9" s="39">
        <f>Tabela6[[#This Row],[Missing]]*11000</f>
        <v>264000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1188864</v>
      </c>
      <c r="Q12" s="38">
        <f>SUM(Q3:Q9)</f>
        <v>487600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  <c r="S14" t="s">
        <v>874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  <c r="S15">
        <f>(1190/2.5/3*('Location features'!D9-'Location features'!J9)+Fusion!U97)/76*30</f>
        <v>574.7900034710168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v>0</v>
      </c>
      <c r="N28">
        <v>3</v>
      </c>
      <c r="O28" s="1">
        <f>Tabela610[[#This Row],[Missing]]*$B$6</f>
        <v>0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1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8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3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4</v>
      </c>
      <c r="N33">
        <f>O8</f>
        <v>0</v>
      </c>
      <c r="O33" s="1">
        <f>M33*$B$3</f>
        <v>143288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v>8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143288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997"/>
  <sheetViews>
    <sheetView zoomScale="85" zoomScaleNormal="85" workbookViewId="0">
      <pane ySplit="1" topLeftCell="A1405" activePane="bottomLeft" state="frozen"/>
      <selection pane="bottomLeft" activeCell="E1453" sqref="E1453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35</v>
      </c>
      <c r="R12" s="43">
        <v>6</v>
      </c>
      <c r="S12" s="43">
        <v>3</v>
      </c>
      <c r="T12" s="43">
        <v>46</v>
      </c>
      <c r="U12" s="43">
        <v>43</v>
      </c>
      <c r="V12" s="43">
        <v>10</v>
      </c>
      <c r="W12" s="43">
        <v>4</v>
      </c>
      <c r="X12" s="43">
        <v>147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24</v>
      </c>
      <c r="R15" s="43">
        <v>4</v>
      </c>
      <c r="S15" s="43">
        <v>2</v>
      </c>
      <c r="T15" s="43">
        <v>35</v>
      </c>
      <c r="U15" s="43">
        <v>32</v>
      </c>
      <c r="V15" s="43">
        <v>9</v>
      </c>
      <c r="W15" s="43">
        <v>4</v>
      </c>
      <c r="X15" s="43">
        <v>110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6</v>
      </c>
      <c r="V16" s="43">
        <v>1</v>
      </c>
      <c r="W16" s="43"/>
      <c r="X16" s="43">
        <v>16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95</v>
      </c>
      <c r="R25" s="43">
        <v>17</v>
      </c>
      <c r="S25" s="43">
        <v>10</v>
      </c>
      <c r="T25" s="43">
        <v>132</v>
      </c>
      <c r="U25" s="43">
        <v>148</v>
      </c>
      <c r="V25" s="43">
        <v>22</v>
      </c>
      <c r="W25" s="43">
        <v>25</v>
      </c>
      <c r="X25" s="43">
        <v>450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D1372">
        <v>3765</v>
      </c>
      <c r="E1372">
        <v>0</v>
      </c>
      <c r="F1372" t="s">
        <v>258</v>
      </c>
      <c r="G1372">
        <v>1</v>
      </c>
      <c r="H1372" t="s">
        <v>27</v>
      </c>
      <c r="I1372">
        <v>3904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D1373">
        <v>4073</v>
      </c>
      <c r="E1373">
        <v>3</v>
      </c>
      <c r="F1373" t="s">
        <v>34</v>
      </c>
      <c r="G1373">
        <v>4</v>
      </c>
      <c r="H1373" t="s">
        <v>17</v>
      </c>
      <c r="I1373">
        <v>0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3200</v>
      </c>
    </row>
    <row r="1374" spans="1:12">
      <c r="A1374" t="s">
        <v>178</v>
      </c>
      <c r="B1374" t="s">
        <v>9</v>
      </c>
      <c r="C1374">
        <v>9</v>
      </c>
      <c r="D1374">
        <v>3957</v>
      </c>
      <c r="E1374">
        <v>0</v>
      </c>
      <c r="F1374" t="s">
        <v>291</v>
      </c>
      <c r="G1374">
        <v>1</v>
      </c>
      <c r="H1374" t="s">
        <v>28</v>
      </c>
      <c r="I1374">
        <v>6375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D1375">
        <v>3704</v>
      </c>
      <c r="E1375">
        <v>2</v>
      </c>
      <c r="F1375" t="s">
        <v>258</v>
      </c>
      <c r="G1375">
        <v>1</v>
      </c>
      <c r="H1375" t="s">
        <v>28</v>
      </c>
      <c r="I1375">
        <v>11560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D1376">
        <v>4168</v>
      </c>
      <c r="E1376">
        <v>1</v>
      </c>
      <c r="F1376" t="s">
        <v>58</v>
      </c>
      <c r="G1376">
        <v>1</v>
      </c>
      <c r="H1376" t="s">
        <v>12</v>
      </c>
      <c r="I1376">
        <v>0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11500</v>
      </c>
      <c r="L1376" s="43">
        <f>IFERROR(SUMIFS(Tabela10[Exp Gain only 2*+],Tabela10[Drop],DropAnalityka[[#This Row],[Drop]],Tabela10[Grade],DropAnalityka[[#This Row],[Grade]])*DropAnalityka[[#This Row],[Quality/Quantity]],0)</f>
        <v>35822</v>
      </c>
    </row>
    <row r="1377" spans="1:12">
      <c r="A1377" t="s">
        <v>178</v>
      </c>
      <c r="B1377" t="s">
        <v>9</v>
      </c>
      <c r="C1377">
        <v>9</v>
      </c>
      <c r="D1377">
        <v>4443</v>
      </c>
      <c r="E1377">
        <v>2</v>
      </c>
      <c r="F1377" t="s">
        <v>258</v>
      </c>
      <c r="G1377">
        <v>1</v>
      </c>
      <c r="H1377" t="s">
        <v>28</v>
      </c>
      <c r="I1377">
        <v>11560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D1378">
        <v>4007</v>
      </c>
      <c r="E1378">
        <v>0</v>
      </c>
      <c r="F1378" t="s">
        <v>258</v>
      </c>
      <c r="G1378">
        <v>1</v>
      </c>
      <c r="H1378" t="s">
        <v>28</v>
      </c>
      <c r="I1378">
        <v>12240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D1379">
        <v>4304</v>
      </c>
      <c r="E1379">
        <v>2</v>
      </c>
      <c r="F1379" t="s">
        <v>258</v>
      </c>
      <c r="G1379">
        <v>1</v>
      </c>
      <c r="H1379" t="s">
        <v>29</v>
      </c>
      <c r="I1379">
        <v>20288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D1380">
        <v>3825</v>
      </c>
      <c r="E1380">
        <v>1</v>
      </c>
      <c r="F1380" t="s">
        <v>291</v>
      </c>
      <c r="G1380">
        <v>1</v>
      </c>
      <c r="H1380" t="s">
        <v>29</v>
      </c>
      <c r="I1380">
        <v>17118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17118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D1381">
        <v>3952</v>
      </c>
      <c r="E1381">
        <v>0</v>
      </c>
      <c r="F1381" t="s">
        <v>258</v>
      </c>
      <c r="G1381">
        <v>1</v>
      </c>
      <c r="H1381" t="s">
        <v>27</v>
      </c>
      <c r="I1381">
        <v>3445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D1382">
        <v>3837</v>
      </c>
      <c r="E1382">
        <v>0</v>
      </c>
      <c r="F1382" t="s">
        <v>258</v>
      </c>
      <c r="G1382">
        <v>1</v>
      </c>
      <c r="H1382" t="s">
        <v>29</v>
      </c>
      <c r="I1382">
        <v>18861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18861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D1383">
        <v>3964</v>
      </c>
      <c r="E1383">
        <v>2</v>
      </c>
      <c r="F1383" t="s">
        <v>258</v>
      </c>
      <c r="G1383">
        <v>1</v>
      </c>
      <c r="H1383" t="s">
        <v>28</v>
      </c>
      <c r="I1383">
        <v>8075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A1384" t="s">
        <v>178</v>
      </c>
      <c r="B1384" t="s">
        <v>9</v>
      </c>
      <c r="C1384">
        <v>9</v>
      </c>
      <c r="D1384">
        <v>3954</v>
      </c>
      <c r="E1384">
        <v>1</v>
      </c>
      <c r="F1384" t="s">
        <v>258</v>
      </c>
      <c r="G1384">
        <v>1</v>
      </c>
      <c r="H1384" t="s">
        <v>28</v>
      </c>
      <c r="I1384">
        <v>5440</v>
      </c>
      <c r="J1384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A1385" t="s">
        <v>178</v>
      </c>
      <c r="B1385" t="s">
        <v>9</v>
      </c>
      <c r="C1385">
        <v>9</v>
      </c>
      <c r="D1385">
        <v>3909</v>
      </c>
      <c r="E1385">
        <v>0</v>
      </c>
      <c r="F1385" t="s">
        <v>34</v>
      </c>
      <c r="G1385">
        <v>5</v>
      </c>
      <c r="H1385" t="s">
        <v>17</v>
      </c>
      <c r="I1385">
        <v>0</v>
      </c>
      <c r="J138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4000</v>
      </c>
    </row>
    <row r="1386" spans="1:12">
      <c r="A1386" t="s">
        <v>178</v>
      </c>
      <c r="B1386" t="s">
        <v>9</v>
      </c>
      <c r="C1386">
        <v>9</v>
      </c>
      <c r="D1386">
        <v>3708</v>
      </c>
      <c r="E1386">
        <v>2</v>
      </c>
      <c r="F1386" t="s">
        <v>34</v>
      </c>
      <c r="G1386">
        <v>5</v>
      </c>
      <c r="H1386" t="s">
        <v>17</v>
      </c>
      <c r="I1386">
        <v>0</v>
      </c>
      <c r="J138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4000</v>
      </c>
    </row>
    <row r="1387" spans="1:12">
      <c r="A1387" t="s">
        <v>178</v>
      </c>
      <c r="B1387" t="s">
        <v>9</v>
      </c>
      <c r="C1387">
        <v>9</v>
      </c>
      <c r="D1387">
        <v>3596</v>
      </c>
      <c r="E1387">
        <v>3</v>
      </c>
      <c r="F1387" t="s">
        <v>258</v>
      </c>
      <c r="G1387">
        <v>1</v>
      </c>
      <c r="H1387" t="s">
        <v>29</v>
      </c>
      <c r="I1387">
        <v>10144</v>
      </c>
      <c r="J138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A1388" t="s">
        <v>178</v>
      </c>
      <c r="B1388" t="s">
        <v>9</v>
      </c>
      <c r="C1388">
        <v>9</v>
      </c>
      <c r="D1388">
        <v>3997</v>
      </c>
      <c r="E1388">
        <v>2</v>
      </c>
      <c r="F1388" t="s">
        <v>58</v>
      </c>
      <c r="G1388">
        <v>1</v>
      </c>
      <c r="H1388" t="s">
        <v>12</v>
      </c>
      <c r="I1388">
        <v>0</v>
      </c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11500</v>
      </c>
      <c r="L1388" s="43">
        <f>IFERROR(SUMIFS(Tabela10[Exp Gain only 2*+],Tabela10[Drop],DropAnalityka[[#This Row],[Drop]],Tabela10[Grade],DropAnalityka[[#This Row],[Grade]])*DropAnalityka[[#This Row],[Quality/Quantity]],0)</f>
        <v>35822</v>
      </c>
    </row>
    <row r="1389" spans="1:12">
      <c r="A1389" t="s">
        <v>178</v>
      </c>
      <c r="B1389" t="s">
        <v>9</v>
      </c>
      <c r="C1389">
        <v>9</v>
      </c>
      <c r="D1389">
        <v>4264</v>
      </c>
      <c r="E1389">
        <v>0</v>
      </c>
      <c r="F1389" t="s">
        <v>34</v>
      </c>
      <c r="G1389">
        <v>4</v>
      </c>
      <c r="H1389" t="s">
        <v>17</v>
      </c>
      <c r="I1389">
        <v>0</v>
      </c>
      <c r="J13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3200</v>
      </c>
    </row>
    <row r="1390" spans="1:12">
      <c r="A1390" t="s">
        <v>178</v>
      </c>
      <c r="B1390" t="s">
        <v>9</v>
      </c>
      <c r="C1390">
        <v>9</v>
      </c>
      <c r="D1390">
        <v>4199</v>
      </c>
      <c r="E1390">
        <v>3</v>
      </c>
      <c r="F1390" t="s">
        <v>258</v>
      </c>
      <c r="G1390">
        <v>1</v>
      </c>
      <c r="H1390" t="s">
        <v>28</v>
      </c>
      <c r="I1390">
        <v>5440</v>
      </c>
      <c r="J139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A1391" t="s">
        <v>178</v>
      </c>
      <c r="B1391" t="s">
        <v>9</v>
      </c>
      <c r="C1391">
        <v>9</v>
      </c>
      <c r="D1391">
        <v>4060</v>
      </c>
      <c r="E1391">
        <v>2</v>
      </c>
      <c r="F1391" t="s">
        <v>34</v>
      </c>
      <c r="G1391">
        <v>4</v>
      </c>
      <c r="H1391" t="s">
        <v>17</v>
      </c>
      <c r="I1391">
        <v>0</v>
      </c>
      <c r="J139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3200</v>
      </c>
    </row>
    <row r="1392" spans="1:12">
      <c r="A1392" t="s">
        <v>178</v>
      </c>
      <c r="B1392" t="s">
        <v>9</v>
      </c>
      <c r="C1392">
        <v>9</v>
      </c>
      <c r="D1392">
        <v>3943</v>
      </c>
      <c r="E1392">
        <v>3</v>
      </c>
      <c r="F1392" t="s">
        <v>34</v>
      </c>
      <c r="G1392">
        <v>4</v>
      </c>
      <c r="H1392" t="s">
        <v>17</v>
      </c>
      <c r="I1392">
        <v>0</v>
      </c>
      <c r="J139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3200</v>
      </c>
    </row>
    <row r="1393" spans="1:12">
      <c r="A1393" t="s">
        <v>178</v>
      </c>
      <c r="B1393" t="s">
        <v>9</v>
      </c>
      <c r="C1393">
        <v>9</v>
      </c>
      <c r="D1393">
        <v>4141</v>
      </c>
      <c r="E1393">
        <v>1</v>
      </c>
      <c r="F1393" t="s">
        <v>34</v>
      </c>
      <c r="G1393">
        <v>4</v>
      </c>
      <c r="H1393" t="s">
        <v>17</v>
      </c>
      <c r="I1393">
        <v>0</v>
      </c>
      <c r="J139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3200</v>
      </c>
    </row>
    <row r="1394" spans="1:12">
      <c r="A1394" t="s">
        <v>178</v>
      </c>
      <c r="B1394" t="s">
        <v>9</v>
      </c>
      <c r="C1394">
        <v>9</v>
      </c>
      <c r="D1394">
        <v>4075</v>
      </c>
      <c r="E1394">
        <v>0</v>
      </c>
      <c r="F1394" t="s">
        <v>34</v>
      </c>
      <c r="G1394">
        <v>4</v>
      </c>
      <c r="H1394" t="s">
        <v>17</v>
      </c>
      <c r="I1394">
        <v>0</v>
      </c>
      <c r="J13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3200</v>
      </c>
    </row>
    <row r="1395" spans="1:12">
      <c r="A1395" t="s">
        <v>178</v>
      </c>
      <c r="B1395" t="s">
        <v>9</v>
      </c>
      <c r="C1395">
        <v>9</v>
      </c>
      <c r="D1395">
        <v>4269</v>
      </c>
      <c r="E1395">
        <v>1</v>
      </c>
      <c r="F1395" t="s">
        <v>258</v>
      </c>
      <c r="G1395">
        <v>1</v>
      </c>
      <c r="H1395" t="s">
        <v>27</v>
      </c>
      <c r="I1395">
        <v>6431</v>
      </c>
      <c r="J1395">
        <f>DropAnalityka[[#This Row],[Sell Drop]]+IFERROR(SUMIFS(Tabela10[Drop Worth],Tabela10[Drop],DropAnalityka[[#This Row],[Drop]],Tabela10[Grade],DropAnalityka[[#This Row],[Grade]])*DropAnalityka[[#This Row],[Quality/Quantity]],0)</f>
        <v>6431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:12">
      <c r="A1396" t="s">
        <v>178</v>
      </c>
      <c r="B1396" t="s">
        <v>9</v>
      </c>
      <c r="C1396">
        <v>9</v>
      </c>
      <c r="D1396">
        <v>3888</v>
      </c>
      <c r="E1396">
        <v>2</v>
      </c>
      <c r="F1396" t="s">
        <v>34</v>
      </c>
      <c r="G1396">
        <v>5</v>
      </c>
      <c r="H1396" t="s">
        <v>17</v>
      </c>
      <c r="I1396">
        <v>0</v>
      </c>
      <c r="J13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4000</v>
      </c>
    </row>
    <row r="1397" spans="1:12">
      <c r="A1397" t="s">
        <v>178</v>
      </c>
      <c r="B1397" t="s">
        <v>9</v>
      </c>
      <c r="C1397">
        <v>9</v>
      </c>
      <c r="D1397">
        <v>3672</v>
      </c>
      <c r="E1397">
        <v>1</v>
      </c>
      <c r="F1397" t="s">
        <v>258</v>
      </c>
      <c r="G1397">
        <v>1</v>
      </c>
      <c r="H1397" t="s">
        <v>27</v>
      </c>
      <c r="I1397">
        <v>6120</v>
      </c>
      <c r="J139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:12">
      <c r="A1398" t="s">
        <v>178</v>
      </c>
      <c r="B1398" t="s">
        <v>9</v>
      </c>
      <c r="C1398">
        <v>9</v>
      </c>
      <c r="D1398">
        <v>3924</v>
      </c>
      <c r="E1398">
        <v>1</v>
      </c>
      <c r="F1398" t="s">
        <v>258</v>
      </c>
      <c r="G1398">
        <v>1</v>
      </c>
      <c r="H1398" t="s">
        <v>28</v>
      </c>
      <c r="I1398">
        <v>12920</v>
      </c>
      <c r="J1398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:12">
      <c r="A1399" t="s">
        <v>178</v>
      </c>
      <c r="B1399" t="s">
        <v>9</v>
      </c>
      <c r="C1399">
        <v>9</v>
      </c>
      <c r="D1399">
        <v>4086</v>
      </c>
      <c r="E1399">
        <v>1</v>
      </c>
      <c r="F1399" t="s">
        <v>258</v>
      </c>
      <c r="G1399">
        <v>1</v>
      </c>
      <c r="H1399" t="s">
        <v>27</v>
      </c>
      <c r="I1399">
        <v>6120</v>
      </c>
      <c r="J139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:12">
      <c r="A1400" t="s">
        <v>178</v>
      </c>
      <c r="B1400" t="s">
        <v>9</v>
      </c>
      <c r="C1400">
        <v>9</v>
      </c>
      <c r="D1400">
        <v>3956</v>
      </c>
      <c r="E1400">
        <v>1</v>
      </c>
      <c r="F1400" t="s">
        <v>34</v>
      </c>
      <c r="G1400">
        <v>4</v>
      </c>
      <c r="H1400" t="s">
        <v>17</v>
      </c>
      <c r="I1400">
        <v>0</v>
      </c>
      <c r="J14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3200</v>
      </c>
    </row>
    <row r="1401" spans="1:12">
      <c r="A1401" t="s">
        <v>178</v>
      </c>
      <c r="B1401" t="s">
        <v>9</v>
      </c>
      <c r="C1401">
        <v>9</v>
      </c>
      <c r="D1401">
        <v>4121</v>
      </c>
      <c r="E1401">
        <v>2</v>
      </c>
      <c r="F1401" t="s">
        <v>291</v>
      </c>
      <c r="G1401">
        <v>1</v>
      </c>
      <c r="H1401" t="s">
        <v>29</v>
      </c>
      <c r="I1401">
        <v>27103</v>
      </c>
      <c r="J140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:12">
      <c r="A1402" t="s">
        <v>178</v>
      </c>
      <c r="B1402" t="s">
        <v>9</v>
      </c>
      <c r="C1402">
        <v>9</v>
      </c>
      <c r="D1402">
        <v>3864</v>
      </c>
      <c r="E1402">
        <v>1</v>
      </c>
      <c r="F1402" t="s">
        <v>34</v>
      </c>
      <c r="G1402">
        <v>4</v>
      </c>
      <c r="H1402" t="s">
        <v>17</v>
      </c>
      <c r="I1402">
        <v>0</v>
      </c>
      <c r="J140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3200</v>
      </c>
    </row>
    <row r="1403" spans="1:12">
      <c r="A1403" t="s">
        <v>178</v>
      </c>
      <c r="B1403" t="s">
        <v>9</v>
      </c>
      <c r="C1403">
        <v>9</v>
      </c>
      <c r="D1403">
        <v>4144</v>
      </c>
      <c r="E1403">
        <v>2</v>
      </c>
      <c r="F1403" t="s">
        <v>258</v>
      </c>
      <c r="G1403">
        <v>1</v>
      </c>
      <c r="H1403" t="s">
        <v>27</v>
      </c>
      <c r="I1403">
        <v>3445</v>
      </c>
      <c r="J140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:12">
      <c r="A1404" t="s">
        <v>178</v>
      </c>
      <c r="B1404" t="s">
        <v>9</v>
      </c>
      <c r="C1404">
        <v>9</v>
      </c>
      <c r="D1404">
        <v>3884</v>
      </c>
      <c r="E1404">
        <v>1</v>
      </c>
      <c r="F1404" t="s">
        <v>258</v>
      </c>
      <c r="G1404">
        <v>1</v>
      </c>
      <c r="H1404" t="s">
        <v>27</v>
      </c>
      <c r="I1404">
        <v>3675</v>
      </c>
      <c r="J140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:12">
      <c r="A1405" t="s">
        <v>178</v>
      </c>
      <c r="B1405" t="s">
        <v>9</v>
      </c>
      <c r="C1405">
        <v>9</v>
      </c>
      <c r="D1405">
        <v>4186</v>
      </c>
      <c r="E1405">
        <v>0</v>
      </c>
      <c r="F1405" t="s">
        <v>291</v>
      </c>
      <c r="G1405">
        <v>1</v>
      </c>
      <c r="H1405" t="s">
        <v>28</v>
      </c>
      <c r="I1405">
        <v>17000</v>
      </c>
      <c r="J1405">
        <f>DropAnalityka[[#This Row],[Sell Drop]]+IFERROR(SUMIFS(Tabela10[Drop Worth],Tabela10[Drop],DropAnalityka[[#This Row],[Drop]],Tabela10[Grade],DropAnalityka[[#This Row],[Grade]])*DropAnalityka[[#This Row],[Quality/Quantity]],0)</f>
        <v>17000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:12">
      <c r="A1406" t="s">
        <v>178</v>
      </c>
      <c r="B1406" t="s">
        <v>9</v>
      </c>
      <c r="C1406">
        <v>9</v>
      </c>
      <c r="D1406">
        <v>3886</v>
      </c>
      <c r="E1406">
        <v>0</v>
      </c>
      <c r="F1406" t="s">
        <v>34</v>
      </c>
      <c r="G1406">
        <v>5</v>
      </c>
      <c r="H1406" t="s">
        <v>17</v>
      </c>
      <c r="I1406">
        <v>0</v>
      </c>
      <c r="J140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4000</v>
      </c>
    </row>
    <row r="1407" spans="1:12">
      <c r="A1407" t="s">
        <v>178</v>
      </c>
      <c r="B1407" t="s">
        <v>9</v>
      </c>
      <c r="C1407">
        <v>9</v>
      </c>
      <c r="D1407">
        <v>4242</v>
      </c>
      <c r="E1407">
        <v>2</v>
      </c>
      <c r="F1407" t="s">
        <v>258</v>
      </c>
      <c r="G1407">
        <v>1</v>
      </c>
      <c r="H1407" t="s">
        <v>27</v>
      </c>
      <c r="I1407">
        <v>4364</v>
      </c>
      <c r="J1407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:12">
      <c r="A1408" t="s">
        <v>178</v>
      </c>
      <c r="B1408" t="s">
        <v>9</v>
      </c>
      <c r="C1408">
        <v>9</v>
      </c>
      <c r="D1408">
        <v>4062</v>
      </c>
      <c r="E1408">
        <v>1</v>
      </c>
      <c r="F1408" t="s">
        <v>258</v>
      </c>
      <c r="G1408">
        <v>1</v>
      </c>
      <c r="H1408" t="s">
        <v>27</v>
      </c>
      <c r="I1408">
        <v>2940</v>
      </c>
      <c r="J140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:12">
      <c r="A1409" t="s">
        <v>178</v>
      </c>
      <c r="B1409" t="s">
        <v>9</v>
      </c>
      <c r="C1409">
        <v>9</v>
      </c>
      <c r="D1409">
        <v>4025</v>
      </c>
      <c r="E1409">
        <v>1</v>
      </c>
      <c r="F1409" t="s">
        <v>258</v>
      </c>
      <c r="G1409">
        <v>1</v>
      </c>
      <c r="H1409" t="s">
        <v>28</v>
      </c>
      <c r="I1409">
        <v>6800</v>
      </c>
      <c r="J140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:12">
      <c r="A1410" t="s">
        <v>178</v>
      </c>
      <c r="B1410" t="s">
        <v>9</v>
      </c>
      <c r="C1410">
        <v>9</v>
      </c>
      <c r="D1410">
        <v>4416</v>
      </c>
      <c r="E1410">
        <v>3</v>
      </c>
      <c r="F1410" t="s">
        <v>258</v>
      </c>
      <c r="G1410">
        <v>1</v>
      </c>
      <c r="H1410" t="s">
        <v>27</v>
      </c>
      <c r="I1410">
        <v>6615</v>
      </c>
      <c r="J1410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:12">
      <c r="A1411" t="s">
        <v>178</v>
      </c>
      <c r="B1411" t="s">
        <v>9</v>
      </c>
      <c r="C1411">
        <v>9</v>
      </c>
      <c r="D1411">
        <v>3856</v>
      </c>
      <c r="E1411">
        <v>2</v>
      </c>
      <c r="F1411" t="s">
        <v>291</v>
      </c>
      <c r="G1411">
        <v>1</v>
      </c>
      <c r="H1411" t="s">
        <v>27</v>
      </c>
      <c r="I1411">
        <v>6615</v>
      </c>
      <c r="J1411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:12">
      <c r="A1412" t="s">
        <v>178</v>
      </c>
      <c r="B1412" t="s">
        <v>9</v>
      </c>
      <c r="C1412">
        <v>9</v>
      </c>
      <c r="D1412">
        <v>4170</v>
      </c>
      <c r="E1412">
        <v>2</v>
      </c>
      <c r="F1412" t="s">
        <v>34</v>
      </c>
      <c r="G1412">
        <v>4</v>
      </c>
      <c r="H1412" t="s">
        <v>17</v>
      </c>
      <c r="I1412">
        <v>0</v>
      </c>
      <c r="J141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3200</v>
      </c>
    </row>
    <row r="1413" spans="1:12">
      <c r="A1413" t="s">
        <v>178</v>
      </c>
      <c r="B1413" t="s">
        <v>9</v>
      </c>
      <c r="C1413">
        <v>9</v>
      </c>
      <c r="D1413">
        <v>4152</v>
      </c>
      <c r="E1413">
        <v>1</v>
      </c>
      <c r="F1413" t="s">
        <v>258</v>
      </c>
      <c r="G1413">
        <v>1</v>
      </c>
      <c r="H1413" t="s">
        <v>27</v>
      </c>
      <c r="I1413">
        <v>6247</v>
      </c>
      <c r="J1413">
        <f>DropAnalityka[[#This Row],[Sell Drop]]+IFERROR(SUMIFS(Tabela10[Drop Worth],Tabela10[Drop],DropAnalityka[[#This Row],[Drop]],Tabela10[Grade],DropAnalityka[[#This Row],[Grade]])*DropAnalityka[[#This Row],[Quality/Quantity]],0)</f>
        <v>6247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:12">
      <c r="A1414" t="s">
        <v>178</v>
      </c>
      <c r="B1414" t="s">
        <v>9</v>
      </c>
      <c r="C1414">
        <v>9</v>
      </c>
      <c r="D1414">
        <v>3678</v>
      </c>
      <c r="E1414">
        <v>0</v>
      </c>
      <c r="F1414" t="s">
        <v>291</v>
      </c>
      <c r="G1414">
        <v>1</v>
      </c>
      <c r="H1414" t="s">
        <v>28</v>
      </c>
      <c r="I1414">
        <v>10200</v>
      </c>
      <c r="J1414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:12">
      <c r="A1415" t="s">
        <v>178</v>
      </c>
      <c r="B1415" t="s">
        <v>9</v>
      </c>
      <c r="C1415">
        <v>9</v>
      </c>
      <c r="D1415">
        <v>4310</v>
      </c>
      <c r="E1415">
        <v>2</v>
      </c>
      <c r="F1415" t="s">
        <v>258</v>
      </c>
      <c r="G1415">
        <v>1</v>
      </c>
      <c r="H1415" t="s">
        <v>27</v>
      </c>
      <c r="I1415">
        <v>5100</v>
      </c>
      <c r="J1415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:12">
      <c r="A1416" t="s">
        <v>178</v>
      </c>
      <c r="B1416" t="s">
        <v>9</v>
      </c>
      <c r="C1416">
        <v>9</v>
      </c>
      <c r="D1416">
        <v>3697</v>
      </c>
      <c r="E1416">
        <v>0</v>
      </c>
      <c r="F1416" t="s">
        <v>258</v>
      </c>
      <c r="G1416">
        <v>1</v>
      </c>
      <c r="H1416" t="s">
        <v>27</v>
      </c>
      <c r="I1416">
        <v>2940</v>
      </c>
      <c r="J141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:12">
      <c r="A1417" t="s">
        <v>178</v>
      </c>
      <c r="B1417" t="s">
        <v>9</v>
      </c>
      <c r="C1417">
        <v>9</v>
      </c>
      <c r="D1417">
        <v>4208</v>
      </c>
      <c r="E1417">
        <v>1</v>
      </c>
      <c r="F1417" t="s">
        <v>258</v>
      </c>
      <c r="G1417">
        <v>1</v>
      </c>
      <c r="H1417" t="s">
        <v>27</v>
      </c>
      <c r="I1417">
        <v>5788</v>
      </c>
      <c r="J1417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:12">
      <c r="A1418" t="s">
        <v>178</v>
      </c>
      <c r="B1418" t="s">
        <v>9</v>
      </c>
      <c r="C1418">
        <v>9</v>
      </c>
      <c r="D1418">
        <v>4465</v>
      </c>
      <c r="E1418">
        <v>2</v>
      </c>
      <c r="F1418" t="s">
        <v>258</v>
      </c>
      <c r="G1418">
        <v>1</v>
      </c>
      <c r="H1418" t="s">
        <v>27</v>
      </c>
      <c r="I1418">
        <v>4134</v>
      </c>
      <c r="J1418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:12">
      <c r="A1419" t="s">
        <v>178</v>
      </c>
      <c r="B1419" t="s">
        <v>9</v>
      </c>
      <c r="C1419">
        <v>9</v>
      </c>
      <c r="D1419">
        <v>3829</v>
      </c>
      <c r="E1419">
        <v>2</v>
      </c>
      <c r="F1419" t="s">
        <v>258</v>
      </c>
      <c r="G1419">
        <v>1</v>
      </c>
      <c r="H1419" t="s">
        <v>27</v>
      </c>
      <c r="I1419">
        <v>6982</v>
      </c>
      <c r="J1419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:12">
      <c r="A1420" t="s">
        <v>178</v>
      </c>
      <c r="B1420" t="s">
        <v>9</v>
      </c>
      <c r="C1420">
        <v>9</v>
      </c>
      <c r="D1420">
        <v>4194</v>
      </c>
      <c r="E1420">
        <v>0</v>
      </c>
      <c r="F1420" t="s">
        <v>258</v>
      </c>
      <c r="G1420">
        <v>1</v>
      </c>
      <c r="H1420" t="s">
        <v>27</v>
      </c>
      <c r="I1420">
        <v>3307</v>
      </c>
      <c r="J14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:12">
      <c r="A1421" t="s">
        <v>178</v>
      </c>
      <c r="B1421" t="s">
        <v>9</v>
      </c>
      <c r="C1421">
        <v>9</v>
      </c>
      <c r="D1421">
        <v>3953</v>
      </c>
      <c r="E1421">
        <v>0</v>
      </c>
      <c r="F1421" t="s">
        <v>258</v>
      </c>
      <c r="G1421">
        <v>1</v>
      </c>
      <c r="H1421" t="s">
        <v>28</v>
      </c>
      <c r="I1421">
        <v>6800</v>
      </c>
      <c r="J142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:12">
      <c r="A1422" t="s">
        <v>178</v>
      </c>
      <c r="B1422" t="s">
        <v>9</v>
      </c>
      <c r="C1422">
        <v>9</v>
      </c>
      <c r="D1422">
        <v>3831</v>
      </c>
      <c r="E1422">
        <v>0</v>
      </c>
      <c r="F1422" t="s">
        <v>258</v>
      </c>
      <c r="G1422">
        <v>1</v>
      </c>
      <c r="H1422" t="s">
        <v>28</v>
      </c>
      <c r="I1422">
        <v>5780</v>
      </c>
      <c r="J1422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:12">
      <c r="A1423" t="s">
        <v>178</v>
      </c>
      <c r="B1423" t="s">
        <v>9</v>
      </c>
      <c r="C1423">
        <v>9</v>
      </c>
      <c r="D1423">
        <v>3852</v>
      </c>
      <c r="E1423">
        <v>0</v>
      </c>
      <c r="F1423" t="s">
        <v>258</v>
      </c>
      <c r="G1423">
        <v>1</v>
      </c>
      <c r="H1423" t="s">
        <v>29</v>
      </c>
      <c r="I1423">
        <v>17752</v>
      </c>
      <c r="J1423">
        <f>DropAnalityka[[#This Row],[Sell Drop]]+IFERROR(SUMIFS(Tabela10[Drop Worth],Tabela10[Drop],DropAnalityka[[#This Row],[Drop]],Tabela10[Grade],DropAnalityka[[#This Row],[Grade]])*DropAnalityka[[#This Row],[Quality/Quantity]],0)</f>
        <v>17752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:12">
      <c r="A1424" t="s">
        <v>178</v>
      </c>
      <c r="B1424" t="s">
        <v>9</v>
      </c>
      <c r="C1424">
        <v>9</v>
      </c>
      <c r="D1424">
        <v>4081</v>
      </c>
      <c r="E1424">
        <v>2</v>
      </c>
      <c r="F1424" t="s">
        <v>34</v>
      </c>
      <c r="G1424">
        <v>4</v>
      </c>
      <c r="H1424" t="s">
        <v>17</v>
      </c>
      <c r="I1424">
        <v>0</v>
      </c>
      <c r="J14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3200</v>
      </c>
    </row>
    <row r="1425" spans="1:12">
      <c r="A1425" t="s">
        <v>178</v>
      </c>
      <c r="B1425" t="s">
        <v>9</v>
      </c>
      <c r="C1425">
        <v>9</v>
      </c>
      <c r="D1425">
        <v>4016</v>
      </c>
      <c r="E1425">
        <v>1</v>
      </c>
      <c r="F1425" t="s">
        <v>258</v>
      </c>
      <c r="G1425">
        <v>1</v>
      </c>
      <c r="H1425" t="s">
        <v>27</v>
      </c>
      <c r="I1425">
        <v>6100</v>
      </c>
      <c r="J1425">
        <f>DropAnalityka[[#This Row],[Sell Drop]]+IFERROR(SUMIFS(Tabela10[Drop Worth],Tabela10[Drop],DropAnalityka[[#This Row],[Drop]],Tabela10[Grade],DropAnalityka[[#This Row],[Grade]])*DropAnalityka[[#This Row],[Quality/Quantity]],0)</f>
        <v>6100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:12">
      <c r="A1426" t="s">
        <v>178</v>
      </c>
      <c r="B1426" t="s">
        <v>9</v>
      </c>
      <c r="C1426">
        <v>9</v>
      </c>
      <c r="D1426">
        <v>4213</v>
      </c>
      <c r="E1426">
        <v>0</v>
      </c>
      <c r="F1426" t="s">
        <v>258</v>
      </c>
      <c r="G1426">
        <v>1</v>
      </c>
      <c r="H1426" t="s">
        <v>28</v>
      </c>
      <c r="I1426">
        <v>8075</v>
      </c>
      <c r="J142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:12">
      <c r="A1427" t="s">
        <v>178</v>
      </c>
      <c r="B1427" t="s">
        <v>9</v>
      </c>
      <c r="C1427">
        <v>9</v>
      </c>
      <c r="D1427">
        <v>3708</v>
      </c>
      <c r="E1427">
        <v>1</v>
      </c>
      <c r="F1427" t="s">
        <v>291</v>
      </c>
      <c r="G1427">
        <v>1</v>
      </c>
      <c r="H1427" t="s">
        <v>27</v>
      </c>
      <c r="I1427">
        <v>4961</v>
      </c>
      <c r="J1427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:12">
      <c r="A1428" t="s">
        <v>178</v>
      </c>
      <c r="B1428" t="s">
        <v>9</v>
      </c>
      <c r="C1428">
        <v>10</v>
      </c>
      <c r="D1428">
        <v>4889</v>
      </c>
      <c r="E1428">
        <v>2</v>
      </c>
      <c r="F1428" t="s">
        <v>258</v>
      </c>
      <c r="G1428">
        <v>1</v>
      </c>
      <c r="H1428" t="s">
        <v>28</v>
      </c>
      <c r="I1428">
        <v>15300</v>
      </c>
      <c r="J1428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:12">
      <c r="A1429" t="s">
        <v>178</v>
      </c>
      <c r="B1429" t="s">
        <v>9</v>
      </c>
      <c r="C1429">
        <v>9</v>
      </c>
      <c r="D1429">
        <v>4352</v>
      </c>
      <c r="E1429">
        <v>1</v>
      </c>
      <c r="F1429" t="s">
        <v>258</v>
      </c>
      <c r="G1429">
        <v>1</v>
      </c>
      <c r="H1429" t="s">
        <v>29</v>
      </c>
      <c r="I1429">
        <v>15850</v>
      </c>
      <c r="J1429">
        <f>DropAnalityka[[#This Row],[Sell Drop]]+IFERROR(SUMIFS(Tabela10[Drop Worth],Tabela10[Drop],DropAnalityka[[#This Row],[Drop]],Tabela10[Grade],DropAnalityka[[#This Row],[Grade]])*DropAnalityka[[#This Row],[Quality/Quantity]],0)</f>
        <v>15850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:12">
      <c r="A1430" t="s">
        <v>178</v>
      </c>
      <c r="B1430" t="s">
        <v>9</v>
      </c>
      <c r="C1430">
        <v>9</v>
      </c>
      <c r="D1430">
        <v>4128</v>
      </c>
      <c r="E1430">
        <v>0</v>
      </c>
      <c r="F1430" t="s">
        <v>258</v>
      </c>
      <c r="G1430">
        <v>1</v>
      </c>
      <c r="H1430" t="s">
        <v>28</v>
      </c>
      <c r="I1430">
        <v>10710</v>
      </c>
      <c r="J1430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:12">
      <c r="A1431" t="s">
        <v>178</v>
      </c>
      <c r="B1431" t="s">
        <v>9</v>
      </c>
      <c r="C1431">
        <v>9</v>
      </c>
      <c r="D1431">
        <v>4086</v>
      </c>
      <c r="E1431">
        <v>1</v>
      </c>
      <c r="F1431" t="s">
        <v>258</v>
      </c>
      <c r="G1431">
        <v>1</v>
      </c>
      <c r="H1431" t="s">
        <v>27</v>
      </c>
      <c r="I1431">
        <v>1593</v>
      </c>
      <c r="J1431">
        <f>DropAnalityka[[#This Row],[Sell Drop]]+IFERROR(SUMIFS(Tabela10[Drop Worth],Tabela10[Drop],DropAnalityka[[#This Row],[Drop]],Tabela10[Grade],DropAnalityka[[#This Row],[Grade]])*DropAnalityka[[#This Row],[Quality/Quantity]],0)</f>
        <v>1593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:12">
      <c r="A1432" t="s">
        <v>178</v>
      </c>
      <c r="B1432" t="s">
        <v>9</v>
      </c>
      <c r="C1432">
        <v>9</v>
      </c>
      <c r="D1432">
        <v>3994</v>
      </c>
      <c r="E1432">
        <v>1</v>
      </c>
      <c r="F1432" t="s">
        <v>34</v>
      </c>
      <c r="G1432">
        <v>5</v>
      </c>
      <c r="H1432" t="s">
        <v>17</v>
      </c>
      <c r="I1432">
        <v>0</v>
      </c>
      <c r="J14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4000</v>
      </c>
    </row>
    <row r="1433" spans="1:12">
      <c r="A1433" t="s">
        <v>178</v>
      </c>
      <c r="B1433" t="s">
        <v>9</v>
      </c>
      <c r="C1433">
        <v>9</v>
      </c>
      <c r="D1433">
        <v>3963</v>
      </c>
      <c r="E1433">
        <v>1</v>
      </c>
      <c r="F1433" t="s">
        <v>258</v>
      </c>
      <c r="G1433">
        <v>1</v>
      </c>
      <c r="H1433" t="s">
        <v>28</v>
      </c>
      <c r="I1433">
        <v>5440</v>
      </c>
      <c r="J143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:12">
      <c r="A1434" t="s">
        <v>178</v>
      </c>
      <c r="B1434" t="s">
        <v>9</v>
      </c>
      <c r="C1434">
        <v>9</v>
      </c>
      <c r="D1434">
        <v>4372</v>
      </c>
      <c r="E1434">
        <v>1</v>
      </c>
      <c r="F1434" t="s">
        <v>258</v>
      </c>
      <c r="G1434">
        <v>1</v>
      </c>
      <c r="H1434" t="s">
        <v>27</v>
      </c>
      <c r="I1434">
        <v>2756</v>
      </c>
      <c r="J1434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:12">
      <c r="A1435" t="s">
        <v>178</v>
      </c>
      <c r="B1435" t="s">
        <v>9</v>
      </c>
      <c r="C1435">
        <v>9</v>
      </c>
      <c r="D1435">
        <v>4374</v>
      </c>
      <c r="E1435">
        <v>1</v>
      </c>
      <c r="F1435" t="s">
        <v>34</v>
      </c>
      <c r="G1435">
        <v>5</v>
      </c>
      <c r="H1435" t="s">
        <v>17</v>
      </c>
      <c r="I1435">
        <v>0</v>
      </c>
      <c r="J14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4000</v>
      </c>
    </row>
    <row r="1436" spans="1:12">
      <c r="A1436" t="s">
        <v>178</v>
      </c>
      <c r="B1436" t="s">
        <v>9</v>
      </c>
      <c r="C1436">
        <v>9</v>
      </c>
      <c r="D1436">
        <v>3694</v>
      </c>
      <c r="E1436">
        <v>1</v>
      </c>
      <c r="F1436" t="s">
        <v>258</v>
      </c>
      <c r="G1436">
        <v>1</v>
      </c>
      <c r="H1436" t="s">
        <v>28</v>
      </c>
      <c r="I1436">
        <v>10115</v>
      </c>
      <c r="J1436">
        <f>DropAnalityka[[#This Row],[Sell Drop]]+IFERROR(SUMIFS(Tabela10[Drop Worth],Tabela10[Drop],DropAnalityka[[#This Row],[Drop]],Tabela10[Grade],DropAnalityka[[#This Row],[Grade]])*DropAnalityka[[#This Row],[Quality/Quantity]],0)</f>
        <v>10115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:12">
      <c r="A1437" t="s">
        <v>178</v>
      </c>
      <c r="B1437" t="s">
        <v>9</v>
      </c>
      <c r="C1437">
        <v>9</v>
      </c>
      <c r="D1437">
        <v>4084</v>
      </c>
      <c r="E1437">
        <v>0</v>
      </c>
      <c r="F1437" t="s">
        <v>291</v>
      </c>
      <c r="G1437">
        <v>1</v>
      </c>
      <c r="H1437" t="s">
        <v>27</v>
      </c>
      <c r="I1437">
        <v>7350</v>
      </c>
      <c r="J143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:12">
      <c r="A1438" t="s">
        <v>178</v>
      </c>
      <c r="B1438" t="s">
        <v>9</v>
      </c>
      <c r="C1438">
        <v>9</v>
      </c>
      <c r="D1438">
        <v>3768</v>
      </c>
      <c r="E1438">
        <v>1</v>
      </c>
      <c r="F1438" t="s">
        <v>258</v>
      </c>
      <c r="G1438">
        <v>1</v>
      </c>
      <c r="H1438" t="s">
        <v>27</v>
      </c>
      <c r="I1438">
        <v>5512</v>
      </c>
      <c r="J143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:12">
      <c r="A1439" t="s">
        <v>178</v>
      </c>
      <c r="B1439" t="s">
        <v>9</v>
      </c>
      <c r="C1439">
        <v>9</v>
      </c>
      <c r="D1439">
        <v>4434</v>
      </c>
      <c r="E1439">
        <v>0</v>
      </c>
      <c r="F1439" t="s">
        <v>34</v>
      </c>
      <c r="G1439">
        <v>4</v>
      </c>
      <c r="H1439" t="s">
        <v>17</v>
      </c>
      <c r="I1439">
        <v>0</v>
      </c>
      <c r="J143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3200</v>
      </c>
    </row>
    <row r="1440" spans="1:12">
      <c r="A1440" t="s">
        <v>178</v>
      </c>
      <c r="B1440" t="s">
        <v>9</v>
      </c>
      <c r="C1440">
        <v>9</v>
      </c>
      <c r="D1440">
        <v>4089</v>
      </c>
      <c r="E1440">
        <v>0</v>
      </c>
      <c r="F1440" t="s">
        <v>258</v>
      </c>
      <c r="G1440">
        <v>1</v>
      </c>
      <c r="H1440" t="s">
        <v>28</v>
      </c>
      <c r="I1440">
        <v>5100</v>
      </c>
      <c r="J144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:13">
      <c r="A1441" t="s">
        <v>178</v>
      </c>
      <c r="B1441" t="s">
        <v>9</v>
      </c>
      <c r="C1441">
        <v>10</v>
      </c>
      <c r="D1441">
        <v>4511</v>
      </c>
      <c r="E1441">
        <v>2</v>
      </c>
      <c r="F1441" t="s">
        <v>34</v>
      </c>
      <c r="G1441">
        <v>5</v>
      </c>
      <c r="H1441" t="s">
        <v>17</v>
      </c>
      <c r="I1441">
        <v>0</v>
      </c>
      <c r="J14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4000</v>
      </c>
    </row>
    <row r="1442" spans="1:13">
      <c r="A1442" t="s">
        <v>178</v>
      </c>
      <c r="B1442" t="s">
        <v>9</v>
      </c>
      <c r="C1442">
        <v>10</v>
      </c>
      <c r="D1442">
        <v>4119</v>
      </c>
      <c r="E1442">
        <v>0</v>
      </c>
      <c r="F1442" t="s">
        <v>291</v>
      </c>
      <c r="G1442">
        <v>1</v>
      </c>
      <c r="H1442" t="s">
        <v>28</v>
      </c>
      <c r="I1442">
        <v>15300</v>
      </c>
      <c r="J144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:13">
      <c r="A1443" t="s">
        <v>178</v>
      </c>
      <c r="B1443" t="s">
        <v>9</v>
      </c>
      <c r="C1443">
        <v>10</v>
      </c>
      <c r="D1443">
        <v>4592</v>
      </c>
      <c r="E1443">
        <v>2</v>
      </c>
      <c r="F1443" t="s">
        <v>291</v>
      </c>
      <c r="G1443">
        <v>1</v>
      </c>
      <c r="H1443" t="s">
        <v>28</v>
      </c>
      <c r="I1443">
        <v>8670</v>
      </c>
      <c r="J1443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:13">
      <c r="A1444" t="s">
        <v>178</v>
      </c>
      <c r="B1444" t="s">
        <v>9</v>
      </c>
      <c r="C1444">
        <v>10</v>
      </c>
      <c r="D1444">
        <v>1084</v>
      </c>
      <c r="E1444">
        <v>3</v>
      </c>
      <c r="F1444">
        <v>0</v>
      </c>
      <c r="G1444">
        <v>0</v>
      </c>
      <c r="H1444">
        <v>0</v>
      </c>
      <c r="I1444">
        <v>0</v>
      </c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  <c r="M1444" t="s">
        <v>204</v>
      </c>
    </row>
    <row r="1445" spans="1:13">
      <c r="A1445" t="s">
        <v>178</v>
      </c>
      <c r="B1445" t="s">
        <v>9</v>
      </c>
      <c r="C1445">
        <v>10</v>
      </c>
      <c r="D1445">
        <v>4409</v>
      </c>
      <c r="E1445">
        <v>2</v>
      </c>
      <c r="F1445" t="s">
        <v>34</v>
      </c>
      <c r="G1445">
        <v>5</v>
      </c>
      <c r="H1445" t="s">
        <v>17</v>
      </c>
      <c r="I1445">
        <v>0</v>
      </c>
      <c r="J144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4000</v>
      </c>
    </row>
    <row r="1446" spans="1:13">
      <c r="A1446" t="s">
        <v>178</v>
      </c>
      <c r="B1446" t="s">
        <v>9</v>
      </c>
      <c r="C1446">
        <v>10</v>
      </c>
      <c r="D1446">
        <v>4227</v>
      </c>
      <c r="E1446">
        <v>0</v>
      </c>
      <c r="F1446" t="s">
        <v>34</v>
      </c>
      <c r="G1446">
        <v>4</v>
      </c>
      <c r="H1446" t="s">
        <v>17</v>
      </c>
      <c r="I1446">
        <v>0</v>
      </c>
      <c r="J144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3200</v>
      </c>
    </row>
    <row r="1447" spans="1:13">
      <c r="A1447" t="s">
        <v>178</v>
      </c>
      <c r="B1447" t="s">
        <v>9</v>
      </c>
      <c r="C1447">
        <v>10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  <c r="M1447" t="s">
        <v>204</v>
      </c>
    </row>
    <row r="1448" spans="1:13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:13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:13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:13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:13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:13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:13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:13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:13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topLeftCell="A58" zoomScale="85" zoomScaleNormal="85" workbookViewId="0">
      <selection activeCell="T89" sqref="T89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12" t="s">
        <v>249</v>
      </c>
      <c r="G5" s="213"/>
      <c r="H5" s="214"/>
      <c r="I5" s="215" t="s">
        <v>250</v>
      </c>
      <c r="J5" s="216"/>
      <c r="K5" s="217"/>
      <c r="L5" s="218" t="s">
        <v>18</v>
      </c>
      <c r="M5" s="219"/>
      <c r="N5" s="220"/>
      <c r="O5" s="221" t="s">
        <v>252</v>
      </c>
      <c r="P5" s="222"/>
      <c r="Q5" s="223"/>
      <c r="R5" s="224" t="s">
        <v>251</v>
      </c>
      <c r="S5" s="225"/>
      <c r="T5" s="226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207" t="s">
        <v>281</v>
      </c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8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209" t="s">
        <v>280</v>
      </c>
      <c r="H32" s="210"/>
      <c r="I32" s="210"/>
      <c r="J32" s="210"/>
      <c r="K32" s="210"/>
      <c r="L32" s="210"/>
      <c r="M32" s="210"/>
      <c r="N32" s="210"/>
      <c r="O32" s="210"/>
      <c r="P32" s="210"/>
      <c r="Q32" s="210"/>
      <c r="R32" s="210"/>
      <c r="S32" s="210"/>
      <c r="T32" s="211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12" t="s">
        <v>249</v>
      </c>
      <c r="G37" s="213"/>
      <c r="H37" s="214"/>
      <c r="I37" s="215" t="s">
        <v>250</v>
      </c>
      <c r="J37" s="216"/>
      <c r="K37" s="217"/>
      <c r="L37" s="218" t="s">
        <v>18</v>
      </c>
      <c r="M37" s="219"/>
      <c r="N37" s="220"/>
      <c r="O37" s="221" t="s">
        <v>252</v>
      </c>
      <c r="P37" s="222"/>
      <c r="Q37" s="223"/>
      <c r="R37" s="224" t="s">
        <v>251</v>
      </c>
      <c r="S37" s="225"/>
      <c r="T37" s="226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189</v>
      </c>
      <c r="G57" s="77">
        <v>4</v>
      </c>
      <c r="H57" s="77">
        <v>8</v>
      </c>
      <c r="I57" s="85">
        <v>94</v>
      </c>
      <c r="J57" s="85">
        <v>17</v>
      </c>
      <c r="K57" s="85">
        <v>24</v>
      </c>
      <c r="L57" s="93">
        <v>76</v>
      </c>
      <c r="M57" s="93">
        <v>19</v>
      </c>
      <c r="N57" s="93">
        <v>30</v>
      </c>
      <c r="O57" s="111">
        <v>285</v>
      </c>
      <c r="P57" s="111">
        <v>3</v>
      </c>
      <c r="Q57" s="111">
        <v>48</v>
      </c>
      <c r="R57" s="101">
        <v>70</v>
      </c>
      <c r="S57" s="101">
        <v>45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3">MAXA(G56-G57,0)</f>
        <v>88</v>
      </c>
      <c r="H58" s="80">
        <f t="shared" si="3"/>
        <v>22</v>
      </c>
      <c r="I58" s="88">
        <f t="shared" si="3"/>
        <v>0</v>
      </c>
      <c r="J58" s="88">
        <f t="shared" si="3"/>
        <v>48</v>
      </c>
      <c r="K58" s="88">
        <f t="shared" si="3"/>
        <v>0</v>
      </c>
      <c r="L58" s="96">
        <f t="shared" si="3"/>
        <v>0</v>
      </c>
      <c r="M58" s="96">
        <f t="shared" si="3"/>
        <v>52</v>
      </c>
      <c r="N58" s="96">
        <f t="shared" si="3"/>
        <v>0</v>
      </c>
      <c r="O58" s="114">
        <f t="shared" si="3"/>
        <v>0</v>
      </c>
      <c r="P58" s="114">
        <f t="shared" si="3"/>
        <v>152</v>
      </c>
      <c r="Q58" s="114">
        <f t="shared" si="3"/>
        <v>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207" t="s">
        <v>281</v>
      </c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8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157.61194029850745</v>
      </c>
      <c r="H60" s="126">
        <f>H$58/VLOOKUP(H$38,Tabela11[#All],6,FALSE)</f>
        <v>82.5</v>
      </c>
      <c r="I60" s="126">
        <f>I$58/VLOOKUP(I$38,Tabela11[#All],6,FALSE)</f>
        <v>0</v>
      </c>
      <c r="J60" s="126">
        <f>J$58/VLOOKUP(J$38,Tabela11[#All],6,FALSE)</f>
        <v>85.970149253731336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93.134328358208947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272.23880597014926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402.28571428571428</v>
      </c>
      <c r="H61" s="126">
        <f>H$58/VLOOKUP(H$38,Tabela11[#All],5,FALSE)</f>
        <v>100.57142857142857</v>
      </c>
      <c r="I61" s="126">
        <f>I$58/VLOOKUP(I$38,Tabela11[#All],5,FALSE)</f>
        <v>0</v>
      </c>
      <c r="J61" s="126">
        <f>J$58/VLOOKUP(J$38,Tabela11[#All],5,FALSE)</f>
        <v>219.42857142857142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237.71428571428572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694.85714285714289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159.35135135135133</v>
      </c>
      <c r="H62" s="128">
        <f>H$58/VLOOKUP(H$38,Tabela11[#All],4,FALSE)</f>
        <v>163.77777777777777</v>
      </c>
      <c r="I62" s="128">
        <f>I$58/VLOOKUP(I$38,Tabela11[#All],4,FALSE)</f>
        <v>0</v>
      </c>
      <c r="J62" s="128">
        <f>J$58/VLOOKUP(J$38,Tabela11[#All],4,FALSE)</f>
        <v>86.918918918918919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94.162162162162161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275.24324324324323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209" t="s">
        <v>280</v>
      </c>
      <c r="H64" s="210"/>
      <c r="I64" s="210"/>
      <c r="J64" s="210"/>
      <c r="K64" s="210"/>
      <c r="L64" s="210"/>
      <c r="M64" s="210"/>
      <c r="N64" s="210"/>
      <c r="O64" s="210"/>
      <c r="P64" s="210"/>
      <c r="Q64" s="210"/>
      <c r="R64" s="210"/>
      <c r="S64" s="210"/>
      <c r="T64" s="211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980.34626865671635</v>
      </c>
      <c r="H65" s="126">
        <f>H$58/VLOOKUP(H$38,Tabela11[#All],6,FALSE)*(7-12*0.065)</f>
        <v>513.15</v>
      </c>
      <c r="I65" s="126">
        <f>I$58/VLOOKUP(I$38,Tabela11[#All],6,FALSE)*(7-12*0.065)</f>
        <v>0</v>
      </c>
      <c r="J65" s="126">
        <f>J$58/VLOOKUP(J$38,Tabela11[#All],6,FALSE)*(7-12*0.065)</f>
        <v>534.73432835820893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579.29552238805968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1693.3253731343284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3787.7014925373132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2502.2171428571428</v>
      </c>
      <c r="H66" s="126">
        <f>H$58/VLOOKUP(H$38,Tabela11[#All],5,FALSE)*(7-12*0.065)</f>
        <v>625.5542857142857</v>
      </c>
      <c r="I66" s="126">
        <f>I$58/VLOOKUP(I$38,Tabela11[#All],5,FALSE)*(7-12*0.065)</f>
        <v>0</v>
      </c>
      <c r="J66" s="126">
        <f>J$58/VLOOKUP(J$38,Tabela11[#All],5,FALSE)*(7-12*0.065)</f>
        <v>1364.8457142857142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1478.5828571428572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4322.011428571429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9667.6571428571442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831.81405405405383</v>
      </c>
      <c r="H67" s="128">
        <f>H$58/VLOOKUP(H$38,Tabela11[#All],4,FALSE)*(6-12*0.065)</f>
        <v>854.92</v>
      </c>
      <c r="I67" s="128">
        <f>I$58/VLOOKUP(I$38,Tabela11[#All],4,FALSE)*(6-12*0.065)</f>
        <v>0</v>
      </c>
      <c r="J67" s="128">
        <f>J$58/VLOOKUP(J$38,Tabela11[#All],4,FALSE)*(6-12*0.065)</f>
        <v>453.71675675675675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491.52648648648648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1436.7697297297295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3236.9329729729725</v>
      </c>
    </row>
    <row r="68" spans="1:21" ht="15" thickBot="1"/>
    <row r="69" spans="1:21" ht="15" thickBot="1">
      <c r="F69" s="212" t="s">
        <v>249</v>
      </c>
      <c r="G69" s="213"/>
      <c r="H69" s="214"/>
      <c r="I69" s="215" t="s">
        <v>250</v>
      </c>
      <c r="J69" s="216"/>
      <c r="K69" s="217"/>
      <c r="L69" s="218" t="s">
        <v>18</v>
      </c>
      <c r="M69" s="219"/>
      <c r="N69" s="220"/>
      <c r="O69" s="221" t="s">
        <v>252</v>
      </c>
      <c r="P69" s="222"/>
      <c r="Q69" s="223"/>
      <c r="R69" s="224" t="s">
        <v>251</v>
      </c>
      <c r="S69" s="225"/>
      <c r="T69" s="226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/>
      <c r="H71" s="78"/>
      <c r="I71" s="84"/>
      <c r="J71" s="85"/>
      <c r="K71" s="86"/>
      <c r="L71" s="92"/>
      <c r="M71" s="93"/>
      <c r="N71" s="94"/>
      <c r="O71" s="110"/>
      <c r="P71" s="111"/>
      <c r="Q71" s="112"/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/>
      <c r="N76" s="94"/>
      <c r="O76" s="110"/>
      <c r="P76" s="111"/>
      <c r="Q76" s="112"/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/>
      <c r="G79" s="77"/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/>
      <c r="K81" s="86"/>
      <c r="L81" s="92"/>
      <c r="M81" s="93"/>
      <c r="N81" s="94"/>
      <c r="O81" s="110"/>
      <c r="P81" s="111"/>
      <c r="Q81" s="112"/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/>
      <c r="J82" s="85"/>
      <c r="K82" s="86"/>
      <c r="L82" s="92"/>
      <c r="M82" s="93"/>
      <c r="N82" s="94"/>
      <c r="O82" s="110"/>
      <c r="P82" s="111"/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/>
      <c r="J83" s="85"/>
      <c r="K83" s="86"/>
      <c r="L83" s="92"/>
      <c r="M83" s="93"/>
      <c r="N83" s="94"/>
      <c r="O83" s="110"/>
      <c r="P83" s="111"/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/>
      <c r="M84" s="93"/>
      <c r="N84" s="94"/>
      <c r="O84" s="110"/>
      <c r="P84" s="111"/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/>
      <c r="G85" s="77"/>
      <c r="H85" s="78"/>
      <c r="I85" s="84"/>
      <c r="J85" s="85"/>
      <c r="K85" s="86"/>
      <c r="L85" s="92"/>
      <c r="M85" s="93"/>
      <c r="N85" s="94"/>
      <c r="O85" s="110"/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/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/>
      <c r="Q87" s="112"/>
      <c r="R87" s="100"/>
      <c r="S87" s="101"/>
      <c r="T87" s="102"/>
    </row>
    <row r="88" spans="1:21">
      <c r="E88" s="59" t="s">
        <v>255</v>
      </c>
      <c r="F88" s="79">
        <f>SUM(F71:F87)</f>
        <v>20</v>
      </c>
      <c r="G88" s="79">
        <f t="shared" ref="G88:T88" si="4">SUM(G71:G87)</f>
        <v>30</v>
      </c>
      <c r="H88" s="79">
        <f t="shared" si="4"/>
        <v>0</v>
      </c>
      <c r="I88" s="87">
        <f t="shared" si="4"/>
        <v>10</v>
      </c>
      <c r="J88" s="87">
        <f t="shared" si="4"/>
        <v>15</v>
      </c>
      <c r="K88" s="87">
        <f t="shared" si="4"/>
        <v>0</v>
      </c>
      <c r="L88" s="95">
        <f t="shared" si="4"/>
        <v>20</v>
      </c>
      <c r="M88" s="95">
        <f t="shared" si="4"/>
        <v>0</v>
      </c>
      <c r="N88" s="95">
        <f t="shared" si="4"/>
        <v>0</v>
      </c>
      <c r="O88" s="113">
        <f t="shared" si="4"/>
        <v>30</v>
      </c>
      <c r="P88" s="113">
        <f t="shared" si="4"/>
        <v>30</v>
      </c>
      <c r="Q88" s="113">
        <f t="shared" si="4"/>
        <v>0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256</v>
      </c>
      <c r="F89" s="77">
        <v>0</v>
      </c>
      <c r="G89" s="77">
        <v>0</v>
      </c>
      <c r="H89" s="77">
        <v>0</v>
      </c>
      <c r="I89" s="85">
        <v>0</v>
      </c>
      <c r="J89" s="85">
        <v>0</v>
      </c>
      <c r="K89" s="85">
        <v>0</v>
      </c>
      <c r="L89" s="93">
        <v>0</v>
      </c>
      <c r="M89" s="93">
        <v>0</v>
      </c>
      <c r="N89" s="93">
        <v>0</v>
      </c>
      <c r="O89" s="111">
        <v>0</v>
      </c>
      <c r="P89" s="111">
        <v>0</v>
      </c>
      <c r="Q89" s="111">
        <v>0</v>
      </c>
      <c r="R89" s="101">
        <v>0</v>
      </c>
      <c r="S89" s="101">
        <v>0</v>
      </c>
      <c r="T89" s="102">
        <v>0</v>
      </c>
    </row>
    <row r="90" spans="1:21" ht="15.75" thickBot="1">
      <c r="E90" s="68" t="s">
        <v>116</v>
      </c>
      <c r="F90" s="80">
        <f>MAXA(F88-F89,0)</f>
        <v>20</v>
      </c>
      <c r="G90" s="80">
        <f t="shared" ref="G90:T90" si="5">MAXA(G88-G89,0)</f>
        <v>30</v>
      </c>
      <c r="H90" s="80">
        <f t="shared" si="5"/>
        <v>0</v>
      </c>
      <c r="I90" s="88">
        <f t="shared" si="5"/>
        <v>10</v>
      </c>
      <c r="J90" s="88">
        <f t="shared" si="5"/>
        <v>15</v>
      </c>
      <c r="K90" s="88">
        <f t="shared" si="5"/>
        <v>0</v>
      </c>
      <c r="L90" s="96">
        <f t="shared" si="5"/>
        <v>20</v>
      </c>
      <c r="M90" s="96">
        <f t="shared" si="5"/>
        <v>0</v>
      </c>
      <c r="N90" s="96">
        <f t="shared" si="5"/>
        <v>0</v>
      </c>
      <c r="O90" s="114">
        <f t="shared" si="5"/>
        <v>30</v>
      </c>
      <c r="P90" s="114">
        <f t="shared" si="5"/>
        <v>30</v>
      </c>
      <c r="Q90" s="114">
        <f t="shared" si="5"/>
        <v>0</v>
      </c>
      <c r="R90" s="104">
        <f t="shared" si="5"/>
        <v>0</v>
      </c>
      <c r="S90" s="104">
        <f t="shared" si="5"/>
        <v>0</v>
      </c>
      <c r="T90" s="106">
        <f t="shared" si="5"/>
        <v>0</v>
      </c>
    </row>
    <row r="91" spans="1:21">
      <c r="E91" s="61"/>
      <c r="F91" s="51"/>
      <c r="G91" s="207" t="s">
        <v>281</v>
      </c>
      <c r="H91" s="207"/>
      <c r="I91" s="207"/>
      <c r="J91" s="207"/>
      <c r="K91" s="207"/>
      <c r="L91" s="207"/>
      <c r="M91" s="207"/>
      <c r="N91" s="207"/>
      <c r="O91" s="207"/>
      <c r="P91" s="207"/>
      <c r="Q91" s="207"/>
      <c r="R91" s="207"/>
      <c r="S91" s="207"/>
      <c r="T91" s="208"/>
    </row>
    <row r="92" spans="1:21">
      <c r="E92" s="5">
        <v>9</v>
      </c>
      <c r="F92" s="6">
        <f>F$90/VLOOKUP(F$6,Tabela11[#All],6,FALSE)</f>
        <v>17.910447761194028</v>
      </c>
      <c r="G92" s="118">
        <f>G$90/VLOOKUP(G$6,Tabela11[#All],6,FALSE)</f>
        <v>53.731343283582085</v>
      </c>
      <c r="H92" s="118">
        <f>H$90/VLOOKUP(H$6,Tabela11[#All],6,FALSE)</f>
        <v>0</v>
      </c>
      <c r="I92" s="118">
        <f>I$90/VLOOKUP(I$6,Tabela11[#All],6,FALSE)</f>
        <v>8.9552238805970141</v>
      </c>
      <c r="J92" s="118">
        <f>J$90/VLOOKUP(J$6,Tabela11[#All],6,FALSE)</f>
        <v>26.865671641791042</v>
      </c>
      <c r="K92" s="118">
        <f>K$90/VLOOKUP(K$6,Tabela11[#All],6,FALSE)</f>
        <v>0</v>
      </c>
      <c r="L92" s="118">
        <f>L$90/VLOOKUP(L$6,Tabela11[#All],6,FALSE)</f>
        <v>17.910447761194028</v>
      </c>
      <c r="M92" s="118">
        <f>M$90/VLOOKUP(M$6,Tabela11[#All],6,FALSE)</f>
        <v>0</v>
      </c>
      <c r="N92" s="118">
        <f>N$90/VLOOKUP(N$6,Tabela11[#All],6,FALSE)</f>
        <v>0</v>
      </c>
      <c r="O92" s="118">
        <f>O$90/VLOOKUP(O$6,Tabela11[#All],6,FALSE)</f>
        <v>26.865671641791042</v>
      </c>
      <c r="P92" s="118">
        <f>P$90/VLOOKUP(P$6,Tabela11[#All],6,FALSE)</f>
        <v>53.731343283582085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14.883720930232558</v>
      </c>
      <c r="G93" s="118">
        <f>G$90/VLOOKUP(G$6,Tabela11[#All],5,FALSE)</f>
        <v>137.14285714285714</v>
      </c>
      <c r="H93" s="118">
        <f>H$90/VLOOKUP(H$6,Tabela11[#All],5,FALSE)</f>
        <v>0</v>
      </c>
      <c r="I93" s="118">
        <f>I$90/VLOOKUP(I$6,Tabela11[#All],5,FALSE)</f>
        <v>7.441860465116279</v>
      </c>
      <c r="J93" s="118">
        <f>J$90/VLOOKUP(J$6,Tabela11[#All],5,FALSE)</f>
        <v>68.571428571428569</v>
      </c>
      <c r="K93" s="118">
        <f>K$90/VLOOKUP(K$6,Tabela11[#All],5,FALSE)</f>
        <v>0</v>
      </c>
      <c r="L93" s="118">
        <f>L$90/VLOOKUP(L$6,Tabela11[#All],5,FALSE)</f>
        <v>14.883720930232558</v>
      </c>
      <c r="M93" s="118">
        <f>M$90/VLOOKUP(M$6,Tabela11[#All],5,FALSE)</f>
        <v>0</v>
      </c>
      <c r="N93" s="118">
        <f>N$90/VLOOKUP(N$6,Tabela11[#All],5,FALSE)</f>
        <v>0</v>
      </c>
      <c r="O93" s="118">
        <f>O$90/VLOOKUP(O$6,Tabela11[#All],5,FALSE)</f>
        <v>22.325581395348838</v>
      </c>
      <c r="P93" s="118">
        <f>P$90/VLOOKUP(P$6,Tabela11[#All],5,FALSE)</f>
        <v>137.14285714285714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14.105263157894736</v>
      </c>
      <c r="G94" s="120">
        <f>G$90/VLOOKUP(G$6,Tabela11[#All],4,FALSE)</f>
        <v>54.324324324324323</v>
      </c>
      <c r="H94" s="120">
        <f>H$90/VLOOKUP(H$6,Tabela11[#All],4,FALSE)</f>
        <v>0</v>
      </c>
      <c r="I94" s="120">
        <f>I$90/VLOOKUP(I$6,Tabela11[#All],4,FALSE)</f>
        <v>7.0526315789473681</v>
      </c>
      <c r="J94" s="120">
        <f>J$90/VLOOKUP(J$6,Tabela11[#All],4,FALSE)</f>
        <v>27.162162162162161</v>
      </c>
      <c r="K94" s="120">
        <f>K$90/VLOOKUP(K$6,Tabela11[#All],4,FALSE)</f>
        <v>0</v>
      </c>
      <c r="L94" s="120">
        <f>L$90/VLOOKUP(L$6,Tabela11[#All],4,FALSE)</f>
        <v>14.105263157894736</v>
      </c>
      <c r="M94" s="120">
        <f>M$90/VLOOKUP(M$6,Tabela11[#All],4,FALSE)</f>
        <v>0</v>
      </c>
      <c r="N94" s="120">
        <f>N$90/VLOOKUP(N$6,Tabela11[#All],4,FALSE)</f>
        <v>0</v>
      </c>
      <c r="O94" s="120">
        <f>O$90/VLOOKUP(O$6,Tabela11[#All],4,FALSE)</f>
        <v>21.157894736842103</v>
      </c>
      <c r="P94" s="120">
        <f>P$90/VLOOKUP(P$6,Tabela11[#All],4,FALSE)</f>
        <v>54.324324324324323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209" t="s">
        <v>280</v>
      </c>
      <c r="H96" s="210"/>
      <c r="I96" s="210"/>
      <c r="J96" s="210"/>
      <c r="K96" s="210"/>
      <c r="L96" s="210"/>
      <c r="M96" s="210"/>
      <c r="N96" s="210"/>
      <c r="O96" s="210"/>
      <c r="P96" s="210"/>
      <c r="Q96" s="210"/>
      <c r="R96" s="210"/>
      <c r="S96" s="210"/>
      <c r="T96" s="211"/>
      <c r="U96" s="122" t="s">
        <v>282</v>
      </c>
    </row>
    <row r="97" spans="5:21">
      <c r="E97" s="5">
        <v>9</v>
      </c>
      <c r="F97" s="6">
        <f>F$90/VLOOKUP(F$6,Tabela11[#All],6,FALSE)*(7-12*0.065)</f>
        <v>111.40298507462686</v>
      </c>
      <c r="G97" s="126">
        <f>G$90/VLOOKUP(G$6,Tabela11[#All],6,FALSE)*(7-12*0.065)</f>
        <v>334.20895522388054</v>
      </c>
      <c r="H97" s="126">
        <f>H$90/VLOOKUP(H$6,Tabela11[#All],6,FALSE)*(7-12*0.065)</f>
        <v>0</v>
      </c>
      <c r="I97" s="126">
        <f>I$90/VLOOKUP(I$6,Tabela11[#All],6,FALSE)*(7-12*0.065)</f>
        <v>55.701492537313428</v>
      </c>
      <c r="J97" s="126">
        <f>J$90/VLOOKUP(J$6,Tabela11[#All],6,FALSE)*(7-12*0.065)</f>
        <v>167.10447761194027</v>
      </c>
      <c r="K97" s="126">
        <f>K$90/VLOOKUP(K$6,Tabela11[#All],6,FALSE)*(7-12*0.065)</f>
        <v>0</v>
      </c>
      <c r="L97" s="126">
        <f>L$90/VLOOKUP(L$6,Tabela11[#All],6,FALSE)*(7-12*0.065)</f>
        <v>111.40298507462686</v>
      </c>
      <c r="M97" s="126">
        <f>M$90/VLOOKUP(M$6,Tabela11[#All],6,FALSE)*(7-12*0.065)</f>
        <v>0</v>
      </c>
      <c r="N97" s="126">
        <f>N$90/VLOOKUP(N$6,Tabela11[#All],6,FALSE)*(7-12*0.065)</f>
        <v>0</v>
      </c>
      <c r="O97" s="126">
        <f>O$90/VLOOKUP(O$6,Tabela11[#All],6,FALSE)*(7-12*0.065)</f>
        <v>167.10447761194027</v>
      </c>
      <c r="P97" s="126">
        <f>P$90/VLOOKUP(P$6,Tabela11[#All],6,FALSE)*(7-12*0.065)</f>
        <v>334.20895522388054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946.92537313432808</v>
      </c>
    </row>
    <row r="98" spans="5:21">
      <c r="E98" s="5">
        <v>8</v>
      </c>
      <c r="F98" s="6">
        <f>F$90/VLOOKUP(F$6,Tabela11[#All],5,FALSE)*(7-12*0.065)</f>
        <v>92.576744186046511</v>
      </c>
      <c r="G98" s="126">
        <f>G$90/VLOOKUP(G$6,Tabela11[#All],5,FALSE)*(7-12*0.065)</f>
        <v>853.02857142857135</v>
      </c>
      <c r="H98" s="126">
        <f>H$90/VLOOKUP(H$6,Tabela11[#All],5,FALSE)*(7-12*0.065)</f>
        <v>0</v>
      </c>
      <c r="I98" s="126">
        <f>I$90/VLOOKUP(I$6,Tabela11[#All],5,FALSE)*(7-12*0.065)</f>
        <v>46.288372093023256</v>
      </c>
      <c r="J98" s="126">
        <f>J$90/VLOOKUP(J$6,Tabela11[#All],5,FALSE)*(7-12*0.065)</f>
        <v>426.51428571428568</v>
      </c>
      <c r="K98" s="126">
        <f>K$90/VLOOKUP(K$6,Tabela11[#All],5,FALSE)*(7-12*0.065)</f>
        <v>0</v>
      </c>
      <c r="L98" s="126">
        <f>L$90/VLOOKUP(L$6,Tabela11[#All],5,FALSE)*(7-12*0.065)</f>
        <v>92.576744186046511</v>
      </c>
      <c r="M98" s="126">
        <f>M$90/VLOOKUP(M$6,Tabela11[#All],5,FALSE)*(7-12*0.065)</f>
        <v>0</v>
      </c>
      <c r="N98" s="126">
        <f>N$90/VLOOKUP(N$6,Tabela11[#All],5,FALSE)*(7-12*0.065)</f>
        <v>0</v>
      </c>
      <c r="O98" s="126">
        <f>O$90/VLOOKUP(O$6,Tabela11[#All],5,FALSE)*(7-12*0.065)</f>
        <v>138.86511627906975</v>
      </c>
      <c r="P98" s="126">
        <f>P$90/VLOOKUP(P$6,Tabela11[#All],5,FALSE)*(7-12*0.065)</f>
        <v>853.02857142857135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2225.1481727574746</v>
      </c>
    </row>
    <row r="99" spans="5:21" ht="15" thickBot="1">
      <c r="E99" s="7">
        <v>7</v>
      </c>
      <c r="F99" s="8">
        <f>F$90/VLOOKUP(F$6,Tabela11[#All],4,FALSE)*(6-12*0.065)</f>
        <v>73.629473684210524</v>
      </c>
      <c r="G99" s="128">
        <f>G$90/VLOOKUP(G$6,Tabela11[#All],4,FALSE)*(6-12*0.065)</f>
        <v>283.57297297297293</v>
      </c>
      <c r="H99" s="128">
        <f>H$90/VLOOKUP(H$6,Tabela11[#All],4,FALSE)*(6-12*0.065)</f>
        <v>0</v>
      </c>
      <c r="I99" s="128">
        <f>I$90/VLOOKUP(I$6,Tabela11[#All],4,FALSE)*(6-12*0.065)</f>
        <v>36.814736842105262</v>
      </c>
      <c r="J99" s="128">
        <f>J$90/VLOOKUP(J$6,Tabela11[#All],4,FALSE)*(6-12*0.065)</f>
        <v>141.78648648648647</v>
      </c>
      <c r="K99" s="128">
        <f>K$90/VLOOKUP(K$6,Tabela11[#All],4,FALSE)*(6-12*0.065)</f>
        <v>0</v>
      </c>
      <c r="L99" s="128">
        <f>L$90/VLOOKUP(L$6,Tabela11[#All],4,FALSE)*(6-12*0.065)</f>
        <v>73.629473684210524</v>
      </c>
      <c r="M99" s="128">
        <f>M$90/VLOOKUP(M$6,Tabela11[#All],4,FALSE)*(6-12*0.065)</f>
        <v>0</v>
      </c>
      <c r="N99" s="128">
        <f>N$90/VLOOKUP(N$6,Tabela11[#All],4,FALSE)*(6-12*0.065)</f>
        <v>0</v>
      </c>
      <c r="O99" s="128">
        <f>O$90/VLOOKUP(O$6,Tabela11[#All],4,FALSE)*(6-12*0.065)</f>
        <v>110.44421052631577</v>
      </c>
      <c r="P99" s="128">
        <f>P$90/VLOOKUP(P$6,Tabela11[#All],4,FALSE)*(6-12*0.065)</f>
        <v>283.57297297297293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782.56190611664283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4"/>
  <sheetViews>
    <sheetView zoomScale="85" zoomScaleNormal="85" workbookViewId="0">
      <selection activeCell="P14" sqref="P1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6" width="14.25" customWidth="1"/>
    <col min="17" max="17" width="12" customWidth="1"/>
    <col min="19" max="19" width="19.125" bestFit="1" customWidth="1"/>
    <col min="21" max="21" width="20.125" bestFit="1" customWidth="1"/>
  </cols>
  <sheetData>
    <row r="1" spans="1:23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33</v>
      </c>
      <c r="Q1" s="67" t="s">
        <v>24</v>
      </c>
      <c r="R1" s="67" t="s">
        <v>245</v>
      </c>
      <c r="S1" s="67" t="s">
        <v>257</v>
      </c>
      <c r="T1" s="67" t="s">
        <v>130</v>
      </c>
      <c r="U1" s="67" t="s">
        <v>129</v>
      </c>
      <c r="V1" t="s">
        <v>132</v>
      </c>
      <c r="W1" t="s">
        <v>133</v>
      </c>
    </row>
    <row r="2" spans="1:23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LocFeatures[[#This Row],[XP drop]]/(LocFeatures[[#This Row],[E. Cost]]-LocFeatures[[#This Row],[Energy gain]])</f>
        <v>472.05825242718447</v>
      </c>
      <c r="Q2" s="50">
        <f>(LocFeatures[[#This Row],[XP Train Gain]]+LocFeatures[[#This Row],[XP drop]])/(LocFeatures[[#This Row],[E. Cost]]-LocFeatures[[#This Row],[Energy gain]])</f>
        <v>1771.3203883495146</v>
      </c>
      <c r="R2" s="47">
        <f>COUNTIFS(DropAnalityka[Location],LocFeatures[[#This Row],[Location]],DropAnalityka[LVL],LocFeatures[[#This Row],[LVL]],DropAnalityka[Stage],LocFeatures[[#This Row],[Stage]])</f>
        <v>32</v>
      </c>
      <c r="S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3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LocFeatures[[#This Row],[XP drop]]/(LocFeatures[[#This Row],[E. Cost]]-LocFeatures[[#This Row],[Energy gain]])</f>
        <v>82.75862068965516</v>
      </c>
      <c r="Q3" s="50">
        <f>(LocFeatures[[#This Row],[XP Train Gain]]+LocFeatures[[#This Row],[XP drop]])/(LocFeatures[[#This Row],[E. Cost]]-LocFeatures[[#This Row],[Energy gain]])</f>
        <v>1216.3152709359606</v>
      </c>
      <c r="R3" s="47">
        <f>COUNTIFS(DropAnalityka[Location],LocFeatures[[#This Row],[Location]],DropAnalityka[LVL],LocFeatures[[#This Row],[LVL]],DropAnalityka[Stage],LocFeatures[[#This Row],[Stage]])</f>
        <v>96</v>
      </c>
      <c r="S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U3" s="10"/>
      <c r="V3" s="10"/>
      <c r="W3" s="10"/>
    </row>
    <row r="4" spans="1:23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LocFeatures[[#This Row],[XP drop]]/(LocFeatures[[#This Row],[E. Cost]]-LocFeatures[[#This Row],[Energy gain]])</f>
        <v>0</v>
      </c>
      <c r="Q4" s="50">
        <f>(LocFeatures[[#This Row],[XP Train Gain]]+LocFeatures[[#This Row],[XP drop]])/(LocFeatures[[#This Row],[E. Cost]]-LocFeatures[[#This Row],[Energy gain]])</f>
        <v>804</v>
      </c>
      <c r="R4" s="47">
        <f>COUNTIFS(DropAnalityka[Location],LocFeatures[[#This Row],[Location]],DropAnalityka[LVL],LocFeatures[[#This Row],[LVL]],DropAnalityka[Stage],LocFeatures[[#This Row],[Stage]])</f>
        <v>1</v>
      </c>
      <c r="S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T4"/>
    </row>
    <row r="5" spans="1:23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LocFeatures[[#This Row],[XP drop]]/(LocFeatures[[#This Row],[E. Cost]]-LocFeatures[[#This Row],[Energy gain]])</f>
        <v>0</v>
      </c>
      <c r="Q5" s="50">
        <f>(LocFeatures[[#This Row],[XP Train Gain]]+LocFeatures[[#This Row],[XP drop]])/(LocFeatures[[#This Row],[E. Cost]]-LocFeatures[[#This Row],[Energy gain]])</f>
        <v>804</v>
      </c>
      <c r="R5" s="47">
        <f>COUNTIFS(DropAnalityka[Location],LocFeatures[[#This Row],[Location]],DropAnalityka[LVL],LocFeatures[[#This Row],[LVL]],DropAnalityka[Stage],LocFeatures[[#This Row],[Stage]])</f>
        <v>2</v>
      </c>
      <c r="S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T5"/>
    </row>
    <row r="6" spans="1:23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LocFeatures[[#This Row],[XP drop]]/(LocFeatures[[#This Row],[E. Cost]]-LocFeatures[[#This Row],[Energy gain]])</f>
        <v>448.60937500000006</v>
      </c>
      <c r="Q6" s="50">
        <f>(LocFeatures[[#This Row],[XP Train Gain]]+LocFeatures[[#This Row],[XP drop]])/(LocFeatures[[#This Row],[E. Cost]]-LocFeatures[[#This Row],[Energy gain]])</f>
        <v>448.60937500000006</v>
      </c>
      <c r="R6" s="47">
        <f>COUNTIFS(DropAnalityka[Location],LocFeatures[[#This Row],[Location]],DropAnalityka[LVL],LocFeatures[[#This Row],[LVL]],DropAnalityka[Stage],LocFeatures[[#This Row],[Stage]])</f>
        <v>18</v>
      </c>
      <c r="S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T6"/>
      <c r="U6"/>
      <c r="V6"/>
      <c r="W6"/>
    </row>
    <row r="7" spans="1:23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12550.254545454545</v>
      </c>
      <c r="J7" s="19">
        <f>AVERAGEIFS(DropAnalityka[Energy Drop],DropAnalityka[Location],LocFeatures[[#This Row],[Location]],DropAnalityka[LVL],LocFeatures[[#This Row],[LVL]],DropAnalityka[Stage],LocFeatures[[#This Row],[Stage]])</f>
        <v>1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2158.7390909090909</v>
      </c>
      <c r="N7" s="50">
        <f>LocFeatures[[#This Row],[Drop worth gain]]/(LocFeatures[[#This Row],[E. Cost]]-LocFeatures[[#This Row],[Energy gain]])</f>
        <v>1792.8935064935065</v>
      </c>
      <c r="O7" s="50">
        <f>LocFeatures[[#This Row],[XP Train Gain]]/(LocFeatures[[#This Row],[E. Cost]]-LocFeatures[[#This Row],[Energy gain]])</f>
        <v>0</v>
      </c>
      <c r="P7" s="50">
        <f>LocFeatures[[#This Row],[XP drop]]/(LocFeatures[[#This Row],[E. Cost]]-LocFeatures[[#This Row],[Energy gain]])</f>
        <v>308.39129870129869</v>
      </c>
      <c r="Q7" s="50">
        <f>(LocFeatures[[#This Row],[XP Train Gain]]+LocFeatures[[#This Row],[XP drop]])/(LocFeatures[[#This Row],[E. Cost]]-LocFeatures[[#This Row],[Energy gain]])</f>
        <v>308.39129870129869</v>
      </c>
      <c r="R7" s="47">
        <f>COUNTIFS(DropAnalityka[Location],LocFeatures[[#This Row],[Location]],DropAnalityka[LVL],LocFeatures[[#This Row],[LVL]],DropAnalityka[Stage],LocFeatures[[#This Row],[Stage]])</f>
        <v>110</v>
      </c>
      <c r="S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4889.6106493506495</v>
      </c>
      <c r="T7"/>
      <c r="U7"/>
      <c r="V7"/>
      <c r="W7"/>
    </row>
    <row r="8" spans="1:23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13033.891304347826</v>
      </c>
      <c r="J8" s="19">
        <f>AVERAGEIFS(DropAnalityka[Energy Drop],DropAnalityka[Location],LocFeatures[[#This Row],[Location]],DropAnalityka[LVL],LocFeatures[[#This Row],[LVL]],DropAnalityka[Stage],LocFeatures[[#This Row],[Stage]])</f>
        <v>1.173913043478261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2926.4630434782607</v>
      </c>
      <c r="N8" s="50">
        <f>LocFeatures[[#This Row],[Drop worth gain]]/(LocFeatures[[#This Row],[E. Cost]]-LocFeatures[[#This Row],[Energy gain]])</f>
        <v>1909.4235668789809</v>
      </c>
      <c r="O8" s="50">
        <f>LocFeatures[[#This Row],[XP Train Gain]]/(LocFeatures[[#This Row],[E. Cost]]-LocFeatures[[#This Row],[Energy gain]])</f>
        <v>0</v>
      </c>
      <c r="P8" s="50">
        <f>LocFeatures[[#This Row],[XP drop]]/(LocFeatures[[#This Row],[E. Cost]]-LocFeatures[[#This Row],[Energy gain]])</f>
        <v>428.71751592356685</v>
      </c>
      <c r="Q8" s="50">
        <f>(LocFeatures[[#This Row],[XP Train Gain]]+LocFeatures[[#This Row],[XP drop]])/(LocFeatures[[#This Row],[E. Cost]]-LocFeatures[[#This Row],[Energy gain]])</f>
        <v>428.71751592356685</v>
      </c>
      <c r="R8" s="47">
        <f>COUNTIFS(DropAnalityka[Location],LocFeatures[[#This Row],[Location]],DropAnalityka[LVL],LocFeatures[[#This Row],[LVL]],DropAnalityka[Stage],LocFeatures[[#This Row],[Stage]])</f>
        <v>23</v>
      </c>
      <c r="S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4627.724840764331</v>
      </c>
      <c r="T8"/>
      <c r="U8"/>
      <c r="V8"/>
      <c r="W8"/>
    </row>
    <row r="9" spans="1:23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LocFeatures[[#This Row],[XP drop]]/(LocFeatures[[#This Row],[E. Cost]]-LocFeatures[[#This Row],[Energy gain]])</f>
        <v>588.72463768115938</v>
      </c>
      <c r="Q9" s="50">
        <f>(LocFeatures[[#This Row],[XP Train Gain]]+LocFeatures[[#This Row],[XP drop]])/(LocFeatures[[#This Row],[E. Cost]]-LocFeatures[[#This Row],[Energy gain]])</f>
        <v>1781.5072463768115</v>
      </c>
      <c r="R9" s="47">
        <f>COUNTIFS(DropAnalityka[Location],LocFeatures[[#This Row],[Location]],DropAnalityka[LVL],LocFeatures[[#This Row],[LVL]],DropAnalityka[Stage],LocFeatures[[#This Row],[Stage]])</f>
        <v>43</v>
      </c>
      <c r="S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T9"/>
    </row>
    <row r="10" spans="1:23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LocFeatures[[#This Row],[XP drop]]/(LocFeatures[[#This Row],[E. Cost]]-LocFeatures[[#This Row],[Energy gain]])</f>
        <v>242.93984962406014</v>
      </c>
      <c r="Q10" s="50">
        <f>(LocFeatures[[#This Row],[XP Train Gain]]+LocFeatures[[#This Row],[XP drop]])/(LocFeatures[[#This Row],[E. Cost]]-LocFeatures[[#This Row],[Energy gain]])</f>
        <v>1494.9548872180453</v>
      </c>
      <c r="R10" s="43">
        <f>COUNTIFS(DropAnalityka[Location],LocFeatures[[#This Row],[Location]],DropAnalityka[LVL],LocFeatures[[#This Row],[LVL]],DropAnalityka[Stage],LocFeatures[[#This Row],[Stage]])</f>
        <v>87</v>
      </c>
      <c r="S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T10">
        <v>58</v>
      </c>
      <c r="U10" s="10" t="s">
        <v>246</v>
      </c>
      <c r="V10"/>
      <c r="W10"/>
    </row>
    <row r="11" spans="1:23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LocFeatures[[#This Row],[XP drop]]/(LocFeatures[[#This Row],[E. Cost]]-LocFeatures[[#This Row],[Energy gain]])</f>
        <v>106.97674418604652</v>
      </c>
      <c r="Q11" s="50">
        <f>(LocFeatures[[#This Row],[XP Train Gain]]+LocFeatures[[#This Row],[XP drop]])/(LocFeatures[[#This Row],[E. Cost]]-LocFeatures[[#This Row],[Energy gain]])</f>
        <v>1175.0465116279067</v>
      </c>
      <c r="R11" s="47">
        <f>COUNTIFS(DropAnalityka[Location],LocFeatures[[#This Row],[Location]],DropAnalityka[LVL],LocFeatures[[#This Row],[LVL]],DropAnalityka[Stage],LocFeatures[[#This Row],[Stage]])</f>
        <v>81</v>
      </c>
      <c r="S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T11"/>
    </row>
    <row r="12" spans="1:23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LocFeatures[[#This Row],[XP drop]]/(LocFeatures[[#This Row],[E. Cost]]-LocFeatures[[#This Row],[Energy gain]])</f>
        <v>339.64530612244897</v>
      </c>
      <c r="Q12" s="50">
        <f>(LocFeatures[[#This Row],[XP Train Gain]]+LocFeatures[[#This Row],[XP drop]])/(LocFeatures[[#This Row],[E. Cost]]-LocFeatures[[#This Row],[Energy gain]])</f>
        <v>339.64530612244897</v>
      </c>
      <c r="R12" s="47">
        <f>COUNTIFS(DropAnalityka[Location],LocFeatures[[#This Row],[Location]],DropAnalityka[LVL],LocFeatures[[#This Row],[LVL]],DropAnalityka[Stage],LocFeatures[[#This Row],[Stage]])</f>
        <v>50</v>
      </c>
      <c r="S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3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LocFeatures[[#This Row],[XP drop]]/(LocFeatures[[#This Row],[E. Cost]]-LocFeatures[[#This Row],[Energy gain]])</f>
        <v>134.51327433628319</v>
      </c>
      <c r="Q13" s="50">
        <f>(LocFeatures[[#This Row],[XP Train Gain]]+LocFeatures[[#This Row],[XP drop]])/(LocFeatures[[#This Row],[E. Cost]]-LocFeatures[[#This Row],[Energy gain]])</f>
        <v>134.51327433628319</v>
      </c>
      <c r="R13" s="43">
        <f>COUNTIFS(DropAnalityka[Location],LocFeatures[[#This Row],[Location]],DropAnalityka[LVL],LocFeatures[[#This Row],[LVL]],DropAnalityka[Stage],LocFeatures[[#This Row],[Stage]])</f>
        <v>37</v>
      </c>
      <c r="S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3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LocFeatures[[#This Row],[XP drop]]/(LocFeatures[[#This Row],[E. Cost]]-LocFeatures[[#This Row],[Energy gain]])</f>
        <v>495.59037878787882</v>
      </c>
      <c r="Q14" s="50">
        <f>(LocFeatures[[#This Row],[XP Train Gain]]+LocFeatures[[#This Row],[XP drop]])/(LocFeatures[[#This Row],[E. Cost]]-LocFeatures[[#This Row],[Energy gain]])</f>
        <v>495.59037878787882</v>
      </c>
      <c r="R14" s="47">
        <f>COUNTIFS(DropAnalityka[Location],LocFeatures[[#This Row],[Location]],DropAnalityka[LVL],LocFeatures[[#This Row],[LVL]],DropAnalityka[Stage],LocFeatures[[#This Row],[Stage]])</f>
        <v>187</v>
      </c>
      <c r="S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3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LocFeatures[[#This Row],[XP drop]]/(LocFeatures[[#This Row],[E. Cost]]-LocFeatures[[#This Row],[Energy gain]])</f>
        <v>435.13953488372096</v>
      </c>
      <c r="Q15" s="50">
        <f>(LocFeatures[[#This Row],[XP Train Gain]]+LocFeatures[[#This Row],[XP drop]])/(LocFeatures[[#This Row],[E. Cost]]-LocFeatures[[#This Row],[Energy gain]])</f>
        <v>737.47674418604652</v>
      </c>
      <c r="R15" s="43">
        <f>COUNTIFS(DropAnalityka[Location],LocFeatures[[#This Row],[Location]],DropAnalityka[LVL],LocFeatures[[#This Row],[LVL]],DropAnalityka[Stage],LocFeatures[[#This Row],[Stage]])</f>
        <v>27</v>
      </c>
      <c r="S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3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LocFeatures[[#This Row],[XP drop]]/(LocFeatures[[#This Row],[E. Cost]]-LocFeatures[[#This Row],[Energy gain]])</f>
        <v>266.66666666666669</v>
      </c>
      <c r="Q16" s="50">
        <f>(LocFeatures[[#This Row],[XP Train Gain]]+LocFeatures[[#This Row],[XP drop]])/(LocFeatures[[#This Row],[E. Cost]]-LocFeatures[[#This Row],[Energy gain]])</f>
        <v>573.9666666666667</v>
      </c>
      <c r="R16" s="47">
        <f>COUNTIFS(DropAnalityka[Location],LocFeatures[[#This Row],[Location]],DropAnalityka[LVL],LocFeatures[[#This Row],[LVL]],DropAnalityka[Stage],LocFeatures[[#This Row],[Stage]])</f>
        <v>7</v>
      </c>
      <c r="S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U16" s="10"/>
      <c r="V16" s="10"/>
      <c r="W16" s="10"/>
    </row>
    <row r="17" spans="1:23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LocFeatures[[#This Row],[XP drop]]/(LocFeatures[[#This Row],[E. Cost]]-LocFeatures[[#This Row],[Energy gain]])</f>
        <v>0</v>
      </c>
      <c r="Q17" s="50">
        <f>(LocFeatures[[#This Row],[XP Train Gain]]+LocFeatures[[#This Row],[XP drop]])/(LocFeatures[[#This Row],[E. Cost]]-LocFeatures[[#This Row],[Energy gain]])</f>
        <v>361.125</v>
      </c>
      <c r="R17" s="43">
        <f>COUNTIFS(DropAnalityka[Location],LocFeatures[[#This Row],[Location]],DropAnalityka[LVL],LocFeatures[[#This Row],[LVL]],DropAnalityka[Stage],LocFeatures[[#This Row],[Stage]])</f>
        <v>3</v>
      </c>
      <c r="S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3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LocFeatures[[#This Row],[XP drop]]/(LocFeatures[[#This Row],[E. Cost]]-LocFeatures[[#This Row],[Energy gain]])</f>
        <v>163.75595238095241</v>
      </c>
      <c r="Q18" s="50">
        <f>(LocFeatures[[#This Row],[XP Train Gain]]+LocFeatures[[#This Row],[XP drop]])/(LocFeatures[[#This Row],[E. Cost]]-LocFeatures[[#This Row],[Energy gain]])</f>
        <v>504.75595238095241</v>
      </c>
      <c r="R18" s="47">
        <f>COUNTIFS(DropAnalityka[Location],LocFeatures[[#This Row],[Location]],DropAnalityka[LVL],LocFeatures[[#This Row],[LVL]],DropAnalityka[Stage],LocFeatures[[#This Row],[Stage]])</f>
        <v>62</v>
      </c>
      <c r="S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3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LocFeatures[[#This Row],[XP drop]]/(LocFeatures[[#This Row],[E. Cost]]-LocFeatures[[#This Row],[Energy gain]])</f>
        <v>492.39473684210532</v>
      </c>
      <c r="Q19" s="50">
        <f>(LocFeatures[[#This Row],[XP Train Gain]]+LocFeatures[[#This Row],[XP drop]])/(LocFeatures[[#This Row],[E. Cost]]-LocFeatures[[#This Row],[Energy gain]])</f>
        <v>492.39473684210532</v>
      </c>
      <c r="R19" s="43">
        <f>COUNTIFS(DropAnalityka[Location],LocFeatures[[#This Row],[Location]],DropAnalityka[LVL],LocFeatures[[#This Row],[LVL]],DropAnalityka[Stage],LocFeatures[[#This Row],[Stage]])</f>
        <v>25</v>
      </c>
      <c r="S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3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LocFeatures[[#This Row],[XP drop]]/(LocFeatures[[#This Row],[E. Cost]]-LocFeatures[[#This Row],[Energy gain]])</f>
        <v>151.72413793103448</v>
      </c>
      <c r="Q20" s="50">
        <f>(LocFeatures[[#This Row],[XP Train Gain]]+LocFeatures[[#This Row],[XP drop]])/(LocFeatures[[#This Row],[E. Cost]]-LocFeatures[[#This Row],[Energy gain]])</f>
        <v>472.72413793103448</v>
      </c>
      <c r="R20" s="43">
        <f>COUNTIFS(DropAnalityka[Location],LocFeatures[[#This Row],[Location]],DropAnalityka[LVL],LocFeatures[[#This Row],[LVL]],DropAnalityka[Stage],LocFeatures[[#This Row],[Stage]])</f>
        <v>29</v>
      </c>
      <c r="S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3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LocFeatures[[#This Row],[XP drop]]/(LocFeatures[[#This Row],[E. Cost]]-LocFeatures[[#This Row],[Energy gain]])</f>
        <v>400.27014388489209</v>
      </c>
      <c r="Q21" s="50">
        <f>(LocFeatures[[#This Row],[XP Train Gain]]+LocFeatures[[#This Row],[XP drop]])/(LocFeatures[[#This Row],[E. Cost]]-LocFeatures[[#This Row],[Energy gain]])</f>
        <v>709.72338129496404</v>
      </c>
      <c r="R21" s="43">
        <f>COUNTIFS(DropAnalityka[Location],LocFeatures[[#This Row],[Location]],DropAnalityka[LVL],LocFeatures[[#This Row],[LVL]],DropAnalityka[Stage],LocFeatures[[#This Row],[Stage]])</f>
        <v>67</v>
      </c>
      <c r="S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3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LocFeatures[[#This Row],[XP drop]]/(LocFeatures[[#This Row],[E. Cost]]-LocFeatures[[#This Row],[Energy gain]])</f>
        <v>968.39678284182321</v>
      </c>
      <c r="Q22" s="50">
        <f>(LocFeatures[[#This Row],[XP Train Gain]]+LocFeatures[[#This Row],[XP drop]])/(LocFeatures[[#This Row],[E. Cost]]-LocFeatures[[#This Row],[Energy gain]])</f>
        <v>1335.0080428954425</v>
      </c>
      <c r="R22" s="43">
        <f>COUNTIFS(DropAnalityka[Location],LocFeatures[[#This Row],[Location]],DropAnalityka[LVL],LocFeatures[[#This Row],[LVL]],DropAnalityka[Stage],LocFeatures[[#This Row],[Stage]])</f>
        <v>71</v>
      </c>
      <c r="S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3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LocFeatures[[#This Row],[XP drop]]/(LocFeatures[[#This Row],[E. Cost]]-LocFeatures[[#This Row],[Energy gain]])</f>
        <v>0</v>
      </c>
      <c r="Q23" s="50">
        <f>(LocFeatures[[#This Row],[XP Train Gain]]+LocFeatures[[#This Row],[XP drop]])/(LocFeatures[[#This Row],[E. Cost]]-LocFeatures[[#This Row],[Energy gain]])</f>
        <v>1379.1891891891894</v>
      </c>
      <c r="R23" s="43">
        <f>COUNTIFS(DropAnalityka[Location],LocFeatures[[#This Row],[Location]],DropAnalityka[LVL],LocFeatures[[#This Row],[LVL]],DropAnalityka[Stage],LocFeatures[[#This Row],[Stage]])</f>
        <v>27</v>
      </c>
      <c r="S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3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LocFeatures[[#This Row],[XP drop]]/(LocFeatures[[#This Row],[E. Cost]]-LocFeatures[[#This Row],[Energy gain]])</f>
        <v>8955.5</v>
      </c>
      <c r="Q24" s="50">
        <f>(LocFeatures[[#This Row],[XP Train Gain]]+LocFeatures[[#This Row],[XP drop]])/(LocFeatures[[#This Row],[E. Cost]]-LocFeatures[[#This Row],[Energy gain]])</f>
        <v>10080.5</v>
      </c>
      <c r="R24" s="47">
        <f>COUNTIFS(DropAnalityka[Location],LocFeatures[[#This Row],[Location]],DropAnalityka[LVL],LocFeatures[[#This Row],[LVL]],DropAnalityka[Stage],LocFeatures[[#This Row],[Stage]])</f>
        <v>1</v>
      </c>
      <c r="S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U24" s="10"/>
      <c r="V24" s="10"/>
      <c r="W24" s="10"/>
    </row>
    <row r="25" spans="1:23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LocFeatures[[#This Row],[XP drop]]/(LocFeatures[[#This Row],[E. Cost]]-LocFeatures[[#This Row],[Energy gain]])</f>
        <v>716.44</v>
      </c>
      <c r="Q25" s="50">
        <f>(LocFeatures[[#This Row],[XP Train Gain]]+LocFeatures[[#This Row],[XP drop]])/(LocFeatures[[#This Row],[E. Cost]]-LocFeatures[[#This Row],[Energy gain]])</f>
        <v>716.44</v>
      </c>
      <c r="R25" s="43">
        <f>COUNTIFS(DropAnalityka[Location],LocFeatures[[#This Row],[Location]],DropAnalityka[LVL],LocFeatures[[#This Row],[LVL]],DropAnalityka[Stage],LocFeatures[[#This Row],[Stage]])</f>
        <v>8</v>
      </c>
      <c r="S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3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LocFeatures[[#This Row],[XP drop]]/(LocFeatures[[#This Row],[E. Cost]]-LocFeatures[[#This Row],[Energy gain]])</f>
        <v>350.73493975903614</v>
      </c>
      <c r="Q26" s="50">
        <f>(LocFeatures[[#This Row],[XP Train Gain]]+LocFeatures[[#This Row],[XP drop]])/(LocFeatures[[#This Row],[E. Cost]]-LocFeatures[[#This Row],[Energy gain]])</f>
        <v>1402.433734939759</v>
      </c>
      <c r="R26" s="47">
        <f>COUNTIFS(DropAnalityka[Location],LocFeatures[[#This Row],[Location]],DropAnalityka[LVL],LocFeatures[[#This Row],[LVL]],DropAnalityka[Stage],LocFeatures[[#This Row],[Stage]])</f>
        <v>53</v>
      </c>
      <c r="S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U26" s="10"/>
      <c r="V26" s="10"/>
      <c r="W26" s="10"/>
    </row>
    <row r="27" spans="1:23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LocFeatures[[#This Row],[XP drop]]/(LocFeatures[[#This Row],[E. Cost]]-LocFeatures[[#This Row],[Energy gain]])</f>
        <v>0</v>
      </c>
      <c r="Q27" s="50">
        <f>(LocFeatures[[#This Row],[XP Train Gain]]+LocFeatures[[#This Row],[XP drop]])/(LocFeatures[[#This Row],[E. Cost]]-LocFeatures[[#This Row],[Energy gain]])</f>
        <v>837</v>
      </c>
      <c r="R27" s="47">
        <f>COUNTIFS(DropAnalityka[Location],LocFeatures[[#This Row],[Location]],DropAnalityka[LVL],LocFeatures[[#This Row],[LVL]],DropAnalityka[Stage],LocFeatures[[#This Row],[Stage]])</f>
        <v>1</v>
      </c>
      <c r="S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U27" s="10"/>
      <c r="V27" s="10"/>
      <c r="W27" s="10"/>
    </row>
    <row r="28" spans="1:23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LocFeatures[[#This Row],[XP drop]]/(LocFeatures[[#This Row],[E. Cost]]-LocFeatures[[#This Row],[Energy gain]])</f>
        <v>308.91228070175441</v>
      </c>
      <c r="Q28" s="50">
        <f>(LocFeatures[[#This Row],[XP Train Gain]]+LocFeatures[[#This Row],[XP drop]])/(LocFeatures[[#This Row],[E. Cost]]-LocFeatures[[#This Row],[Energy gain]])</f>
        <v>1652.4529505582138</v>
      </c>
      <c r="R28" s="47">
        <f>COUNTIFS(DropAnalityka[Location],LocFeatures[[#This Row],[Location]],DropAnalityka[LVL],LocFeatures[[#This Row],[LVL]],DropAnalityka[Stage],LocFeatures[[#This Row],[Stage]])</f>
        <v>156</v>
      </c>
      <c r="S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U28" s="10"/>
      <c r="V28" s="10"/>
      <c r="W28" s="10"/>
    </row>
    <row r="29" spans="1:23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LocFeatures[[#This Row],[XP drop]]/(LocFeatures[[#This Row],[E. Cost]]-LocFeatures[[#This Row],[Energy gain]])</f>
        <v>96</v>
      </c>
      <c r="Q29" s="50">
        <f>(LocFeatures[[#This Row],[XP Train Gain]]+LocFeatures[[#This Row],[XP drop]])/(LocFeatures[[#This Row],[E. Cost]]-LocFeatures[[#This Row],[Energy gain]])</f>
        <v>1392</v>
      </c>
      <c r="R29" s="47">
        <f>COUNTIFS(DropAnalityka[Location],LocFeatures[[#This Row],[Location]],DropAnalityka[LVL],LocFeatures[[#This Row],[LVL]],DropAnalityka[Stage],LocFeatures[[#This Row],[Stage]])</f>
        <v>18</v>
      </c>
      <c r="S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T29">
        <v>92</v>
      </c>
      <c r="U29" s="10" t="s">
        <v>246</v>
      </c>
    </row>
    <row r="30" spans="1:23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LocFeatures[[#This Row],[XP drop]]/(LocFeatures[[#This Row],[E. Cost]]-LocFeatures[[#This Row],[Energy gain]])</f>
        <v>80.898876404494388</v>
      </c>
      <c r="Q30" s="50">
        <f>(LocFeatures[[#This Row],[XP Train Gain]]+LocFeatures[[#This Row],[XP drop]])/(LocFeatures[[#This Row],[E. Cost]]-LocFeatures[[#This Row],[Energy gain]])</f>
        <v>968.15730337078639</v>
      </c>
      <c r="R30" s="43">
        <f>COUNTIFS(DropAnalityka[Location],LocFeatures[[#This Row],[Location]],DropAnalityka[LVL],LocFeatures[[#This Row],[LVL]],DropAnalityka[Stage],LocFeatures[[#This Row],[Stage]])</f>
        <v>41</v>
      </c>
      <c r="S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3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LocFeatures[[#This Row],[XP drop]]/(LocFeatures[[#This Row],[E. Cost]]-LocFeatures[[#This Row],[Energy gain]])</f>
        <v>80.898876404494388</v>
      </c>
      <c r="Q31" s="50">
        <f>(LocFeatures[[#This Row],[XP Train Gain]]+LocFeatures[[#This Row],[XP drop]])/(LocFeatures[[#This Row],[E. Cost]]-LocFeatures[[#This Row],[Energy gain]])</f>
        <v>80.898876404494388</v>
      </c>
      <c r="R31" s="43">
        <f>COUNTIFS(DropAnalityka[Location],LocFeatures[[#This Row],[Location]],DropAnalityka[LVL],LocFeatures[[#This Row],[LVL]],DropAnalityka[Stage],LocFeatures[[#This Row],[Stage]])</f>
        <v>41</v>
      </c>
      <c r="S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3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LocFeatures[[#This Row],[XP drop]]/(LocFeatures[[#This Row],[E. Cost]]-LocFeatures[[#This Row],[Energy gain]])</f>
        <v>0</v>
      </c>
      <c r="Q32" s="50">
        <f>(LocFeatures[[#This Row],[XP Train Gain]]+LocFeatures[[#This Row],[XP drop]])/(LocFeatures[[#This Row],[E. Cost]]-LocFeatures[[#This Row],[Energy gain]])</f>
        <v>1097.28</v>
      </c>
      <c r="R32" s="43">
        <f>COUNTIFS(DropAnalityka[Location],LocFeatures[[#This Row],[Location]],DropAnalityka[LVL],LocFeatures[[#This Row],[LVL]],DropAnalityka[Stage],LocFeatures[[#This Row],[Stage]])</f>
        <v>8</v>
      </c>
      <c r="S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8">
      <c r="I33" s="43"/>
      <c r="M33" s="43"/>
      <c r="O33" s="48"/>
      <c r="P33" s="48" t="e">
        <f>LocFeatures[[#This Row],[XP drop]]/(LocFeatures[[#This Row],[E. Cost]]-LocFeatures[[#This Row],[Energy gain]])</f>
        <v>#DIV/0!</v>
      </c>
      <c r="R33" s="43"/>
    </row>
    <row r="34" spans="9:18">
      <c r="I34" s="43"/>
      <c r="M34" s="43"/>
      <c r="O34" s="48"/>
      <c r="P34" s="48" t="e">
        <f>LocFeatures[[#This Row],[XP drop]]/(LocFeatures[[#This Row],[E. Cost]]-LocFeatures[[#This Row],[Energy gain]])</f>
        <v>#DIV/0!</v>
      </c>
      <c r="R34" s="43"/>
    </row>
    <row r="35" spans="9:18">
      <c r="I35" s="43"/>
      <c r="M35" s="43"/>
      <c r="O35" s="48"/>
      <c r="P35" s="48" t="e">
        <f>LocFeatures[[#This Row],[XP drop]]/(LocFeatures[[#This Row],[E. Cost]]-LocFeatures[[#This Row],[Energy gain]])</f>
        <v>#DIV/0!</v>
      </c>
      <c r="R35" s="43"/>
    </row>
    <row r="36" spans="9:18">
      <c r="I36" s="43"/>
      <c r="M36" s="43"/>
      <c r="O36" s="48"/>
      <c r="P36" s="48" t="e">
        <f>LocFeatures[[#This Row],[XP drop]]/(LocFeatures[[#This Row],[E. Cost]]-LocFeatures[[#This Row],[Energy gain]])</f>
        <v>#DIV/0!</v>
      </c>
      <c r="R36" s="43"/>
    </row>
    <row r="37" spans="9:18">
      <c r="I37" s="43"/>
      <c r="M37" s="43"/>
      <c r="O37" s="48"/>
      <c r="P37" s="48" t="e">
        <f>LocFeatures[[#This Row],[XP drop]]/(LocFeatures[[#This Row],[E. Cost]]-LocFeatures[[#This Row],[Energy gain]])</f>
        <v>#DIV/0!</v>
      </c>
      <c r="R37" s="43"/>
    </row>
    <row r="38" spans="9:18">
      <c r="I38" s="43"/>
      <c r="M38" s="43"/>
      <c r="O38" s="48"/>
      <c r="P38" s="48" t="e">
        <f>LocFeatures[[#This Row],[XP drop]]/(LocFeatures[[#This Row],[E. Cost]]-LocFeatures[[#This Row],[Energy gain]])</f>
        <v>#DIV/0!</v>
      </c>
      <c r="R38" s="43"/>
    </row>
    <row r="39" spans="9:18">
      <c r="I39" s="43"/>
      <c r="M39" s="43"/>
      <c r="O39" s="48"/>
      <c r="P39" s="48" t="e">
        <f>LocFeatures[[#This Row],[XP drop]]/(LocFeatures[[#This Row],[E. Cost]]-LocFeatures[[#This Row],[Energy gain]])</f>
        <v>#DIV/0!</v>
      </c>
      <c r="R39" s="43"/>
    </row>
    <row r="40" spans="9:18">
      <c r="I40" s="43"/>
      <c r="M40" s="43"/>
      <c r="O40" s="48"/>
      <c r="P40" s="48" t="e">
        <f>LocFeatures[[#This Row],[XP drop]]/(LocFeatures[[#This Row],[E. Cost]]-LocFeatures[[#This Row],[Energy gain]])</f>
        <v>#DIV/0!</v>
      </c>
      <c r="R40" s="43"/>
    </row>
    <row r="41" spans="9:18">
      <c r="I41" s="43"/>
      <c r="M41" s="43"/>
      <c r="O41" s="48"/>
      <c r="P41" s="48" t="e">
        <f>LocFeatures[[#This Row],[XP drop]]/(LocFeatures[[#This Row],[E. Cost]]-LocFeatures[[#This Row],[Energy gain]])</f>
        <v>#DIV/0!</v>
      </c>
      <c r="R41" s="43"/>
    </row>
    <row r="42" spans="9:18">
      <c r="I42" s="43"/>
      <c r="M42" s="43"/>
      <c r="O42" s="48"/>
      <c r="P42" s="48" t="e">
        <f>LocFeatures[[#This Row],[XP drop]]/(LocFeatures[[#This Row],[E. Cost]]-LocFeatures[[#This Row],[Energy gain]])</f>
        <v>#DIV/0!</v>
      </c>
      <c r="R42" s="43"/>
    </row>
    <row r="43" spans="9:18">
      <c r="I43" s="43"/>
      <c r="M43" s="43"/>
      <c r="O43" s="48"/>
      <c r="P43" s="48" t="e">
        <f>LocFeatures[[#This Row],[XP drop]]/(LocFeatures[[#This Row],[E. Cost]]-LocFeatures[[#This Row],[Energy gain]])</f>
        <v>#DIV/0!</v>
      </c>
      <c r="R43" s="43"/>
    </row>
    <row r="44" spans="9:18">
      <c r="I44" s="43"/>
      <c r="M44" s="43"/>
      <c r="O44" s="48"/>
      <c r="P44" s="48" t="e">
        <f>LocFeatures[[#This Row],[XP drop]]/(LocFeatures[[#This Row],[E. Cost]]-LocFeatures[[#This Row],[Energy gain]])</f>
        <v>#DIV/0!</v>
      </c>
      <c r="R44" s="43"/>
    </row>
    <row r="45" spans="9:18">
      <c r="I45" s="43"/>
      <c r="M45" s="43"/>
      <c r="O45" s="48"/>
      <c r="P45" s="48" t="e">
        <f>LocFeatures[[#This Row],[XP drop]]/(LocFeatures[[#This Row],[E. Cost]]-LocFeatures[[#This Row],[Energy gain]])</f>
        <v>#DIV/0!</v>
      </c>
      <c r="R45" s="43"/>
    </row>
    <row r="46" spans="9:18">
      <c r="I46" s="43"/>
      <c r="M46" s="43"/>
      <c r="O46" s="48"/>
      <c r="P46" s="48" t="e">
        <f>LocFeatures[[#This Row],[XP drop]]/(LocFeatures[[#This Row],[E. Cost]]-LocFeatures[[#This Row],[Energy gain]])</f>
        <v>#DIV/0!</v>
      </c>
      <c r="R46" s="43"/>
    </row>
    <row r="47" spans="9:18">
      <c r="I47" s="43"/>
      <c r="M47" s="43"/>
      <c r="O47" s="48"/>
      <c r="P47" s="48" t="e">
        <f>LocFeatures[[#This Row],[XP drop]]/(LocFeatures[[#This Row],[E. Cost]]-LocFeatures[[#This Row],[Energy gain]])</f>
        <v>#DIV/0!</v>
      </c>
      <c r="R47" s="43"/>
    </row>
    <row r="48" spans="9:18">
      <c r="I48" s="43"/>
      <c r="M48" s="43"/>
      <c r="O48" s="48"/>
      <c r="P48" s="48" t="e">
        <f>LocFeatures[[#This Row],[XP drop]]/(LocFeatures[[#This Row],[E. Cost]]-LocFeatures[[#This Row],[Energy gain]])</f>
        <v>#DIV/0!</v>
      </c>
      <c r="R48" s="43"/>
    </row>
    <row r="49" spans="9:18">
      <c r="I49" s="43"/>
      <c r="M49" s="43"/>
      <c r="O49" s="48"/>
      <c r="P49" s="48" t="e">
        <f>LocFeatures[[#This Row],[XP drop]]/(LocFeatures[[#This Row],[E. Cost]]-LocFeatures[[#This Row],[Energy gain]])</f>
        <v>#DIV/0!</v>
      </c>
      <c r="R49" s="43"/>
    </row>
    <row r="50" spans="9:18">
      <c r="I50" s="43"/>
      <c r="M50" s="43"/>
      <c r="O50" s="48"/>
      <c r="P50" s="48" t="e">
        <f>LocFeatures[[#This Row],[XP drop]]/(LocFeatures[[#This Row],[E. Cost]]-LocFeatures[[#This Row],[Energy gain]])</f>
        <v>#DIV/0!</v>
      </c>
      <c r="R50" s="43"/>
    </row>
    <row r="51" spans="9:18">
      <c r="I51" s="43"/>
      <c r="M51" s="43"/>
      <c r="O51" s="48"/>
      <c r="P51" s="48" t="e">
        <f>LocFeatures[[#This Row],[XP drop]]/(LocFeatures[[#This Row],[E. Cost]]-LocFeatures[[#This Row],[Energy gain]])</f>
        <v>#DIV/0!</v>
      </c>
      <c r="R51" s="43"/>
    </row>
    <row r="52" spans="9:18">
      <c r="I52" s="43"/>
      <c r="M52" s="43"/>
      <c r="O52" s="48"/>
      <c r="P52" s="48" t="e">
        <f>LocFeatures[[#This Row],[XP drop]]/(LocFeatures[[#This Row],[E. Cost]]-LocFeatures[[#This Row],[Energy gain]])</f>
        <v>#DIV/0!</v>
      </c>
      <c r="R52" s="43"/>
    </row>
    <row r="53" spans="9:18">
      <c r="I53" s="43"/>
      <c r="M53" s="43"/>
      <c r="O53" s="48"/>
      <c r="P53" s="48" t="e">
        <f>LocFeatures[[#This Row],[XP drop]]/(LocFeatures[[#This Row],[E. Cost]]-LocFeatures[[#This Row],[Energy gain]])</f>
        <v>#DIV/0!</v>
      </c>
      <c r="R53" s="43"/>
    </row>
    <row r="54" spans="9:18">
      <c r="I54" s="43"/>
      <c r="M54" s="43"/>
      <c r="O54" s="48"/>
      <c r="P54" s="48" t="e">
        <f>LocFeatures[[#This Row],[XP drop]]/(LocFeatures[[#This Row],[E. Cost]]-LocFeatures[[#This Row],[Energy gain]])</f>
        <v>#DIV/0!</v>
      </c>
      <c r="R54" s="43"/>
    </row>
    <row r="55" spans="9:18">
      <c r="I55" s="43"/>
      <c r="M55" s="43"/>
      <c r="O55" s="48"/>
      <c r="P55" s="48" t="e">
        <f>LocFeatures[[#This Row],[XP drop]]/(LocFeatures[[#This Row],[E. Cost]]-LocFeatures[[#This Row],[Energy gain]])</f>
        <v>#DIV/0!</v>
      </c>
      <c r="R55" s="43"/>
    </row>
    <row r="56" spans="9:18">
      <c r="I56" s="43"/>
      <c r="M56" s="43"/>
      <c r="O56" s="48"/>
      <c r="P56" s="48" t="e">
        <f>LocFeatures[[#This Row],[XP drop]]/(LocFeatures[[#This Row],[E. Cost]]-LocFeatures[[#This Row],[Energy gain]])</f>
        <v>#DIV/0!</v>
      </c>
      <c r="R56" s="43"/>
    </row>
    <row r="57" spans="9:18">
      <c r="I57" s="43"/>
      <c r="M57" s="43"/>
      <c r="O57" s="48"/>
      <c r="P57" s="48" t="e">
        <f>LocFeatures[[#This Row],[XP drop]]/(LocFeatures[[#This Row],[E. Cost]]-LocFeatures[[#This Row],[Energy gain]])</f>
        <v>#DIV/0!</v>
      </c>
      <c r="R57" s="43"/>
    </row>
    <row r="58" spans="9:18">
      <c r="I58" s="43"/>
      <c r="M58" s="43"/>
      <c r="O58" s="48"/>
      <c r="P58" s="48" t="e">
        <f>LocFeatures[[#This Row],[XP drop]]/(LocFeatures[[#This Row],[E. Cost]]-LocFeatures[[#This Row],[Energy gain]])</f>
        <v>#DIV/0!</v>
      </c>
      <c r="R58" s="43"/>
    </row>
    <row r="59" spans="9:18">
      <c r="I59" s="43"/>
      <c r="M59" s="43"/>
      <c r="O59" s="48"/>
      <c r="P59" s="48" t="e">
        <f>LocFeatures[[#This Row],[XP drop]]/(LocFeatures[[#This Row],[E. Cost]]-LocFeatures[[#This Row],[Energy gain]])</f>
        <v>#DIV/0!</v>
      </c>
      <c r="R59" s="43"/>
    </row>
    <row r="60" spans="9:18">
      <c r="I60" s="43"/>
      <c r="M60" s="43"/>
      <c r="O60" s="48"/>
      <c r="P60" s="48" t="e">
        <f>LocFeatures[[#This Row],[XP drop]]/(LocFeatures[[#This Row],[E. Cost]]-LocFeatures[[#This Row],[Energy gain]])</f>
        <v>#DIV/0!</v>
      </c>
      <c r="R60" s="43"/>
    </row>
    <row r="61" spans="9:18">
      <c r="I61" s="43"/>
      <c r="M61" s="43"/>
      <c r="O61" s="48"/>
      <c r="P61" s="48" t="e">
        <f>LocFeatures[[#This Row],[XP drop]]/(LocFeatures[[#This Row],[E. Cost]]-LocFeatures[[#This Row],[Energy gain]])</f>
        <v>#DIV/0!</v>
      </c>
      <c r="R61" s="43"/>
    </row>
    <row r="62" spans="9:18">
      <c r="I62" s="43"/>
      <c r="M62" s="43"/>
      <c r="O62" s="48"/>
      <c r="P62" s="48" t="e">
        <f>LocFeatures[[#This Row],[XP drop]]/(LocFeatures[[#This Row],[E. Cost]]-LocFeatures[[#This Row],[Energy gain]])</f>
        <v>#DIV/0!</v>
      </c>
      <c r="R62" s="43"/>
    </row>
    <row r="63" spans="9:18">
      <c r="I63" s="43"/>
      <c r="M63" s="43"/>
      <c r="O63" s="48"/>
      <c r="P63" s="48" t="e">
        <f>LocFeatures[[#This Row],[XP drop]]/(LocFeatures[[#This Row],[E. Cost]]-LocFeatures[[#This Row],[Energy gain]])</f>
        <v>#DIV/0!</v>
      </c>
      <c r="R63" s="43"/>
    </row>
    <row r="64" spans="9:18">
      <c r="I64" s="43"/>
      <c r="M64" s="43"/>
      <c r="O64" s="48"/>
      <c r="P64" s="48" t="e">
        <f>LocFeatures[[#This Row],[XP drop]]/(LocFeatures[[#This Row],[E. Cost]]-LocFeatures[[#This Row],[Energy gain]])</f>
        <v>#DIV/0!</v>
      </c>
      <c r="R64" s="43"/>
    </row>
    <row r="65" spans="9:18">
      <c r="I65" s="43"/>
      <c r="M65" s="43"/>
      <c r="O65" s="48"/>
      <c r="P65" s="48" t="e">
        <f>LocFeatures[[#This Row],[XP drop]]/(LocFeatures[[#This Row],[E. Cost]]-LocFeatures[[#This Row],[Energy gain]])</f>
        <v>#DIV/0!</v>
      </c>
      <c r="R65" s="43"/>
    </row>
    <row r="66" spans="9:18">
      <c r="I66" s="43"/>
      <c r="M66" s="43"/>
      <c r="O66" s="48"/>
      <c r="P66" s="48" t="e">
        <f>LocFeatures[[#This Row],[XP drop]]/(LocFeatures[[#This Row],[E. Cost]]-LocFeatures[[#This Row],[Energy gain]])</f>
        <v>#DIV/0!</v>
      </c>
      <c r="R66" s="43"/>
    </row>
    <row r="67" spans="9:18">
      <c r="I67" s="43"/>
      <c r="M67" s="43"/>
      <c r="O67" s="48"/>
      <c r="P67" s="48" t="e">
        <f>LocFeatures[[#This Row],[XP drop]]/(LocFeatures[[#This Row],[E. Cost]]-LocFeatures[[#This Row],[Energy gain]])</f>
        <v>#DIV/0!</v>
      </c>
      <c r="R67" s="43"/>
    </row>
    <row r="68" spans="9:18">
      <c r="I68" s="43"/>
      <c r="M68" s="43"/>
      <c r="O68" s="48"/>
      <c r="P68" s="48" t="e">
        <f>LocFeatures[[#This Row],[XP drop]]/(LocFeatures[[#This Row],[E. Cost]]-LocFeatures[[#This Row],[Energy gain]])</f>
        <v>#DIV/0!</v>
      </c>
      <c r="R68" s="43"/>
    </row>
    <row r="69" spans="9:18">
      <c r="I69" s="43"/>
      <c r="M69" s="43"/>
      <c r="O69" s="48"/>
      <c r="P69" s="48" t="e">
        <f>LocFeatures[[#This Row],[XP drop]]/(LocFeatures[[#This Row],[E. Cost]]-LocFeatures[[#This Row],[Energy gain]])</f>
        <v>#DIV/0!</v>
      </c>
      <c r="R69" s="43"/>
    </row>
    <row r="70" spans="9:18">
      <c r="I70" s="43"/>
      <c r="M70" s="43"/>
      <c r="O70" s="48"/>
      <c r="P70" s="48" t="e">
        <f>LocFeatures[[#This Row],[XP drop]]/(LocFeatures[[#This Row],[E. Cost]]-LocFeatures[[#This Row],[Energy gain]])</f>
        <v>#DIV/0!</v>
      </c>
      <c r="R70" s="43"/>
    </row>
    <row r="71" spans="9:18">
      <c r="I71" s="43"/>
      <c r="M71" s="43"/>
      <c r="O71" s="48"/>
      <c r="P71" s="48" t="e">
        <f>LocFeatures[[#This Row],[XP drop]]/(LocFeatures[[#This Row],[E. Cost]]-LocFeatures[[#This Row],[Energy gain]])</f>
        <v>#DIV/0!</v>
      </c>
      <c r="R71" s="43"/>
    </row>
    <row r="72" spans="9:18">
      <c r="I72" s="43"/>
      <c r="M72" s="43"/>
      <c r="O72" s="48"/>
      <c r="P72" s="48" t="e">
        <f>LocFeatures[[#This Row],[XP drop]]/(LocFeatures[[#This Row],[E. Cost]]-LocFeatures[[#This Row],[Energy gain]])</f>
        <v>#DIV/0!</v>
      </c>
      <c r="R72" s="43"/>
    </row>
    <row r="73" spans="9:18">
      <c r="I73" s="43"/>
      <c r="M73" s="43"/>
      <c r="O73" s="48"/>
      <c r="P73" s="48" t="e">
        <f>LocFeatures[[#This Row],[XP drop]]/(LocFeatures[[#This Row],[E. Cost]]-LocFeatures[[#This Row],[Energy gain]])</f>
        <v>#DIV/0!</v>
      </c>
      <c r="R73" s="43"/>
    </row>
    <row r="74" spans="9:18">
      <c r="I74" s="43"/>
      <c r="M74" s="43"/>
      <c r="O74" s="48"/>
      <c r="P74" s="48" t="e">
        <f>LocFeatures[[#This Row],[XP drop]]/(LocFeatures[[#This Row],[E. Cost]]-LocFeatures[[#This Row],[Energy gain]])</f>
        <v>#DIV/0!</v>
      </c>
      <c r="R74" s="43"/>
    </row>
    <row r="75" spans="9:18">
      <c r="I75" s="43"/>
      <c r="M75" s="43"/>
      <c r="O75" s="48"/>
      <c r="P75" s="48" t="e">
        <f>LocFeatures[[#This Row],[XP drop]]/(LocFeatures[[#This Row],[E. Cost]]-LocFeatures[[#This Row],[Energy gain]])</f>
        <v>#DIV/0!</v>
      </c>
      <c r="R75" s="43"/>
    </row>
    <row r="76" spans="9:18">
      <c r="I76" s="43"/>
      <c r="M76" s="43"/>
      <c r="O76" s="48"/>
      <c r="P76" s="48" t="e">
        <f>LocFeatures[[#This Row],[XP drop]]/(LocFeatures[[#This Row],[E. Cost]]-LocFeatures[[#This Row],[Energy gain]])</f>
        <v>#DIV/0!</v>
      </c>
      <c r="R76" s="43"/>
    </row>
    <row r="77" spans="9:18">
      <c r="I77" s="43"/>
      <c r="M77" s="43"/>
      <c r="O77" s="48"/>
      <c r="P77" s="48" t="e">
        <f>LocFeatures[[#This Row],[XP drop]]/(LocFeatures[[#This Row],[E. Cost]]-LocFeatures[[#This Row],[Energy gain]])</f>
        <v>#DIV/0!</v>
      </c>
      <c r="R77" s="43"/>
    </row>
    <row r="78" spans="9:18">
      <c r="I78" s="43"/>
      <c r="M78" s="43"/>
      <c r="O78" s="48"/>
      <c r="P78" s="48" t="e">
        <f>LocFeatures[[#This Row],[XP drop]]/(LocFeatures[[#This Row],[E. Cost]]-LocFeatures[[#This Row],[Energy gain]])</f>
        <v>#DIV/0!</v>
      </c>
      <c r="R78" s="43"/>
    </row>
    <row r="79" spans="9:18">
      <c r="I79" s="43"/>
      <c r="M79" s="43"/>
      <c r="O79" s="48"/>
      <c r="P79" s="48" t="e">
        <f>LocFeatures[[#This Row],[XP drop]]/(LocFeatures[[#This Row],[E. Cost]]-LocFeatures[[#This Row],[Energy gain]])</f>
        <v>#DIV/0!</v>
      </c>
      <c r="R79" s="43"/>
    </row>
    <row r="80" spans="9:18">
      <c r="I80" s="43"/>
      <c r="M80" s="43"/>
      <c r="O80" s="48"/>
      <c r="P80" s="48" t="e">
        <f>LocFeatures[[#This Row],[XP drop]]/(LocFeatures[[#This Row],[E. Cost]]-LocFeatures[[#This Row],[Energy gain]])</f>
        <v>#DIV/0!</v>
      </c>
      <c r="R80" s="43"/>
    </row>
    <row r="81" spans="9:18">
      <c r="I81" s="43"/>
      <c r="M81" s="43"/>
      <c r="O81" s="48"/>
      <c r="P81" s="48" t="e">
        <f>LocFeatures[[#This Row],[XP drop]]/(LocFeatures[[#This Row],[E. Cost]]-LocFeatures[[#This Row],[Energy gain]])</f>
        <v>#DIV/0!</v>
      </c>
      <c r="R81" s="43"/>
    </row>
    <row r="82" spans="9:18">
      <c r="I82" s="43"/>
      <c r="M82" s="43"/>
      <c r="O82" s="48"/>
      <c r="P82" s="48" t="e">
        <f>LocFeatures[[#This Row],[XP drop]]/(LocFeatures[[#This Row],[E. Cost]]-LocFeatures[[#This Row],[Energy gain]])</f>
        <v>#DIV/0!</v>
      </c>
      <c r="R82" s="43"/>
    </row>
    <row r="83" spans="9:18">
      <c r="I83" s="43"/>
      <c r="M83" s="43"/>
      <c r="O83" s="48"/>
      <c r="P83" s="48" t="e">
        <f>LocFeatures[[#This Row],[XP drop]]/(LocFeatures[[#This Row],[E. Cost]]-LocFeatures[[#This Row],[Energy gain]])</f>
        <v>#DIV/0!</v>
      </c>
      <c r="R83" s="43"/>
    </row>
    <row r="84" spans="9:18">
      <c r="I84" s="43"/>
      <c r="M84" s="43"/>
      <c r="O84" s="48"/>
      <c r="P84" s="48" t="e">
        <f>LocFeatures[[#This Row],[XP drop]]/(LocFeatures[[#This Row],[E. Cost]]-LocFeatures[[#This Row],[Energy gain]])</f>
        <v>#DIV/0!</v>
      </c>
      <c r="R84" s="43"/>
    </row>
    <row r="85" spans="9:18">
      <c r="I85" s="43"/>
      <c r="M85" s="43"/>
      <c r="O85" s="48"/>
      <c r="P85" s="48" t="e">
        <f>LocFeatures[[#This Row],[XP drop]]/(LocFeatures[[#This Row],[E. Cost]]-LocFeatures[[#This Row],[Energy gain]])</f>
        <v>#DIV/0!</v>
      </c>
      <c r="R85" s="43"/>
    </row>
    <row r="86" spans="9:18">
      <c r="I86" s="43"/>
      <c r="M86" s="43"/>
      <c r="O86" s="48"/>
      <c r="P86" s="48" t="e">
        <f>LocFeatures[[#This Row],[XP drop]]/(LocFeatures[[#This Row],[E. Cost]]-LocFeatures[[#This Row],[Energy gain]])</f>
        <v>#DIV/0!</v>
      </c>
      <c r="R86" s="43"/>
    </row>
    <row r="87" spans="9:18">
      <c r="I87" s="43"/>
      <c r="M87" s="43"/>
      <c r="O87" s="48"/>
      <c r="P87" s="48" t="e">
        <f>LocFeatures[[#This Row],[XP drop]]/(LocFeatures[[#This Row],[E. Cost]]-LocFeatures[[#This Row],[Energy gain]])</f>
        <v>#DIV/0!</v>
      </c>
      <c r="R87" s="43"/>
    </row>
    <row r="88" spans="9:18">
      <c r="I88" s="43"/>
      <c r="M88" s="43"/>
      <c r="O88" s="48"/>
      <c r="P88" s="48" t="e">
        <f>LocFeatures[[#This Row],[XP drop]]/(LocFeatures[[#This Row],[E. Cost]]-LocFeatures[[#This Row],[Energy gain]])</f>
        <v>#DIV/0!</v>
      </c>
      <c r="R88" s="43"/>
    </row>
    <row r="89" spans="9:18">
      <c r="I89" s="43"/>
      <c r="M89" s="43"/>
      <c r="O89" s="48"/>
      <c r="P89" s="48" t="e">
        <f>LocFeatures[[#This Row],[XP drop]]/(LocFeatures[[#This Row],[E. Cost]]-LocFeatures[[#This Row],[Energy gain]])</f>
        <v>#DIV/0!</v>
      </c>
      <c r="R89" s="43"/>
    </row>
    <row r="90" spans="9:18">
      <c r="I90" s="43"/>
      <c r="M90" s="43"/>
      <c r="O90" s="48"/>
      <c r="P90" s="48" t="e">
        <f>LocFeatures[[#This Row],[XP drop]]/(LocFeatures[[#This Row],[E. Cost]]-LocFeatures[[#This Row],[Energy gain]])</f>
        <v>#DIV/0!</v>
      </c>
      <c r="R90" s="43"/>
    </row>
    <row r="91" spans="9:18">
      <c r="I91" s="43"/>
      <c r="M91" s="43"/>
      <c r="O91" s="48"/>
      <c r="P91" s="48" t="e">
        <f>LocFeatures[[#This Row],[XP drop]]/(LocFeatures[[#This Row],[E. Cost]]-LocFeatures[[#This Row],[Energy gain]])</f>
        <v>#DIV/0!</v>
      </c>
      <c r="R91" s="43"/>
    </row>
    <row r="92" spans="9:18">
      <c r="I92" s="43"/>
      <c r="M92" s="43"/>
      <c r="O92" s="48"/>
      <c r="P92" s="48" t="e">
        <f>LocFeatures[[#This Row],[XP drop]]/(LocFeatures[[#This Row],[E. Cost]]-LocFeatures[[#This Row],[Energy gain]])</f>
        <v>#DIV/0!</v>
      </c>
      <c r="R92" s="43"/>
    </row>
    <row r="93" spans="9:18">
      <c r="I93" s="43"/>
      <c r="M93" s="43"/>
      <c r="O93" s="48"/>
      <c r="P93" s="48" t="e">
        <f>LocFeatures[[#This Row],[XP drop]]/(LocFeatures[[#This Row],[E. Cost]]-LocFeatures[[#This Row],[Energy gain]])</f>
        <v>#DIV/0!</v>
      </c>
      <c r="R93" s="43"/>
    </row>
    <row r="94" spans="9:18">
      <c r="I94" s="43"/>
      <c r="M94" s="43"/>
      <c r="O94" s="48"/>
      <c r="P94" s="48" t="e">
        <f>LocFeatures[[#This Row],[XP drop]]/(LocFeatures[[#This Row],[E. Cost]]-LocFeatures[[#This Row],[Energy gain]])</f>
        <v>#DIV/0!</v>
      </c>
      <c r="R94" s="4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27" t="s">
        <v>273</v>
      </c>
      <c r="S2" s="227"/>
      <c r="T2" s="227"/>
      <c r="U2" s="227"/>
      <c r="V2" s="227"/>
      <c r="W2" s="227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28" t="s">
        <v>315</v>
      </c>
      <c r="X19" s="228"/>
      <c r="Y19" s="228"/>
      <c r="Z19" s="228"/>
      <c r="AA19" s="228"/>
      <c r="AB19" s="228"/>
      <c r="AC19" s="228"/>
      <c r="AD19" s="228"/>
      <c r="AE19" s="228"/>
      <c r="AF19" s="228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features'!$Q$4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27"/>
  <sheetViews>
    <sheetView workbookViewId="0">
      <pane ySplit="1" topLeftCell="A88" activePane="bottomLeft" state="frozen"/>
      <selection pane="bottomLeft" activeCell="A101" sqref="A101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Crystals</vt:lpstr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ToA auto</vt:lpstr>
      <vt:lpstr>Mon.Utilities</vt:lpstr>
      <vt:lpstr>Arkusz2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2015-12-15T08:02:58Z</dcterms:modified>
</cp:coreProperties>
</file>