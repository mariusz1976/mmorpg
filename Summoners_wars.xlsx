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 activeTab="2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25725"/>
  <pivotCaches>
    <pivotCache cacheId="0" r:id="rId18"/>
    <pivotCache cacheId="1" r:id="rId19"/>
    <pivotCache cacheId="26" r:id="rId20"/>
  </pivotCaches>
</workbook>
</file>

<file path=xl/calcChain.xml><?xml version="1.0" encoding="utf-8"?>
<calcChain xmlns="http://schemas.openxmlformats.org/spreadsheetml/2006/main">
  <c r="D2" i="18"/>
  <c r="Q8" i="4" l="1"/>
  <c r="L8"/>
  <c r="K8"/>
  <c r="J8"/>
  <c r="O8" s="1"/>
  <c r="R8" s="1"/>
  <c r="D3" i="18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Q6" i="4"/>
  <c r="L6"/>
  <c r="K6"/>
  <c r="J6"/>
  <c r="K2" i="17"/>
  <c r="J2"/>
  <c r="I2"/>
  <c r="H2"/>
  <c r="G2"/>
  <c r="H4" i="18" l="1"/>
  <c r="F5"/>
  <c r="H5" s="1"/>
  <c r="G5"/>
  <c r="F3"/>
  <c r="H3" s="1"/>
  <c r="G3"/>
  <c r="O6" i="4"/>
  <c r="R6" s="1"/>
  <c r="D3" i="17"/>
  <c r="B4"/>
  <c r="B3"/>
  <c r="D2"/>
  <c r="Q6" i="3"/>
  <c r="Q7" i="4" l="1"/>
  <c r="L7"/>
  <c r="K7"/>
  <c r="J7"/>
  <c r="R7" l="1"/>
  <c r="O7"/>
  <c r="O6" i="14"/>
  <c r="O9" s="1"/>
  <c r="P6"/>
  <c r="P9" s="1"/>
  <c r="M3" i="1"/>
  <c r="O4" s="1"/>
  <c r="Q14" i="4" l="1"/>
  <c r="L14"/>
  <c r="K14"/>
  <c r="J14"/>
  <c r="O14" l="1"/>
  <c r="R14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5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17" i="14"/>
  <c r="G16"/>
  <c r="G6"/>
  <c r="G7"/>
  <c r="G9"/>
  <c r="G10"/>
  <c r="G11"/>
  <c r="G12"/>
  <c r="G2"/>
  <c r="J4" i="6"/>
  <c r="R4" s="1"/>
  <c r="H4"/>
  <c r="F4" s="1"/>
  <c r="I4"/>
  <c r="G4" s="1"/>
  <c r="C17" i="14"/>
  <c r="C12"/>
  <c r="C16" s="1"/>
  <c r="S116" i="13"/>
  <c r="S221"/>
  <c r="S234"/>
  <c r="S35"/>
  <c r="S232"/>
  <c r="S204"/>
  <c r="S207"/>
  <c r="S135"/>
  <c r="S214"/>
  <c r="S154"/>
  <c r="S222"/>
  <c r="S235"/>
  <c r="S187"/>
  <c r="S203"/>
  <c r="S210"/>
  <c r="S226"/>
  <c r="S230"/>
  <c r="S136"/>
  <c r="S15"/>
  <c r="S228"/>
  <c r="S218"/>
  <c r="S117"/>
  <c r="S156"/>
  <c r="S212"/>
  <c r="S202"/>
  <c r="S211"/>
  <c r="S137"/>
  <c r="S215"/>
  <c r="S208"/>
  <c r="S225"/>
  <c r="S229"/>
  <c r="S205"/>
  <c r="S29"/>
  <c r="S216"/>
  <c r="S209"/>
  <c r="S219"/>
  <c r="S223"/>
  <c r="S233"/>
  <c r="S206"/>
  <c r="S155"/>
  <c r="S213"/>
  <c r="S217"/>
  <c r="S220"/>
  <c r="S224"/>
  <c r="S227"/>
  <c r="S231"/>
  <c r="S157"/>
  <c r="S94"/>
  <c r="S77"/>
  <c r="S95"/>
  <c r="S138"/>
  <c r="S16"/>
  <c r="S96"/>
  <c r="S140"/>
  <c r="S247"/>
  <c r="S252"/>
  <c r="S193"/>
  <c r="S24"/>
  <c r="S164"/>
  <c r="S167"/>
  <c r="S83"/>
  <c r="S196"/>
  <c r="S268"/>
  <c r="S38"/>
  <c r="S170"/>
  <c r="S278"/>
  <c r="S279"/>
  <c r="S282"/>
  <c r="S287"/>
  <c r="S292"/>
  <c r="S297"/>
  <c r="S300"/>
  <c r="S305"/>
  <c r="S100"/>
  <c r="S309"/>
  <c r="S174"/>
  <c r="S314"/>
  <c r="S199"/>
  <c r="S50"/>
  <c r="S23"/>
  <c r="S236"/>
  <c r="S78"/>
  <c r="S160"/>
  <c r="S79"/>
  <c r="S159"/>
  <c r="S161"/>
  <c r="S248"/>
  <c r="S253"/>
  <c r="S194"/>
  <c r="S255"/>
  <c r="S81"/>
  <c r="S258"/>
  <c r="S168"/>
  <c r="S264"/>
  <c r="S269"/>
  <c r="S273"/>
  <c r="S276"/>
  <c r="S172"/>
  <c r="S280"/>
  <c r="S283"/>
  <c r="S288"/>
  <c r="S293"/>
  <c r="S18"/>
  <c r="S301"/>
  <c r="S306"/>
  <c r="S312"/>
  <c r="S19"/>
  <c r="S188"/>
  <c r="S190"/>
  <c r="S237"/>
  <c r="S239"/>
  <c r="S139"/>
  <c r="S243"/>
  <c r="S141"/>
  <c r="S249"/>
  <c r="S43"/>
  <c r="S120"/>
  <c r="S5"/>
  <c r="S257"/>
  <c r="S259"/>
  <c r="S262"/>
  <c r="S265"/>
  <c r="S270"/>
  <c r="S274"/>
  <c r="S52"/>
  <c r="S197"/>
  <c r="S281"/>
  <c r="S284"/>
  <c r="S289"/>
  <c r="S294"/>
  <c r="S298"/>
  <c r="S302"/>
  <c r="S84"/>
  <c r="S315"/>
  <c r="S158"/>
  <c r="S36"/>
  <c r="S238"/>
  <c r="S240"/>
  <c r="S241"/>
  <c r="S244"/>
  <c r="S246"/>
  <c r="S250"/>
  <c r="S191"/>
  <c r="S162"/>
  <c r="S195"/>
  <c r="S80"/>
  <c r="S51"/>
  <c r="S165"/>
  <c r="S260"/>
  <c r="S261"/>
  <c r="S263"/>
  <c r="S266"/>
  <c r="S271"/>
  <c r="S275"/>
  <c r="S277"/>
  <c r="S99"/>
  <c r="S285"/>
  <c r="S290"/>
  <c r="S295"/>
  <c r="S299"/>
  <c r="S303"/>
  <c r="S307"/>
  <c r="S310"/>
  <c r="S53"/>
  <c r="S311"/>
  <c r="S142"/>
  <c r="S316"/>
  <c r="S189"/>
  <c r="S118"/>
  <c r="S37"/>
  <c r="S119"/>
  <c r="S242"/>
  <c r="S245"/>
  <c r="S327"/>
  <c r="S251"/>
  <c r="S192"/>
  <c r="S163"/>
  <c r="S254"/>
  <c r="S97"/>
  <c r="S67"/>
  <c r="S256"/>
  <c r="S98"/>
  <c r="S166"/>
  <c r="S82"/>
  <c r="S169"/>
  <c r="S267"/>
  <c r="S272"/>
  <c r="S2"/>
  <c r="S171"/>
  <c r="S173"/>
  <c r="S286"/>
  <c r="S291"/>
  <c r="S296"/>
  <c r="S198"/>
  <c r="S304"/>
  <c r="S308"/>
  <c r="S10"/>
  <c r="S313"/>
  <c r="S20"/>
  <c r="S54"/>
  <c r="S101"/>
  <c r="S44"/>
  <c r="S68"/>
  <c r="S21"/>
  <c r="S123"/>
  <c r="S143"/>
  <c r="S179"/>
  <c r="S319"/>
  <c r="S89"/>
  <c r="S41"/>
  <c r="S32"/>
  <c r="S59"/>
  <c r="S60"/>
  <c r="S322"/>
  <c r="S90"/>
  <c r="S62"/>
  <c r="S150"/>
  <c r="S13"/>
  <c r="S152"/>
  <c r="S66"/>
  <c r="S185"/>
  <c r="S34"/>
  <c r="S324"/>
  <c r="S153"/>
  <c r="S4"/>
  <c r="S175"/>
  <c r="S86"/>
  <c r="S8"/>
  <c r="S122"/>
  <c r="S57"/>
  <c r="S45"/>
  <c r="S124"/>
  <c r="S320"/>
  <c r="S144"/>
  <c r="S201"/>
  <c r="S58"/>
  <c r="S104"/>
  <c r="S105"/>
  <c r="S323"/>
  <c r="S22"/>
  <c r="S63"/>
  <c r="S7"/>
  <c r="S64"/>
  <c r="S183"/>
  <c r="S110"/>
  <c r="S111"/>
  <c r="S14"/>
  <c r="S112"/>
  <c r="S186"/>
  <c r="S326"/>
  <c r="S325"/>
  <c r="S121"/>
  <c r="S200"/>
  <c r="S39"/>
  <c r="S17"/>
  <c r="S25"/>
  <c r="S46"/>
  <c r="S318"/>
  <c r="S180"/>
  <c r="S145"/>
  <c r="S181"/>
  <c r="S71"/>
  <c r="S126"/>
  <c r="S61"/>
  <c r="S42"/>
  <c r="S106"/>
  <c r="S108"/>
  <c r="S151"/>
  <c r="S65"/>
  <c r="S184"/>
  <c r="S3"/>
  <c r="S92"/>
  <c r="S133"/>
  <c r="S49"/>
  <c r="S28"/>
  <c r="S115"/>
  <c r="S93"/>
  <c r="S176"/>
  <c r="S55"/>
  <c r="S30"/>
  <c r="S56"/>
  <c r="S40"/>
  <c r="S69"/>
  <c r="S9"/>
  <c r="S88"/>
  <c r="S26"/>
  <c r="S125"/>
  <c r="S31"/>
  <c r="S127"/>
  <c r="S182"/>
  <c r="S130"/>
  <c r="S72"/>
  <c r="S109"/>
  <c r="S73"/>
  <c r="S47"/>
  <c r="S132"/>
  <c r="S74"/>
  <c r="S76"/>
  <c r="S113"/>
  <c r="S85"/>
  <c r="S87"/>
  <c r="S177"/>
  <c r="S317"/>
  <c r="S12"/>
  <c r="S178"/>
  <c r="S70"/>
  <c r="S102"/>
  <c r="S321"/>
  <c r="S146"/>
  <c r="S147"/>
  <c r="S148"/>
  <c r="S103"/>
  <c r="S134"/>
  <c r="S128"/>
  <c r="S129"/>
  <c r="S149"/>
  <c r="S107"/>
  <c r="S91"/>
  <c r="S131"/>
  <c r="S33"/>
  <c r="S48"/>
  <c r="S27"/>
  <c r="S75"/>
  <c r="S11"/>
  <c r="S6"/>
  <c r="S114"/>
  <c r="R116"/>
  <c r="R221"/>
  <c r="R234"/>
  <c r="R35"/>
  <c r="R232"/>
  <c r="R204"/>
  <c r="R207"/>
  <c r="R135"/>
  <c r="R214"/>
  <c r="R154"/>
  <c r="R222"/>
  <c r="R235"/>
  <c r="R187"/>
  <c r="R203"/>
  <c r="R210"/>
  <c r="R226"/>
  <c r="R230"/>
  <c r="R136"/>
  <c r="R15"/>
  <c r="R228"/>
  <c r="R218"/>
  <c r="R117"/>
  <c r="R156"/>
  <c r="R212"/>
  <c r="R202"/>
  <c r="R211"/>
  <c r="R137"/>
  <c r="R215"/>
  <c r="R208"/>
  <c r="R225"/>
  <c r="R229"/>
  <c r="R205"/>
  <c r="R29"/>
  <c r="R216"/>
  <c r="R209"/>
  <c r="R219"/>
  <c r="R223"/>
  <c r="R233"/>
  <c r="R206"/>
  <c r="R155"/>
  <c r="R213"/>
  <c r="R217"/>
  <c r="R220"/>
  <c r="R224"/>
  <c r="R227"/>
  <c r="R231"/>
  <c r="R157"/>
  <c r="R94"/>
  <c r="R77"/>
  <c r="R95"/>
  <c r="R138"/>
  <c r="R16"/>
  <c r="R96"/>
  <c r="R140"/>
  <c r="R247"/>
  <c r="R252"/>
  <c r="R193"/>
  <c r="R24"/>
  <c r="R164"/>
  <c r="R167"/>
  <c r="R83"/>
  <c r="R196"/>
  <c r="R268"/>
  <c r="R38"/>
  <c r="R170"/>
  <c r="R278"/>
  <c r="R279"/>
  <c r="R282"/>
  <c r="R287"/>
  <c r="R292"/>
  <c r="R297"/>
  <c r="R300"/>
  <c r="R305"/>
  <c r="R100"/>
  <c r="R309"/>
  <c r="R174"/>
  <c r="R314"/>
  <c r="R199"/>
  <c r="R50"/>
  <c r="R23"/>
  <c r="R236"/>
  <c r="R78"/>
  <c r="R160"/>
  <c r="R79"/>
  <c r="R159"/>
  <c r="R161"/>
  <c r="R248"/>
  <c r="R253"/>
  <c r="R194"/>
  <c r="R255"/>
  <c r="R81"/>
  <c r="R258"/>
  <c r="R168"/>
  <c r="R264"/>
  <c r="R269"/>
  <c r="R273"/>
  <c r="R276"/>
  <c r="R172"/>
  <c r="R280"/>
  <c r="R283"/>
  <c r="R288"/>
  <c r="R293"/>
  <c r="R18"/>
  <c r="R301"/>
  <c r="R306"/>
  <c r="R312"/>
  <c r="R19"/>
  <c r="R188"/>
  <c r="R190"/>
  <c r="R237"/>
  <c r="R239"/>
  <c r="R139"/>
  <c r="R243"/>
  <c r="R141"/>
  <c r="R249"/>
  <c r="R43"/>
  <c r="R120"/>
  <c r="R5"/>
  <c r="R257"/>
  <c r="R259"/>
  <c r="R262"/>
  <c r="R265"/>
  <c r="R270"/>
  <c r="R274"/>
  <c r="R52"/>
  <c r="R197"/>
  <c r="R281"/>
  <c r="R284"/>
  <c r="R289"/>
  <c r="R294"/>
  <c r="R298"/>
  <c r="R302"/>
  <c r="R84"/>
  <c r="R315"/>
  <c r="R158"/>
  <c r="R36"/>
  <c r="R238"/>
  <c r="R240"/>
  <c r="R241"/>
  <c r="R244"/>
  <c r="R246"/>
  <c r="R250"/>
  <c r="R191"/>
  <c r="R162"/>
  <c r="R195"/>
  <c r="R80"/>
  <c r="R51"/>
  <c r="R165"/>
  <c r="R260"/>
  <c r="R261"/>
  <c r="R263"/>
  <c r="R266"/>
  <c r="R271"/>
  <c r="R275"/>
  <c r="R277"/>
  <c r="R99"/>
  <c r="R285"/>
  <c r="R290"/>
  <c r="R295"/>
  <c r="R299"/>
  <c r="R303"/>
  <c r="R307"/>
  <c r="R310"/>
  <c r="R53"/>
  <c r="R311"/>
  <c r="R142"/>
  <c r="R316"/>
  <c r="R189"/>
  <c r="R118"/>
  <c r="R37"/>
  <c r="R119"/>
  <c r="R242"/>
  <c r="R245"/>
  <c r="R327"/>
  <c r="R251"/>
  <c r="R192"/>
  <c r="R163"/>
  <c r="R254"/>
  <c r="R97"/>
  <c r="R67"/>
  <c r="R256"/>
  <c r="R98"/>
  <c r="R166"/>
  <c r="R82"/>
  <c r="R169"/>
  <c r="R267"/>
  <c r="R272"/>
  <c r="R2"/>
  <c r="R171"/>
  <c r="R173"/>
  <c r="R286"/>
  <c r="R291"/>
  <c r="R296"/>
  <c r="R198"/>
  <c r="R304"/>
  <c r="R308"/>
  <c r="R10"/>
  <c r="R313"/>
  <c r="R20"/>
  <c r="R54"/>
  <c r="R101"/>
  <c r="R44"/>
  <c r="R68"/>
  <c r="R21"/>
  <c r="R123"/>
  <c r="R143"/>
  <c r="R179"/>
  <c r="R319"/>
  <c r="R89"/>
  <c r="R41"/>
  <c r="R32"/>
  <c r="R59"/>
  <c r="R60"/>
  <c r="R322"/>
  <c r="R90"/>
  <c r="R62"/>
  <c r="R150"/>
  <c r="R13"/>
  <c r="R152"/>
  <c r="R66"/>
  <c r="R185"/>
  <c r="R34"/>
  <c r="R324"/>
  <c r="R153"/>
  <c r="R4"/>
  <c r="R175"/>
  <c r="R86"/>
  <c r="R8"/>
  <c r="R122"/>
  <c r="R57"/>
  <c r="R45"/>
  <c r="R124"/>
  <c r="R320"/>
  <c r="R144"/>
  <c r="R201"/>
  <c r="R58"/>
  <c r="R104"/>
  <c r="R105"/>
  <c r="R323"/>
  <c r="R22"/>
  <c r="R63"/>
  <c r="R7"/>
  <c r="R64"/>
  <c r="R183"/>
  <c r="R110"/>
  <c r="R111"/>
  <c r="R14"/>
  <c r="R112"/>
  <c r="R186"/>
  <c r="R326"/>
  <c r="R325"/>
  <c r="R121"/>
  <c r="R200"/>
  <c r="R39"/>
  <c r="R17"/>
  <c r="R25"/>
  <c r="R46"/>
  <c r="R318"/>
  <c r="R180"/>
  <c r="R145"/>
  <c r="R181"/>
  <c r="R71"/>
  <c r="R126"/>
  <c r="R61"/>
  <c r="R42"/>
  <c r="R106"/>
  <c r="R108"/>
  <c r="R151"/>
  <c r="R65"/>
  <c r="R184"/>
  <c r="R3"/>
  <c r="R92"/>
  <c r="R133"/>
  <c r="R49"/>
  <c r="R28"/>
  <c r="R115"/>
  <c r="R93"/>
  <c r="R176"/>
  <c r="R55"/>
  <c r="R30"/>
  <c r="R56"/>
  <c r="R40"/>
  <c r="R69"/>
  <c r="R9"/>
  <c r="R88"/>
  <c r="R26"/>
  <c r="R125"/>
  <c r="R31"/>
  <c r="R127"/>
  <c r="R182"/>
  <c r="R130"/>
  <c r="R72"/>
  <c r="R109"/>
  <c r="R73"/>
  <c r="R47"/>
  <c r="R132"/>
  <c r="R74"/>
  <c r="R76"/>
  <c r="R113"/>
  <c r="R85"/>
  <c r="R87"/>
  <c r="R177"/>
  <c r="R317"/>
  <c r="R12"/>
  <c r="R178"/>
  <c r="R70"/>
  <c r="R102"/>
  <c r="R321"/>
  <c r="R146"/>
  <c r="R147"/>
  <c r="R148"/>
  <c r="R103"/>
  <c r="R134"/>
  <c r="R128"/>
  <c r="R129"/>
  <c r="R149"/>
  <c r="R107"/>
  <c r="R91"/>
  <c r="R131"/>
  <c r="R33"/>
  <c r="R48"/>
  <c r="R27"/>
  <c r="R75"/>
  <c r="R11"/>
  <c r="R6"/>
  <c r="R114"/>
  <c r="Q116"/>
  <c r="Q221"/>
  <c r="Q234"/>
  <c r="Q35"/>
  <c r="Q232"/>
  <c r="Q204"/>
  <c r="Q207"/>
  <c r="Q135"/>
  <c r="Q214"/>
  <c r="Q154"/>
  <c r="Q222"/>
  <c r="Q235"/>
  <c r="Q187"/>
  <c r="Q203"/>
  <c r="Q210"/>
  <c r="Q226"/>
  <c r="Q230"/>
  <c r="Q136"/>
  <c r="Q15"/>
  <c r="Q228"/>
  <c r="Q218"/>
  <c r="Q117"/>
  <c r="Q156"/>
  <c r="Q212"/>
  <c r="Q202"/>
  <c r="Q211"/>
  <c r="Q137"/>
  <c r="Q215"/>
  <c r="Q208"/>
  <c r="Q225"/>
  <c r="Q229"/>
  <c r="Q205"/>
  <c r="Q29"/>
  <c r="Q216"/>
  <c r="Q209"/>
  <c r="Q219"/>
  <c r="Q223"/>
  <c r="Q233"/>
  <c r="Q206"/>
  <c r="Q155"/>
  <c r="Q213"/>
  <c r="Q217"/>
  <c r="Q220"/>
  <c r="Q224"/>
  <c r="Q227"/>
  <c r="Q231"/>
  <c r="Q157"/>
  <c r="Q94"/>
  <c r="Q77"/>
  <c r="Q95"/>
  <c r="Q138"/>
  <c r="Q16"/>
  <c r="Q96"/>
  <c r="Q140"/>
  <c r="Q247"/>
  <c r="Q252"/>
  <c r="Q193"/>
  <c r="Q24"/>
  <c r="Q164"/>
  <c r="Q167"/>
  <c r="Q83"/>
  <c r="Q196"/>
  <c r="Q268"/>
  <c r="Q38"/>
  <c r="Q170"/>
  <c r="Q278"/>
  <c r="Q279"/>
  <c r="Q282"/>
  <c r="Q287"/>
  <c r="Q292"/>
  <c r="Q297"/>
  <c r="Q300"/>
  <c r="Q305"/>
  <c r="Q100"/>
  <c r="Q309"/>
  <c r="Q174"/>
  <c r="Q314"/>
  <c r="Q199"/>
  <c r="Q50"/>
  <c r="Q23"/>
  <c r="Q236"/>
  <c r="Q78"/>
  <c r="Q160"/>
  <c r="Q79"/>
  <c r="Q159"/>
  <c r="Q161"/>
  <c r="Q248"/>
  <c r="Q253"/>
  <c r="Q194"/>
  <c r="Q255"/>
  <c r="Q81"/>
  <c r="Q258"/>
  <c r="Q168"/>
  <c r="Q264"/>
  <c r="Q269"/>
  <c r="Q273"/>
  <c r="Q276"/>
  <c r="Q172"/>
  <c r="Q280"/>
  <c r="Q283"/>
  <c r="Q288"/>
  <c r="Q293"/>
  <c r="Q18"/>
  <c r="Q301"/>
  <c r="Q306"/>
  <c r="Q312"/>
  <c r="Q19"/>
  <c r="Q188"/>
  <c r="Q190"/>
  <c r="Q237"/>
  <c r="Q239"/>
  <c r="Q139"/>
  <c r="Q243"/>
  <c r="Q141"/>
  <c r="Q249"/>
  <c r="Q43"/>
  <c r="Q120"/>
  <c r="Q5"/>
  <c r="Q257"/>
  <c r="Q259"/>
  <c r="Q262"/>
  <c r="Q265"/>
  <c r="Q270"/>
  <c r="Q274"/>
  <c r="Q52"/>
  <c r="Q197"/>
  <c r="Q281"/>
  <c r="Q284"/>
  <c r="Q289"/>
  <c r="Q294"/>
  <c r="Q298"/>
  <c r="Q302"/>
  <c r="Q84"/>
  <c r="Q315"/>
  <c r="Q158"/>
  <c r="Q36"/>
  <c r="Q238"/>
  <c r="Q240"/>
  <c r="Q241"/>
  <c r="Q244"/>
  <c r="Q246"/>
  <c r="Q250"/>
  <c r="Q191"/>
  <c r="Q162"/>
  <c r="Q195"/>
  <c r="Q80"/>
  <c r="Q51"/>
  <c r="Q165"/>
  <c r="Q260"/>
  <c r="Q261"/>
  <c r="Q263"/>
  <c r="Q266"/>
  <c r="Q271"/>
  <c r="Q275"/>
  <c r="Q277"/>
  <c r="Q99"/>
  <c r="Q285"/>
  <c r="Q290"/>
  <c r="Q295"/>
  <c r="Q299"/>
  <c r="Q303"/>
  <c r="Q307"/>
  <c r="Q310"/>
  <c r="Q53"/>
  <c r="Q311"/>
  <c r="Q142"/>
  <c r="Q316"/>
  <c r="Q189"/>
  <c r="Q118"/>
  <c r="Q37"/>
  <c r="Q119"/>
  <c r="Q242"/>
  <c r="Q245"/>
  <c r="Q327"/>
  <c r="Q251"/>
  <c r="Q192"/>
  <c r="Q163"/>
  <c r="Q254"/>
  <c r="Q97"/>
  <c r="Q67"/>
  <c r="Q256"/>
  <c r="Q98"/>
  <c r="Q166"/>
  <c r="Q82"/>
  <c r="Q169"/>
  <c r="Q267"/>
  <c r="Q272"/>
  <c r="Q2"/>
  <c r="Q171"/>
  <c r="Q173"/>
  <c r="Q286"/>
  <c r="Q291"/>
  <c r="Q296"/>
  <c r="Q198"/>
  <c r="Q304"/>
  <c r="Q308"/>
  <c r="Q10"/>
  <c r="Q313"/>
  <c r="Q20"/>
  <c r="Q54"/>
  <c r="Q101"/>
  <c r="Q44"/>
  <c r="Q68"/>
  <c r="Q21"/>
  <c r="Q123"/>
  <c r="Q143"/>
  <c r="Q179"/>
  <c r="Q319"/>
  <c r="Q89"/>
  <c r="Q41"/>
  <c r="Q32"/>
  <c r="Q59"/>
  <c r="Q60"/>
  <c r="Q322"/>
  <c r="Q90"/>
  <c r="Q62"/>
  <c r="Q150"/>
  <c r="Q13"/>
  <c r="Q152"/>
  <c r="Q66"/>
  <c r="Q185"/>
  <c r="Q34"/>
  <c r="Q324"/>
  <c r="Q153"/>
  <c r="Q4"/>
  <c r="Q175"/>
  <c r="Q86"/>
  <c r="Q8"/>
  <c r="Q122"/>
  <c r="Q57"/>
  <c r="Q45"/>
  <c r="Q124"/>
  <c r="Q320"/>
  <c r="Q144"/>
  <c r="Q201"/>
  <c r="Q58"/>
  <c r="Q104"/>
  <c r="Q105"/>
  <c r="Q323"/>
  <c r="Q22"/>
  <c r="Q63"/>
  <c r="Q7"/>
  <c r="Q64"/>
  <c r="Q183"/>
  <c r="Q110"/>
  <c r="Q111"/>
  <c r="Q14"/>
  <c r="Q112"/>
  <c r="Q186"/>
  <c r="Q326"/>
  <c r="Q325"/>
  <c r="Q121"/>
  <c r="Q200"/>
  <c r="Q39"/>
  <c r="Q17"/>
  <c r="Q25"/>
  <c r="Q46"/>
  <c r="Q318"/>
  <c r="Q180"/>
  <c r="Q145"/>
  <c r="Q181"/>
  <c r="Q71"/>
  <c r="Q126"/>
  <c r="Q61"/>
  <c r="Q42"/>
  <c r="Q106"/>
  <c r="Q108"/>
  <c r="Q151"/>
  <c r="Q65"/>
  <c r="Q184"/>
  <c r="Q3"/>
  <c r="Q92"/>
  <c r="Q133"/>
  <c r="Q49"/>
  <c r="Q28"/>
  <c r="Q115"/>
  <c r="Q93"/>
  <c r="Q176"/>
  <c r="Q55"/>
  <c r="Q30"/>
  <c r="Q56"/>
  <c r="Q40"/>
  <c r="Q69"/>
  <c r="Q9"/>
  <c r="Q88"/>
  <c r="Q26"/>
  <c r="Q125"/>
  <c r="Q31"/>
  <c r="Q127"/>
  <c r="Q182"/>
  <c r="Q130"/>
  <c r="Q72"/>
  <c r="Q109"/>
  <c r="Q73"/>
  <c r="Q47"/>
  <c r="Q132"/>
  <c r="Q74"/>
  <c r="Q76"/>
  <c r="Q113"/>
  <c r="Q85"/>
  <c r="Q87"/>
  <c r="Q177"/>
  <c r="Q317"/>
  <c r="Q12"/>
  <c r="Q178"/>
  <c r="Q70"/>
  <c r="Q102"/>
  <c r="Q321"/>
  <c r="Q146"/>
  <c r="Q147"/>
  <c r="Q148"/>
  <c r="Q103"/>
  <c r="Q134"/>
  <c r="Q128"/>
  <c r="Q129"/>
  <c r="Q149"/>
  <c r="Q107"/>
  <c r="Q91"/>
  <c r="Q131"/>
  <c r="Q33"/>
  <c r="Q48"/>
  <c r="Q27"/>
  <c r="Q75"/>
  <c r="Q11"/>
  <c r="Q6"/>
  <c r="Q114"/>
  <c r="T116"/>
  <c r="T221"/>
  <c r="T234"/>
  <c r="T35"/>
  <c r="T232"/>
  <c r="T204"/>
  <c r="T207"/>
  <c r="T135"/>
  <c r="T214"/>
  <c r="T154"/>
  <c r="T222"/>
  <c r="T235"/>
  <c r="T187"/>
  <c r="T203"/>
  <c r="T210"/>
  <c r="T226"/>
  <c r="T230"/>
  <c r="T136"/>
  <c r="T15"/>
  <c r="T228"/>
  <c r="T218"/>
  <c r="T117"/>
  <c r="T156"/>
  <c r="T212"/>
  <c r="T202"/>
  <c r="T211"/>
  <c r="T137"/>
  <c r="T215"/>
  <c r="T208"/>
  <c r="T225"/>
  <c r="T229"/>
  <c r="T205"/>
  <c r="T29"/>
  <c r="T216"/>
  <c r="T209"/>
  <c r="T219"/>
  <c r="T223"/>
  <c r="T233"/>
  <c r="T206"/>
  <c r="T155"/>
  <c r="T213"/>
  <c r="T217"/>
  <c r="T220"/>
  <c r="T224"/>
  <c r="T227"/>
  <c r="T231"/>
  <c r="T157"/>
  <c r="T94"/>
  <c r="T77"/>
  <c r="T95"/>
  <c r="T138"/>
  <c r="T16"/>
  <c r="T96"/>
  <c r="T140"/>
  <c r="T247"/>
  <c r="T252"/>
  <c r="T193"/>
  <c r="T24"/>
  <c r="T164"/>
  <c r="T167"/>
  <c r="T83"/>
  <c r="T196"/>
  <c r="T268"/>
  <c r="T38"/>
  <c r="T170"/>
  <c r="T278"/>
  <c r="T279"/>
  <c r="T282"/>
  <c r="T287"/>
  <c r="T292"/>
  <c r="T297"/>
  <c r="T300"/>
  <c r="T305"/>
  <c r="T100"/>
  <c r="T309"/>
  <c r="T174"/>
  <c r="T314"/>
  <c r="T199"/>
  <c r="T50"/>
  <c r="T23"/>
  <c r="T236"/>
  <c r="T78"/>
  <c r="T160"/>
  <c r="T79"/>
  <c r="T159"/>
  <c r="T161"/>
  <c r="T248"/>
  <c r="T253"/>
  <c r="T194"/>
  <c r="T255"/>
  <c r="T81"/>
  <c r="T258"/>
  <c r="T168"/>
  <c r="T264"/>
  <c r="T269"/>
  <c r="T273"/>
  <c r="T276"/>
  <c r="T172"/>
  <c r="T280"/>
  <c r="T283"/>
  <c r="T288"/>
  <c r="T293"/>
  <c r="T18"/>
  <c r="T301"/>
  <c r="T306"/>
  <c r="T312"/>
  <c r="T19"/>
  <c r="T188"/>
  <c r="T190"/>
  <c r="T237"/>
  <c r="T239"/>
  <c r="T139"/>
  <c r="T243"/>
  <c r="T141"/>
  <c r="T249"/>
  <c r="T43"/>
  <c r="T120"/>
  <c r="T5"/>
  <c r="T257"/>
  <c r="T259"/>
  <c r="T262"/>
  <c r="T265"/>
  <c r="T270"/>
  <c r="T274"/>
  <c r="T52"/>
  <c r="T197"/>
  <c r="T281"/>
  <c r="T284"/>
  <c r="T289"/>
  <c r="T294"/>
  <c r="T298"/>
  <c r="T302"/>
  <c r="T84"/>
  <c r="T315"/>
  <c r="T158"/>
  <c r="T36"/>
  <c r="T238"/>
  <c r="T240"/>
  <c r="T241"/>
  <c r="T244"/>
  <c r="T246"/>
  <c r="T250"/>
  <c r="T191"/>
  <c r="T162"/>
  <c r="T195"/>
  <c r="T80"/>
  <c r="T51"/>
  <c r="T165"/>
  <c r="T260"/>
  <c r="T261"/>
  <c r="T263"/>
  <c r="T266"/>
  <c r="T271"/>
  <c r="T275"/>
  <c r="T277"/>
  <c r="T99"/>
  <c r="T285"/>
  <c r="T290"/>
  <c r="T295"/>
  <c r="T299"/>
  <c r="T303"/>
  <c r="T307"/>
  <c r="T310"/>
  <c r="T53"/>
  <c r="T311"/>
  <c r="T142"/>
  <c r="T316"/>
  <c r="T189"/>
  <c r="T118"/>
  <c r="T37"/>
  <c r="T119"/>
  <c r="T242"/>
  <c r="T245"/>
  <c r="T327"/>
  <c r="T251"/>
  <c r="T192"/>
  <c r="T163"/>
  <c r="T254"/>
  <c r="T97"/>
  <c r="T67"/>
  <c r="T256"/>
  <c r="T98"/>
  <c r="T166"/>
  <c r="T82"/>
  <c r="T169"/>
  <c r="T267"/>
  <c r="T272"/>
  <c r="T2"/>
  <c r="T171"/>
  <c r="T173"/>
  <c r="T286"/>
  <c r="T291"/>
  <c r="T296"/>
  <c r="T198"/>
  <c r="T304"/>
  <c r="T308"/>
  <c r="T10"/>
  <c r="T313"/>
  <c r="T20"/>
  <c r="T54"/>
  <c r="T101"/>
  <c r="T44"/>
  <c r="T68"/>
  <c r="T21"/>
  <c r="T123"/>
  <c r="T143"/>
  <c r="T179"/>
  <c r="T319"/>
  <c r="T89"/>
  <c r="T41"/>
  <c r="T32"/>
  <c r="T59"/>
  <c r="T60"/>
  <c r="T322"/>
  <c r="T90"/>
  <c r="T62"/>
  <c r="T150"/>
  <c r="T13"/>
  <c r="T152"/>
  <c r="T66"/>
  <c r="T185"/>
  <c r="T34"/>
  <c r="T324"/>
  <c r="T153"/>
  <c r="T4"/>
  <c r="T175"/>
  <c r="T86"/>
  <c r="T8"/>
  <c r="T122"/>
  <c r="T57"/>
  <c r="T45"/>
  <c r="T124"/>
  <c r="T320"/>
  <c r="T144"/>
  <c r="T201"/>
  <c r="T58"/>
  <c r="T104"/>
  <c r="T105"/>
  <c r="T323"/>
  <c r="T22"/>
  <c r="T63"/>
  <c r="T7"/>
  <c r="T64"/>
  <c r="T183"/>
  <c r="T110"/>
  <c r="T111"/>
  <c r="T14"/>
  <c r="T112"/>
  <c r="T186"/>
  <c r="T326"/>
  <c r="T325"/>
  <c r="T121"/>
  <c r="T200"/>
  <c r="T39"/>
  <c r="T17"/>
  <c r="T25"/>
  <c r="T46"/>
  <c r="T318"/>
  <c r="T180"/>
  <c r="T145"/>
  <c r="T181"/>
  <c r="T71"/>
  <c r="T126"/>
  <c r="T61"/>
  <c r="T42"/>
  <c r="T106"/>
  <c r="T108"/>
  <c r="T151"/>
  <c r="T65"/>
  <c r="T184"/>
  <c r="T3"/>
  <c r="T92"/>
  <c r="T133"/>
  <c r="T49"/>
  <c r="T28"/>
  <c r="T115"/>
  <c r="T93"/>
  <c r="T176"/>
  <c r="T55"/>
  <c r="T30"/>
  <c r="T56"/>
  <c r="T40"/>
  <c r="T69"/>
  <c r="T9"/>
  <c r="T88"/>
  <c r="T26"/>
  <c r="T125"/>
  <c r="T31"/>
  <c r="T127"/>
  <c r="T182"/>
  <c r="T130"/>
  <c r="T72"/>
  <c r="T109"/>
  <c r="T73"/>
  <c r="T47"/>
  <c r="T132"/>
  <c r="T74"/>
  <c r="T76"/>
  <c r="T113"/>
  <c r="T85"/>
  <c r="T87"/>
  <c r="T177"/>
  <c r="T317"/>
  <c r="T12"/>
  <c r="T178"/>
  <c r="T70"/>
  <c r="T102"/>
  <c r="T321"/>
  <c r="T146"/>
  <c r="T147"/>
  <c r="T148"/>
  <c r="T103"/>
  <c r="T134"/>
  <c r="T128"/>
  <c r="T129"/>
  <c r="T149"/>
  <c r="T107"/>
  <c r="T91"/>
  <c r="T131"/>
  <c r="T33"/>
  <c r="T48"/>
  <c r="T27"/>
  <c r="T75"/>
  <c r="T11"/>
  <c r="T6"/>
  <c r="T114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19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2" i="4"/>
  <c r="J32"/>
  <c r="E32"/>
  <c r="L32" s="1"/>
  <c r="AT13" i="6" l="1"/>
  <c r="AS13"/>
  <c r="AO14"/>
  <c r="AU14" s="1"/>
  <c r="AM13"/>
  <c r="AR10"/>
  <c r="AQ10"/>
  <c r="K32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2" i="4"/>
  <c r="R32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T6" i="5"/>
  <c r="W6"/>
  <c r="V6"/>
  <c r="S6"/>
  <c r="U6"/>
  <c r="R6"/>
  <c r="AT15" i="6" l="1"/>
  <c r="AS15"/>
  <c r="AO16"/>
  <c r="AU16" s="1"/>
  <c r="AM15"/>
  <c r="AQ12"/>
  <c r="AR12"/>
  <c r="I38" i="2"/>
  <c r="J37"/>
  <c r="K37"/>
  <c r="O13" i="4"/>
  <c r="R13" s="1"/>
  <c r="Q22"/>
  <c r="L22"/>
  <c r="K22"/>
  <c r="J22"/>
  <c r="K17"/>
  <c r="K16"/>
  <c r="K20"/>
  <c r="K15"/>
  <c r="K21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27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4" i="4" s="1"/>
  <c r="L179" i="3"/>
  <c r="L180"/>
  <c r="L181"/>
  <c r="L182"/>
  <c r="L183"/>
  <c r="L184"/>
  <c r="L185"/>
  <c r="L186"/>
  <c r="L187"/>
  <c r="L188"/>
  <c r="L189"/>
  <c r="M4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7"/>
  <c r="L858"/>
  <c r="L859"/>
  <c r="L860"/>
  <c r="L861"/>
  <c r="L862"/>
  <c r="L863"/>
  <c r="L864"/>
  <c r="L865"/>
  <c r="L866"/>
  <c r="L867"/>
  <c r="L868"/>
  <c r="L869"/>
  <c r="L870"/>
  <c r="L871"/>
  <c r="L872"/>
  <c r="L881"/>
  <c r="L882"/>
  <c r="L883"/>
  <c r="L884"/>
  <c r="L885"/>
  <c r="L886"/>
  <c r="L887"/>
  <c r="L888"/>
  <c r="L889"/>
  <c r="L890"/>
  <c r="L892"/>
  <c r="L893"/>
  <c r="L894"/>
  <c r="L895"/>
  <c r="L896"/>
  <c r="L897"/>
  <c r="L898"/>
  <c r="L899"/>
  <c r="L900"/>
  <c r="L901"/>
  <c r="L902"/>
  <c r="L903"/>
  <c r="L904"/>
  <c r="L905"/>
  <c r="L906"/>
  <c r="L908"/>
  <c r="L909"/>
  <c r="L910"/>
  <c r="L912"/>
  <c r="L913"/>
  <c r="L914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4"/>
  <c r="L1225"/>
  <c r="L1226"/>
  <c r="L1227"/>
  <c r="L1228"/>
  <c r="L1229"/>
  <c r="L1230"/>
  <c r="L1232"/>
  <c r="L1233"/>
  <c r="L1234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7"/>
  <c r="K858"/>
  <c r="K859"/>
  <c r="K860"/>
  <c r="K861"/>
  <c r="K862"/>
  <c r="K863"/>
  <c r="K864"/>
  <c r="K865"/>
  <c r="K866"/>
  <c r="K867"/>
  <c r="K868"/>
  <c r="K869"/>
  <c r="K870"/>
  <c r="K871"/>
  <c r="K872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4"/>
  <c r="K1225"/>
  <c r="K1226"/>
  <c r="K1227"/>
  <c r="K1228"/>
  <c r="K1229"/>
  <c r="K1230"/>
  <c r="K1231"/>
  <c r="K1232"/>
  <c r="K1233"/>
  <c r="K1234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2"/>
  <c r="R8"/>
  <c r="K295" s="1"/>
  <c r="T8"/>
  <c r="L295" s="1"/>
  <c r="T5"/>
  <c r="L891" s="1"/>
  <c r="I8" i="4" l="1"/>
  <c r="N8" s="1"/>
  <c r="L1327" i="3"/>
  <c r="M8" i="4" s="1"/>
  <c r="P8" s="1"/>
  <c r="K1327" i="3"/>
  <c r="L1231"/>
  <c r="M6" i="4"/>
  <c r="P6" s="1"/>
  <c r="I6"/>
  <c r="N6" s="1"/>
  <c r="K1235" i="3"/>
  <c r="K1223"/>
  <c r="L1235"/>
  <c r="L1223"/>
  <c r="I7" i="4"/>
  <c r="N7" s="1"/>
  <c r="M7"/>
  <c r="P7" s="1"/>
  <c r="L1114" i="3"/>
  <c r="I14" i="4"/>
  <c r="N14" s="1"/>
  <c r="AT16" i="6"/>
  <c r="AS16"/>
  <c r="AO17"/>
  <c r="AU17" s="1"/>
  <c r="AM16"/>
  <c r="AR13"/>
  <c r="AQ13"/>
  <c r="I32" i="4"/>
  <c r="N32" s="1"/>
  <c r="M32"/>
  <c r="P32" s="1"/>
  <c r="K38" i="2"/>
  <c r="J38"/>
  <c r="M23" i="4"/>
  <c r="K1016" i="3"/>
  <c r="L1016"/>
  <c r="M30" i="4"/>
  <c r="M31"/>
  <c r="M12"/>
  <c r="M15"/>
  <c r="M19"/>
  <c r="M10"/>
  <c r="M9"/>
  <c r="M3"/>
  <c r="M17"/>
  <c r="M11"/>
  <c r="M13"/>
  <c r="P13" s="1"/>
  <c r="M18"/>
  <c r="M29"/>
  <c r="M20"/>
  <c r="M5"/>
  <c r="M28"/>
  <c r="M16"/>
  <c r="M26"/>
  <c r="I13"/>
  <c r="N13" s="1"/>
  <c r="I22"/>
  <c r="N22" s="1"/>
  <c r="O22"/>
  <c r="R22" s="1"/>
  <c r="K878" i="3"/>
  <c r="K874"/>
  <c r="K538"/>
  <c r="L880"/>
  <c r="L876"/>
  <c r="L856"/>
  <c r="M21" i="4" s="1"/>
  <c r="K879" i="3"/>
  <c r="K875"/>
  <c r="L877"/>
  <c r="L873"/>
  <c r="K880"/>
  <c r="K876"/>
  <c r="K856"/>
  <c r="L878"/>
  <c r="L874"/>
  <c r="L538"/>
  <c r="K877"/>
  <c r="K873"/>
  <c r="L879"/>
  <c r="L875"/>
  <c r="L915"/>
  <c r="L911"/>
  <c r="L907"/>
  <c r="Q23" i="4"/>
  <c r="J23"/>
  <c r="L23"/>
  <c r="M14" l="1"/>
  <c r="P14" s="1"/>
  <c r="AT17" i="6"/>
  <c r="AS17"/>
  <c r="AO18"/>
  <c r="AU18" s="1"/>
  <c r="AM17"/>
  <c r="AR14"/>
  <c r="AQ14"/>
  <c r="M22" i="4"/>
  <c r="P22" s="1"/>
  <c r="M25"/>
  <c r="K23"/>
  <c r="O23"/>
  <c r="R23" s="1"/>
  <c r="P23"/>
  <c r="Q25"/>
  <c r="L25"/>
  <c r="K25"/>
  <c r="J25"/>
  <c r="Q15"/>
  <c r="L15"/>
  <c r="J15"/>
  <c r="Q21"/>
  <c r="L21"/>
  <c r="J21"/>
  <c r="Q20"/>
  <c r="L20"/>
  <c r="J20"/>
  <c r="Q17"/>
  <c r="L17"/>
  <c r="J17"/>
  <c r="W4" i="5"/>
  <c r="U5"/>
  <c r="S5"/>
  <c r="U4"/>
  <c r="T4"/>
  <c r="V5"/>
  <c r="S4"/>
  <c r="T5"/>
  <c r="R5"/>
  <c r="V4"/>
  <c r="W5"/>
  <c r="AT18" i="6" l="1"/>
  <c r="AS18"/>
  <c r="AO19"/>
  <c r="AU19" s="1"/>
  <c r="AM18"/>
  <c r="AR15"/>
  <c r="AQ15"/>
  <c r="P25" i="4"/>
  <c r="O25"/>
  <c r="R25" s="1"/>
  <c r="O15"/>
  <c r="R15" s="1"/>
  <c r="O20"/>
  <c r="O17"/>
  <c r="R17" s="1"/>
  <c r="O21"/>
  <c r="R21" s="1"/>
  <c r="R20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23" i="4"/>
  <c r="N23" s="1"/>
  <c r="Q19"/>
  <c r="L19"/>
  <c r="K19"/>
  <c r="J19"/>
  <c r="J2"/>
  <c r="AT20" i="6" l="1"/>
  <c r="AS20"/>
  <c r="AO21"/>
  <c r="AU21" s="1"/>
  <c r="AM20"/>
  <c r="AR17"/>
  <c r="AQ17"/>
  <c r="I25" i="4"/>
  <c r="N25" s="1"/>
  <c r="P21"/>
  <c r="I21"/>
  <c r="N21" s="1"/>
  <c r="I15"/>
  <c r="N15" s="1"/>
  <c r="P15"/>
  <c r="O19"/>
  <c r="R19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24" i="9"/>
  <c r="T26" s="1"/>
  <c r="S24"/>
  <c r="S26" s="1"/>
  <c r="R24"/>
  <c r="R57" s="1"/>
  <c r="Q24"/>
  <c r="P24"/>
  <c r="O24"/>
  <c r="N24"/>
  <c r="M24"/>
  <c r="L24"/>
  <c r="K24"/>
  <c r="J24"/>
  <c r="I24"/>
  <c r="H24"/>
  <c r="H26" s="1"/>
  <c r="G24"/>
  <c r="G26" s="1"/>
  <c r="F24"/>
  <c r="F26" s="1"/>
  <c r="R89" l="1"/>
  <c r="R90" s="1"/>
  <c r="R58"/>
  <c r="R26"/>
  <c r="R29" s="1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Q29" i="4"/>
  <c r="L29"/>
  <c r="K29"/>
  <c r="J29"/>
  <c r="K33" i="9" l="1"/>
  <c r="J34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29" i="4"/>
  <c r="R29" s="1"/>
  <c r="Q28"/>
  <c r="Q10"/>
  <c r="Q9"/>
  <c r="Q3"/>
  <c r="Q24"/>
  <c r="Q11"/>
  <c r="Q26"/>
  <c r="Q30"/>
  <c r="Q27"/>
  <c r="Q5"/>
  <c r="Q4"/>
  <c r="Q12"/>
  <c r="Q16"/>
  <c r="Q31"/>
  <c r="Q18"/>
  <c r="O29" i="1"/>
  <c r="M17"/>
  <c r="M18" s="1"/>
  <c r="J9" i="4"/>
  <c r="J28"/>
  <c r="J10"/>
  <c r="J5"/>
  <c r="J11"/>
  <c r="J24"/>
  <c r="J26"/>
  <c r="J30"/>
  <c r="J4"/>
  <c r="J3"/>
  <c r="J12"/>
  <c r="J16"/>
  <c r="J31"/>
  <c r="J27"/>
  <c r="J18"/>
  <c r="L9"/>
  <c r="L28"/>
  <c r="L10"/>
  <c r="L5"/>
  <c r="L11"/>
  <c r="L24"/>
  <c r="L26"/>
  <c r="L30"/>
  <c r="L4"/>
  <c r="L3"/>
  <c r="L12"/>
  <c r="L16"/>
  <c r="L31"/>
  <c r="L27"/>
  <c r="L18"/>
  <c r="U34" i="9" l="1"/>
  <c r="U35"/>
  <c r="U33"/>
  <c r="U97"/>
  <c r="U99"/>
  <c r="U98"/>
  <c r="AT25" i="6"/>
  <c r="AS25"/>
  <c r="AO26"/>
  <c r="AU26" s="1"/>
  <c r="AM25"/>
  <c r="AQ22"/>
  <c r="AR22"/>
  <c r="Q35" i="2"/>
  <c r="Q37"/>
  <c r="O37"/>
  <c r="O35"/>
  <c r="O9" i="4"/>
  <c r="R9" s="1"/>
  <c r="O4"/>
  <c r="R4" s="1"/>
  <c r="O11"/>
  <c r="R11" s="1"/>
  <c r="O18"/>
  <c r="R18" s="1"/>
  <c r="O24"/>
  <c r="R24" s="1"/>
  <c r="O28"/>
  <c r="R28" s="1"/>
  <c r="O3"/>
  <c r="R3" s="1"/>
  <c r="O31"/>
  <c r="R31" s="1"/>
  <c r="O12"/>
  <c r="R12" s="1"/>
  <c r="O26"/>
  <c r="R26" s="1"/>
  <c r="O10"/>
  <c r="R10" s="1"/>
  <c r="O27"/>
  <c r="R27" s="1"/>
  <c r="O16"/>
  <c r="R16" s="1"/>
  <c r="O30"/>
  <c r="R30" s="1"/>
  <c r="O5"/>
  <c r="R5" s="1"/>
  <c r="K10"/>
  <c r="AT26" i="6" l="1"/>
  <c r="AS26"/>
  <c r="AO27"/>
  <c r="AU27" s="1"/>
  <c r="AM26"/>
  <c r="AR23"/>
  <c r="AQ23"/>
  <c r="B35" i="2"/>
  <c r="K18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2" i="4"/>
  <c r="AT29" i="6" l="1"/>
  <c r="AS29"/>
  <c r="AO30"/>
  <c r="AU30" s="1"/>
  <c r="AM29"/>
  <c r="AR26"/>
  <c r="AQ26"/>
  <c r="I24" i="4"/>
  <c r="N24" s="1"/>
  <c r="I4"/>
  <c r="N4" s="1"/>
  <c r="P27"/>
  <c r="P24"/>
  <c r="P4"/>
  <c r="P20"/>
  <c r="AT30" i="6" l="1"/>
  <c r="AS30"/>
  <c r="AO31"/>
  <c r="AU31" s="1"/>
  <c r="AM30"/>
  <c r="AR27"/>
  <c r="AQ27"/>
  <c r="P17" i="4"/>
  <c r="M2"/>
  <c r="P2" s="1"/>
  <c r="I5"/>
  <c r="N5" s="1"/>
  <c r="P19"/>
  <c r="P10"/>
  <c r="P30"/>
  <c r="P31"/>
  <c r="P5"/>
  <c r="P26"/>
  <c r="P18"/>
  <c r="P28"/>
  <c r="P16"/>
  <c r="P12"/>
  <c r="P9"/>
  <c r="P29"/>
  <c r="P3"/>
  <c r="P11"/>
  <c r="I27"/>
  <c r="N27" s="1"/>
  <c r="I17"/>
  <c r="N17" s="1"/>
  <c r="M16" i="1"/>
  <c r="M19" s="1"/>
  <c r="AT31" i="6" l="1"/>
  <c r="AS31"/>
  <c r="AO32"/>
  <c r="AU32" s="1"/>
  <c r="AM31"/>
  <c r="AQ28"/>
  <c r="AR28"/>
  <c r="I20" i="4"/>
  <c r="N20" s="1"/>
  <c r="I2"/>
  <c r="N2" s="1"/>
  <c r="I19"/>
  <c r="N19" s="1"/>
  <c r="I16"/>
  <c r="N16" s="1"/>
  <c r="I12"/>
  <c r="N12" s="1"/>
  <c r="I29"/>
  <c r="N29" s="1"/>
  <c r="I31"/>
  <c r="N31" s="1"/>
  <c r="I30"/>
  <c r="N30" s="1"/>
  <c r="I18"/>
  <c r="N18" s="1"/>
  <c r="I10"/>
  <c r="I26"/>
  <c r="N26" s="1"/>
  <c r="I9"/>
  <c r="N9" s="1"/>
  <c r="I28"/>
  <c r="N28" s="1"/>
  <c r="I11"/>
  <c r="N11" s="1"/>
  <c r="I3"/>
  <c r="N3" s="1"/>
  <c r="O16" i="1"/>
  <c r="M20"/>
  <c r="O18"/>
  <c r="AT32" i="6" l="1"/>
  <c r="AS32"/>
  <c r="AO33"/>
  <c r="AU33" s="1"/>
  <c r="AM32"/>
  <c r="AR29"/>
  <c r="AQ29"/>
  <c r="N10" i="4"/>
  <c r="P35" i="2"/>
  <c r="C35" s="1"/>
  <c r="P37"/>
  <c r="M21" i="1"/>
  <c r="O20"/>
  <c r="W4"/>
  <c r="X4" s="1"/>
  <c r="W5"/>
  <c r="X5" s="1"/>
  <c r="W6"/>
  <c r="X6" s="1"/>
  <c r="W7"/>
  <c r="X7" s="1"/>
  <c r="K30" i="4"/>
  <c r="K31"/>
  <c r="K26"/>
  <c r="K11"/>
  <c r="K27"/>
  <c r="K28"/>
  <c r="K24"/>
  <c r="K3"/>
  <c r="K4"/>
  <c r="K5"/>
  <c r="K9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6" i="6"/>
  <c r="O24" i="2"/>
  <c r="O22"/>
  <c r="O23"/>
  <c r="P23"/>
  <c r="P24"/>
  <c r="P22"/>
  <c r="O7" i="6" l="1"/>
  <c r="O31" i="1"/>
  <c r="N33"/>
  <c r="O33" s="1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M34" s="1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<sst xmlns="http://schemas.openxmlformats.org/spreadsheetml/2006/main" count="7229" uniqueCount="874">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</sst>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5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41E-2"/>
          <c:w val="0.72971464242649242"/>
          <c:h val="0.89097169207608584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dLbls/>
        <c:marker val="1"/>
        <c:axId val="113456640"/>
        <c:axId val="113458176"/>
      </c:lineChart>
      <c:catAx>
        <c:axId val="113456640"/>
        <c:scaling>
          <c:orientation val="minMax"/>
        </c:scaling>
        <c:axPos val="b"/>
        <c:tickLblPos val="nextTo"/>
        <c:crossAx val="113458176"/>
        <c:crosses val="autoZero"/>
        <c:auto val="1"/>
        <c:lblAlgn val="ctr"/>
        <c:lblOffset val="100"/>
      </c:catAx>
      <c:valAx>
        <c:axId val="113458176"/>
        <c:scaling>
          <c:orientation val="minMax"/>
        </c:scaling>
        <c:axPos val="l"/>
        <c:majorGridlines/>
        <c:numFmt formatCode="General" sourceLinked="1"/>
        <c:tickLblPos val="nextTo"/>
        <c:crossAx val="113456640"/>
        <c:crosses val="autoZero"/>
        <c:crossBetween val="between"/>
      </c:valAx>
    </c:plotArea>
    <c:legend>
      <c:legendPos val="r"/>
      <c:layout/>
    </c:legend>
    <c:plotVisOnly val="1"/>
    <c:dispBlanksAs val="gap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5.753060300929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5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40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9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8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7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4">
      <calculatedColumnFormula>MAXA(-(4*M1-Tabela6[[#This Row],[Done]]),0)</calculatedColumnFormula>
    </tableColumn>
    <tableColumn id="4" name="XP to gain" dataDxfId="123"/>
    <tableColumn id="6" name="Mana Cost" dataDxfId="122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21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2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9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8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7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ref="A2:A94"/>
    <sortCondition ref="B2:B94"/>
    <sortCondition ref="C2:C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6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5">
      <calculatedColumnFormula>4*LocFeatures[[#This Row],[XP Gain per member]]</calculatedColumnFormula>
    </tableColumn>
    <tableColumn id="11" name="XP Train Gain"/>
    <tableColumn id="22" name="XP drop" dataDxfId="114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3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2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11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8" tableBorderDxfId="107">
  <autoFilter ref="Q3:W6"/>
  <tableColumns count="7">
    <tableColumn id="1" name="Kolumna1">
      <calculatedColumnFormula>G5</calculatedColumnFormula>
    </tableColumn>
    <tableColumn id="2" name="4" dataDxfId="106"/>
    <tableColumn id="3" name="5" dataDxfId="105"/>
    <tableColumn id="4" name="7" dataDxfId="104"/>
    <tableColumn id="5" name="8" dataDxfId="103"/>
    <tableColumn id="6" name="9" dataDxfId="102"/>
    <tableColumn id="7" name="10" dataDxfId="101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100">
  <autoFilter ref="X1:AB5"/>
  <tableColumns count="5">
    <tableColumn id="1" name="Set Name" dataDxfId="99"/>
    <tableColumn id="2" name="Attack" dataDxfId="98"/>
    <tableColumn id="3" name="Crit.Dmg" dataDxfId="97"/>
    <tableColumn id="4" name="Crit.Cha" dataDxfId="96"/>
    <tableColumn id="5" name="Speed" dataDxfId="95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4" dataDxfId="93" tableBorderDxfId="92">
  <autoFilter ref="A1:U74"/>
  <tableColumns count="21">
    <tableColumn id="1" name="Set" dataDxfId="91"/>
    <tableColumn id="2" name="Runes" dataDxfId="90"/>
    <tableColumn id="3" name="Fatal Nbr" dataDxfId="89"/>
    <tableColumn id="4" name="Rage Nbr" dataDxfId="88"/>
    <tableColumn id="5" name="Blade Nbr" dataDxfId="87"/>
    <tableColumn id="6" name="Atk Mult" dataDxfId="86"/>
    <tableColumn id="7" name="CritD" dataDxfId="85"/>
    <tableColumn id="8" name="Atk % from subs" dataDxfId="84"/>
    <tableColumn id="9" name="Crit D % from subs" dataDxfId="83"/>
    <tableColumn id="10" name="% of Crit C from subs" dataDxfId="82"/>
    <tableColumn id="11" name="Nbr of Atk rune" dataDxfId="81"/>
    <tableColumn id="12" name="Nbr of Crit D rune" dataDxfId="80"/>
    <tableColumn id="13" name="Nbr of Crit C rune" dataDxfId="79"/>
    <tableColumn id="14" name="Atk" dataDxfId="78"/>
    <tableColumn id="15" name="Dmg" dataDxfId="77"/>
    <tableColumn id="16" name="DmgC" dataDxfId="76"/>
    <tableColumn id="17" name="Crit Chance Basic" dataDxfId="75"/>
    <tableColumn id="18" name="Final Crit Chance" dataDxfId="74"/>
    <tableColumn id="19" name="AvgDmg" dataDxfId="73"/>
    <tableColumn id="20" name="AvgDmg Basic" dataDxfId="72"/>
    <tableColumn id="21" name="% change to basic" dataDxfId="71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70">
  <autoFilter ref="W20:AF43"/>
  <tableColumns count="10">
    <tableColumn id="1" name="Crit C" dataDxfId="69"/>
    <tableColumn id="2" name="Crit D" dataDxfId="68"/>
    <tableColumn id="3" name="Atk " dataDxfId="67"/>
    <tableColumn id="4" name="Set1" dataDxfId="66"/>
    <tableColumn id="5" name="Set2" dataDxfId="65"/>
    <tableColumn id="6" name="Rune1" dataDxfId="64"/>
    <tableColumn id="7" name="NBR R1"/>
    <tableColumn id="8" name="Rune2" dataDxfId="63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62">
  <autoFilter ref="AJ2:AU1190"/>
  <tableColumns count="12">
    <tableColumn id="1" name="Att stones" dataDxfId="61"/>
    <tableColumn id="2" name="Crid D stone" dataDxfId="60"/>
    <tableColumn id="3" name="Crit C stone" dataDxfId="59"/>
    <tableColumn id="11" name="Kolumna1" dataDxfId="58">
      <calculatedColumnFormula>Tabela21[[#This Row],[Att subs]]+Tabela21[[#This Row],[Crit D subs]]</calculatedColumnFormula>
    </tableColumn>
    <tableColumn id="4" name="Att subs" dataDxfId="57"/>
    <tableColumn id="5" name="Crit D subs" dataDxfId="56"/>
    <tableColumn id="6" name="Crit C subs" dataDxfId="55"/>
    <tableColumn id="7" name="Fatal + Blade" dataDxfId="54">
      <calculatedColumnFormula>$AG$3*(1+$AJ3*$Y$2+$AN3+0.35)*(MAXA(1-$AI$3-$AL3*$AA$3-$AP3-0.12,0)+MINA($AI$3+$AL3*$AA$3+$AP3+0.12,1)*(1+$AH$3+$AO3+$AK3*$Z$4))</calculatedColumnFormula>
    </tableColumn>
    <tableColumn id="8" name="Rage + Blade" dataDxfId="53">
      <calculatedColumnFormula>$AG$3*(1+$AJ3*$Y$2+$AN3)*(MAXA(1-$AI$3-$AL3*$AA$3-$AP3-0.12,0)+MINA($AI$3+$AL3*$AA$3+$AP3+0.12,1)*(1+$AH$3+$AO3+$AK3*$Z$4+0.4))</calculatedColumnFormula>
    </tableColumn>
    <tableColumn id="9" name="3x Blade" dataDxfId="52">
      <calculatedColumnFormula>$AG$3*(1+$AJ3*$Y$2+$AN3)*(MAXA(1-$AI$3-$AL3*$AA$3-$AP3-0.36,0)+MINA($AI$3+$AL3*$AA$3+$AP3+0.36,1)*(1+$AH$3+$AO3+$AK3*$Z$4))</calculatedColumnFormula>
    </tableColumn>
    <tableColumn id="10" name="DobSk Fatal+balde" dataDxfId="51">
      <calculatedColumnFormula>$AG$3*(1+$AJ3*$Y$2+$AN3)*(MAXA(1-$AI$3-$AL3*$AA$3-$AP3-0.36,0)+2*MINA($AI$3+$AL3*$AA$3+$AP3+0.36,1)*(1+$AH$3+$AO3+$AK3*$Z$4))</calculatedColumnFormula>
    </tableColumn>
    <tableColumn id="12" name="DobSk Fatal+balde2" dataDxfId="50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9">
      <calculatedColumnFormula>FLOOR((J$17+J$18*(Tabela1318[[#This Row],[Type]]-1))*1.2,1)</calculatedColumnFormula>
    </tableColumn>
    <tableColumn id="9" name="Att" dataDxfId="48">
      <calculatedColumnFormula>FLOOR((K$17+K$18*(Tabela1318[[#This Row],[Type]]-1))*1.2,1)</calculatedColumnFormula>
    </tableColumn>
    <tableColumn id="10" name="Def" dataDxfId="47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6"/>
    <tableColumn id="5" name="HP"/>
    <tableColumn id="6" name="Acc%"/>
    <tableColumn id="7" name="SPD"/>
    <tableColumn id="8" name="Crit Rate%" dataDxfId="45"/>
    <tableColumn id="9" name="Crit DMG%" dataDxfId="44"/>
    <tableColumn id="10" name="Att%" dataDxfId="43"/>
    <tableColumn id="16" name="Att"/>
    <tableColumn id="11" name="Def%" dataDxfId="42"/>
    <tableColumn id="14" name="Def"/>
    <tableColumn id="12" name="Res%" dataDxfId="41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33">
  <autoFilter ref="A6:R38"/>
  <tableColumns count="18">
    <tableColumn id="1" name="Scenario"/>
    <tableColumn id="2" name="XP" dataDxfId="32">
      <calculatedColumnFormula>(2*$J7+$K7)/($R7-$Q7)*O7</calculatedColumnFormula>
    </tableColumn>
    <tableColumn id="3" name="Gold" dataDxfId="31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30"/>
    <tableColumn id="11" name="Ene normal" dataDxfId="29"/>
    <tableColumn id="12" name="Location" dataDxfId="28"/>
    <tableColumn id="13" name="LVL" dataDxfId="27"/>
    <tableColumn id="14" name="Stage" dataDxfId="26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5" dataDxfId="24">
  <autoFilter ref="A1:T327"/>
  <sortState ref="A2:T327">
    <sortCondition descending="1" ref="T2:T327"/>
  </sortState>
  <tableColumns count="20">
    <tableColumn id="1" name="LP" dataDxfId="23" dataCellStyle="Normalny 2"/>
    <tableColumn id="16" name="Awakened2" dataDxfId="22" dataCellStyle="Normalny 2"/>
    <tableColumn id="2" name="Name" dataDxfId="21"/>
    <tableColumn id="3" name="Stars" dataDxfId="20"/>
    <tableColumn id="4" name="Attribute" dataDxfId="19"/>
    <tableColumn id="5" name="G" dataDxfId="18"/>
    <tableColumn id="6" name="D" dataDxfId="17"/>
    <tableColumn id="7" name="N" dataDxfId="16"/>
    <tableColumn id="8" name="AO" dataDxfId="15"/>
    <tableColumn id="9" name="AD" dataDxfId="14"/>
    <tableColumn id="10" name="HM" dataDxfId="13"/>
    <tableColumn id="11" name="GWO" dataDxfId="12"/>
    <tableColumn id="12" name="GWD" dataDxfId="11"/>
    <tableColumn id="13" name="Fusion" dataDxfId="10"/>
    <tableColumn id="15" name="Possesion" dataDxfId="9" dataCellStyle="Normalny 2"/>
    <tableColumn id="20" name="Try to Get" dataDxfId="8" dataCellStyle="Normalny 2"/>
    <tableColumn id="17" name="Suma PVE" dataDxfId="7" dataCellStyle="Normalny 2">
      <calculatedColumnFormula>SUM(Tabela2[[#This Row],[G]]+Tabela2[[#This Row],[D]]+Tabela2[[#This Row],[N]]+Tabela2[[#This Row],[HM]])</calculatedColumnFormula>
    </tableColumn>
    <tableColumn id="18" name="Suma PVP" dataDxfId="6" dataCellStyle="Normalny 2">
      <calculatedColumnFormula>SUM(Tabela2[[#This Row],[AO]]+Tabela2[[#This Row],[AD]]+Tabela2[[#This Row],[GWO]]+Tabela2[[#This Row],[GWD]])</calculatedColumnFormula>
    </tableColumn>
    <tableColumn id="19" name="Suma GW" dataDxfId="5" dataCellStyle="Normalny 2">
      <calculatedColumnFormula>Tabela2[[#This Row],[GWO]]+Tabela2[[#This Row],[GWD]]</calculatedColumnFormula>
    </tableColumn>
    <tableColumn id="14" name="Suma ALL" dataDxfId="4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topLeftCell="A10" workbookViewId="0">
      <selection activeCell="C49" sqref="C4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1</v>
      </c>
      <c r="N3">
        <v>4</v>
      </c>
      <c r="O3" s="43">
        <v>0</v>
      </c>
      <c r="P3" s="1">
        <v>0</v>
      </c>
      <c r="Q3" s="1">
        <f>Tabela6[[#This Row],[Missing]]*22300</f>
        <v>22300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3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15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0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20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0</v>
      </c>
      <c r="N9">
        <v>3</v>
      </c>
      <c r="O9" s="43">
        <f>MAXA(-(2*M7+M8-Tabela6[[#This Row],[Done]]),0)</f>
        <v>3</v>
      </c>
      <c r="P9" s="39"/>
      <c r="Q9" s="39">
        <f>Tabela6[[#This Row],[Missing]]*11000</f>
        <v>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22300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20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3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997"/>
  <sheetViews>
    <sheetView tabSelected="1" zoomScale="85" zoomScaleNormal="85" workbookViewId="0">
      <pane ySplit="1" topLeftCell="A1338" activePane="bottomLeft" state="frozen"/>
      <selection pane="bottomLeft" activeCell="F1371" sqref="F1371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19</v>
      </c>
      <c r="R12" s="43">
        <v>4</v>
      </c>
      <c r="S12" s="43">
        <v>3</v>
      </c>
      <c r="T12" s="43">
        <v>24</v>
      </c>
      <c r="U12" s="43">
        <v>24</v>
      </c>
      <c r="V12" s="43">
        <v>3</v>
      </c>
      <c r="W12" s="43">
        <v>13</v>
      </c>
      <c r="X12" s="43">
        <v>90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8</v>
      </c>
      <c r="R15" s="43">
        <v>2</v>
      </c>
      <c r="S15" s="43">
        <v>2</v>
      </c>
      <c r="T15" s="43">
        <v>13</v>
      </c>
      <c r="U15" s="43">
        <v>14</v>
      </c>
      <c r="V15" s="43">
        <v>2</v>
      </c>
      <c r="W15" s="43">
        <v>13</v>
      </c>
      <c r="X15" s="43">
        <v>54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5</v>
      </c>
      <c r="V16" s="43">
        <v>1</v>
      </c>
      <c r="W16" s="43"/>
      <c r="X16" s="43">
        <v>15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79</v>
      </c>
      <c r="R25" s="43">
        <v>15</v>
      </c>
      <c r="S25" s="43">
        <v>10</v>
      </c>
      <c r="T25" s="43">
        <v>110</v>
      </c>
      <c r="U25" s="43">
        <v>129</v>
      </c>
      <c r="V25" s="43">
        <v>15</v>
      </c>
      <c r="W25" s="43">
        <v>34</v>
      </c>
      <c r="X25" s="43">
        <v>393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:12">
      <c r="A1374" t="s">
        <v>178</v>
      </c>
      <c r="B1374" t="s">
        <v>9</v>
      </c>
      <c r="C1374">
        <v>9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:12">
      <c r="A1377" t="s">
        <v>178</v>
      </c>
      <c r="B1377" t="s">
        <v>9</v>
      </c>
      <c r="C1377">
        <v>9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4:U99"/>
  <sheetViews>
    <sheetView topLeftCell="A34" zoomScale="85" zoomScaleNormal="85" workbookViewId="0">
      <selection activeCell="B19" sqref="B1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2" t="s">
        <v>249</v>
      </c>
      <c r="G5" s="203"/>
      <c r="H5" s="204"/>
      <c r="I5" s="205" t="s">
        <v>250</v>
      </c>
      <c r="J5" s="206"/>
      <c r="K5" s="207"/>
      <c r="L5" s="208" t="s">
        <v>18</v>
      </c>
      <c r="M5" s="209"/>
      <c r="N5" s="210"/>
      <c r="O5" s="211" t="s">
        <v>252</v>
      </c>
      <c r="P5" s="212"/>
      <c r="Q5" s="213"/>
      <c r="R5" s="214" t="s">
        <v>251</v>
      </c>
      <c r="S5" s="215"/>
      <c r="T5" s="21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7" t="s">
        <v>281</v>
      </c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9" t="s">
        <v>280</v>
      </c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2" t="s">
        <v>249</v>
      </c>
      <c r="G37" s="203"/>
      <c r="H37" s="204"/>
      <c r="I37" s="205" t="s">
        <v>250</v>
      </c>
      <c r="J37" s="206"/>
      <c r="K37" s="207"/>
      <c r="L37" s="208" t="s">
        <v>18</v>
      </c>
      <c r="M37" s="209"/>
      <c r="N37" s="210"/>
      <c r="O37" s="211" t="s">
        <v>252</v>
      </c>
      <c r="P37" s="212"/>
      <c r="Q37" s="213"/>
      <c r="R37" s="214" t="s">
        <v>251</v>
      </c>
      <c r="S37" s="215"/>
      <c r="T37" s="21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7" t="s">
        <v>281</v>
      </c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8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9" t="s">
        <v>280</v>
      </c>
      <c r="H64" s="200"/>
      <c r="I64" s="200"/>
      <c r="J64" s="200"/>
      <c r="K64" s="200"/>
      <c r="L64" s="200"/>
      <c r="M64" s="200"/>
      <c r="N64" s="200"/>
      <c r="O64" s="200"/>
      <c r="P64" s="200"/>
      <c r="Q64" s="200"/>
      <c r="R64" s="200"/>
      <c r="S64" s="200"/>
      <c r="T64" s="20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2" t="s">
        <v>249</v>
      </c>
      <c r="G69" s="203"/>
      <c r="H69" s="204"/>
      <c r="I69" s="205" t="s">
        <v>250</v>
      </c>
      <c r="J69" s="206"/>
      <c r="K69" s="207"/>
      <c r="L69" s="208" t="s">
        <v>18</v>
      </c>
      <c r="M69" s="209"/>
      <c r="N69" s="210"/>
      <c r="O69" s="211" t="s">
        <v>252</v>
      </c>
      <c r="P69" s="212"/>
      <c r="Q69" s="213"/>
      <c r="R69" s="214" t="s">
        <v>251</v>
      </c>
      <c r="S69" s="215"/>
      <c r="T69" s="21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7" t="s">
        <v>281</v>
      </c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8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9" t="s">
        <v>280</v>
      </c>
      <c r="H96" s="200"/>
      <c r="I96" s="2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1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Q8" sqref="Q8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(LocFeatures[[#This Row],[XP Train Gain]]+LocFeatures[[#This Row],[XP drop]])/(LocFeatures[[#This Row],[E. Cost]]-LocFeatures[[#This Row],[Energy gain]])</f>
        <v>1216.3152709359606</v>
      </c>
      <c r="Q3" s="47">
        <f>COUNTIFS(DropAnalityka[Location],LocFeatures[[#This Row],[Location]],DropAnalityka[LVL],LocFeatures[[#This Row],[LVL]],DropAnalityka[Stage],LocFeatures[[#This Row],[Stage]])</f>
        <v>96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(LocFeatures[[#This Row],[XP Train Gain]]+LocFeatures[[#This Row],[XP drop]])/(LocFeatures[[#This Row],[E. Cost]]-LocFeatures[[#This Row],[Energy gain]])</f>
        <v>804</v>
      </c>
      <c r="Q4" s="47">
        <f>COUNTIFS(DropAnalityka[Location],LocFeatures[[#This Row],[Location]],DropAnalityka[LVL],LocFeatures[[#This Row],[LVL]],DropAnalityka[Stage],LocFeatures[[#This Row],[Stage]])</f>
        <v>1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(LocFeatures[[#This Row],[XP Train Gain]]+LocFeatures[[#This Row],[XP drop]])/(LocFeatures[[#This Row],[E. Cost]]-LocFeatures[[#This Row],[Energy gain]])</f>
        <v>804</v>
      </c>
      <c r="Q5" s="47">
        <f>COUNTIFS(DropAnalityka[Location],LocFeatures[[#This Row],[Location]],DropAnalityka[LVL],LocFeatures[[#This Row],[LVL]],DropAnalityka[Stage],LocFeatures[[#This Row],[Stage]])</f>
        <v>2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5"/>
    </row>
    <row r="6" spans="1:22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(LocFeatures[[#This Row],[XP Train Gain]]+LocFeatures[[#This Row],[XP drop]])/(LocFeatures[[#This Row],[E. Cost]]-LocFeatures[[#This Row],[Energy gain]])</f>
        <v>448.60937500000006</v>
      </c>
      <c r="Q6" s="47">
        <f>COUNTIFS(DropAnalityka[Location],LocFeatures[[#This Row],[Location]],DropAnalityka[LVL],LocFeatures[[#This Row],[LVL]],DropAnalityka[Stage],LocFeatures[[#This Row],[Stage]])</f>
        <v>18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S6"/>
      <c r="T6"/>
      <c r="U6"/>
      <c r="V6"/>
    </row>
    <row r="7" spans="1:22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10760.992063492064</v>
      </c>
      <c r="J7" s="19">
        <f>AVERAGEIFS(DropAnalityka[Energy Drop],DropAnalityka[Location],LocFeatures[[#This Row],[Location]],DropAnalityka[LVL],LocFeatures[[#This Row],[LVL]],DropAnalityka[Stage],LocFeatures[[#This Row],[Stage]])</f>
        <v>0.8571428571428571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1974.3944444444442</v>
      </c>
      <c r="N7" s="50">
        <f>LocFeatures[[#This Row],[Drop worth gain]]/(LocFeatures[[#This Row],[E. Cost]]-LocFeatures[[#This Row],[Energy gain]])</f>
        <v>1506.5388888888888</v>
      </c>
      <c r="O7" s="50">
        <f>LocFeatures[[#This Row],[XP Train Gain]]/(LocFeatures[[#This Row],[E. Cost]]-LocFeatures[[#This Row],[Energy gain]])</f>
        <v>0</v>
      </c>
      <c r="P7" s="50">
        <f>(LocFeatures[[#This Row],[XP Train Gain]]+LocFeatures[[#This Row],[XP drop]])/(LocFeatures[[#This Row],[E. Cost]]-LocFeatures[[#This Row],[Energy gain]])</f>
        <v>276.41522222222216</v>
      </c>
      <c r="Q7" s="47">
        <f>COUNTIFS(DropAnalityka[Location],LocFeatures[[#This Row],[Location]],DropAnalityka[LVL],LocFeatures[[#This Row],[LVL]],DropAnalityka[Stage],LocFeatures[[#This Row],[Stage]])</f>
        <v>54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4874.9426666666668</v>
      </c>
      <c r="S7"/>
      <c r="T7"/>
      <c r="U7"/>
      <c r="V7"/>
    </row>
    <row r="8" spans="1:22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13645.233333333332</v>
      </c>
      <c r="J8" s="19">
        <f>AVERAGEIFS(DropAnalityka[Energy Drop],DropAnalityka[Location],LocFeatures[[#This Row],[Location]],DropAnalityka[LVL],LocFeatures[[#This Row],[LVL]],DropAnalityka[Stage],LocFeatures[[#This Row],[Stage]])</f>
        <v>1.0666666666666667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3740.5766666666668</v>
      </c>
      <c r="N8" s="50">
        <f>LocFeatures[[#This Row],[Drop worth gain]]/(LocFeatures[[#This Row],[E. Cost]]-LocFeatures[[#This Row],[Energy gain]])</f>
        <v>1968.0624999999998</v>
      </c>
      <c r="O8" s="50">
        <f>LocFeatures[[#This Row],[XP Train Gain]]/(LocFeatures[[#This Row],[E. Cost]]-LocFeatures[[#This Row],[Energy gain]])</f>
        <v>0</v>
      </c>
      <c r="P8" s="50">
        <f>(LocFeatures[[#This Row],[XP Train Gain]]+LocFeatures[[#This Row],[XP drop]])/(LocFeatures[[#This Row],[E. Cost]]-LocFeatures[[#This Row],[Energy gain]])</f>
        <v>539.50625000000002</v>
      </c>
      <c r="Q8" s="47">
        <f>COUNTIFS(DropAnalityka[Location],LocFeatures[[#This Row],[Location]],DropAnalityka[LVL],LocFeatures[[#This Row],[LVL]],DropAnalityka[Stage],LocFeatures[[#This Row],[Stage]])</f>
        <v>15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4792.3980769230766</v>
      </c>
      <c r="S8"/>
      <c r="T8"/>
      <c r="U8"/>
      <c r="V8"/>
    </row>
    <row r="9" spans="1:22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(LocFeatures[[#This Row],[XP Train Gain]]+LocFeatures[[#This Row],[XP drop]])/(LocFeatures[[#This Row],[E. Cost]]-LocFeatures[[#This Row],[Energy gain]])</f>
        <v>1781.5072463768115</v>
      </c>
      <c r="Q9" s="47">
        <f>COUNTIFS(DropAnalityka[Location],LocFeatures[[#This Row],[Location]],DropAnalityka[LVL],LocFeatures[[#This Row],[LVL]],DropAnalityka[Stage],LocFeatures[[#This Row],[Stage]])</f>
        <v>43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9"/>
    </row>
    <row r="10" spans="1:22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(LocFeatures[[#This Row],[XP Train Gain]]+LocFeatures[[#This Row],[XP drop]])/(LocFeatures[[#This Row],[E. Cost]]-LocFeatures[[#This Row],[Energy gain]])</f>
        <v>1494.9548872180453</v>
      </c>
      <c r="Q10" s="43">
        <f>COUNTIFS(DropAnalityka[Location],LocFeatures[[#This Row],[Location]],DropAnalityka[LVL],LocFeatures[[#This Row],[LVL]],DropAnalityka[Stage],LocFeatures[[#This Row],[Stage]])</f>
        <v>87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10">
        <v>58</v>
      </c>
      <c r="T10" s="10" t="s">
        <v>246</v>
      </c>
      <c r="U10"/>
      <c r="V10"/>
    </row>
    <row r="11" spans="1:22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(LocFeatures[[#This Row],[XP Train Gain]]+LocFeatures[[#This Row],[XP drop]])/(LocFeatures[[#This Row],[E. Cost]]-LocFeatures[[#This Row],[Energy gain]])</f>
        <v>1175.0465116279067</v>
      </c>
      <c r="Q11" s="47">
        <f>COUNTIFS(DropAnalityka[Location],LocFeatures[[#This Row],[Location]],DropAnalityka[LVL],LocFeatures[[#This Row],[LVL]],DropAnalityka[Stage],LocFeatures[[#This Row],[Stage]])</f>
        <v>81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11"/>
    </row>
    <row r="12" spans="1:22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(LocFeatures[[#This Row],[XP Train Gain]]+LocFeatures[[#This Row],[XP drop]])/(LocFeatures[[#This Row],[E. Cost]]-LocFeatures[[#This Row],[Energy gain]])</f>
        <v>339.64530612244897</v>
      </c>
      <c r="Q12" s="47">
        <f>COUNTIFS(DropAnalityka[Location],LocFeatures[[#This Row],[Location]],DropAnalityka[LVL],LocFeatures[[#This Row],[LVL]],DropAnalityka[Stage],LocFeatures[[#This Row],[Stage]])</f>
        <v>50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(LocFeatures[[#This Row],[XP Train Gain]]+LocFeatures[[#This Row],[XP drop]])/(LocFeatures[[#This Row],[E. Cost]]-LocFeatures[[#This Row],[Energy gain]])</f>
        <v>495.59037878787882</v>
      </c>
      <c r="Q14" s="47">
        <f>COUNTIFS(DropAnalityka[Location],LocFeatures[[#This Row],[Location]],DropAnalityka[LVL],LocFeatures[[#This Row],[LVL]],DropAnalityka[Stage],LocFeatures[[#This Row],[Stage]])</f>
        <v>187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2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(LocFeatures[[#This Row],[XP Train Gain]]+LocFeatures[[#This Row],[XP drop]])/(LocFeatures[[#This Row],[E. Cost]]-LocFeatures[[#This Row],[Energy gain]])</f>
        <v>737.47674418604652</v>
      </c>
      <c r="Q15" s="43">
        <f>COUNTIFS(DropAnalityka[Location],LocFeatures[[#This Row],[Location]],DropAnalityka[LVL],LocFeatures[[#This Row],[LVL]],DropAnalityka[Stage],LocFeatures[[#This Row],[Stage]])</f>
        <v>27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2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(LocFeatures[[#This Row],[XP Train Gain]]+LocFeatures[[#This Row],[XP drop]])/(LocFeatures[[#This Row],[E. Cost]]-LocFeatures[[#This Row],[Energy gain]])</f>
        <v>573.9666666666667</v>
      </c>
      <c r="Q16" s="47">
        <f>COUNTIFS(DropAnalityka[Location],LocFeatures[[#This Row],[Location]],DropAnalityka[LVL],LocFeatures[[#This Row],[LVL]],DropAnalityka[Stage],LocFeatures[[#This Row],[Stage]])</f>
        <v>7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16" s="10"/>
      <c r="U16" s="10"/>
      <c r="V16" s="10"/>
    </row>
    <row r="17" spans="1:22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(LocFeatures[[#This Row],[XP Train Gain]]+LocFeatures[[#This Row],[XP drop]])/(LocFeatures[[#This Row],[E. Cost]]-LocFeatures[[#This Row],[Energy gain]])</f>
        <v>361.125</v>
      </c>
      <c r="Q17" s="43">
        <f>COUNTIFS(DropAnalityka[Location],LocFeatures[[#This Row],[Location]],DropAnalityka[LVL],LocFeatures[[#This Row],[LVL]],DropAnalityka[Stage],LocFeatures[[#This Row],[Stage]])</f>
        <v>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2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(LocFeatures[[#This Row],[XP Train Gain]]+LocFeatures[[#This Row],[XP drop]])/(LocFeatures[[#This Row],[E. Cost]]-LocFeatures[[#This Row],[Energy gain]])</f>
        <v>504.75595238095241</v>
      </c>
      <c r="Q18" s="47">
        <f>COUNTIFS(DropAnalityka[Location],LocFeatures[[#This Row],[Location]],DropAnalityka[LVL],LocFeatures[[#This Row],[LVL]],DropAnalityka[Stage],LocFeatures[[#This Row],[Stage]])</f>
        <v>62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2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492.39473684210532</v>
      </c>
      <c r="Q19" s="43">
        <f>COUNTIFS(DropAnalityka[Location],LocFeatures[[#This Row],[Location]],DropAnalityka[LVL],LocFeatures[[#This Row],[LVL]],DropAnalityka[Stage],LocFeatures[[#This Row],[Stage]])</f>
        <v>25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2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(LocFeatures[[#This Row],[XP Train Gain]]+LocFeatures[[#This Row],[XP drop]])/(LocFeatures[[#This Row],[E. Cost]]-LocFeatures[[#This Row],[Energy gain]])</f>
        <v>472.72413793103448</v>
      </c>
      <c r="Q20" s="43">
        <f>COUNTIFS(DropAnalityka[Location],LocFeatures[[#This Row],[Location]],DropAnalityka[LVL],LocFeatures[[#This Row],[LVL]],DropAnalityka[Stage],LocFeatures[[#This Row],[Stage]])</f>
        <v>29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2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(LocFeatures[[#This Row],[XP Train Gain]]+LocFeatures[[#This Row],[XP drop]])/(LocFeatures[[#This Row],[E. Cost]]-LocFeatures[[#This Row],[Energy gain]])</f>
        <v>709.72338129496404</v>
      </c>
      <c r="Q21" s="43">
        <f>COUNTIFS(DropAnalityka[Location],LocFeatures[[#This Row],[Location]],DropAnalityka[LVL],LocFeatures[[#This Row],[LVL]],DropAnalityka[Stage],LocFeatures[[#This Row],[Stage]])</f>
        <v>67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2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(LocFeatures[[#This Row],[XP Train Gain]]+LocFeatures[[#This Row],[XP drop]])/(LocFeatures[[#This Row],[E. Cost]]-LocFeatures[[#This Row],[Energy gain]])</f>
        <v>1335.0080428954425</v>
      </c>
      <c r="Q22" s="43">
        <f>COUNTIFS(DropAnalityka[Location],LocFeatures[[#This Row],[Location]],DropAnalityka[LVL],LocFeatures[[#This Row],[LVL]],DropAnalityka[Stage],LocFeatures[[#This Row],[Stage]])</f>
        <v>71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2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(LocFeatures[[#This Row],[XP Train Gain]]+LocFeatures[[#This Row],[XP drop]])/(LocFeatures[[#This Row],[E. Cost]]-LocFeatures[[#This Row],[Energy gain]])</f>
        <v>1379.1891891891894</v>
      </c>
      <c r="Q23" s="43">
        <f>COUNTIFS(DropAnalityka[Location],LocFeatures[[#This Row],[Location]],DropAnalityka[LVL],LocFeatures[[#This Row],[LVL]],DropAnalityka[Stage],LocFeatures[[#This Row],[Stage]])</f>
        <v>27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2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(LocFeatures[[#This Row],[XP Train Gain]]+LocFeatures[[#This Row],[XP drop]])/(LocFeatures[[#This Row],[E. Cost]]-LocFeatures[[#This Row],[Energy gain]])</f>
        <v>10080.5</v>
      </c>
      <c r="Q24" s="47">
        <f>COUNTIFS(DropAnalityka[Location],LocFeatures[[#This Row],[Location]],DropAnalityka[LVL],LocFeatures[[#This Row],[LVL]],DropAnalityka[Stage],LocFeatures[[#This Row],[Stage]])</f>
        <v>1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4" s="10"/>
      <c r="U24" s="10"/>
      <c r="V24" s="10"/>
    </row>
    <row r="25" spans="1:22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(LocFeatures[[#This Row],[XP Train Gain]]+LocFeatures[[#This Row],[XP drop]])/(LocFeatures[[#This Row],[E. Cost]]-LocFeatures[[#This Row],[Energy gain]])</f>
        <v>716.44</v>
      </c>
      <c r="Q25" s="43">
        <f>COUNTIFS(DropAnalityka[Location],LocFeatures[[#This Row],[Location]],DropAnalityka[LVL],LocFeatures[[#This Row],[LVL]],DropAnalityka[Stage],LocFeatures[[#This Row],[Stage]])</f>
        <v>8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2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(LocFeatures[[#This Row],[XP Train Gain]]+LocFeatures[[#This Row],[XP drop]])/(LocFeatures[[#This Row],[E. Cost]]-LocFeatures[[#This Row],[Energy gain]])</f>
        <v>1402.433734939759</v>
      </c>
      <c r="Q26" s="47">
        <f>COUNTIFS(DropAnalityka[Location],LocFeatures[[#This Row],[Location]],DropAnalityka[LVL],LocFeatures[[#This Row],[LVL]],DropAnalityka[Stage],LocFeatures[[#This Row],[Stage]])</f>
        <v>53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26" s="10"/>
      <c r="U26" s="10"/>
      <c r="V26" s="10"/>
    </row>
    <row r="27" spans="1:22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(LocFeatures[[#This Row],[XP Train Gain]]+LocFeatures[[#This Row],[XP drop]])/(LocFeatures[[#This Row],[E. Cost]]-LocFeatures[[#This Row],[Energy gain]])</f>
        <v>837</v>
      </c>
      <c r="Q27" s="47">
        <f>COUNTIFS(DropAnalityka[Location],LocFeatures[[#This Row],[Location]],DropAnalityka[LVL],LocFeatures[[#This Row],[LVL]],DropAnalityka[Stage],LocFeatures[[#This Row],[Stage]])</f>
        <v>1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27" s="10"/>
      <c r="U27" s="10"/>
      <c r="V27" s="10"/>
    </row>
    <row r="28" spans="1:22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(LocFeatures[[#This Row],[XP Train Gain]]+LocFeatures[[#This Row],[XP drop]])/(LocFeatures[[#This Row],[E. Cost]]-LocFeatures[[#This Row],[Energy gain]])</f>
        <v>1652.4529505582138</v>
      </c>
      <c r="Q28" s="47">
        <f>COUNTIFS(DropAnalityka[Location],LocFeatures[[#This Row],[Location]],DropAnalityka[LVL],LocFeatures[[#This Row],[LVL]],DropAnalityka[Stage],LocFeatures[[#This Row],[Stage]])</f>
        <v>156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28" s="10"/>
      <c r="U28" s="10"/>
      <c r="V28" s="10"/>
    </row>
    <row r="29" spans="1:22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(LocFeatures[[#This Row],[XP Train Gain]]+LocFeatures[[#This Row],[XP drop]])/(LocFeatures[[#This Row],[E. Cost]]-LocFeatures[[#This Row],[Energy gain]])</f>
        <v>1392</v>
      </c>
      <c r="Q29" s="47">
        <f>COUNTIFS(DropAnalityka[Location],LocFeatures[[#This Row],[Location]],DropAnalityka[LVL],LocFeatures[[#This Row],[LVL]],DropAnalityka[Stage],LocFeatures[[#This Row],[Stage]])</f>
        <v>18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29">
        <v>92</v>
      </c>
      <c r="T29" s="10" t="s">
        <v>246</v>
      </c>
    </row>
    <row r="30" spans="1:22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(LocFeatures[[#This Row],[XP Train Gain]]+LocFeatures[[#This Row],[XP drop]])/(LocFeatures[[#This Row],[E. Cost]]-LocFeatures[[#This Row],[Energy gain]])</f>
        <v>968.15730337078639</v>
      </c>
      <c r="Q30" s="43">
        <f>COUNTIFS(DropAnalityka[Location],LocFeatures[[#This Row],[Location]],DropAnalityka[LVL],LocFeatures[[#This Row],[LVL]],DropAnalityka[Stage],LocFeatures[[#This Row],[Stage]])</f>
        <v>41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2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80.898876404494388</v>
      </c>
      <c r="Q31" s="43">
        <f>COUNTIFS(DropAnalityka[Location],LocFeatures[[#This Row],[Location]],DropAnalityka[LVL],LocFeatures[[#This Row],[LVL]],DropAnalityka[Stage],LocFeatures[[#This Row],[Stage]])</f>
        <v>41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2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(LocFeatures[[#This Row],[XP Train Gain]]+LocFeatures[[#This Row],[XP drop]])/(LocFeatures[[#This Row],[E. Cost]]-LocFeatures[[#This Row],[Energy gain]])</f>
        <v>1097.28</v>
      </c>
      <c r="Q32" s="43">
        <f>COUNTIFS(DropAnalityka[Location],LocFeatures[[#This Row],[Location]],DropAnalityka[LVL],LocFeatures[[#This Row],[LVL]],DropAnalityka[Stage],LocFeatures[[#This Row],[Stage]])</f>
        <v>8</v>
      </c>
      <c r="R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7" t="s">
        <v>273</v>
      </c>
      <c r="S2" s="217"/>
      <c r="T2" s="217"/>
      <c r="U2" s="217"/>
      <c r="V2" s="217"/>
      <c r="W2" s="21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8" t="s">
        <v>315</v>
      </c>
      <c r="X19" s="218"/>
      <c r="Y19" s="218"/>
      <c r="Z19" s="218"/>
      <c r="AA19" s="218"/>
      <c r="AB19" s="218"/>
      <c r="AC19" s="218"/>
      <c r="AD19" s="218"/>
      <c r="AE19" s="218"/>
      <c r="AF19" s="21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2015-12-07T17:10:41Z</dcterms:modified>
</cp:coreProperties>
</file>